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largentina.sharepoint.com/sites/Compass-Abastecimiento2/Shared Documents/10. Operador Descartables/COMPRAS DESCARTABLES MORENO Y CIUDADELA/"/>
    </mc:Choice>
  </mc:AlternateContent>
  <xr:revisionPtr revIDLastSave="45" documentId="11_21B161E3F68931E42ECA17D12679C5CAD126A26B" xr6:coauthVersionLast="47" xr6:coauthVersionMax="47" xr10:uidLastSave="{CCB6408B-CF7A-4018-8179-C4FB3D7B79D1}"/>
  <bookViews>
    <workbookView xWindow="-110" yWindow="-110" windowWidth="19420" windowHeight="11020" activeTab="4" xr2:uid="{00000000-000D-0000-FFFF-FFFF00000000}"/>
  </bookViews>
  <sheets>
    <sheet name="MRP" sheetId="1" r:id="rId1"/>
    <sheet name="Calcular necesidad" sheetId="2" r:id="rId2"/>
    <sheet name="Stock" sheetId="3" r:id="rId3"/>
    <sheet name="Tabla Articulos" sheetId="4" r:id="rId4"/>
    <sheet name="Necesidad por famili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25" i="3" l="1"/>
  <c r="Q3316" i="3"/>
  <c r="R3316" i="3" s="1"/>
  <c r="Q3317" i="3"/>
  <c r="R3317" i="3" s="1"/>
  <c r="Q3328" i="3"/>
  <c r="R3328" i="3" s="1"/>
  <c r="S3316" i="3"/>
  <c r="P3316" i="3" s="1"/>
  <c r="S3317" i="3"/>
  <c r="P3317" i="3" s="1"/>
  <c r="S3318" i="3"/>
  <c r="P3318" i="3" s="1"/>
  <c r="S3319" i="3"/>
  <c r="P3319" i="3" s="1"/>
  <c r="S3320" i="3"/>
  <c r="P3320" i="3" s="1"/>
  <c r="S3321" i="3"/>
  <c r="P3321" i="3" s="1"/>
  <c r="S3322" i="3"/>
  <c r="P3322" i="3" s="1"/>
  <c r="S3323" i="3"/>
  <c r="P3323" i="3" s="1"/>
  <c r="S3324" i="3"/>
  <c r="P3324" i="3" s="1"/>
  <c r="S3325" i="3"/>
  <c r="Q3325" i="3" s="1"/>
  <c r="R3325" i="3" s="1"/>
  <c r="S3326" i="3"/>
  <c r="P3326" i="3" s="1"/>
  <c r="S3327" i="3"/>
  <c r="Q3327" i="3" s="1"/>
  <c r="R3327" i="3" s="1"/>
  <c r="S3328" i="3"/>
  <c r="P3328" i="3" s="1"/>
  <c r="S5" i="3"/>
  <c r="P5" i="3" s="1"/>
  <c r="S3384" i="3"/>
  <c r="Q3384" i="3" s="1"/>
  <c r="R3384" i="3" s="1"/>
  <c r="P3384" i="3"/>
  <c r="S3383" i="3"/>
  <c r="Q3383" i="3"/>
  <c r="R3383" i="3" s="1"/>
  <c r="P3383" i="3"/>
  <c r="S3382" i="3"/>
  <c r="Q3382" i="3" s="1"/>
  <c r="R3382" i="3" s="1"/>
  <c r="P3382" i="3"/>
  <c r="S3381" i="3"/>
  <c r="Q3381" i="3" s="1"/>
  <c r="R3381" i="3" s="1"/>
  <c r="P3381" i="3"/>
  <c r="S3380" i="3"/>
  <c r="Q3380" i="3" s="1"/>
  <c r="R3380" i="3" s="1"/>
  <c r="P3380" i="3"/>
  <c r="S3379" i="3"/>
  <c r="Q3379" i="3"/>
  <c r="R3379" i="3" s="1"/>
  <c r="P3379" i="3"/>
  <c r="S3378" i="3"/>
  <c r="Q3378" i="3"/>
  <c r="R3378" i="3" s="1"/>
  <c r="P3378" i="3"/>
  <c r="S3377" i="3"/>
  <c r="Q3377" i="3" s="1"/>
  <c r="R3377" i="3" s="1"/>
  <c r="P3377" i="3"/>
  <c r="S3376" i="3"/>
  <c r="Q3376" i="3"/>
  <c r="R3376" i="3" s="1"/>
  <c r="P3376" i="3"/>
  <c r="S3375" i="3"/>
  <c r="Q3375" i="3" s="1"/>
  <c r="R3375" i="3" s="1"/>
  <c r="P3375" i="3"/>
  <c r="S3374" i="3"/>
  <c r="Q3374" i="3" s="1"/>
  <c r="R3374" i="3" s="1"/>
  <c r="P3374" i="3"/>
  <c r="S3373" i="3"/>
  <c r="Q3373" i="3" s="1"/>
  <c r="R3373" i="3" s="1"/>
  <c r="P3373" i="3"/>
  <c r="S3372" i="3"/>
  <c r="Q3372" i="3" s="1"/>
  <c r="R3372" i="3" s="1"/>
  <c r="P3372" i="3"/>
  <c r="S3371" i="3"/>
  <c r="Q3371" i="3" s="1"/>
  <c r="R3371" i="3" s="1"/>
  <c r="P3371" i="3"/>
  <c r="S3370" i="3"/>
  <c r="Q3370" i="3" s="1"/>
  <c r="R3370" i="3"/>
  <c r="P3370" i="3"/>
  <c r="S3369" i="3"/>
  <c r="Q3369" i="3"/>
  <c r="R3369" i="3" s="1"/>
  <c r="P3369" i="3"/>
  <c r="S3368" i="3"/>
  <c r="Q3368" i="3" s="1"/>
  <c r="R3368" i="3" s="1"/>
  <c r="P3368" i="3"/>
  <c r="S3367" i="3"/>
  <c r="Q3367" i="3" s="1"/>
  <c r="R3367" i="3" s="1"/>
  <c r="P3367" i="3"/>
  <c r="S3366" i="3"/>
  <c r="Q3366" i="3"/>
  <c r="R3366" i="3" s="1"/>
  <c r="P3366" i="3"/>
  <c r="S3365" i="3"/>
  <c r="Q3365" i="3" s="1"/>
  <c r="R3365" i="3" s="1"/>
  <c r="P3365" i="3"/>
  <c r="S3364" i="3"/>
  <c r="Q3364" i="3" s="1"/>
  <c r="R3364" i="3" s="1"/>
  <c r="P3364" i="3"/>
  <c r="S3363" i="3"/>
  <c r="Q3363" i="3" s="1"/>
  <c r="R3363" i="3" s="1"/>
  <c r="P3363" i="3"/>
  <c r="S3362" i="3"/>
  <c r="Q3362" i="3" s="1"/>
  <c r="R3362" i="3" s="1"/>
  <c r="P3362" i="3"/>
  <c r="S3361" i="3"/>
  <c r="Q3361" i="3"/>
  <c r="R3361" i="3" s="1"/>
  <c r="P3361" i="3"/>
  <c r="S3360" i="3"/>
  <c r="Q3360" i="3" s="1"/>
  <c r="R3360" i="3" s="1"/>
  <c r="P3360" i="3"/>
  <c r="S3359" i="3"/>
  <c r="Q3359" i="3" s="1"/>
  <c r="R3359" i="3" s="1"/>
  <c r="P3359" i="3"/>
  <c r="S3358" i="3"/>
  <c r="Q3358" i="3" s="1"/>
  <c r="R3358" i="3" s="1"/>
  <c r="P3358" i="3"/>
  <c r="S3357" i="3"/>
  <c r="Q3357" i="3" s="1"/>
  <c r="R3357" i="3" s="1"/>
  <c r="P3357" i="3"/>
  <c r="S3356" i="3"/>
  <c r="Q3356" i="3" s="1"/>
  <c r="R3356" i="3" s="1"/>
  <c r="P3356" i="3"/>
  <c r="S3355" i="3"/>
  <c r="Q3355" i="3"/>
  <c r="R3355" i="3" s="1"/>
  <c r="P3355" i="3"/>
  <c r="S3354" i="3"/>
  <c r="Q3354" i="3" s="1"/>
  <c r="R3354" i="3" s="1"/>
  <c r="P3354" i="3"/>
  <c r="S3353" i="3"/>
  <c r="Q3353" i="3" s="1"/>
  <c r="R3353" i="3" s="1"/>
  <c r="P3353" i="3"/>
  <c r="S3352" i="3"/>
  <c r="Q3352" i="3" s="1"/>
  <c r="R3352" i="3" s="1"/>
  <c r="P3352" i="3"/>
  <c r="S3351" i="3"/>
  <c r="Q3351" i="3"/>
  <c r="R3351" i="3" s="1"/>
  <c r="P3351" i="3"/>
  <c r="S3350" i="3"/>
  <c r="Q3350" i="3" s="1"/>
  <c r="R3350" i="3" s="1"/>
  <c r="P3350" i="3"/>
  <c r="S3349" i="3"/>
  <c r="Q3349" i="3" s="1"/>
  <c r="R3349" i="3" s="1"/>
  <c r="P3349" i="3"/>
  <c r="S3348" i="3"/>
  <c r="Q3348" i="3" s="1"/>
  <c r="R3348" i="3" s="1"/>
  <c r="P3348" i="3"/>
  <c r="S3347" i="3"/>
  <c r="Q3347" i="3" s="1"/>
  <c r="R3347" i="3" s="1"/>
  <c r="P3347" i="3"/>
  <c r="S3346" i="3"/>
  <c r="Q3346" i="3"/>
  <c r="R3346" i="3" s="1"/>
  <c r="P3346" i="3"/>
  <c r="S3345" i="3"/>
  <c r="Q3345" i="3"/>
  <c r="R3345" i="3" s="1"/>
  <c r="P3345" i="3"/>
  <c r="S3344" i="3"/>
  <c r="Q3344" i="3" s="1"/>
  <c r="R3344" i="3" s="1"/>
  <c r="P3344" i="3"/>
  <c r="S3343" i="3"/>
  <c r="Q3343" i="3"/>
  <c r="R3343" i="3" s="1"/>
  <c r="P3343" i="3"/>
  <c r="S3342" i="3"/>
  <c r="Q3342" i="3" s="1"/>
  <c r="R3342" i="3" s="1"/>
  <c r="P3342" i="3"/>
  <c r="S3341" i="3"/>
  <c r="Q3341" i="3" s="1"/>
  <c r="R3341" i="3" s="1"/>
  <c r="P3341" i="3"/>
  <c r="S3340" i="3"/>
  <c r="Q3340" i="3"/>
  <c r="R3340" i="3" s="1"/>
  <c r="P3340" i="3"/>
  <c r="S3339" i="3"/>
  <c r="Q3339" i="3" s="1"/>
  <c r="R3339" i="3" s="1"/>
  <c r="P3339" i="3"/>
  <c r="S3338" i="3"/>
  <c r="Q3338" i="3" s="1"/>
  <c r="R3338" i="3" s="1"/>
  <c r="P3338" i="3"/>
  <c r="S3337" i="3"/>
  <c r="Q3337" i="3" s="1"/>
  <c r="R3337" i="3" s="1"/>
  <c r="P3337" i="3"/>
  <c r="S3336" i="3"/>
  <c r="Q3336" i="3" s="1"/>
  <c r="R3336" i="3" s="1"/>
  <c r="P3336" i="3"/>
  <c r="S3335" i="3"/>
  <c r="Q3335" i="3" s="1"/>
  <c r="R3335" i="3" s="1"/>
  <c r="P3335" i="3"/>
  <c r="S3334" i="3"/>
  <c r="Q3334" i="3" s="1"/>
  <c r="R3334" i="3" s="1"/>
  <c r="P3334" i="3"/>
  <c r="S3333" i="3"/>
  <c r="Q3333" i="3" s="1"/>
  <c r="R3333" i="3" s="1"/>
  <c r="P3333" i="3"/>
  <c r="S3332" i="3"/>
  <c r="Q3332" i="3" s="1"/>
  <c r="R3332" i="3" s="1"/>
  <c r="P3332" i="3"/>
  <c r="S3331" i="3"/>
  <c r="Q3331" i="3" s="1"/>
  <c r="R3331" i="3" s="1"/>
  <c r="P3331" i="3"/>
  <c r="S3330" i="3"/>
  <c r="Q3330" i="3" s="1"/>
  <c r="R3330" i="3" s="1"/>
  <c r="P3330" i="3"/>
  <c r="S3329" i="3"/>
  <c r="Q3329" i="3" s="1"/>
  <c r="R3329" i="3" s="1"/>
  <c r="P3329" i="3"/>
  <c r="S3315" i="3"/>
  <c r="P3315" i="3" s="1"/>
  <c r="S3314" i="3"/>
  <c r="P3314" i="3" s="1"/>
  <c r="S3313" i="3"/>
  <c r="Q3313" i="3" s="1"/>
  <c r="R3313" i="3" s="1"/>
  <c r="S3312" i="3"/>
  <c r="P3312" i="3" s="1"/>
  <c r="S3311" i="3"/>
  <c r="P3311" i="3" s="1"/>
  <c r="S3310" i="3"/>
  <c r="P3310" i="3" s="1"/>
  <c r="S3309" i="3"/>
  <c r="Q3309" i="3" s="1"/>
  <c r="R3309" i="3" s="1"/>
  <c r="S3308" i="3"/>
  <c r="P3308" i="3" s="1"/>
  <c r="S3307" i="3"/>
  <c r="Q3307" i="3" s="1"/>
  <c r="R3307" i="3" s="1"/>
  <c r="S3306" i="3"/>
  <c r="P3306" i="3" s="1"/>
  <c r="S3305" i="3"/>
  <c r="P3305" i="3" s="1"/>
  <c r="S3304" i="3"/>
  <c r="Q3304" i="3" s="1"/>
  <c r="R3304" i="3" s="1"/>
  <c r="S3303" i="3"/>
  <c r="Q3303" i="3" s="1"/>
  <c r="R3303" i="3" s="1"/>
  <c r="S3302" i="3"/>
  <c r="P3302" i="3" s="1"/>
  <c r="S3301" i="3"/>
  <c r="Q3301" i="3" s="1"/>
  <c r="R3301" i="3" s="1"/>
  <c r="S3300" i="3"/>
  <c r="Q3300" i="3" s="1"/>
  <c r="R3300" i="3" s="1"/>
  <c r="S3299" i="3"/>
  <c r="P3299" i="3" s="1"/>
  <c r="S3298" i="3"/>
  <c r="P3298" i="3" s="1"/>
  <c r="Q3298" i="3"/>
  <c r="R3298" i="3" s="1"/>
  <c r="S3297" i="3"/>
  <c r="Q3297" i="3" s="1"/>
  <c r="R3297" i="3" s="1"/>
  <c r="S3296" i="3"/>
  <c r="P3296" i="3" s="1"/>
  <c r="S3295" i="3"/>
  <c r="Q3295" i="3" s="1"/>
  <c r="R3295" i="3" s="1"/>
  <c r="S3294" i="3"/>
  <c r="P3294" i="3" s="1"/>
  <c r="S3293" i="3"/>
  <c r="P3293" i="3" s="1"/>
  <c r="S3292" i="3"/>
  <c r="Q3292" i="3" s="1"/>
  <c r="R3292" i="3" s="1"/>
  <c r="S3291" i="3"/>
  <c r="Q3291" i="3" s="1"/>
  <c r="R3291" i="3" s="1"/>
  <c r="P3291" i="3"/>
  <c r="S3290" i="3"/>
  <c r="P3290" i="3" s="1"/>
  <c r="S3289" i="3"/>
  <c r="P3289" i="3" s="1"/>
  <c r="S3288" i="3"/>
  <c r="Q3288" i="3" s="1"/>
  <c r="R3288" i="3" s="1"/>
  <c r="P3288" i="3"/>
  <c r="S3287" i="3"/>
  <c r="P3287" i="3" s="1"/>
  <c r="Q3287" i="3"/>
  <c r="R3287" i="3" s="1"/>
  <c r="S3286" i="3"/>
  <c r="Q3286" i="3" s="1"/>
  <c r="R3286" i="3" s="1"/>
  <c r="S3285" i="3"/>
  <c r="P3285" i="3" s="1"/>
  <c r="S3284" i="3"/>
  <c r="P3284" i="3" s="1"/>
  <c r="S3283" i="3"/>
  <c r="Q3283" i="3" s="1"/>
  <c r="R3283" i="3" s="1"/>
  <c r="S3282" i="3"/>
  <c r="P3282" i="3" s="1"/>
  <c r="S3281" i="3"/>
  <c r="P3281" i="3" s="1"/>
  <c r="S3280" i="3"/>
  <c r="Q3280" i="3" s="1"/>
  <c r="R3280" i="3" s="1"/>
  <c r="S3279" i="3"/>
  <c r="Q3279" i="3" s="1"/>
  <c r="R3279" i="3" s="1"/>
  <c r="S3278" i="3"/>
  <c r="P3278" i="3" s="1"/>
  <c r="S3277" i="3"/>
  <c r="Q3277" i="3" s="1"/>
  <c r="R3277" i="3" s="1"/>
  <c r="S3276" i="3"/>
  <c r="Q3276" i="3" s="1"/>
  <c r="R3276" i="3" s="1"/>
  <c r="S3275" i="3"/>
  <c r="P3275" i="3" s="1"/>
  <c r="S3274" i="3"/>
  <c r="Q3274" i="3" s="1"/>
  <c r="R3274" i="3" s="1"/>
  <c r="S3273" i="3"/>
  <c r="Q3273" i="3" s="1"/>
  <c r="R3273" i="3" s="1"/>
  <c r="S3272" i="3"/>
  <c r="P3272" i="3" s="1"/>
  <c r="S3271" i="3"/>
  <c r="Q3271" i="3" s="1"/>
  <c r="R3271" i="3" s="1"/>
  <c r="S3270" i="3"/>
  <c r="P3270" i="3" s="1"/>
  <c r="S3269" i="3"/>
  <c r="P3269" i="3" s="1"/>
  <c r="S3268" i="3"/>
  <c r="Q3268" i="3" s="1"/>
  <c r="R3268" i="3" s="1"/>
  <c r="S3267" i="3"/>
  <c r="P3267" i="3" s="1"/>
  <c r="S3266" i="3"/>
  <c r="P3266" i="3" s="1"/>
  <c r="S3265" i="3"/>
  <c r="Q3265" i="3" s="1"/>
  <c r="R3265" i="3" s="1"/>
  <c r="S3264" i="3"/>
  <c r="P3264" i="3" s="1"/>
  <c r="S3263" i="3"/>
  <c r="P3263" i="3" s="1"/>
  <c r="S3262" i="3"/>
  <c r="Q3262" i="3" s="1"/>
  <c r="R3262" i="3" s="1"/>
  <c r="S3261" i="3"/>
  <c r="Q3261" i="3" s="1"/>
  <c r="R3261" i="3" s="1"/>
  <c r="S3260" i="3"/>
  <c r="P3260" i="3" s="1"/>
  <c r="S3259" i="3"/>
  <c r="Q3259" i="3" s="1"/>
  <c r="R3259" i="3" s="1"/>
  <c r="S3258" i="3"/>
  <c r="P3258" i="3" s="1"/>
  <c r="S3257" i="3"/>
  <c r="P3257" i="3" s="1"/>
  <c r="S3256" i="3"/>
  <c r="Q3256" i="3" s="1"/>
  <c r="R3256" i="3" s="1"/>
  <c r="S3255" i="3"/>
  <c r="Q3255" i="3" s="1"/>
  <c r="R3255" i="3" s="1"/>
  <c r="S3254" i="3"/>
  <c r="P3254" i="3" s="1"/>
  <c r="S3253" i="3"/>
  <c r="Q3253" i="3" s="1"/>
  <c r="R3253" i="3" s="1"/>
  <c r="S3252" i="3"/>
  <c r="Q3252" i="3" s="1"/>
  <c r="R3252" i="3" s="1"/>
  <c r="S3251" i="3"/>
  <c r="P3251" i="3" s="1"/>
  <c r="S3250" i="3"/>
  <c r="P3250" i="3" s="1"/>
  <c r="S3249" i="3"/>
  <c r="S3248" i="3"/>
  <c r="P3248" i="3" s="1"/>
  <c r="S3247" i="3"/>
  <c r="Q3247" i="3" s="1"/>
  <c r="R3247" i="3" s="1"/>
  <c r="S3246" i="3"/>
  <c r="P3246" i="3" s="1"/>
  <c r="S3245" i="3"/>
  <c r="P3245" i="3" s="1"/>
  <c r="S3244" i="3"/>
  <c r="Q3244" i="3" s="1"/>
  <c r="R3244" i="3" s="1"/>
  <c r="S3243" i="3"/>
  <c r="P3243" i="3" s="1"/>
  <c r="Q3243" i="3"/>
  <c r="R3243" i="3" s="1"/>
  <c r="S3242" i="3"/>
  <c r="P3242" i="3" s="1"/>
  <c r="S3241" i="3"/>
  <c r="P3241" i="3" s="1"/>
  <c r="S3240" i="3"/>
  <c r="Q3240" i="3" s="1"/>
  <c r="R3240" i="3" s="1"/>
  <c r="S3239" i="3"/>
  <c r="P3239" i="3" s="1"/>
  <c r="S3238" i="3"/>
  <c r="Q3238" i="3" s="1"/>
  <c r="R3238" i="3" s="1"/>
  <c r="S3237" i="3"/>
  <c r="P3237" i="3" s="1"/>
  <c r="S3236" i="3"/>
  <c r="S3235" i="3"/>
  <c r="Q3235" i="3" s="1"/>
  <c r="R3235" i="3" s="1"/>
  <c r="S3234" i="3"/>
  <c r="P3234" i="3" s="1"/>
  <c r="Q3234" i="3"/>
  <c r="R3234" i="3" s="1"/>
  <c r="S3233" i="3"/>
  <c r="P3233" i="3" s="1"/>
  <c r="S3232" i="3"/>
  <c r="Q3232" i="3" s="1"/>
  <c r="R3232" i="3" s="1"/>
  <c r="S3231" i="3"/>
  <c r="S3230" i="3"/>
  <c r="P3230" i="3" s="1"/>
  <c r="S3229" i="3"/>
  <c r="Q3229" i="3" s="1"/>
  <c r="R3229" i="3" s="1"/>
  <c r="S3228" i="3"/>
  <c r="Q3228" i="3" s="1"/>
  <c r="R3228" i="3" s="1"/>
  <c r="S3227" i="3"/>
  <c r="S3226" i="3"/>
  <c r="S3225" i="3"/>
  <c r="S3224" i="3"/>
  <c r="P3224" i="3" s="1"/>
  <c r="S3223" i="3"/>
  <c r="Q3223" i="3" s="1"/>
  <c r="R3223" i="3" s="1"/>
  <c r="S3222" i="3"/>
  <c r="S3221" i="3"/>
  <c r="P3221" i="3" s="1"/>
  <c r="S3220" i="3"/>
  <c r="Q3220" i="3" s="1"/>
  <c r="R3220" i="3" s="1"/>
  <c r="S3219" i="3"/>
  <c r="Q3219" i="3" s="1"/>
  <c r="R3219" i="3" s="1"/>
  <c r="S3218" i="3"/>
  <c r="S3217" i="3"/>
  <c r="S3216" i="3"/>
  <c r="Q3216" i="3" s="1"/>
  <c r="R3216" i="3" s="1"/>
  <c r="S3215" i="3"/>
  <c r="S3214" i="3"/>
  <c r="Q3214" i="3" s="1"/>
  <c r="R3214" i="3" s="1"/>
  <c r="S3213" i="3"/>
  <c r="Q3213" i="3" s="1"/>
  <c r="R3213" i="3" s="1"/>
  <c r="S3212" i="3"/>
  <c r="P3212" i="3" s="1"/>
  <c r="S3211" i="3"/>
  <c r="Q3211" i="3" s="1"/>
  <c r="R3211" i="3" s="1"/>
  <c r="S3210" i="3"/>
  <c r="S3209" i="3"/>
  <c r="P3209" i="3" s="1"/>
  <c r="S3208" i="3"/>
  <c r="Q3208" i="3" s="1"/>
  <c r="R3208" i="3" s="1"/>
  <c r="S3207" i="3"/>
  <c r="S3206" i="3"/>
  <c r="P3206" i="3" s="1"/>
  <c r="S3205" i="3"/>
  <c r="P3205" i="3" s="1"/>
  <c r="S3204" i="3"/>
  <c r="Q3204" i="3" s="1"/>
  <c r="R3204" i="3" s="1"/>
  <c r="S3203" i="3"/>
  <c r="P3203" i="3" s="1"/>
  <c r="S3202" i="3"/>
  <c r="Q3202" i="3" s="1"/>
  <c r="R3202" i="3" s="1"/>
  <c r="S3201" i="3"/>
  <c r="P3201" i="3" s="1"/>
  <c r="S3200" i="3"/>
  <c r="P3200" i="3" s="1"/>
  <c r="S3199" i="3"/>
  <c r="P3199" i="3" s="1"/>
  <c r="S3198" i="3"/>
  <c r="P3198" i="3" s="1"/>
  <c r="S3197" i="3"/>
  <c r="P3197" i="3" s="1"/>
  <c r="S3196" i="3"/>
  <c r="S3195" i="3"/>
  <c r="S3194" i="3"/>
  <c r="P3194" i="3" s="1"/>
  <c r="S3193" i="3"/>
  <c r="P3193" i="3" s="1"/>
  <c r="S3192" i="3"/>
  <c r="P3192" i="3" s="1"/>
  <c r="S3191" i="3"/>
  <c r="P3191" i="3" s="1"/>
  <c r="S3190" i="3"/>
  <c r="Q3190" i="3" s="1"/>
  <c r="R3190" i="3" s="1"/>
  <c r="S3189" i="3"/>
  <c r="P3189" i="3" s="1"/>
  <c r="Q3189" i="3"/>
  <c r="R3189" i="3" s="1"/>
  <c r="S3188" i="3"/>
  <c r="P3188" i="3" s="1"/>
  <c r="S3187" i="3"/>
  <c r="Q3187" i="3" s="1"/>
  <c r="R3187" i="3" s="1"/>
  <c r="S3186" i="3"/>
  <c r="P3186" i="3" s="1"/>
  <c r="S3185" i="3"/>
  <c r="S3184" i="3"/>
  <c r="S3183" i="3"/>
  <c r="S3182" i="3"/>
  <c r="S3181" i="3"/>
  <c r="P3181" i="3" s="1"/>
  <c r="S3180" i="3"/>
  <c r="Q3180" i="3" s="1"/>
  <c r="R3180" i="3" s="1"/>
  <c r="S3179" i="3"/>
  <c r="P3179" i="3" s="1"/>
  <c r="S3178" i="3"/>
  <c r="S3177" i="3"/>
  <c r="S3176" i="3"/>
  <c r="P3176" i="3" s="1"/>
  <c r="S3175" i="3"/>
  <c r="S3174" i="3"/>
  <c r="P3174" i="3" s="1"/>
  <c r="S3173" i="3"/>
  <c r="P3173" i="3" s="1"/>
  <c r="S3172" i="3"/>
  <c r="S3171" i="3"/>
  <c r="S3170" i="3"/>
  <c r="S3169" i="3"/>
  <c r="S3168" i="3"/>
  <c r="S3167" i="3"/>
  <c r="S3166" i="3"/>
  <c r="Q3166" i="3" s="1"/>
  <c r="R3166" i="3" s="1"/>
  <c r="S3165" i="3"/>
  <c r="S3164" i="3"/>
  <c r="P3164" i="3" s="1"/>
  <c r="Q3164" i="3"/>
  <c r="R3164" i="3" s="1"/>
  <c r="S3163" i="3"/>
  <c r="P3163" i="3" s="1"/>
  <c r="S3162" i="3"/>
  <c r="S3161" i="3"/>
  <c r="P3161" i="3" s="1"/>
  <c r="S3160" i="3"/>
  <c r="S3159" i="3"/>
  <c r="S3158" i="3"/>
  <c r="P3158" i="3" s="1"/>
  <c r="S3157" i="3"/>
  <c r="S3156" i="3"/>
  <c r="S3155" i="3"/>
  <c r="S3154" i="3"/>
  <c r="S3153" i="3"/>
  <c r="S3152" i="3"/>
  <c r="P3152" i="3" s="1"/>
  <c r="S3151" i="3"/>
  <c r="S3150" i="3"/>
  <c r="S3149" i="3"/>
  <c r="S3148" i="3"/>
  <c r="P3148" i="3" s="1"/>
  <c r="S3147" i="3"/>
  <c r="S3146" i="3"/>
  <c r="P3146" i="3" s="1"/>
  <c r="S3145" i="3"/>
  <c r="S3144" i="3"/>
  <c r="S3143" i="3"/>
  <c r="S3142" i="3"/>
  <c r="S3141" i="3"/>
  <c r="Q3141" i="3" s="1"/>
  <c r="R3141" i="3" s="1"/>
  <c r="S3140" i="3"/>
  <c r="P3140" i="3" s="1"/>
  <c r="S3139" i="3"/>
  <c r="S3138" i="3"/>
  <c r="S3137" i="3"/>
  <c r="S3136" i="3"/>
  <c r="S3135" i="3"/>
  <c r="Q3135" i="3" s="1"/>
  <c r="R3135" i="3" s="1"/>
  <c r="P3135" i="3"/>
  <c r="S3134" i="3"/>
  <c r="P3134" i="3" s="1"/>
  <c r="S3133" i="3"/>
  <c r="S3132" i="3"/>
  <c r="S3131" i="3"/>
  <c r="S3130" i="3"/>
  <c r="S3129" i="3"/>
  <c r="S3128" i="3"/>
  <c r="P3128" i="3" s="1"/>
  <c r="Q3128" i="3"/>
  <c r="R3128" i="3" s="1"/>
  <c r="S3127" i="3"/>
  <c r="S3126" i="3"/>
  <c r="P3126" i="3" s="1"/>
  <c r="S3125" i="3"/>
  <c r="S3124" i="3"/>
  <c r="P3124" i="3" s="1"/>
  <c r="S3123" i="3"/>
  <c r="S3122" i="3"/>
  <c r="S3121" i="3"/>
  <c r="P3121" i="3" s="1"/>
  <c r="S3120" i="3"/>
  <c r="S3119" i="3"/>
  <c r="S3118" i="3"/>
  <c r="Q3118" i="3" s="1"/>
  <c r="R3118" i="3" s="1"/>
  <c r="S3117" i="3"/>
  <c r="P3117" i="3" s="1"/>
  <c r="S3116" i="3"/>
  <c r="P3116" i="3" s="1"/>
  <c r="S3115" i="3"/>
  <c r="S3114" i="3"/>
  <c r="S3113" i="3"/>
  <c r="S3112" i="3"/>
  <c r="S3111" i="3"/>
  <c r="S3110" i="3"/>
  <c r="S3109" i="3"/>
  <c r="S3108" i="3"/>
  <c r="P3108" i="3" s="1"/>
  <c r="S3107" i="3"/>
  <c r="P3107" i="3" s="1"/>
  <c r="S3106" i="3"/>
  <c r="S3105" i="3"/>
  <c r="S3104" i="3"/>
  <c r="S3103" i="3"/>
  <c r="S3102" i="3"/>
  <c r="Q3102" i="3" s="1"/>
  <c r="R3102" i="3" s="1"/>
  <c r="P3102" i="3"/>
  <c r="S3101" i="3"/>
  <c r="S3100" i="3"/>
  <c r="S3099" i="3"/>
  <c r="Q3099" i="3" s="1"/>
  <c r="R3099" i="3" s="1"/>
  <c r="S3098" i="3"/>
  <c r="S3097" i="3"/>
  <c r="S3096" i="3"/>
  <c r="Q3096" i="3" s="1"/>
  <c r="R3096" i="3" s="1"/>
  <c r="P3096" i="3"/>
  <c r="S3095" i="3"/>
  <c r="S3094" i="3"/>
  <c r="P3094" i="3" s="1"/>
  <c r="S3093" i="3"/>
  <c r="S3092" i="3"/>
  <c r="S3091" i="3"/>
  <c r="S3090" i="3"/>
  <c r="S3089" i="3"/>
  <c r="P3089" i="3" s="1"/>
  <c r="S3088" i="3"/>
  <c r="S3087" i="3"/>
  <c r="Q3087" i="3" s="1"/>
  <c r="R3087" i="3" s="1"/>
  <c r="S3086" i="3"/>
  <c r="S3085" i="3"/>
  <c r="S3084" i="3"/>
  <c r="S3083" i="3"/>
  <c r="S3082" i="3"/>
  <c r="Q3082" i="3" s="1"/>
  <c r="R3082" i="3" s="1"/>
  <c r="P3082" i="3"/>
  <c r="S3081" i="3"/>
  <c r="P3081" i="3" s="1"/>
  <c r="S3080" i="3"/>
  <c r="S3079" i="3"/>
  <c r="S3078" i="3"/>
  <c r="P3078" i="3" s="1"/>
  <c r="S3077" i="3"/>
  <c r="S3076" i="3"/>
  <c r="S3075" i="3"/>
  <c r="S3074" i="3"/>
  <c r="P3074" i="3" s="1"/>
  <c r="S3073" i="3"/>
  <c r="S3072" i="3"/>
  <c r="P3072" i="3" s="1"/>
  <c r="Q3072" i="3"/>
  <c r="R3072" i="3" s="1"/>
  <c r="S3071" i="3"/>
  <c r="P3071" i="3" s="1"/>
  <c r="S3070" i="3"/>
  <c r="S3069" i="3"/>
  <c r="S3068" i="3"/>
  <c r="S3067" i="3"/>
  <c r="S3066" i="3"/>
  <c r="Q3066" i="3" s="1"/>
  <c r="R3066" i="3" s="1"/>
  <c r="S3065" i="3"/>
  <c r="S3064" i="3"/>
  <c r="S3063" i="3"/>
  <c r="S3062" i="3"/>
  <c r="S3061" i="3"/>
  <c r="Q3061" i="3" s="1"/>
  <c r="R3061" i="3" s="1"/>
  <c r="P3061" i="3"/>
  <c r="S3060" i="3"/>
  <c r="S3059" i="3"/>
  <c r="S3058" i="3"/>
  <c r="S3057" i="3"/>
  <c r="Q3057" i="3" s="1"/>
  <c r="R3057" i="3" s="1"/>
  <c r="S3056" i="3"/>
  <c r="P3056" i="3" s="1"/>
  <c r="S3055" i="3"/>
  <c r="S3054" i="3"/>
  <c r="S3053" i="3"/>
  <c r="S3052" i="3"/>
  <c r="S3051" i="3"/>
  <c r="S3050" i="3"/>
  <c r="S3049" i="3"/>
  <c r="S3048" i="3"/>
  <c r="Q3048" i="3" s="1"/>
  <c r="R3048" i="3" s="1"/>
  <c r="S3047" i="3"/>
  <c r="S3046" i="3"/>
  <c r="S3045" i="3"/>
  <c r="S3044" i="3"/>
  <c r="S3043" i="3"/>
  <c r="P3043" i="3" s="1"/>
  <c r="Q3043" i="3"/>
  <c r="R3043" i="3" s="1"/>
  <c r="S3042" i="3"/>
  <c r="P3042" i="3" s="1"/>
  <c r="S3041" i="3"/>
  <c r="S3040" i="3"/>
  <c r="S3039" i="3"/>
  <c r="S3038" i="3"/>
  <c r="S3037" i="3"/>
  <c r="S3036" i="3"/>
  <c r="P3036" i="3" s="1"/>
  <c r="Q3036" i="3"/>
  <c r="R3036" i="3" s="1"/>
  <c r="S3035" i="3"/>
  <c r="P3035" i="3" s="1"/>
  <c r="Q3035" i="3"/>
  <c r="R3035" i="3" s="1"/>
  <c r="S3034" i="3"/>
  <c r="S3033" i="3"/>
  <c r="S3032" i="3"/>
  <c r="S3031" i="3"/>
  <c r="P3031" i="3" s="1"/>
  <c r="S3030" i="3"/>
  <c r="Q3030" i="3" s="1"/>
  <c r="R3030" i="3" s="1"/>
  <c r="P3030" i="3"/>
  <c r="S3029" i="3"/>
  <c r="P3029" i="3" s="1"/>
  <c r="S3028" i="3"/>
  <c r="S3027" i="3"/>
  <c r="S3026" i="3"/>
  <c r="P3026" i="3" s="1"/>
  <c r="S3025" i="3"/>
  <c r="S3024" i="3"/>
  <c r="S3023" i="3"/>
  <c r="S3022" i="3"/>
  <c r="S3021" i="3"/>
  <c r="Q3021" i="3" s="1"/>
  <c r="R3021" i="3" s="1"/>
  <c r="S3020" i="3"/>
  <c r="S3019" i="3"/>
  <c r="Q3019" i="3" s="1"/>
  <c r="R3019" i="3" s="1"/>
  <c r="S3018" i="3"/>
  <c r="S3017" i="3"/>
  <c r="P3017" i="3" s="1"/>
  <c r="S3016" i="3"/>
  <c r="S3015" i="3"/>
  <c r="Q3015" i="3"/>
  <c r="R3015" i="3" s="1"/>
  <c r="P3015" i="3"/>
  <c r="S3014" i="3"/>
  <c r="P3014" i="3" s="1"/>
  <c r="Q3014" i="3"/>
  <c r="R3014" i="3" s="1"/>
  <c r="S3013" i="3"/>
  <c r="Q3013" i="3" s="1"/>
  <c r="R3013" i="3" s="1"/>
  <c r="S3012" i="3"/>
  <c r="Q3012" i="3" s="1"/>
  <c r="R3012" i="3" s="1"/>
  <c r="S3011" i="3"/>
  <c r="S3010" i="3"/>
  <c r="S3009" i="3"/>
  <c r="S3008" i="3"/>
  <c r="S3007" i="3"/>
  <c r="S3006" i="3"/>
  <c r="S3005" i="3"/>
  <c r="P3005" i="3" s="1"/>
  <c r="S3004" i="3"/>
  <c r="Q3004" i="3" s="1"/>
  <c r="R3004" i="3" s="1"/>
  <c r="S3003" i="3"/>
  <c r="S3002" i="3"/>
  <c r="S3001" i="3"/>
  <c r="Q3001" i="3" s="1"/>
  <c r="R3001" i="3" s="1"/>
  <c r="S3000" i="3"/>
  <c r="S2999" i="3"/>
  <c r="S2998" i="3"/>
  <c r="S2997" i="3"/>
  <c r="S2996" i="3"/>
  <c r="S2995" i="3"/>
  <c r="P2995" i="3" s="1"/>
  <c r="S2994" i="3"/>
  <c r="Q2994" i="3" s="1"/>
  <c r="R2994" i="3" s="1"/>
  <c r="P2994" i="3"/>
  <c r="S2993" i="3"/>
  <c r="S2992" i="3"/>
  <c r="Q2992" i="3" s="1"/>
  <c r="R2992" i="3" s="1"/>
  <c r="P2992" i="3"/>
  <c r="S2991" i="3"/>
  <c r="Q2991" i="3" s="1"/>
  <c r="R2991" i="3" s="1"/>
  <c r="S2990" i="3"/>
  <c r="S2989" i="3"/>
  <c r="S2988" i="3"/>
  <c r="S2987" i="3"/>
  <c r="S2986" i="3"/>
  <c r="S2985" i="3"/>
  <c r="Q2985" i="3" s="1"/>
  <c r="R2985" i="3" s="1"/>
  <c r="S2984" i="3"/>
  <c r="P2984" i="3" s="1"/>
  <c r="Q2984" i="3"/>
  <c r="R2984" i="3" s="1"/>
  <c r="S2983" i="3"/>
  <c r="S2982" i="3"/>
  <c r="S2981" i="3"/>
  <c r="S2980" i="3"/>
  <c r="S2979" i="3"/>
  <c r="Q2979" i="3" s="1"/>
  <c r="R2979" i="3" s="1"/>
  <c r="S2978" i="3"/>
  <c r="P2978" i="3" s="1"/>
  <c r="S2977" i="3"/>
  <c r="S2976" i="3"/>
  <c r="S2975" i="3"/>
  <c r="S2974" i="3"/>
  <c r="Q2974" i="3" s="1"/>
  <c r="R2974" i="3" s="1"/>
  <c r="S2973" i="3"/>
  <c r="P2973" i="3" s="1"/>
  <c r="S2972" i="3"/>
  <c r="S2971" i="3"/>
  <c r="Q2971" i="3" s="1"/>
  <c r="R2971" i="3" s="1"/>
  <c r="S2970" i="3"/>
  <c r="S2969" i="3"/>
  <c r="S2968" i="3"/>
  <c r="S2967" i="3"/>
  <c r="S2966" i="3"/>
  <c r="S2965" i="3"/>
  <c r="S2964" i="3"/>
  <c r="Q2964" i="3" s="1"/>
  <c r="R2964" i="3" s="1"/>
  <c r="S2963" i="3"/>
  <c r="S2962" i="3"/>
  <c r="S2961" i="3"/>
  <c r="S2960" i="3"/>
  <c r="S2959" i="3"/>
  <c r="S2958" i="3"/>
  <c r="S2957" i="3"/>
  <c r="S2956" i="3"/>
  <c r="S2955" i="3"/>
  <c r="S2954" i="3"/>
  <c r="S2953" i="3"/>
  <c r="S2952" i="3"/>
  <c r="S2951" i="3"/>
  <c r="S2950" i="3"/>
  <c r="S2949" i="3"/>
  <c r="S2948" i="3"/>
  <c r="Q2948" i="3"/>
  <c r="R2948" i="3" s="1"/>
  <c r="P2948" i="3"/>
  <c r="S2947" i="3"/>
  <c r="S2946" i="3"/>
  <c r="S2945" i="3"/>
  <c r="S2944" i="3"/>
  <c r="Q2944" i="3"/>
  <c r="R2944" i="3" s="1"/>
  <c r="P2944" i="3"/>
  <c r="S2943" i="3"/>
  <c r="Q2943" i="3" s="1"/>
  <c r="R2943" i="3" s="1"/>
  <c r="S2942" i="3"/>
  <c r="S2941" i="3"/>
  <c r="Q2941" i="3"/>
  <c r="R2941" i="3" s="1"/>
  <c r="P2941" i="3"/>
  <c r="S2940" i="3"/>
  <c r="S2939" i="3"/>
  <c r="S2938" i="3"/>
  <c r="P2938" i="3" s="1"/>
  <c r="S2937" i="3"/>
  <c r="S2936" i="3"/>
  <c r="S2935" i="3"/>
  <c r="S2934" i="3"/>
  <c r="S2933" i="3"/>
  <c r="S2932" i="3"/>
  <c r="S2931" i="3"/>
  <c r="Q2931" i="3" s="1"/>
  <c r="R2931" i="3" s="1"/>
  <c r="S2930" i="3"/>
  <c r="Q2930" i="3" s="1"/>
  <c r="R2930" i="3" s="1"/>
  <c r="P2930" i="3"/>
  <c r="S2929" i="3"/>
  <c r="S2928" i="3"/>
  <c r="Q2928" i="3" s="1"/>
  <c r="R2928" i="3" s="1"/>
  <c r="S2927" i="3"/>
  <c r="S2926" i="3"/>
  <c r="S2925" i="3"/>
  <c r="Q2925" i="3" s="1"/>
  <c r="R2925" i="3" s="1"/>
  <c r="S2924" i="3"/>
  <c r="S2923" i="3"/>
  <c r="S2922" i="3"/>
  <c r="S2921" i="3"/>
  <c r="S2920" i="3"/>
  <c r="S2919" i="3"/>
  <c r="S2918" i="3"/>
  <c r="S2917" i="3"/>
  <c r="P2917" i="3" s="1"/>
  <c r="S2916" i="3"/>
  <c r="S2915" i="3"/>
  <c r="S2914" i="3"/>
  <c r="S2913" i="3"/>
  <c r="S2912" i="3"/>
  <c r="S2911" i="3"/>
  <c r="P2911" i="3" s="1"/>
  <c r="S2910" i="3"/>
  <c r="Q2910" i="3" s="1"/>
  <c r="R2910" i="3" s="1"/>
  <c r="S2909" i="3"/>
  <c r="S2908" i="3"/>
  <c r="P2908" i="3" s="1"/>
  <c r="Q2908" i="3"/>
  <c r="R2908" i="3" s="1"/>
  <c r="S2907" i="3"/>
  <c r="Q2907" i="3" s="1"/>
  <c r="R2907" i="3" s="1"/>
  <c r="S2906" i="3"/>
  <c r="S2905" i="3"/>
  <c r="S2904" i="3"/>
  <c r="S2903" i="3"/>
  <c r="S2902" i="3"/>
  <c r="S2901" i="3"/>
  <c r="S2900" i="3"/>
  <c r="S2899" i="3"/>
  <c r="P2899" i="3" s="1"/>
  <c r="S2898" i="3"/>
  <c r="S2897" i="3"/>
  <c r="S2896" i="3"/>
  <c r="P2896" i="3" s="1"/>
  <c r="S2895" i="3"/>
  <c r="S2894" i="3"/>
  <c r="S2893" i="3"/>
  <c r="S2892" i="3"/>
  <c r="Q2892" i="3" s="1"/>
  <c r="R2892" i="3" s="1"/>
  <c r="S2891" i="3"/>
  <c r="P2891" i="3" s="1"/>
  <c r="S2890" i="3"/>
  <c r="S2889" i="3"/>
  <c r="S2888" i="3"/>
  <c r="Q2888" i="3" s="1"/>
  <c r="R2888" i="3" s="1"/>
  <c r="P2888" i="3"/>
  <c r="S2887" i="3"/>
  <c r="P2887" i="3" s="1"/>
  <c r="S2886" i="3"/>
  <c r="S2885" i="3"/>
  <c r="P2885" i="3" s="1"/>
  <c r="S2884" i="3"/>
  <c r="S2883" i="3"/>
  <c r="S2882" i="3"/>
  <c r="S2881" i="3"/>
  <c r="P2881" i="3" s="1"/>
  <c r="S2880" i="3"/>
  <c r="S2879" i="3"/>
  <c r="S2878" i="3"/>
  <c r="Q2878" i="3" s="1"/>
  <c r="R2878" i="3" s="1"/>
  <c r="P2878" i="3"/>
  <c r="S2877" i="3"/>
  <c r="S2876" i="3"/>
  <c r="P2876" i="3" s="1"/>
  <c r="S2875" i="3"/>
  <c r="S2874" i="3"/>
  <c r="Q2874" i="3" s="1"/>
  <c r="R2874" i="3" s="1"/>
  <c r="S2873" i="3"/>
  <c r="Q2873" i="3" s="1"/>
  <c r="R2873" i="3" s="1"/>
  <c r="S2872" i="3"/>
  <c r="Q2872" i="3" s="1"/>
  <c r="R2872" i="3" s="1"/>
  <c r="P2872" i="3"/>
  <c r="S2871" i="3"/>
  <c r="Q2871" i="3" s="1"/>
  <c r="R2871" i="3" s="1"/>
  <c r="S2870" i="3"/>
  <c r="S2869" i="3"/>
  <c r="Q2869" i="3" s="1"/>
  <c r="R2869" i="3" s="1"/>
  <c r="S2868" i="3"/>
  <c r="S2867" i="3"/>
  <c r="S2866" i="3"/>
  <c r="P2866" i="3" s="1"/>
  <c r="Q2866" i="3"/>
  <c r="R2866" i="3" s="1"/>
  <c r="S2865" i="3"/>
  <c r="S2864" i="3"/>
  <c r="P2864" i="3" s="1"/>
  <c r="S2863" i="3"/>
  <c r="S2862" i="3"/>
  <c r="S2861" i="3"/>
  <c r="S2860" i="3"/>
  <c r="Q2860" i="3" s="1"/>
  <c r="R2860" i="3" s="1"/>
  <c r="S2859" i="3"/>
  <c r="Q2859" i="3" s="1"/>
  <c r="R2859" i="3" s="1"/>
  <c r="S2858" i="3"/>
  <c r="S2857" i="3"/>
  <c r="P2857" i="3" s="1"/>
  <c r="S2856" i="3"/>
  <c r="Q2856" i="3" s="1"/>
  <c r="R2856" i="3" s="1"/>
  <c r="S2855" i="3"/>
  <c r="S2854" i="3"/>
  <c r="P2854" i="3" s="1"/>
  <c r="S2853" i="3"/>
  <c r="Q2853" i="3" s="1"/>
  <c r="R2853" i="3" s="1"/>
  <c r="S2852" i="3"/>
  <c r="Q2852" i="3" s="1"/>
  <c r="R2852" i="3" s="1"/>
  <c r="S2851" i="3"/>
  <c r="S2850" i="3"/>
  <c r="S2849" i="3"/>
  <c r="P2849" i="3" s="1"/>
  <c r="S2848" i="3"/>
  <c r="S2847" i="3"/>
  <c r="Q2847" i="3" s="1"/>
  <c r="R2847" i="3" s="1"/>
  <c r="S2846" i="3"/>
  <c r="Q2846" i="3" s="1"/>
  <c r="R2846" i="3" s="1"/>
  <c r="S2845" i="3"/>
  <c r="S2844" i="3"/>
  <c r="S2843" i="3"/>
  <c r="S2842" i="3"/>
  <c r="S2841" i="3"/>
  <c r="S2840" i="3"/>
  <c r="S2839" i="3"/>
  <c r="P2839" i="3" s="1"/>
  <c r="S2838" i="3"/>
  <c r="S2837" i="3"/>
  <c r="S2836" i="3"/>
  <c r="S2835" i="3"/>
  <c r="Q2835" i="3" s="1"/>
  <c r="R2835" i="3" s="1"/>
  <c r="S2834" i="3"/>
  <c r="S2833" i="3"/>
  <c r="S2832" i="3"/>
  <c r="S2831" i="3"/>
  <c r="S2830" i="3"/>
  <c r="P2830" i="3" s="1"/>
  <c r="Q2830" i="3"/>
  <c r="R2830" i="3" s="1"/>
  <c r="S2829" i="3"/>
  <c r="Q2829" i="3" s="1"/>
  <c r="R2829" i="3" s="1"/>
  <c r="S2828" i="3"/>
  <c r="S2827" i="3"/>
  <c r="S2826" i="3"/>
  <c r="Q2826" i="3" s="1"/>
  <c r="R2826" i="3" s="1"/>
  <c r="S2825" i="3"/>
  <c r="S2824" i="3"/>
  <c r="S2823" i="3"/>
  <c r="S2822" i="3"/>
  <c r="S2821" i="3"/>
  <c r="P2821" i="3" s="1"/>
  <c r="S2820" i="3"/>
  <c r="Q2820" i="3" s="1"/>
  <c r="R2820" i="3" s="1"/>
  <c r="S2819" i="3"/>
  <c r="P2819" i="3" s="1"/>
  <c r="S2818" i="3"/>
  <c r="P2818" i="3" s="1"/>
  <c r="Q2818" i="3"/>
  <c r="R2818" i="3" s="1"/>
  <c r="S2817" i="3"/>
  <c r="Q2817" i="3" s="1"/>
  <c r="R2817" i="3" s="1"/>
  <c r="S2816" i="3"/>
  <c r="S2815" i="3"/>
  <c r="P2815" i="3" s="1"/>
  <c r="S2814" i="3"/>
  <c r="S2813" i="3"/>
  <c r="Q2813" i="3" s="1"/>
  <c r="R2813" i="3" s="1"/>
  <c r="S2812" i="3"/>
  <c r="S2811" i="3"/>
  <c r="S2810" i="3"/>
  <c r="Q2810" i="3" s="1"/>
  <c r="R2810" i="3" s="1"/>
  <c r="S2809" i="3"/>
  <c r="S2808" i="3"/>
  <c r="S2807" i="3"/>
  <c r="S2806" i="3"/>
  <c r="S2805" i="3"/>
  <c r="S2804" i="3"/>
  <c r="S2803" i="3"/>
  <c r="P2803" i="3" s="1"/>
  <c r="S2802" i="3"/>
  <c r="S2801" i="3"/>
  <c r="Q2801" i="3" s="1"/>
  <c r="R2801" i="3" s="1"/>
  <c r="S2800" i="3"/>
  <c r="S2799" i="3"/>
  <c r="Q2799" i="3" s="1"/>
  <c r="R2799" i="3" s="1"/>
  <c r="S2798" i="3"/>
  <c r="Q2798" i="3" s="1"/>
  <c r="R2798" i="3" s="1"/>
  <c r="P2798" i="3"/>
  <c r="S2797" i="3"/>
  <c r="S2796" i="3"/>
  <c r="S2795" i="3"/>
  <c r="S2794" i="3"/>
  <c r="S2793" i="3"/>
  <c r="Q2793" i="3" s="1"/>
  <c r="R2793" i="3" s="1"/>
  <c r="S2792" i="3"/>
  <c r="S2791" i="3"/>
  <c r="P2791" i="3" s="1"/>
  <c r="Q2791" i="3"/>
  <c r="R2791" i="3" s="1"/>
  <c r="S2790" i="3"/>
  <c r="S2789" i="3"/>
  <c r="P2789" i="3" s="1"/>
  <c r="S2788" i="3"/>
  <c r="P2788" i="3" s="1"/>
  <c r="S2787" i="3"/>
  <c r="Q2787" i="3" s="1"/>
  <c r="R2787" i="3" s="1"/>
  <c r="S2786" i="3"/>
  <c r="S2785" i="3"/>
  <c r="S2784" i="3"/>
  <c r="S2783" i="3"/>
  <c r="S2782" i="3"/>
  <c r="P2782" i="3" s="1"/>
  <c r="S2781" i="3"/>
  <c r="S2780" i="3"/>
  <c r="S2779" i="3"/>
  <c r="S2778" i="3"/>
  <c r="S2777" i="3"/>
  <c r="S2776" i="3"/>
  <c r="P2776" i="3" s="1"/>
  <c r="S2775" i="3"/>
  <c r="S2774" i="3"/>
  <c r="S2773" i="3"/>
  <c r="S2772" i="3"/>
  <c r="S2771" i="3"/>
  <c r="P2771" i="3" s="1"/>
  <c r="Q2771" i="3"/>
  <c r="R2771" i="3" s="1"/>
  <c r="S2770" i="3"/>
  <c r="Q2770" i="3" s="1"/>
  <c r="R2770" i="3" s="1"/>
  <c r="S2769" i="3"/>
  <c r="S2768" i="3"/>
  <c r="S2767" i="3"/>
  <c r="P2767" i="3" s="1"/>
  <c r="S2766" i="3"/>
  <c r="S2765" i="3"/>
  <c r="S2764" i="3"/>
  <c r="P2764" i="3" s="1"/>
  <c r="S2763" i="3"/>
  <c r="S2762" i="3"/>
  <c r="S2761" i="3"/>
  <c r="S2760" i="3"/>
  <c r="S2759" i="3"/>
  <c r="S2758" i="3"/>
  <c r="P2758" i="3" s="1"/>
  <c r="S2757" i="3"/>
  <c r="S2756" i="3"/>
  <c r="P2756" i="3" s="1"/>
  <c r="S2755" i="3"/>
  <c r="S2754" i="3"/>
  <c r="S2753" i="3"/>
  <c r="P2753" i="3" s="1"/>
  <c r="Q2753" i="3"/>
  <c r="R2753" i="3" s="1"/>
  <c r="S2752" i="3"/>
  <c r="S2751" i="3"/>
  <c r="Q2751" i="3" s="1"/>
  <c r="R2751" i="3" s="1"/>
  <c r="P2751" i="3"/>
  <c r="S2750" i="3"/>
  <c r="S2749" i="3"/>
  <c r="S2748" i="3"/>
  <c r="S2747" i="3"/>
  <c r="S2746" i="3"/>
  <c r="S2745" i="3"/>
  <c r="S2744" i="3"/>
  <c r="P2744" i="3" s="1"/>
  <c r="S2743" i="3"/>
  <c r="S2742" i="3"/>
  <c r="S2741" i="3"/>
  <c r="S2740" i="3"/>
  <c r="S2739" i="3"/>
  <c r="Q2739" i="3" s="1"/>
  <c r="R2739" i="3"/>
  <c r="P2739" i="3"/>
  <c r="S2738" i="3"/>
  <c r="S2737" i="3"/>
  <c r="P2737" i="3" s="1"/>
  <c r="S2736" i="3"/>
  <c r="S2735" i="3"/>
  <c r="S2734" i="3"/>
  <c r="P2734" i="3" s="1"/>
  <c r="Q2734" i="3"/>
  <c r="R2734" i="3" s="1"/>
  <c r="S2733" i="3"/>
  <c r="S2732" i="3"/>
  <c r="S2731" i="3"/>
  <c r="S2730" i="3"/>
  <c r="S2729" i="3"/>
  <c r="Q2729" i="3" s="1"/>
  <c r="R2729" i="3" s="1"/>
  <c r="S2728" i="3"/>
  <c r="S2727" i="3"/>
  <c r="Q2727" i="3" s="1"/>
  <c r="R2727" i="3" s="1"/>
  <c r="S2726" i="3"/>
  <c r="Q2726" i="3" s="1"/>
  <c r="R2726" i="3" s="1"/>
  <c r="S2725" i="3"/>
  <c r="S2724" i="3"/>
  <c r="S2723" i="3"/>
  <c r="S2722" i="3"/>
  <c r="P2722" i="3" s="1"/>
  <c r="S2721" i="3"/>
  <c r="S2720" i="3"/>
  <c r="P2720" i="3" s="1"/>
  <c r="S2719" i="3"/>
  <c r="S2718" i="3"/>
  <c r="S2717" i="3"/>
  <c r="P2717" i="3" s="1"/>
  <c r="S2716" i="3"/>
  <c r="S2715" i="3"/>
  <c r="Q2715" i="3" s="1"/>
  <c r="R2715" i="3" s="1"/>
  <c r="S2714" i="3"/>
  <c r="Q2714" i="3" s="1"/>
  <c r="R2714" i="3" s="1"/>
  <c r="S2713" i="3"/>
  <c r="S2712" i="3"/>
  <c r="S2711" i="3"/>
  <c r="P2711" i="3" s="1"/>
  <c r="S2710" i="3"/>
  <c r="Q2710" i="3" s="1"/>
  <c r="R2710" i="3" s="1"/>
  <c r="S2709" i="3"/>
  <c r="S2708" i="3"/>
  <c r="S2707" i="3"/>
  <c r="Q2707" i="3"/>
  <c r="R2707" i="3" s="1"/>
  <c r="P2707" i="3"/>
  <c r="S2706" i="3"/>
  <c r="Q2706" i="3" s="1"/>
  <c r="R2706" i="3" s="1"/>
  <c r="S2705" i="3"/>
  <c r="S2704" i="3"/>
  <c r="P2704" i="3" s="1"/>
  <c r="S2703" i="3"/>
  <c r="Q2703" i="3" s="1"/>
  <c r="R2703" i="3" s="1"/>
  <c r="P2703" i="3"/>
  <c r="S2702" i="3"/>
  <c r="S2701" i="3"/>
  <c r="P2701" i="3" s="1"/>
  <c r="S2700" i="3"/>
  <c r="S2699" i="3"/>
  <c r="S2698" i="3"/>
  <c r="Q2698" i="3" s="1"/>
  <c r="R2698" i="3" s="1"/>
  <c r="S2697" i="3"/>
  <c r="S2696" i="3"/>
  <c r="S2695" i="3"/>
  <c r="S2694" i="3"/>
  <c r="S2693" i="3"/>
  <c r="S2692" i="3"/>
  <c r="P2692" i="3" s="1"/>
  <c r="S2691" i="3"/>
  <c r="Q2691" i="3" s="1"/>
  <c r="R2691" i="3" s="1"/>
  <c r="S2690" i="3"/>
  <c r="Q2690" i="3" s="1"/>
  <c r="R2690" i="3" s="1"/>
  <c r="S2689" i="3"/>
  <c r="Q2689" i="3" s="1"/>
  <c r="R2689" i="3" s="1"/>
  <c r="P2689" i="3"/>
  <c r="S2688" i="3"/>
  <c r="S2687" i="3"/>
  <c r="S2686" i="3"/>
  <c r="S2685" i="3"/>
  <c r="S2684" i="3"/>
  <c r="S2683" i="3"/>
  <c r="S2682" i="3"/>
  <c r="S2681" i="3"/>
  <c r="S2680" i="3"/>
  <c r="S2679" i="3"/>
  <c r="S2678" i="3"/>
  <c r="S2677" i="3"/>
  <c r="S2676" i="3"/>
  <c r="S2675" i="3"/>
  <c r="P2675" i="3" s="1"/>
  <c r="S2674" i="3"/>
  <c r="P2674" i="3" s="1"/>
  <c r="S2673" i="3"/>
  <c r="Q2673" i="3" s="1"/>
  <c r="R2673" i="3" s="1"/>
  <c r="S2672" i="3"/>
  <c r="Q2672" i="3" s="1"/>
  <c r="R2672" i="3" s="1"/>
  <c r="S2671" i="3"/>
  <c r="S2670" i="3"/>
  <c r="S2669" i="3"/>
  <c r="S2668" i="3"/>
  <c r="Q2668" i="3" s="1"/>
  <c r="R2668" i="3" s="1"/>
  <c r="S2667" i="3"/>
  <c r="Q2667" i="3" s="1"/>
  <c r="R2667" i="3" s="1"/>
  <c r="S2666" i="3"/>
  <c r="S2665" i="3"/>
  <c r="P2665" i="3" s="1"/>
  <c r="Q2665" i="3"/>
  <c r="R2665" i="3" s="1"/>
  <c r="S2664" i="3"/>
  <c r="S2663" i="3"/>
  <c r="S2662" i="3"/>
  <c r="Q2662" i="3" s="1"/>
  <c r="R2662" i="3" s="1"/>
  <c r="S2661" i="3"/>
  <c r="S2660" i="3"/>
  <c r="S2659" i="3"/>
  <c r="P2659" i="3" s="1"/>
  <c r="Q2659" i="3"/>
  <c r="R2659" i="3" s="1"/>
  <c r="S2658" i="3"/>
  <c r="Q2658" i="3" s="1"/>
  <c r="R2658" i="3"/>
  <c r="P2658" i="3"/>
  <c r="S2657" i="3"/>
  <c r="Q2657" i="3" s="1"/>
  <c r="R2657" i="3" s="1"/>
  <c r="S2656" i="3"/>
  <c r="S2655" i="3"/>
  <c r="S2654" i="3"/>
  <c r="Q2654" i="3" s="1"/>
  <c r="R2654" i="3" s="1"/>
  <c r="S2653" i="3"/>
  <c r="Q2653" i="3" s="1"/>
  <c r="R2653" i="3" s="1"/>
  <c r="S2652" i="3"/>
  <c r="S2651" i="3"/>
  <c r="S2650" i="3"/>
  <c r="S2649" i="3"/>
  <c r="Q2649" i="3" s="1"/>
  <c r="R2649" i="3" s="1"/>
  <c r="S2648" i="3"/>
  <c r="S2647" i="3"/>
  <c r="P2647" i="3" s="1"/>
  <c r="S2646" i="3"/>
  <c r="S2645" i="3"/>
  <c r="S2644" i="3"/>
  <c r="S2643" i="3"/>
  <c r="S2642" i="3"/>
  <c r="S2641" i="3"/>
  <c r="Q2641" i="3" s="1"/>
  <c r="R2641" i="3" s="1"/>
  <c r="P2641" i="3"/>
  <c r="S2640" i="3"/>
  <c r="S2639" i="3"/>
  <c r="S2638" i="3"/>
  <c r="S2637" i="3"/>
  <c r="S2636" i="3"/>
  <c r="S2635" i="3"/>
  <c r="S2634" i="3"/>
  <c r="S2633" i="3"/>
  <c r="Q2633" i="3" s="1"/>
  <c r="R2633" i="3" s="1"/>
  <c r="S2632" i="3"/>
  <c r="P2632" i="3" s="1"/>
  <c r="S2631" i="3"/>
  <c r="S2630" i="3"/>
  <c r="Q2630" i="3" s="1"/>
  <c r="R2630" i="3" s="1"/>
  <c r="S2629" i="3"/>
  <c r="S2628" i="3"/>
  <c r="S2627" i="3"/>
  <c r="S2626" i="3"/>
  <c r="P2626" i="3" s="1"/>
  <c r="S2625" i="3"/>
  <c r="S2624" i="3"/>
  <c r="Q2624" i="3" s="1"/>
  <c r="R2624" i="3" s="1"/>
  <c r="S2623" i="3"/>
  <c r="S2622" i="3"/>
  <c r="Q2622" i="3" s="1"/>
  <c r="R2622" i="3" s="1"/>
  <c r="S2621" i="3"/>
  <c r="Q2621" i="3" s="1"/>
  <c r="R2621" i="3" s="1"/>
  <c r="P2621" i="3"/>
  <c r="S2620" i="3"/>
  <c r="P2620" i="3" s="1"/>
  <c r="Q2620" i="3"/>
  <c r="R2620" i="3" s="1"/>
  <c r="S2619" i="3"/>
  <c r="S2618" i="3"/>
  <c r="S2617" i="3"/>
  <c r="P2617" i="3" s="1"/>
  <c r="S2616" i="3"/>
  <c r="S2615" i="3"/>
  <c r="S2614" i="3"/>
  <c r="Q2614" i="3" s="1"/>
  <c r="R2614" i="3" s="1"/>
  <c r="S2613" i="3"/>
  <c r="Q2613" i="3" s="1"/>
  <c r="R2613" i="3" s="1"/>
  <c r="S2612" i="3"/>
  <c r="S2611" i="3"/>
  <c r="Q2611" i="3" s="1"/>
  <c r="R2611" i="3" s="1"/>
  <c r="S2610" i="3"/>
  <c r="S2609" i="3"/>
  <c r="S2608" i="3"/>
  <c r="Q2608" i="3" s="1"/>
  <c r="R2608" i="3" s="1"/>
  <c r="S2607" i="3"/>
  <c r="Q2607" i="3" s="1"/>
  <c r="R2607" i="3" s="1"/>
  <c r="S2606" i="3"/>
  <c r="Q2606" i="3" s="1"/>
  <c r="R2606" i="3" s="1"/>
  <c r="S2605" i="3"/>
  <c r="S2604" i="3"/>
  <c r="S2603" i="3"/>
  <c r="S2602" i="3"/>
  <c r="S2601" i="3"/>
  <c r="S2600" i="3"/>
  <c r="S2599" i="3"/>
  <c r="S2598" i="3"/>
  <c r="S2597" i="3"/>
  <c r="S2596" i="3"/>
  <c r="Q2596" i="3" s="1"/>
  <c r="R2596" i="3" s="1"/>
  <c r="S2595" i="3"/>
  <c r="S2594" i="3"/>
  <c r="Q2594" i="3" s="1"/>
  <c r="R2594" i="3" s="1"/>
  <c r="S2593" i="3"/>
  <c r="S2592" i="3"/>
  <c r="S2591" i="3"/>
  <c r="P2591" i="3" s="1"/>
  <c r="S2590" i="3"/>
  <c r="S2589" i="3"/>
  <c r="S2588" i="3"/>
  <c r="Q2588" i="3" s="1"/>
  <c r="R2588" i="3" s="1"/>
  <c r="S2587" i="3"/>
  <c r="S2586" i="3"/>
  <c r="S2585" i="3"/>
  <c r="Q2585" i="3" s="1"/>
  <c r="R2585" i="3" s="1"/>
  <c r="S2584" i="3"/>
  <c r="S2583" i="3"/>
  <c r="S2582" i="3"/>
  <c r="S2581" i="3"/>
  <c r="P2581" i="3" s="1"/>
  <c r="Q2581" i="3"/>
  <c r="R2581" i="3" s="1"/>
  <c r="S2580" i="3"/>
  <c r="S2579" i="3"/>
  <c r="S2578" i="3"/>
  <c r="S2577" i="3"/>
  <c r="S2576" i="3"/>
  <c r="S2575" i="3"/>
  <c r="P2575" i="3" s="1"/>
  <c r="S2574" i="3"/>
  <c r="Q2574" i="3" s="1"/>
  <c r="R2574" i="3" s="1"/>
  <c r="P2574" i="3"/>
  <c r="S2573" i="3"/>
  <c r="S2572" i="3"/>
  <c r="S2571" i="3"/>
  <c r="Q2571" i="3" s="1"/>
  <c r="R2571" i="3" s="1"/>
  <c r="S2570" i="3"/>
  <c r="S2569" i="3"/>
  <c r="S2568" i="3"/>
  <c r="S2567" i="3"/>
  <c r="S2566" i="3"/>
  <c r="Q2566" i="3" s="1"/>
  <c r="R2566" i="3" s="1"/>
  <c r="S2565" i="3"/>
  <c r="S2564" i="3"/>
  <c r="S2563" i="3"/>
  <c r="S2562" i="3"/>
  <c r="Q2562" i="3" s="1"/>
  <c r="R2562" i="3" s="1"/>
  <c r="P2562" i="3"/>
  <c r="S2561" i="3"/>
  <c r="Q2561" i="3" s="1"/>
  <c r="R2561" i="3" s="1"/>
  <c r="S2560" i="3"/>
  <c r="S2559" i="3"/>
  <c r="S2558" i="3"/>
  <c r="Q2558" i="3" s="1"/>
  <c r="R2558" i="3" s="1"/>
  <c r="S2557" i="3"/>
  <c r="Q2557" i="3" s="1"/>
  <c r="R2557" i="3" s="1"/>
  <c r="P2557" i="3"/>
  <c r="S2556" i="3"/>
  <c r="S2555" i="3"/>
  <c r="S2554" i="3"/>
  <c r="S2553" i="3"/>
  <c r="S2552" i="3"/>
  <c r="Q2552" i="3"/>
  <c r="R2552" i="3" s="1"/>
  <c r="P2552" i="3"/>
  <c r="S2551" i="3"/>
  <c r="S2550" i="3"/>
  <c r="S2549" i="3"/>
  <c r="Q2549" i="3" s="1"/>
  <c r="R2549" i="3" s="1"/>
  <c r="S2548" i="3"/>
  <c r="P2548" i="3" s="1"/>
  <c r="S2547" i="3"/>
  <c r="Q2547" i="3" s="1"/>
  <c r="R2547" i="3" s="1"/>
  <c r="S2546" i="3"/>
  <c r="S2545" i="3"/>
  <c r="S2544" i="3"/>
  <c r="S2543" i="3"/>
  <c r="S2542" i="3"/>
  <c r="S2541" i="3"/>
  <c r="S2540" i="3"/>
  <c r="S2539" i="3"/>
  <c r="P2539" i="3" s="1"/>
  <c r="Q2539" i="3"/>
  <c r="R2539" i="3" s="1"/>
  <c r="S2538" i="3"/>
  <c r="S2537" i="3"/>
  <c r="S2536" i="3"/>
  <c r="Q2536" i="3" s="1"/>
  <c r="R2536" i="3" s="1"/>
  <c r="P2536" i="3"/>
  <c r="S2535" i="3"/>
  <c r="S2534" i="3"/>
  <c r="S2533" i="3"/>
  <c r="Q2533" i="3" s="1"/>
  <c r="R2533" i="3" s="1"/>
  <c r="S2532" i="3"/>
  <c r="S2531" i="3"/>
  <c r="S2530" i="3"/>
  <c r="S2529" i="3"/>
  <c r="S2528" i="3"/>
  <c r="S2527" i="3"/>
  <c r="S2526" i="3"/>
  <c r="S2525" i="3"/>
  <c r="S2524" i="3"/>
  <c r="Q2524" i="3" s="1"/>
  <c r="R2524" i="3" s="1"/>
  <c r="S2523" i="3"/>
  <c r="Q2523" i="3" s="1"/>
  <c r="R2523" i="3" s="1"/>
  <c r="S2522" i="3"/>
  <c r="S2521" i="3"/>
  <c r="S2520" i="3"/>
  <c r="S2519" i="3"/>
  <c r="P2519" i="3" s="1"/>
  <c r="S2518" i="3"/>
  <c r="S2517" i="3"/>
  <c r="S2516" i="3"/>
  <c r="Q2516" i="3" s="1"/>
  <c r="R2516" i="3" s="1"/>
  <c r="S2515" i="3"/>
  <c r="Q2515" i="3" s="1"/>
  <c r="R2515" i="3" s="1"/>
  <c r="S2514" i="3"/>
  <c r="S2513" i="3"/>
  <c r="S2512" i="3"/>
  <c r="S2511" i="3"/>
  <c r="Q2511" i="3" s="1"/>
  <c r="R2511" i="3" s="1"/>
  <c r="S2510" i="3"/>
  <c r="S2509" i="3"/>
  <c r="Q2509" i="3" s="1"/>
  <c r="R2509" i="3" s="1"/>
  <c r="S2508" i="3"/>
  <c r="S2507" i="3"/>
  <c r="S2506" i="3"/>
  <c r="P2506" i="3" s="1"/>
  <c r="S2505" i="3"/>
  <c r="S2504" i="3"/>
  <c r="S2503" i="3"/>
  <c r="P2503" i="3" s="1"/>
  <c r="S2502" i="3"/>
  <c r="S2501" i="3"/>
  <c r="S2500" i="3"/>
  <c r="P2500" i="3" s="1"/>
  <c r="Q2500" i="3"/>
  <c r="R2500" i="3" s="1"/>
  <c r="S2499" i="3"/>
  <c r="S2498" i="3"/>
  <c r="S2497" i="3"/>
  <c r="S2496" i="3"/>
  <c r="S2495" i="3"/>
  <c r="P2495" i="3" s="1"/>
  <c r="S2494" i="3"/>
  <c r="S2493" i="3"/>
  <c r="Q2493" i="3" s="1"/>
  <c r="R2493" i="3" s="1"/>
  <c r="S2492" i="3"/>
  <c r="Q2492" i="3" s="1"/>
  <c r="R2492" i="3" s="1"/>
  <c r="P2492" i="3"/>
  <c r="S2491" i="3"/>
  <c r="P2491" i="3" s="1"/>
  <c r="S2490" i="3"/>
  <c r="S2489" i="3"/>
  <c r="Q2489" i="3" s="1"/>
  <c r="R2489" i="3" s="1"/>
  <c r="S2488" i="3"/>
  <c r="S2487" i="3"/>
  <c r="Q2487" i="3" s="1"/>
  <c r="R2487" i="3" s="1"/>
  <c r="S2486" i="3"/>
  <c r="S2485" i="3"/>
  <c r="Q2485" i="3" s="1"/>
  <c r="R2485" i="3" s="1"/>
  <c r="S2484" i="3"/>
  <c r="S2483" i="3"/>
  <c r="S2482" i="3"/>
  <c r="P2482" i="3" s="1"/>
  <c r="S2481" i="3"/>
  <c r="S2480" i="3"/>
  <c r="Q2480" i="3" s="1"/>
  <c r="R2480" i="3" s="1"/>
  <c r="S2479" i="3"/>
  <c r="S2478" i="3"/>
  <c r="S2477" i="3"/>
  <c r="Q2477" i="3" s="1"/>
  <c r="R2477" i="3" s="1"/>
  <c r="S2476" i="3"/>
  <c r="P2476" i="3" s="1"/>
  <c r="S2475" i="3"/>
  <c r="S2474" i="3"/>
  <c r="S2473" i="3"/>
  <c r="S2472" i="3"/>
  <c r="Q2472" i="3" s="1"/>
  <c r="R2472" i="3" s="1"/>
  <c r="S2471" i="3"/>
  <c r="S2470" i="3"/>
  <c r="S2469" i="3"/>
  <c r="S2468" i="3"/>
  <c r="S2467" i="3"/>
  <c r="S2466" i="3"/>
  <c r="S2465" i="3"/>
  <c r="Q2465" i="3" s="1"/>
  <c r="R2465" i="3" s="1"/>
  <c r="S2464" i="3"/>
  <c r="Q2464" i="3" s="1"/>
  <c r="R2464" i="3" s="1"/>
  <c r="S2463" i="3"/>
  <c r="S2462" i="3"/>
  <c r="Q2462" i="3"/>
  <c r="R2462" i="3" s="1"/>
  <c r="P2462" i="3"/>
  <c r="S2461" i="3"/>
  <c r="S2460" i="3"/>
  <c r="Q2460" i="3" s="1"/>
  <c r="R2460" i="3" s="1"/>
  <c r="S2459" i="3"/>
  <c r="P2459" i="3" s="1"/>
  <c r="S2458" i="3"/>
  <c r="S2457" i="3"/>
  <c r="S2456" i="3"/>
  <c r="S2455" i="3"/>
  <c r="P2455" i="3" s="1"/>
  <c r="S2454" i="3"/>
  <c r="S2453" i="3"/>
  <c r="S2452" i="3"/>
  <c r="Q2452" i="3"/>
  <c r="R2452" i="3" s="1"/>
  <c r="P2452" i="3"/>
  <c r="S2451" i="3"/>
  <c r="S2450" i="3"/>
  <c r="S2449" i="3"/>
  <c r="S2448" i="3"/>
  <c r="Q2448" i="3" s="1"/>
  <c r="R2448" i="3" s="1"/>
  <c r="P2448" i="3"/>
  <c r="S2447" i="3"/>
  <c r="S2446" i="3"/>
  <c r="P2446" i="3" s="1"/>
  <c r="S2445" i="3"/>
  <c r="S2444" i="3"/>
  <c r="S2443" i="3"/>
  <c r="S2442" i="3"/>
  <c r="S2441" i="3"/>
  <c r="S2440" i="3"/>
  <c r="Q2440" i="3" s="1"/>
  <c r="R2440" i="3" s="1"/>
  <c r="P2440" i="3"/>
  <c r="S2439" i="3"/>
  <c r="S2438" i="3"/>
  <c r="S2437" i="3"/>
  <c r="Q2437" i="3" s="1"/>
  <c r="R2437" i="3" s="1"/>
  <c r="P2437" i="3"/>
  <c r="S2436" i="3"/>
  <c r="Q2436" i="3" s="1"/>
  <c r="R2436" i="3" s="1"/>
  <c r="S2435" i="3"/>
  <c r="S2434" i="3"/>
  <c r="Q2434" i="3"/>
  <c r="R2434" i="3" s="1"/>
  <c r="P2434" i="3"/>
  <c r="S2433" i="3"/>
  <c r="S2432" i="3"/>
  <c r="Q2432" i="3" s="1"/>
  <c r="R2432" i="3" s="1"/>
  <c r="S2431" i="3"/>
  <c r="P2431" i="3" s="1"/>
  <c r="S2430" i="3"/>
  <c r="S2429" i="3"/>
  <c r="S2428" i="3"/>
  <c r="S2427" i="3"/>
  <c r="S2426" i="3"/>
  <c r="Q2426" i="3" s="1"/>
  <c r="R2426" i="3" s="1"/>
  <c r="S2425" i="3"/>
  <c r="Q2425" i="3" s="1"/>
  <c r="R2425" i="3" s="1"/>
  <c r="S2424" i="3"/>
  <c r="S2423" i="3"/>
  <c r="S2422" i="3"/>
  <c r="Q2422" i="3" s="1"/>
  <c r="R2422" i="3" s="1"/>
  <c r="S2421" i="3"/>
  <c r="S2420" i="3"/>
  <c r="Q2420" i="3" s="1"/>
  <c r="R2420" i="3" s="1"/>
  <c r="S2419" i="3"/>
  <c r="Q2419" i="3" s="1"/>
  <c r="R2419" i="3" s="1"/>
  <c r="S2418" i="3"/>
  <c r="Q2418" i="3" s="1"/>
  <c r="R2418" i="3" s="1"/>
  <c r="S2417" i="3"/>
  <c r="S2416" i="3"/>
  <c r="S2415" i="3"/>
  <c r="S2414" i="3"/>
  <c r="P2414" i="3" s="1"/>
  <c r="S2413" i="3"/>
  <c r="S2412" i="3"/>
  <c r="Q2412" i="3" s="1"/>
  <c r="R2412" i="3" s="1"/>
  <c r="S2411" i="3"/>
  <c r="Q2411" i="3"/>
  <c r="R2411" i="3" s="1"/>
  <c r="P2411" i="3"/>
  <c r="S2410" i="3"/>
  <c r="Q2410" i="3" s="1"/>
  <c r="R2410" i="3" s="1"/>
  <c r="S2409" i="3"/>
  <c r="Q2409" i="3" s="1"/>
  <c r="R2409" i="3" s="1"/>
  <c r="S2408" i="3"/>
  <c r="P2408" i="3" s="1"/>
  <c r="Q2408" i="3"/>
  <c r="R2408" i="3" s="1"/>
  <c r="S2407" i="3"/>
  <c r="P2407" i="3" s="1"/>
  <c r="S2406" i="3"/>
  <c r="S2405" i="3"/>
  <c r="S2404" i="3"/>
  <c r="S2403" i="3"/>
  <c r="Q2403" i="3" s="1"/>
  <c r="R2403" i="3" s="1"/>
  <c r="S2402" i="3"/>
  <c r="S2401" i="3"/>
  <c r="S2400" i="3"/>
  <c r="S2399" i="3"/>
  <c r="Q2399" i="3" s="1"/>
  <c r="R2399" i="3" s="1"/>
  <c r="S2398" i="3"/>
  <c r="P2398" i="3" s="1"/>
  <c r="S2397" i="3"/>
  <c r="S2396" i="3"/>
  <c r="Q2396" i="3" s="1"/>
  <c r="R2396" i="3" s="1"/>
  <c r="S2395" i="3"/>
  <c r="S2394" i="3"/>
  <c r="S2393" i="3"/>
  <c r="P2393" i="3" s="1"/>
  <c r="S2392" i="3"/>
  <c r="P2392" i="3" s="1"/>
  <c r="S2391" i="3"/>
  <c r="S2390" i="3"/>
  <c r="S2389" i="3"/>
  <c r="Q2389" i="3" s="1"/>
  <c r="R2389" i="3" s="1"/>
  <c r="S2388" i="3"/>
  <c r="S2387" i="3"/>
  <c r="S2386" i="3"/>
  <c r="S2385" i="3"/>
  <c r="S2384" i="3"/>
  <c r="Q2384" i="3" s="1"/>
  <c r="R2384" i="3" s="1"/>
  <c r="S2383" i="3"/>
  <c r="S2382" i="3"/>
  <c r="Q2382" i="3" s="1"/>
  <c r="R2382" i="3" s="1"/>
  <c r="S2381" i="3"/>
  <c r="P2381" i="3" s="1"/>
  <c r="S2380" i="3"/>
  <c r="S2379" i="3"/>
  <c r="S2378" i="3"/>
  <c r="Q2378" i="3" s="1"/>
  <c r="R2378" i="3" s="1"/>
  <c r="P2378" i="3"/>
  <c r="S2377" i="3"/>
  <c r="S2376" i="3"/>
  <c r="Q2376" i="3" s="1"/>
  <c r="R2376" i="3" s="1"/>
  <c r="S2375" i="3"/>
  <c r="S2374" i="3"/>
  <c r="S2373" i="3"/>
  <c r="Q2373" i="3" s="1"/>
  <c r="R2373" i="3" s="1"/>
  <c r="S2372" i="3"/>
  <c r="P2372" i="3" s="1"/>
  <c r="Q2372" i="3"/>
  <c r="R2372" i="3" s="1"/>
  <c r="S2371" i="3"/>
  <c r="S2370" i="3"/>
  <c r="S2369" i="3"/>
  <c r="S2368" i="3"/>
  <c r="S2367" i="3"/>
  <c r="S2366" i="3"/>
  <c r="S2365" i="3"/>
  <c r="Q2365" i="3" s="1"/>
  <c r="R2365" i="3" s="1"/>
  <c r="P2365" i="3"/>
  <c r="S2364" i="3"/>
  <c r="Q2364" i="3" s="1"/>
  <c r="R2364" i="3"/>
  <c r="S2363" i="3"/>
  <c r="S2362" i="3"/>
  <c r="P2362" i="3" s="1"/>
  <c r="S2361" i="3"/>
  <c r="Q2361" i="3" s="1"/>
  <c r="R2361" i="3" s="1"/>
  <c r="S2360" i="3"/>
  <c r="S2359" i="3"/>
  <c r="S2358" i="3"/>
  <c r="S2357" i="3"/>
  <c r="P2357" i="3" s="1"/>
  <c r="S2356" i="3"/>
  <c r="S2355" i="3"/>
  <c r="Q2355" i="3" s="1"/>
  <c r="R2355" i="3" s="1"/>
  <c r="S2354" i="3"/>
  <c r="S2353" i="3"/>
  <c r="S2352" i="3"/>
  <c r="S2351" i="3"/>
  <c r="S2350" i="3"/>
  <c r="P2350" i="3" s="1"/>
  <c r="Q2350" i="3"/>
  <c r="R2350" i="3" s="1"/>
  <c r="S2349" i="3"/>
  <c r="S2348" i="3"/>
  <c r="Q2348" i="3" s="1"/>
  <c r="R2348" i="3" s="1"/>
  <c r="S2347" i="3"/>
  <c r="P2347" i="3" s="1"/>
  <c r="S2346" i="3"/>
  <c r="Q2346" i="3" s="1"/>
  <c r="R2346" i="3" s="1"/>
  <c r="S2345" i="3"/>
  <c r="P2345" i="3" s="1"/>
  <c r="S2344" i="3"/>
  <c r="Q2344" i="3" s="1"/>
  <c r="R2344" i="3" s="1"/>
  <c r="P2344" i="3"/>
  <c r="S2343" i="3"/>
  <c r="S2342" i="3"/>
  <c r="S2341" i="3"/>
  <c r="S2340" i="3"/>
  <c r="S2339" i="3"/>
  <c r="P2339" i="3" s="1"/>
  <c r="S2338" i="3"/>
  <c r="P2338" i="3" s="1"/>
  <c r="S2337" i="3"/>
  <c r="Q2337" i="3" s="1"/>
  <c r="R2337" i="3" s="1"/>
  <c r="S2336" i="3"/>
  <c r="Q2336" i="3" s="1"/>
  <c r="R2336" i="3" s="1"/>
  <c r="P2336" i="3"/>
  <c r="S2335" i="3"/>
  <c r="S2334" i="3"/>
  <c r="S2333" i="3"/>
  <c r="Q2333" i="3" s="1"/>
  <c r="R2333" i="3" s="1"/>
  <c r="S2332" i="3"/>
  <c r="Q2332" i="3" s="1"/>
  <c r="R2332" i="3" s="1"/>
  <c r="S2331" i="3"/>
  <c r="Q2331" i="3" s="1"/>
  <c r="R2331" i="3" s="1"/>
  <c r="S2330" i="3"/>
  <c r="S2329" i="3"/>
  <c r="P2329" i="3" s="1"/>
  <c r="S2328" i="3"/>
  <c r="S2327" i="3"/>
  <c r="S2326" i="3"/>
  <c r="Q2326" i="3" s="1"/>
  <c r="R2326" i="3" s="1"/>
  <c r="P2326" i="3"/>
  <c r="S2325" i="3"/>
  <c r="Q2325" i="3" s="1"/>
  <c r="R2325" i="3" s="1"/>
  <c r="P2325" i="3"/>
  <c r="S2324" i="3"/>
  <c r="Q2324" i="3" s="1"/>
  <c r="R2324" i="3" s="1"/>
  <c r="S2323" i="3"/>
  <c r="P2323" i="3" s="1"/>
  <c r="Q2323" i="3"/>
  <c r="R2323" i="3" s="1"/>
  <c r="S2322" i="3"/>
  <c r="S2321" i="3"/>
  <c r="S2320" i="3"/>
  <c r="Q2320" i="3" s="1"/>
  <c r="R2320" i="3" s="1"/>
  <c r="S2319" i="3"/>
  <c r="Q2319" i="3" s="1"/>
  <c r="R2319" i="3" s="1"/>
  <c r="S2318" i="3"/>
  <c r="S2317" i="3"/>
  <c r="P2317" i="3" s="1"/>
  <c r="S2316" i="3"/>
  <c r="S2315" i="3"/>
  <c r="S2314" i="3"/>
  <c r="S2313" i="3"/>
  <c r="S2312" i="3"/>
  <c r="Q2312" i="3" s="1"/>
  <c r="R2312" i="3" s="1"/>
  <c r="S2311" i="3"/>
  <c r="P2311" i="3" s="1"/>
  <c r="Q2311" i="3"/>
  <c r="R2311" i="3" s="1"/>
  <c r="S2310" i="3"/>
  <c r="Q2310" i="3" s="1"/>
  <c r="R2310" i="3" s="1"/>
  <c r="S2309" i="3"/>
  <c r="S2308" i="3"/>
  <c r="P2308" i="3" s="1"/>
  <c r="S2307" i="3"/>
  <c r="S2306" i="3"/>
  <c r="P2306" i="3" s="1"/>
  <c r="Q2306" i="3"/>
  <c r="R2306" i="3" s="1"/>
  <c r="S2305" i="3"/>
  <c r="S2304" i="3"/>
  <c r="Q2304" i="3" s="1"/>
  <c r="R2304" i="3" s="1"/>
  <c r="S2303" i="3"/>
  <c r="P2303" i="3" s="1"/>
  <c r="S2302" i="3"/>
  <c r="Q2302" i="3" s="1"/>
  <c r="R2302" i="3" s="1"/>
  <c r="P2302" i="3"/>
  <c r="S2301" i="3"/>
  <c r="Q2301" i="3" s="1"/>
  <c r="R2301" i="3" s="1"/>
  <c r="S2300" i="3"/>
  <c r="S2299" i="3"/>
  <c r="Q2299" i="3" s="1"/>
  <c r="R2299" i="3" s="1"/>
  <c r="S2298" i="3"/>
  <c r="S2297" i="3"/>
  <c r="Q2297" i="3" s="1"/>
  <c r="R2297" i="3" s="1"/>
  <c r="S2296" i="3"/>
  <c r="S2295" i="3"/>
  <c r="Q2295" i="3" s="1"/>
  <c r="R2295" i="3" s="1"/>
  <c r="S2294" i="3"/>
  <c r="S2293" i="3"/>
  <c r="Q2293" i="3" s="1"/>
  <c r="R2293" i="3" s="1"/>
  <c r="P2293" i="3"/>
  <c r="S2292" i="3"/>
  <c r="S2291" i="3"/>
  <c r="Q2291" i="3" s="1"/>
  <c r="R2291" i="3" s="1"/>
  <c r="S2290" i="3"/>
  <c r="Q2290" i="3" s="1"/>
  <c r="R2290" i="3" s="1"/>
  <c r="S2289" i="3"/>
  <c r="S2288" i="3"/>
  <c r="Q2288" i="3" s="1"/>
  <c r="R2288" i="3" s="1"/>
  <c r="S2287" i="3"/>
  <c r="P2287" i="3" s="1"/>
  <c r="S2286" i="3"/>
  <c r="S2285" i="3"/>
  <c r="S2284" i="3"/>
  <c r="S2283" i="3"/>
  <c r="S2282" i="3"/>
  <c r="S2281" i="3"/>
  <c r="Q2281" i="3"/>
  <c r="R2281" i="3" s="1"/>
  <c r="P2281" i="3"/>
  <c r="S2280" i="3"/>
  <c r="S2279" i="3"/>
  <c r="S2278" i="3"/>
  <c r="Q2278" i="3" s="1"/>
  <c r="R2278" i="3" s="1"/>
  <c r="S2277" i="3"/>
  <c r="Q2277" i="3" s="1"/>
  <c r="R2277" i="3" s="1"/>
  <c r="P2277" i="3"/>
  <c r="S2276" i="3"/>
  <c r="S2275" i="3"/>
  <c r="S2274" i="3"/>
  <c r="S2273" i="3"/>
  <c r="S2272" i="3"/>
  <c r="Q2272" i="3" s="1"/>
  <c r="R2272" i="3"/>
  <c r="P2272" i="3"/>
  <c r="S2271" i="3"/>
  <c r="S2270" i="3"/>
  <c r="S2269" i="3"/>
  <c r="S2268" i="3"/>
  <c r="Q2268" i="3" s="1"/>
  <c r="R2268" i="3" s="1"/>
  <c r="P2268" i="3"/>
  <c r="S2267" i="3"/>
  <c r="S2266" i="3"/>
  <c r="S2265" i="3"/>
  <c r="Q2265" i="3" s="1"/>
  <c r="R2265" i="3" s="1"/>
  <c r="S2264" i="3"/>
  <c r="S2263" i="3"/>
  <c r="S2262" i="3"/>
  <c r="S2261" i="3"/>
  <c r="S2260" i="3"/>
  <c r="S2259" i="3"/>
  <c r="S2258" i="3"/>
  <c r="S2257" i="3"/>
  <c r="S2256" i="3"/>
  <c r="S2255" i="3"/>
  <c r="Q2255" i="3" s="1"/>
  <c r="R2255" i="3" s="1"/>
  <c r="S2254" i="3"/>
  <c r="S2253" i="3"/>
  <c r="S2252" i="3"/>
  <c r="S2251" i="3"/>
  <c r="S2250" i="3"/>
  <c r="S2249" i="3"/>
  <c r="S2248" i="3"/>
  <c r="S2247" i="3"/>
  <c r="S2246" i="3"/>
  <c r="P2246" i="3" s="1"/>
  <c r="Q2246" i="3"/>
  <c r="R2246" i="3" s="1"/>
  <c r="S2245" i="3"/>
  <c r="P2245" i="3" s="1"/>
  <c r="S2244" i="3"/>
  <c r="S2243" i="3"/>
  <c r="S2242" i="3"/>
  <c r="S2241" i="3"/>
  <c r="S2240" i="3"/>
  <c r="S2239" i="3"/>
  <c r="P2239" i="3" s="1"/>
  <c r="S2238" i="3"/>
  <c r="S2237" i="3"/>
  <c r="S2236" i="3"/>
  <c r="Q2236" i="3" s="1"/>
  <c r="R2236" i="3" s="1"/>
  <c r="S2235" i="3"/>
  <c r="S2234" i="3"/>
  <c r="S2233" i="3"/>
  <c r="P2233" i="3" s="1"/>
  <c r="S2232" i="3"/>
  <c r="Q2232" i="3" s="1"/>
  <c r="R2232" i="3" s="1"/>
  <c r="S2231" i="3"/>
  <c r="Q2231" i="3"/>
  <c r="R2231" i="3" s="1"/>
  <c r="P2231" i="3"/>
  <c r="S2230" i="3"/>
  <c r="P2230" i="3" s="1"/>
  <c r="S2229" i="3"/>
  <c r="S2228" i="3"/>
  <c r="S2227" i="3"/>
  <c r="P2227" i="3" s="1"/>
  <c r="S2226" i="3"/>
  <c r="S2225" i="3"/>
  <c r="S2224" i="3"/>
  <c r="P2224" i="3" s="1"/>
  <c r="Q2224" i="3"/>
  <c r="R2224" i="3" s="1"/>
  <c r="S2223" i="3"/>
  <c r="S2222" i="3"/>
  <c r="S2221" i="3"/>
  <c r="S2220" i="3"/>
  <c r="Q2220" i="3" s="1"/>
  <c r="R2220" i="3" s="1"/>
  <c r="S2219" i="3"/>
  <c r="S2218" i="3"/>
  <c r="S2217" i="3"/>
  <c r="Q2217" i="3" s="1"/>
  <c r="R2217" i="3" s="1"/>
  <c r="S2216" i="3"/>
  <c r="S2215" i="3"/>
  <c r="P2215" i="3" s="1"/>
  <c r="Q2215" i="3"/>
  <c r="R2215" i="3" s="1"/>
  <c r="S2214" i="3"/>
  <c r="S2213" i="3"/>
  <c r="S2212" i="3"/>
  <c r="Q2212" i="3" s="1"/>
  <c r="R2212" i="3" s="1"/>
  <c r="P2212" i="3"/>
  <c r="S2211" i="3"/>
  <c r="S2210" i="3"/>
  <c r="P2210" i="3" s="1"/>
  <c r="S2209" i="3"/>
  <c r="S2208" i="3"/>
  <c r="S2207" i="3"/>
  <c r="Q2207" i="3" s="1"/>
  <c r="R2207" i="3" s="1"/>
  <c r="S2206" i="3"/>
  <c r="S2205" i="3"/>
  <c r="S2204" i="3"/>
  <c r="S2203" i="3"/>
  <c r="S2202" i="3"/>
  <c r="Q2202" i="3" s="1"/>
  <c r="R2202" i="3" s="1"/>
  <c r="S2201" i="3"/>
  <c r="S2200" i="3"/>
  <c r="S2199" i="3"/>
  <c r="S2198" i="3"/>
  <c r="S2197" i="3"/>
  <c r="Q2197" i="3"/>
  <c r="R2197" i="3" s="1"/>
  <c r="P2197" i="3"/>
  <c r="S2196" i="3"/>
  <c r="S2195" i="3"/>
  <c r="S2194" i="3"/>
  <c r="Q2194" i="3" s="1"/>
  <c r="R2194" i="3" s="1"/>
  <c r="S2193" i="3"/>
  <c r="S2192" i="3"/>
  <c r="S2191" i="3"/>
  <c r="S2190" i="3"/>
  <c r="S2189" i="3"/>
  <c r="Q2189" i="3" s="1"/>
  <c r="R2189" i="3" s="1"/>
  <c r="S2188" i="3"/>
  <c r="Q2188" i="3" s="1"/>
  <c r="R2188" i="3" s="1"/>
  <c r="S2187" i="3"/>
  <c r="S2186" i="3"/>
  <c r="S2185" i="3"/>
  <c r="P2185" i="3" s="1"/>
  <c r="S2184" i="3"/>
  <c r="S2183" i="3"/>
  <c r="S2182" i="3"/>
  <c r="S2181" i="3"/>
  <c r="S2180" i="3"/>
  <c r="Q2180" i="3" s="1"/>
  <c r="R2180" i="3" s="1"/>
  <c r="P2180" i="3"/>
  <c r="S2179" i="3"/>
  <c r="S2178" i="3"/>
  <c r="Q2178" i="3" s="1"/>
  <c r="R2178" i="3" s="1"/>
  <c r="S2177" i="3"/>
  <c r="P2177" i="3" s="1"/>
  <c r="S2176" i="3"/>
  <c r="S2175" i="3"/>
  <c r="S2174" i="3"/>
  <c r="P2174" i="3" s="1"/>
  <c r="S2173" i="3"/>
  <c r="S2172" i="3"/>
  <c r="Q2172" i="3" s="1"/>
  <c r="R2172" i="3" s="1"/>
  <c r="S2171" i="3"/>
  <c r="S2170" i="3"/>
  <c r="S2169" i="3"/>
  <c r="S2168" i="3"/>
  <c r="S2167" i="3"/>
  <c r="Q2167" i="3" s="1"/>
  <c r="R2167" i="3" s="1"/>
  <c r="S2166" i="3"/>
  <c r="S2165" i="3"/>
  <c r="P2165" i="3" s="1"/>
  <c r="S2164" i="3"/>
  <c r="S2163" i="3"/>
  <c r="S2162" i="3"/>
  <c r="Q2162" i="3" s="1"/>
  <c r="R2162" i="3" s="1"/>
  <c r="S2161" i="3"/>
  <c r="S2160" i="3"/>
  <c r="S2159" i="3"/>
  <c r="S2158" i="3"/>
  <c r="P2158" i="3" s="1"/>
  <c r="S2157" i="3"/>
  <c r="Q2157" i="3" s="1"/>
  <c r="R2157" i="3"/>
  <c r="S2156" i="3"/>
  <c r="S2155" i="3"/>
  <c r="S2154" i="3"/>
  <c r="Q2154" i="3" s="1"/>
  <c r="R2154" i="3" s="1"/>
  <c r="S2153" i="3"/>
  <c r="Q2153" i="3" s="1"/>
  <c r="R2153" i="3" s="1"/>
  <c r="S2152" i="3"/>
  <c r="S2151" i="3"/>
  <c r="Q2151" i="3" s="1"/>
  <c r="R2151" i="3" s="1"/>
  <c r="S2150" i="3"/>
  <c r="P2150" i="3" s="1"/>
  <c r="S2149" i="3"/>
  <c r="Q2149" i="3" s="1"/>
  <c r="R2149" i="3" s="1"/>
  <c r="S2148" i="3"/>
  <c r="S2147" i="3"/>
  <c r="P2147" i="3" s="1"/>
  <c r="Q2147" i="3"/>
  <c r="R2147" i="3" s="1"/>
  <c r="S2146" i="3"/>
  <c r="S2145" i="3"/>
  <c r="S2144" i="3"/>
  <c r="S2143" i="3"/>
  <c r="P2143" i="3" s="1"/>
  <c r="Q2143" i="3"/>
  <c r="R2143" i="3" s="1"/>
  <c r="S2142" i="3"/>
  <c r="Q2142" i="3" s="1"/>
  <c r="R2142" i="3" s="1"/>
  <c r="P2142" i="3"/>
  <c r="S2141" i="3"/>
  <c r="S2140" i="3"/>
  <c r="Q2140" i="3" s="1"/>
  <c r="R2140" i="3" s="1"/>
  <c r="S2139" i="3"/>
  <c r="S2138" i="3"/>
  <c r="P2138" i="3" s="1"/>
  <c r="S2137" i="3"/>
  <c r="P2137" i="3" s="1"/>
  <c r="Q2137" i="3"/>
  <c r="R2137" i="3" s="1"/>
  <c r="S2136" i="3"/>
  <c r="S2135" i="3"/>
  <c r="Q2135" i="3" s="1"/>
  <c r="R2135" i="3" s="1"/>
  <c r="S2134" i="3"/>
  <c r="S2133" i="3"/>
  <c r="S2132" i="3"/>
  <c r="Q2132" i="3" s="1"/>
  <c r="R2132" i="3" s="1"/>
  <c r="S2131" i="3"/>
  <c r="Q2131" i="3" s="1"/>
  <c r="R2131" i="3" s="1"/>
  <c r="S2130" i="3"/>
  <c r="Q2130" i="3" s="1"/>
  <c r="R2130" i="3" s="1"/>
  <c r="S2129" i="3"/>
  <c r="S2128" i="3"/>
  <c r="P2128" i="3" s="1"/>
  <c r="S2127" i="3"/>
  <c r="S2126" i="3"/>
  <c r="S2125" i="3"/>
  <c r="Q2125" i="3" s="1"/>
  <c r="R2125" i="3" s="1"/>
  <c r="P2125" i="3"/>
  <c r="S2124" i="3"/>
  <c r="S2123" i="3"/>
  <c r="S2122" i="3"/>
  <c r="P2122" i="3" s="1"/>
  <c r="Q2122" i="3"/>
  <c r="R2122" i="3" s="1"/>
  <c r="S2121" i="3"/>
  <c r="Q2121" i="3" s="1"/>
  <c r="R2121" i="3" s="1"/>
  <c r="S2120" i="3"/>
  <c r="P2120" i="3" s="1"/>
  <c r="S2119" i="3"/>
  <c r="P2119" i="3" s="1"/>
  <c r="S2118" i="3"/>
  <c r="Q2118" i="3" s="1"/>
  <c r="R2118" i="3" s="1"/>
  <c r="S2117" i="3"/>
  <c r="Q2117" i="3" s="1"/>
  <c r="R2117" i="3" s="1"/>
  <c r="P2117" i="3"/>
  <c r="S2116" i="3"/>
  <c r="S2115" i="3"/>
  <c r="Q2115" i="3" s="1"/>
  <c r="R2115" i="3" s="1"/>
  <c r="S2114" i="3"/>
  <c r="P2114" i="3" s="1"/>
  <c r="S2113" i="3"/>
  <c r="P2113" i="3" s="1"/>
  <c r="Q2113" i="3"/>
  <c r="R2113" i="3" s="1"/>
  <c r="S2112" i="3"/>
  <c r="Q2112" i="3" s="1"/>
  <c r="R2112" i="3" s="1"/>
  <c r="S2111" i="3"/>
  <c r="Q2111" i="3" s="1"/>
  <c r="R2111" i="3" s="1"/>
  <c r="S2110" i="3"/>
  <c r="S2109" i="3"/>
  <c r="S2108" i="3"/>
  <c r="Q2108" i="3" s="1"/>
  <c r="R2108" i="3" s="1"/>
  <c r="S2107" i="3"/>
  <c r="P2107" i="3" s="1"/>
  <c r="S2106" i="3"/>
  <c r="S2105" i="3"/>
  <c r="S2104" i="3"/>
  <c r="S2103" i="3"/>
  <c r="Q2103" i="3" s="1"/>
  <c r="R2103" i="3" s="1"/>
  <c r="S2102" i="3"/>
  <c r="P2102" i="3" s="1"/>
  <c r="S2101" i="3"/>
  <c r="P2101" i="3" s="1"/>
  <c r="Q2101" i="3"/>
  <c r="R2101" i="3" s="1"/>
  <c r="S2100" i="3"/>
  <c r="S2099" i="3"/>
  <c r="S2098" i="3"/>
  <c r="S2097" i="3"/>
  <c r="S2096" i="3"/>
  <c r="S2095" i="3"/>
  <c r="S2094" i="3"/>
  <c r="S2093" i="3"/>
  <c r="S2092" i="3"/>
  <c r="S2091" i="3"/>
  <c r="S2090" i="3"/>
  <c r="S2089" i="3"/>
  <c r="S2088" i="3"/>
  <c r="S2087" i="3"/>
  <c r="Q2087" i="3" s="1"/>
  <c r="R2087" i="3" s="1"/>
  <c r="S2086" i="3"/>
  <c r="S2085" i="3"/>
  <c r="S2084" i="3"/>
  <c r="Q2084" i="3" s="1"/>
  <c r="R2084" i="3" s="1"/>
  <c r="S2083" i="3"/>
  <c r="S2082" i="3"/>
  <c r="S2081" i="3"/>
  <c r="Q2081" i="3" s="1"/>
  <c r="R2081" i="3" s="1"/>
  <c r="S2080" i="3"/>
  <c r="Q2080" i="3" s="1"/>
  <c r="R2080" i="3" s="1"/>
  <c r="S2079" i="3"/>
  <c r="S2078" i="3"/>
  <c r="S2077" i="3"/>
  <c r="Q2077" i="3" s="1"/>
  <c r="R2077" i="3" s="1"/>
  <c r="S2076" i="3"/>
  <c r="Q2076" i="3" s="1"/>
  <c r="R2076" i="3" s="1"/>
  <c r="S2075" i="3"/>
  <c r="S2074" i="3"/>
  <c r="S2073" i="3"/>
  <c r="Q2073" i="3" s="1"/>
  <c r="R2073" i="3" s="1"/>
  <c r="S2072" i="3"/>
  <c r="S2071" i="3"/>
  <c r="S2070" i="3"/>
  <c r="S2069" i="3"/>
  <c r="S2068" i="3"/>
  <c r="P2068" i="3" s="1"/>
  <c r="Q2068" i="3"/>
  <c r="R2068" i="3" s="1"/>
  <c r="S2067" i="3"/>
  <c r="S2066" i="3"/>
  <c r="P2066" i="3" s="1"/>
  <c r="S2065" i="3"/>
  <c r="S2064" i="3"/>
  <c r="S2063" i="3"/>
  <c r="S2062" i="3"/>
  <c r="S2061" i="3"/>
  <c r="Q2061" i="3" s="1"/>
  <c r="R2061" i="3" s="1"/>
  <c r="P2061" i="3"/>
  <c r="S2060" i="3"/>
  <c r="S2059" i="3"/>
  <c r="P2059" i="3" s="1"/>
  <c r="S2058" i="3"/>
  <c r="Q2058" i="3" s="1"/>
  <c r="R2058" i="3" s="1"/>
  <c r="S2057" i="3"/>
  <c r="S2056" i="3"/>
  <c r="P2056" i="3" s="1"/>
  <c r="S2055" i="3"/>
  <c r="S2054" i="3"/>
  <c r="S2053" i="3"/>
  <c r="P2053" i="3" s="1"/>
  <c r="Q2053" i="3"/>
  <c r="R2053" i="3" s="1"/>
  <c r="S2052" i="3"/>
  <c r="S2051" i="3"/>
  <c r="P2051" i="3" s="1"/>
  <c r="S2050" i="3"/>
  <c r="S2049" i="3"/>
  <c r="S2048" i="3"/>
  <c r="S2047" i="3"/>
  <c r="S2046" i="3"/>
  <c r="Q2046" i="3" s="1"/>
  <c r="R2046" i="3" s="1"/>
  <c r="S2045" i="3"/>
  <c r="Q2045" i="3" s="1"/>
  <c r="R2045" i="3" s="1"/>
  <c r="S2044" i="3"/>
  <c r="S2043" i="3"/>
  <c r="S2042" i="3"/>
  <c r="P2042" i="3" s="1"/>
  <c r="Q2042" i="3"/>
  <c r="R2042" i="3" s="1"/>
  <c r="S2041" i="3"/>
  <c r="S2040" i="3"/>
  <c r="S2039" i="3"/>
  <c r="P2039" i="3" s="1"/>
  <c r="S2038" i="3"/>
  <c r="S2037" i="3"/>
  <c r="S2036" i="3"/>
  <c r="S2035" i="3"/>
  <c r="S2034" i="3"/>
  <c r="S2033" i="3"/>
  <c r="S2032" i="3"/>
  <c r="S2031" i="3"/>
  <c r="S2030" i="3"/>
  <c r="S2029" i="3"/>
  <c r="P2029" i="3" s="1"/>
  <c r="Q2029" i="3"/>
  <c r="R2029" i="3" s="1"/>
  <c r="S2028" i="3"/>
  <c r="S2027" i="3"/>
  <c r="S2026" i="3"/>
  <c r="S2025" i="3"/>
  <c r="Q2025" i="3" s="1"/>
  <c r="R2025" i="3"/>
  <c r="P2025" i="3"/>
  <c r="S2024" i="3"/>
  <c r="S2023" i="3"/>
  <c r="Q2023" i="3" s="1"/>
  <c r="R2023" i="3" s="1"/>
  <c r="S2022" i="3"/>
  <c r="S2021" i="3"/>
  <c r="S2020" i="3"/>
  <c r="S2019" i="3"/>
  <c r="S2018" i="3"/>
  <c r="S2017" i="3"/>
  <c r="Q2017" i="3" s="1"/>
  <c r="R2017" i="3" s="1"/>
  <c r="P2017" i="3"/>
  <c r="S2016" i="3"/>
  <c r="S2015" i="3"/>
  <c r="S2014" i="3"/>
  <c r="S2013" i="3"/>
  <c r="Q2013" i="3" s="1"/>
  <c r="R2013" i="3" s="1"/>
  <c r="S2012" i="3"/>
  <c r="S2011" i="3"/>
  <c r="Q2011" i="3" s="1"/>
  <c r="R2011" i="3" s="1"/>
  <c r="P2011" i="3"/>
  <c r="S2010" i="3"/>
  <c r="S2009" i="3"/>
  <c r="P2009" i="3" s="1"/>
  <c r="S2008" i="3"/>
  <c r="S2007" i="3"/>
  <c r="Q2007" i="3" s="1"/>
  <c r="R2007" i="3" s="1"/>
  <c r="P2007" i="3"/>
  <c r="S2006" i="3"/>
  <c r="P2006" i="3" s="1"/>
  <c r="S2005" i="3"/>
  <c r="S2004" i="3"/>
  <c r="S2003" i="3"/>
  <c r="P2003" i="3" s="1"/>
  <c r="S2002" i="3"/>
  <c r="S2001" i="3"/>
  <c r="S2000" i="3"/>
  <c r="S1999" i="3"/>
  <c r="P1999" i="3" s="1"/>
  <c r="Q1999" i="3"/>
  <c r="R1999" i="3" s="1"/>
  <c r="S1998" i="3"/>
  <c r="Q1998" i="3" s="1"/>
  <c r="R1998" i="3" s="1"/>
  <c r="S1997" i="3"/>
  <c r="Q1997" i="3" s="1"/>
  <c r="R1997" i="3" s="1"/>
  <c r="S1996" i="3"/>
  <c r="S1995" i="3"/>
  <c r="S1994" i="3"/>
  <c r="P1994" i="3" s="1"/>
  <c r="S1993" i="3"/>
  <c r="Q1993" i="3" s="1"/>
  <c r="R1993" i="3" s="1"/>
  <c r="S1992" i="3"/>
  <c r="Q1992" i="3" s="1"/>
  <c r="R1992" i="3" s="1"/>
  <c r="S1991" i="3"/>
  <c r="P1991" i="3" s="1"/>
  <c r="S1990" i="3"/>
  <c r="Q1990" i="3" s="1"/>
  <c r="R1990" i="3" s="1"/>
  <c r="S1989" i="3"/>
  <c r="Q1989" i="3" s="1"/>
  <c r="R1989" i="3" s="1"/>
  <c r="P1989" i="3"/>
  <c r="S1988" i="3"/>
  <c r="Q1988" i="3" s="1"/>
  <c r="R1988" i="3" s="1"/>
  <c r="S1987" i="3"/>
  <c r="S1986" i="3"/>
  <c r="S1985" i="3"/>
  <c r="P1985" i="3" s="1"/>
  <c r="S1984" i="3"/>
  <c r="P1984" i="3" s="1"/>
  <c r="Q1984" i="3"/>
  <c r="R1984" i="3" s="1"/>
  <c r="S1983" i="3"/>
  <c r="S1982" i="3"/>
  <c r="P1982" i="3" s="1"/>
  <c r="S1981" i="3"/>
  <c r="S1980" i="3"/>
  <c r="S1979" i="3"/>
  <c r="S1978" i="3"/>
  <c r="P1978" i="3" s="1"/>
  <c r="S1977" i="3"/>
  <c r="Q1977" i="3" s="1"/>
  <c r="R1977" i="3" s="1"/>
  <c r="S1976" i="3"/>
  <c r="Q1976" i="3" s="1"/>
  <c r="R1976" i="3" s="1"/>
  <c r="S1975" i="3"/>
  <c r="Q1975" i="3" s="1"/>
  <c r="R1975" i="3" s="1"/>
  <c r="S1974" i="3"/>
  <c r="Q1974" i="3" s="1"/>
  <c r="R1974" i="3" s="1"/>
  <c r="S1973" i="3"/>
  <c r="P1973" i="3" s="1"/>
  <c r="S1972" i="3"/>
  <c r="S1971" i="3"/>
  <c r="Q1971" i="3" s="1"/>
  <c r="R1971" i="3" s="1"/>
  <c r="S1970" i="3"/>
  <c r="P1970" i="3" s="1"/>
  <c r="Q1970" i="3"/>
  <c r="R1970" i="3" s="1"/>
  <c r="S1969" i="3"/>
  <c r="S1968" i="3"/>
  <c r="S1967" i="3"/>
  <c r="Q1967" i="3" s="1"/>
  <c r="R1967" i="3" s="1"/>
  <c r="S1966" i="3"/>
  <c r="S1965" i="3"/>
  <c r="S1964" i="3"/>
  <c r="P1964" i="3" s="1"/>
  <c r="S1963" i="3"/>
  <c r="S1962" i="3"/>
  <c r="Q1962" i="3" s="1"/>
  <c r="R1962" i="3" s="1"/>
  <c r="S1961" i="3"/>
  <c r="P1961" i="3" s="1"/>
  <c r="S1960" i="3"/>
  <c r="S1959" i="3"/>
  <c r="S1958" i="3"/>
  <c r="Q1958" i="3" s="1"/>
  <c r="R1958" i="3" s="1"/>
  <c r="S1957" i="3"/>
  <c r="S1956" i="3"/>
  <c r="S1955" i="3"/>
  <c r="S1954" i="3"/>
  <c r="P1954" i="3" s="1"/>
  <c r="Q1954" i="3"/>
  <c r="R1954" i="3" s="1"/>
  <c r="S1953" i="3"/>
  <c r="Q1953" i="3" s="1"/>
  <c r="R1953" i="3" s="1"/>
  <c r="S1952" i="3"/>
  <c r="Q1952" i="3" s="1"/>
  <c r="R1952" i="3" s="1"/>
  <c r="S1951" i="3"/>
  <c r="Q1951" i="3" s="1"/>
  <c r="R1951" i="3" s="1"/>
  <c r="S1950" i="3"/>
  <c r="S1949" i="3"/>
  <c r="S1948" i="3"/>
  <c r="Q1948" i="3" s="1"/>
  <c r="R1948" i="3" s="1"/>
  <c r="S1947" i="3"/>
  <c r="S1946" i="3"/>
  <c r="P1946" i="3" s="1"/>
  <c r="Q1946" i="3"/>
  <c r="R1946" i="3" s="1"/>
  <c r="S1945" i="3"/>
  <c r="P1945" i="3" s="1"/>
  <c r="Q1945" i="3"/>
  <c r="R1945" i="3" s="1"/>
  <c r="S1944" i="3"/>
  <c r="Q1944" i="3" s="1"/>
  <c r="R1944" i="3" s="1"/>
  <c r="S1943" i="3"/>
  <c r="Q1943" i="3" s="1"/>
  <c r="R1943" i="3" s="1"/>
  <c r="P1943" i="3"/>
  <c r="S1942" i="3"/>
  <c r="P1942" i="3" s="1"/>
  <c r="S1941" i="3"/>
  <c r="Q1941" i="3" s="1"/>
  <c r="R1941" i="3" s="1"/>
  <c r="S1940" i="3"/>
  <c r="Q1940" i="3" s="1"/>
  <c r="R1940" i="3" s="1"/>
  <c r="S1939" i="3"/>
  <c r="S1938" i="3"/>
  <c r="S1937" i="3"/>
  <c r="Q1937" i="3" s="1"/>
  <c r="R1937" i="3" s="1"/>
  <c r="P1937" i="3"/>
  <c r="S1936" i="3"/>
  <c r="S1935" i="3"/>
  <c r="Q1935" i="3" s="1"/>
  <c r="R1935" i="3" s="1"/>
  <c r="S1934" i="3"/>
  <c r="Q1934" i="3" s="1"/>
  <c r="R1934" i="3" s="1"/>
  <c r="S1933" i="3"/>
  <c r="S1932" i="3"/>
  <c r="S1931" i="3"/>
  <c r="Q1931" i="3" s="1"/>
  <c r="R1931" i="3" s="1"/>
  <c r="S1930" i="3"/>
  <c r="S1929" i="3"/>
  <c r="S1928" i="3"/>
  <c r="Q1928" i="3" s="1"/>
  <c r="R1928" i="3" s="1"/>
  <c r="S1927" i="3"/>
  <c r="P1927" i="3" s="1"/>
  <c r="S1926" i="3"/>
  <c r="Q1926" i="3" s="1"/>
  <c r="R1926" i="3" s="1"/>
  <c r="P1926" i="3"/>
  <c r="S1925" i="3"/>
  <c r="S1924" i="3"/>
  <c r="S1923" i="3"/>
  <c r="P1923" i="3" s="1"/>
  <c r="S1922" i="3"/>
  <c r="P1922" i="3" s="1"/>
  <c r="S1921" i="3"/>
  <c r="S1920" i="3"/>
  <c r="Q1920" i="3" s="1"/>
  <c r="R1920" i="3" s="1"/>
  <c r="S1919" i="3"/>
  <c r="Q1919" i="3" s="1"/>
  <c r="R1919" i="3" s="1"/>
  <c r="S1918" i="3"/>
  <c r="S1917" i="3"/>
  <c r="S1916" i="3"/>
  <c r="P1916" i="3" s="1"/>
  <c r="S1915" i="3"/>
  <c r="Q1915" i="3" s="1"/>
  <c r="R1915" i="3" s="1"/>
  <c r="P1915" i="3"/>
  <c r="S1914" i="3"/>
  <c r="S1913" i="3"/>
  <c r="S1912" i="3"/>
  <c r="P1912" i="3" s="1"/>
  <c r="S1911" i="3"/>
  <c r="Q1911" i="3" s="1"/>
  <c r="R1911" i="3" s="1"/>
  <c r="P1911" i="3"/>
  <c r="S1910" i="3"/>
  <c r="Q1910" i="3" s="1"/>
  <c r="R1910" i="3" s="1"/>
  <c r="S1909" i="3"/>
  <c r="S1908" i="3"/>
  <c r="Q1908" i="3" s="1"/>
  <c r="R1908" i="3" s="1"/>
  <c r="S1907" i="3"/>
  <c r="S1906" i="3"/>
  <c r="P1906" i="3" s="1"/>
  <c r="Q1906" i="3"/>
  <c r="R1906" i="3" s="1"/>
  <c r="S1905" i="3"/>
  <c r="P1905" i="3" s="1"/>
  <c r="S1904" i="3"/>
  <c r="S1903" i="3"/>
  <c r="Q1903" i="3"/>
  <c r="R1903" i="3" s="1"/>
  <c r="P1903" i="3"/>
  <c r="S1902" i="3"/>
  <c r="S1901" i="3"/>
  <c r="S1900" i="3"/>
  <c r="S1899" i="3"/>
  <c r="S1898" i="3"/>
  <c r="Q1898" i="3" s="1"/>
  <c r="R1898" i="3" s="1"/>
  <c r="S1897" i="3"/>
  <c r="S1896" i="3"/>
  <c r="S1895" i="3"/>
  <c r="Q1895" i="3" s="1"/>
  <c r="R1895" i="3" s="1"/>
  <c r="S1894" i="3"/>
  <c r="S1893" i="3"/>
  <c r="Q1893" i="3" s="1"/>
  <c r="R1893" i="3" s="1"/>
  <c r="P1893" i="3"/>
  <c r="S1892" i="3"/>
  <c r="S1891" i="3"/>
  <c r="S1890" i="3"/>
  <c r="Q1890" i="3" s="1"/>
  <c r="R1890" i="3" s="1"/>
  <c r="S1889" i="3"/>
  <c r="Q1889" i="3" s="1"/>
  <c r="R1889" i="3" s="1"/>
  <c r="S1888" i="3"/>
  <c r="P1888" i="3" s="1"/>
  <c r="Q1888" i="3"/>
  <c r="R1888" i="3" s="1"/>
  <c r="S1887" i="3"/>
  <c r="S1886" i="3"/>
  <c r="P1886" i="3" s="1"/>
  <c r="S1885" i="3"/>
  <c r="S1884" i="3"/>
  <c r="Q1884" i="3" s="1"/>
  <c r="R1884" i="3" s="1"/>
  <c r="S1883" i="3"/>
  <c r="P1883" i="3" s="1"/>
  <c r="Q1883" i="3"/>
  <c r="R1883" i="3" s="1"/>
  <c r="S1882" i="3"/>
  <c r="P1882" i="3" s="1"/>
  <c r="S1881" i="3"/>
  <c r="S1880" i="3"/>
  <c r="P1880" i="3" s="1"/>
  <c r="S1879" i="3"/>
  <c r="P1879" i="3" s="1"/>
  <c r="S1878" i="3"/>
  <c r="Q1878" i="3" s="1"/>
  <c r="R1878" i="3" s="1"/>
  <c r="P1878" i="3"/>
  <c r="S1877" i="3"/>
  <c r="S1876" i="3"/>
  <c r="S1875" i="3"/>
  <c r="S1874" i="3"/>
  <c r="Q1874" i="3" s="1"/>
  <c r="R1874" i="3" s="1"/>
  <c r="S1873" i="3"/>
  <c r="Q1873" i="3"/>
  <c r="R1873" i="3" s="1"/>
  <c r="P1873" i="3"/>
  <c r="S1872" i="3"/>
  <c r="Q1872" i="3" s="1"/>
  <c r="R1872" i="3" s="1"/>
  <c r="S1871" i="3"/>
  <c r="S1870" i="3"/>
  <c r="S1869" i="3"/>
  <c r="P1869" i="3" s="1"/>
  <c r="S1868" i="3"/>
  <c r="S1867" i="3"/>
  <c r="S1866" i="3"/>
  <c r="S1865" i="3"/>
  <c r="S1864" i="3"/>
  <c r="S1863" i="3"/>
  <c r="S1862" i="3"/>
  <c r="Q1862" i="3" s="1"/>
  <c r="R1862" i="3" s="1"/>
  <c r="S1861" i="3"/>
  <c r="P1861" i="3" s="1"/>
  <c r="Q1861" i="3"/>
  <c r="R1861" i="3" s="1"/>
  <c r="S1860" i="3"/>
  <c r="S1859" i="3"/>
  <c r="Q1859" i="3" s="1"/>
  <c r="R1859" i="3" s="1"/>
  <c r="S1858" i="3"/>
  <c r="Q1858" i="3" s="1"/>
  <c r="R1858" i="3" s="1"/>
  <c r="S1857" i="3"/>
  <c r="S1856" i="3"/>
  <c r="S1855" i="3"/>
  <c r="S1854" i="3"/>
  <c r="Q1854" i="3" s="1"/>
  <c r="R1854" i="3" s="1"/>
  <c r="S1853" i="3"/>
  <c r="Q1853" i="3" s="1"/>
  <c r="R1853" i="3" s="1"/>
  <c r="S1852" i="3"/>
  <c r="S1851" i="3"/>
  <c r="P1851" i="3" s="1"/>
  <c r="S1850" i="3"/>
  <c r="P1850" i="3" s="1"/>
  <c r="S1849" i="3"/>
  <c r="S1848" i="3"/>
  <c r="Q1848" i="3" s="1"/>
  <c r="R1848" i="3" s="1"/>
  <c r="S1847" i="3"/>
  <c r="Q1847" i="3" s="1"/>
  <c r="R1847" i="3" s="1"/>
  <c r="S1846" i="3"/>
  <c r="S1845" i="3"/>
  <c r="S1844" i="3"/>
  <c r="S1843" i="3"/>
  <c r="S1842" i="3"/>
  <c r="S1841" i="3"/>
  <c r="S1840" i="3"/>
  <c r="P1840" i="3" s="1"/>
  <c r="S1839" i="3"/>
  <c r="P1839" i="3" s="1"/>
  <c r="S1838" i="3"/>
  <c r="Q1838" i="3" s="1"/>
  <c r="R1838" i="3" s="1"/>
  <c r="S1837" i="3"/>
  <c r="Q1837" i="3" s="1"/>
  <c r="R1837" i="3" s="1"/>
  <c r="S1836" i="3"/>
  <c r="Q1836" i="3" s="1"/>
  <c r="R1836" i="3" s="1"/>
  <c r="S1835" i="3"/>
  <c r="S1834" i="3"/>
  <c r="Q1834" i="3" s="1"/>
  <c r="R1834" i="3" s="1"/>
  <c r="P1834" i="3"/>
  <c r="S1833" i="3"/>
  <c r="P1833" i="3" s="1"/>
  <c r="S1832" i="3"/>
  <c r="P1832" i="3" s="1"/>
  <c r="S1831" i="3"/>
  <c r="S1830" i="3"/>
  <c r="S1829" i="3"/>
  <c r="P1829" i="3" s="1"/>
  <c r="Q1829" i="3"/>
  <c r="R1829" i="3" s="1"/>
  <c r="S1828" i="3"/>
  <c r="S1827" i="3"/>
  <c r="S1826" i="3"/>
  <c r="Q1826" i="3" s="1"/>
  <c r="R1826" i="3" s="1"/>
  <c r="S1825" i="3"/>
  <c r="S1824" i="3"/>
  <c r="Q1824" i="3"/>
  <c r="R1824" i="3" s="1"/>
  <c r="P1824" i="3"/>
  <c r="S1823" i="3"/>
  <c r="Q1823" i="3" s="1"/>
  <c r="R1823" i="3" s="1"/>
  <c r="S1822" i="3"/>
  <c r="Q1822" i="3" s="1"/>
  <c r="R1822" i="3" s="1"/>
  <c r="P1822" i="3"/>
  <c r="S1821" i="3"/>
  <c r="P1821" i="3" s="1"/>
  <c r="Q1821" i="3"/>
  <c r="R1821" i="3" s="1"/>
  <c r="S1820" i="3"/>
  <c r="S1819" i="3"/>
  <c r="Q1819" i="3" s="1"/>
  <c r="R1819" i="3" s="1"/>
  <c r="S1818" i="3"/>
  <c r="Q1818" i="3" s="1"/>
  <c r="R1818" i="3" s="1"/>
  <c r="P1818" i="3"/>
  <c r="S1817" i="3"/>
  <c r="Q1817" i="3" s="1"/>
  <c r="R1817" i="3" s="1"/>
  <c r="S1816" i="3"/>
  <c r="S1815" i="3"/>
  <c r="P1815" i="3" s="1"/>
  <c r="S1814" i="3"/>
  <c r="P1814" i="3" s="1"/>
  <c r="S1813" i="3"/>
  <c r="Q1813" i="3"/>
  <c r="R1813" i="3" s="1"/>
  <c r="P1813" i="3"/>
  <c r="S1812" i="3"/>
  <c r="Q1812" i="3" s="1"/>
  <c r="R1812" i="3" s="1"/>
  <c r="S1811" i="3"/>
  <c r="Q1811" i="3" s="1"/>
  <c r="R1811" i="3" s="1"/>
  <c r="S1810" i="3"/>
  <c r="S1809" i="3"/>
  <c r="P1809" i="3" s="1"/>
  <c r="S1808" i="3"/>
  <c r="P1808" i="3" s="1"/>
  <c r="Q1808" i="3"/>
  <c r="R1808" i="3" s="1"/>
  <c r="S1807" i="3"/>
  <c r="S1806" i="3"/>
  <c r="S1805" i="3"/>
  <c r="Q1805" i="3" s="1"/>
  <c r="R1805" i="3" s="1"/>
  <c r="S1804" i="3"/>
  <c r="Q1804" i="3" s="1"/>
  <c r="R1804" i="3" s="1"/>
  <c r="S1803" i="3"/>
  <c r="S1802" i="3"/>
  <c r="Q1802" i="3" s="1"/>
  <c r="R1802" i="3" s="1"/>
  <c r="S1801" i="3"/>
  <c r="S1800" i="3"/>
  <c r="S1799" i="3"/>
  <c r="P1799" i="3" s="1"/>
  <c r="Q1799" i="3"/>
  <c r="R1799" i="3" s="1"/>
  <c r="S1798" i="3"/>
  <c r="S1797" i="3"/>
  <c r="P1797" i="3" s="1"/>
  <c r="S1796" i="3"/>
  <c r="S1795" i="3"/>
  <c r="S1794" i="3"/>
  <c r="S1793" i="3"/>
  <c r="S1792" i="3"/>
  <c r="S1791" i="3"/>
  <c r="P1791" i="3" s="1"/>
  <c r="S1790" i="3"/>
  <c r="P1790" i="3" s="1"/>
  <c r="S1789" i="3"/>
  <c r="P1789" i="3" s="1"/>
  <c r="S1788" i="3"/>
  <c r="S1787" i="3"/>
  <c r="Q1787" i="3" s="1"/>
  <c r="R1787" i="3" s="1"/>
  <c r="S1786" i="3"/>
  <c r="Q1786" i="3" s="1"/>
  <c r="R1786" i="3" s="1"/>
  <c r="S1785" i="3"/>
  <c r="S1784" i="3"/>
  <c r="S1783" i="3"/>
  <c r="S1782" i="3"/>
  <c r="S1781" i="3"/>
  <c r="Q1781" i="3" s="1"/>
  <c r="R1781" i="3" s="1"/>
  <c r="S1780" i="3"/>
  <c r="P1780" i="3" s="1"/>
  <c r="S1779" i="3"/>
  <c r="S1778" i="3"/>
  <c r="S1777" i="3"/>
  <c r="S1776" i="3"/>
  <c r="Q1776" i="3" s="1"/>
  <c r="R1776" i="3" s="1"/>
  <c r="S1775" i="3"/>
  <c r="Q1775" i="3" s="1"/>
  <c r="R1775" i="3" s="1"/>
  <c r="S1774" i="3"/>
  <c r="Q1774" i="3" s="1"/>
  <c r="R1774" i="3" s="1"/>
  <c r="P1774" i="3"/>
  <c r="S1773" i="3"/>
  <c r="S1772" i="3"/>
  <c r="S1771" i="3"/>
  <c r="S1770" i="3"/>
  <c r="S1769" i="3"/>
  <c r="S1768" i="3"/>
  <c r="Q1768" i="3" s="1"/>
  <c r="R1768" i="3" s="1"/>
  <c r="S1767" i="3"/>
  <c r="S1766" i="3"/>
  <c r="Q1766" i="3" s="1"/>
  <c r="R1766" i="3" s="1"/>
  <c r="S1765" i="3"/>
  <c r="S1764" i="3"/>
  <c r="S1763" i="3"/>
  <c r="P1763" i="3" s="1"/>
  <c r="Q1763" i="3"/>
  <c r="R1763" i="3" s="1"/>
  <c r="S1762" i="3"/>
  <c r="S1761" i="3"/>
  <c r="P1761" i="3" s="1"/>
  <c r="S1760" i="3"/>
  <c r="S1759" i="3"/>
  <c r="S1758" i="3"/>
  <c r="S1757" i="3"/>
  <c r="S1756" i="3"/>
  <c r="S1755" i="3"/>
  <c r="P1755" i="3" s="1"/>
  <c r="S1754" i="3"/>
  <c r="S1753" i="3"/>
  <c r="P1753" i="3" s="1"/>
  <c r="S1752" i="3"/>
  <c r="P1752" i="3" s="1"/>
  <c r="Q1752" i="3"/>
  <c r="R1752" i="3" s="1"/>
  <c r="S1751" i="3"/>
  <c r="Q1751" i="3" s="1"/>
  <c r="R1751" i="3" s="1"/>
  <c r="S1750" i="3"/>
  <c r="P1750" i="3" s="1"/>
  <c r="S1749" i="3"/>
  <c r="S1748" i="3"/>
  <c r="S1747" i="3"/>
  <c r="P1747" i="3" s="1"/>
  <c r="S1746" i="3"/>
  <c r="S1745" i="3"/>
  <c r="Q1745" i="3" s="1"/>
  <c r="R1745" i="3" s="1"/>
  <c r="S1744" i="3"/>
  <c r="Q1744" i="3" s="1"/>
  <c r="R1744" i="3" s="1"/>
  <c r="S1743" i="3"/>
  <c r="S1742" i="3"/>
  <c r="P1742" i="3" s="1"/>
  <c r="S1741" i="3"/>
  <c r="P1741" i="3" s="1"/>
  <c r="S1740" i="3"/>
  <c r="Q1740" i="3" s="1"/>
  <c r="R1740" i="3" s="1"/>
  <c r="S1739" i="3"/>
  <c r="P1739" i="3" s="1"/>
  <c r="S1738" i="3"/>
  <c r="Q1738" i="3" s="1"/>
  <c r="R1738" i="3" s="1"/>
  <c r="P1738" i="3"/>
  <c r="S1737" i="3"/>
  <c r="Q1737" i="3" s="1"/>
  <c r="R1737" i="3" s="1"/>
  <c r="P1737" i="3"/>
  <c r="S1736" i="3"/>
  <c r="Q1736" i="3" s="1"/>
  <c r="R1736" i="3" s="1"/>
  <c r="P1736" i="3"/>
  <c r="S1735" i="3"/>
  <c r="S1734" i="3"/>
  <c r="Q1734" i="3" s="1"/>
  <c r="R1734" i="3" s="1"/>
  <c r="S1733" i="3"/>
  <c r="S1732" i="3"/>
  <c r="S1731" i="3"/>
  <c r="S1730" i="3"/>
  <c r="S1729" i="3"/>
  <c r="Q1729" i="3" s="1"/>
  <c r="R1729" i="3" s="1"/>
  <c r="S1728" i="3"/>
  <c r="S1727" i="3"/>
  <c r="S1726" i="3"/>
  <c r="S1725" i="3"/>
  <c r="S1724" i="3"/>
  <c r="P1724" i="3" s="1"/>
  <c r="S1723" i="3"/>
  <c r="S1722" i="3"/>
  <c r="P1722" i="3" s="1"/>
  <c r="S1721" i="3"/>
  <c r="S1720" i="3"/>
  <c r="S1719" i="3"/>
  <c r="Q1719" i="3" s="1"/>
  <c r="R1719" i="3" s="1"/>
  <c r="P1719" i="3"/>
  <c r="S1718" i="3"/>
  <c r="S1717" i="3"/>
  <c r="S1716" i="3"/>
  <c r="Q1716" i="3" s="1"/>
  <c r="R1716" i="3" s="1"/>
  <c r="P1716" i="3"/>
  <c r="S1715" i="3"/>
  <c r="S1714" i="3"/>
  <c r="Q1714" i="3" s="1"/>
  <c r="R1714" i="3" s="1"/>
  <c r="P1714" i="3"/>
  <c r="S1713" i="3"/>
  <c r="P1713" i="3" s="1"/>
  <c r="S1712" i="3"/>
  <c r="S1711" i="3"/>
  <c r="S1710" i="3"/>
  <c r="P1710" i="3" s="1"/>
  <c r="Q1710" i="3"/>
  <c r="R1710" i="3" s="1"/>
  <c r="S1709" i="3"/>
  <c r="S1708" i="3"/>
  <c r="S1707" i="3"/>
  <c r="S1706" i="3"/>
  <c r="S1705" i="3"/>
  <c r="Q1705" i="3" s="1"/>
  <c r="R1705" i="3" s="1"/>
  <c r="S1704" i="3"/>
  <c r="P1704" i="3" s="1"/>
  <c r="S1703" i="3"/>
  <c r="P1703" i="3" s="1"/>
  <c r="S1702" i="3"/>
  <c r="Q1702" i="3" s="1"/>
  <c r="R1702" i="3" s="1"/>
  <c r="P1702" i="3"/>
  <c r="S1701" i="3"/>
  <c r="S1700" i="3"/>
  <c r="S1699" i="3"/>
  <c r="S1698" i="3"/>
  <c r="Q1698" i="3" s="1"/>
  <c r="R1698" i="3" s="1"/>
  <c r="S1697" i="3"/>
  <c r="S1696" i="3"/>
  <c r="S1695" i="3"/>
  <c r="P1695" i="3" s="1"/>
  <c r="S1694" i="3"/>
  <c r="S1693" i="3"/>
  <c r="P1693" i="3" s="1"/>
  <c r="S1692" i="3"/>
  <c r="Q1692" i="3" s="1"/>
  <c r="R1692" i="3" s="1"/>
  <c r="S1691" i="3"/>
  <c r="P1691" i="3" s="1"/>
  <c r="S1690" i="3"/>
  <c r="S1689" i="3"/>
  <c r="S1688" i="3"/>
  <c r="P1688" i="3" s="1"/>
  <c r="S1687" i="3"/>
  <c r="P1687" i="3" s="1"/>
  <c r="Q1687" i="3"/>
  <c r="R1687" i="3" s="1"/>
  <c r="S1686" i="3"/>
  <c r="S1685" i="3"/>
  <c r="P1685" i="3" s="1"/>
  <c r="S1684" i="3"/>
  <c r="S1683" i="3"/>
  <c r="S1682" i="3"/>
  <c r="S1681" i="3"/>
  <c r="P1681" i="3" s="1"/>
  <c r="Q1681" i="3"/>
  <c r="R1681" i="3" s="1"/>
  <c r="S1680" i="3"/>
  <c r="Q1680" i="3" s="1"/>
  <c r="R1680" i="3" s="1"/>
  <c r="S1679" i="3"/>
  <c r="P1679" i="3" s="1"/>
  <c r="S1678" i="3"/>
  <c r="S1677" i="3"/>
  <c r="S1676" i="3"/>
  <c r="Q1676" i="3" s="1"/>
  <c r="R1676" i="3" s="1"/>
  <c r="S1675" i="3"/>
  <c r="S1674" i="3"/>
  <c r="S1673" i="3"/>
  <c r="P1673" i="3" s="1"/>
  <c r="S1672" i="3"/>
  <c r="S1671" i="3"/>
  <c r="S1670" i="3"/>
  <c r="Q1670" i="3" s="1"/>
  <c r="R1670" i="3" s="1"/>
  <c r="P1670" i="3"/>
  <c r="S1669" i="3"/>
  <c r="S1668" i="3"/>
  <c r="S1667" i="3"/>
  <c r="P1667" i="3" s="1"/>
  <c r="Q1667" i="3"/>
  <c r="R1667" i="3" s="1"/>
  <c r="S1666" i="3"/>
  <c r="P1666" i="3" s="1"/>
  <c r="Q1666" i="3"/>
  <c r="R1666" i="3" s="1"/>
  <c r="S1665" i="3"/>
  <c r="S1664" i="3"/>
  <c r="Q1664" i="3" s="1"/>
  <c r="R1664" i="3" s="1"/>
  <c r="S1663" i="3"/>
  <c r="S1662" i="3"/>
  <c r="Q1662" i="3" s="1"/>
  <c r="R1662" i="3" s="1"/>
  <c r="S1661" i="3"/>
  <c r="S1660" i="3"/>
  <c r="S1659" i="3"/>
  <c r="P1659" i="3" s="1"/>
  <c r="Q1659" i="3"/>
  <c r="R1659" i="3" s="1"/>
  <c r="S1658" i="3"/>
  <c r="Q1658" i="3" s="1"/>
  <c r="R1658" i="3" s="1"/>
  <c r="S1657" i="3"/>
  <c r="S1656" i="3"/>
  <c r="Q1656" i="3" s="1"/>
  <c r="R1656" i="3" s="1"/>
  <c r="P1656" i="3"/>
  <c r="S1655" i="3"/>
  <c r="Q1655" i="3" s="1"/>
  <c r="R1655" i="3" s="1"/>
  <c r="P1655" i="3"/>
  <c r="S1654" i="3"/>
  <c r="Q1654" i="3" s="1"/>
  <c r="R1654" i="3" s="1"/>
  <c r="S1653" i="3"/>
  <c r="S1652" i="3"/>
  <c r="P1652" i="3" s="1"/>
  <c r="S1651" i="3"/>
  <c r="Q1651" i="3" s="1"/>
  <c r="R1651" i="3" s="1"/>
  <c r="P1651" i="3"/>
  <c r="S1650" i="3"/>
  <c r="P1650" i="3" s="1"/>
  <c r="Q1650" i="3"/>
  <c r="R1650" i="3" s="1"/>
  <c r="S1649" i="3"/>
  <c r="S1648" i="3"/>
  <c r="S1647" i="3"/>
  <c r="P1647" i="3" s="1"/>
  <c r="S1646" i="3"/>
  <c r="Q1646" i="3" s="1"/>
  <c r="R1646" i="3" s="1"/>
  <c r="S1645" i="3"/>
  <c r="S1644" i="3"/>
  <c r="S1643" i="3"/>
  <c r="P1643" i="3" s="1"/>
  <c r="S1642" i="3"/>
  <c r="P1642" i="3" s="1"/>
  <c r="S1641" i="3"/>
  <c r="P1641" i="3" s="1"/>
  <c r="S1640" i="3"/>
  <c r="S1639" i="3"/>
  <c r="Q1639" i="3" s="1"/>
  <c r="R1639" i="3" s="1"/>
  <c r="S1638" i="3"/>
  <c r="Q1638" i="3" s="1"/>
  <c r="R1638" i="3" s="1"/>
  <c r="P1638" i="3"/>
  <c r="S1637" i="3"/>
  <c r="Q1637" i="3" s="1"/>
  <c r="R1637" i="3" s="1"/>
  <c r="S1636" i="3"/>
  <c r="S1635" i="3"/>
  <c r="P1635" i="3" s="1"/>
  <c r="Q1635" i="3"/>
  <c r="R1635" i="3" s="1"/>
  <c r="S1634" i="3"/>
  <c r="S1633" i="3"/>
  <c r="P1633" i="3" s="1"/>
  <c r="S1632" i="3"/>
  <c r="Q1632" i="3" s="1"/>
  <c r="R1632" i="3" s="1"/>
  <c r="S1631" i="3"/>
  <c r="P1631" i="3" s="1"/>
  <c r="S1630" i="3"/>
  <c r="P1630" i="3" s="1"/>
  <c r="Q1630" i="3"/>
  <c r="R1630" i="3" s="1"/>
  <c r="S1629" i="3"/>
  <c r="S1628" i="3"/>
  <c r="S1627" i="3"/>
  <c r="S1626" i="3"/>
  <c r="Q1626" i="3" s="1"/>
  <c r="R1626" i="3" s="1"/>
  <c r="S1625" i="3"/>
  <c r="P1625" i="3" s="1"/>
  <c r="S1624" i="3"/>
  <c r="S1623" i="3"/>
  <c r="P1623" i="3" s="1"/>
  <c r="Q1623" i="3"/>
  <c r="R1623" i="3" s="1"/>
  <c r="S1622" i="3"/>
  <c r="S1621" i="3"/>
  <c r="S1620" i="3"/>
  <c r="S1619" i="3"/>
  <c r="Q1619" i="3" s="1"/>
  <c r="R1619" i="3" s="1"/>
  <c r="S1618" i="3"/>
  <c r="S1617" i="3"/>
  <c r="S1616" i="3"/>
  <c r="S1615" i="3"/>
  <c r="P1615" i="3" s="1"/>
  <c r="Q1615" i="3"/>
  <c r="R1615" i="3" s="1"/>
  <c r="S1614" i="3"/>
  <c r="P1614" i="3" s="1"/>
  <c r="S1613" i="3"/>
  <c r="P1613" i="3" s="1"/>
  <c r="S1612" i="3"/>
  <c r="S1611" i="3"/>
  <c r="P1611" i="3" s="1"/>
  <c r="Q1611" i="3"/>
  <c r="R1611" i="3" s="1"/>
  <c r="S1610" i="3"/>
  <c r="S1609" i="3"/>
  <c r="Q1609" i="3" s="1"/>
  <c r="R1609" i="3" s="1"/>
  <c r="S1608" i="3"/>
  <c r="S1607" i="3"/>
  <c r="P1607" i="3" s="1"/>
  <c r="Q1607" i="3"/>
  <c r="R1607" i="3" s="1"/>
  <c r="S1606" i="3"/>
  <c r="P1606" i="3" s="1"/>
  <c r="S1605" i="3"/>
  <c r="S1604" i="3"/>
  <c r="S1603" i="3"/>
  <c r="Q1603" i="3" s="1"/>
  <c r="R1603" i="3" s="1"/>
  <c r="P1603" i="3"/>
  <c r="S1602" i="3"/>
  <c r="S1601" i="3"/>
  <c r="Q1601" i="3" s="1"/>
  <c r="R1601" i="3" s="1"/>
  <c r="S1600" i="3"/>
  <c r="Q1600" i="3" s="1"/>
  <c r="R1600" i="3" s="1"/>
  <c r="S1599" i="3"/>
  <c r="S1598" i="3"/>
  <c r="P1598" i="3" s="1"/>
  <c r="S1597" i="3"/>
  <c r="Q1597" i="3" s="1"/>
  <c r="R1597" i="3" s="1"/>
  <c r="S1596" i="3"/>
  <c r="S1595" i="3"/>
  <c r="P1595" i="3" s="1"/>
  <c r="S1594" i="3"/>
  <c r="S1593" i="3"/>
  <c r="P1593" i="3" s="1"/>
  <c r="Q1593" i="3"/>
  <c r="R1593" i="3" s="1"/>
  <c r="S1592" i="3"/>
  <c r="P1592" i="3" s="1"/>
  <c r="S1591" i="3"/>
  <c r="S1590" i="3"/>
  <c r="S1589" i="3"/>
  <c r="S1588" i="3"/>
  <c r="S1587" i="3"/>
  <c r="S1586" i="3"/>
  <c r="S1585" i="3"/>
  <c r="S1584" i="3"/>
  <c r="S1583" i="3"/>
  <c r="P1583" i="3" s="1"/>
  <c r="Q1583" i="3"/>
  <c r="R1583" i="3" s="1"/>
  <c r="S1582" i="3"/>
  <c r="S1581" i="3"/>
  <c r="Q1581" i="3" s="1"/>
  <c r="R1581" i="3" s="1"/>
  <c r="P1581" i="3"/>
  <c r="S1580" i="3"/>
  <c r="S1579" i="3"/>
  <c r="P1579" i="3" s="1"/>
  <c r="Q1579" i="3"/>
  <c r="R1579" i="3" s="1"/>
  <c r="S1578" i="3"/>
  <c r="S1577" i="3"/>
  <c r="S1576" i="3"/>
  <c r="S1575" i="3"/>
  <c r="P1575" i="3" s="1"/>
  <c r="S1574" i="3"/>
  <c r="P1574" i="3" s="1"/>
  <c r="Q1574" i="3"/>
  <c r="R1574" i="3" s="1"/>
  <c r="S1573" i="3"/>
  <c r="Q1573" i="3" s="1"/>
  <c r="R1573" i="3" s="1"/>
  <c r="S1572" i="3"/>
  <c r="P1572" i="3" s="1"/>
  <c r="S1571" i="3"/>
  <c r="S1570" i="3"/>
  <c r="S1569" i="3"/>
  <c r="Q1569" i="3" s="1"/>
  <c r="R1569" i="3" s="1"/>
  <c r="P1569" i="3"/>
  <c r="S1568" i="3"/>
  <c r="S1567" i="3"/>
  <c r="S1566" i="3"/>
  <c r="Q1566" i="3" s="1"/>
  <c r="R1566" i="3" s="1"/>
  <c r="S1565" i="3"/>
  <c r="P1565" i="3" s="1"/>
  <c r="Q1565" i="3"/>
  <c r="R1565" i="3" s="1"/>
  <c r="S1564" i="3"/>
  <c r="S1563" i="3"/>
  <c r="S1562" i="3"/>
  <c r="P1562" i="3" s="1"/>
  <c r="Q1562" i="3"/>
  <c r="R1562" i="3" s="1"/>
  <c r="S1561" i="3"/>
  <c r="S1560" i="3"/>
  <c r="S1559" i="3"/>
  <c r="P1559" i="3" s="1"/>
  <c r="S1558" i="3"/>
  <c r="Q1558" i="3" s="1"/>
  <c r="R1558" i="3" s="1"/>
  <c r="S1557" i="3"/>
  <c r="S1556" i="3"/>
  <c r="S1555" i="3"/>
  <c r="P1555" i="3" s="1"/>
  <c r="Q1555" i="3"/>
  <c r="R1555" i="3" s="1"/>
  <c r="S1554" i="3"/>
  <c r="Q1554" i="3" s="1"/>
  <c r="R1554" i="3" s="1"/>
  <c r="S1553" i="3"/>
  <c r="P1553" i="3" s="1"/>
  <c r="Q1553" i="3"/>
  <c r="R1553" i="3" s="1"/>
  <c r="S1552" i="3"/>
  <c r="S1551" i="3"/>
  <c r="P1551" i="3" s="1"/>
  <c r="Q1551" i="3"/>
  <c r="R1551" i="3" s="1"/>
  <c r="S1550" i="3"/>
  <c r="S1549" i="3"/>
  <c r="S1548" i="3"/>
  <c r="Q1548" i="3" s="1"/>
  <c r="R1548" i="3" s="1"/>
  <c r="S1547" i="3"/>
  <c r="P1547" i="3" s="1"/>
  <c r="S1546" i="3"/>
  <c r="S1545" i="3"/>
  <c r="S1544" i="3"/>
  <c r="P1544" i="3" s="1"/>
  <c r="S1543" i="3"/>
  <c r="P1543" i="3" s="1"/>
  <c r="S1542" i="3"/>
  <c r="Q1542" i="3" s="1"/>
  <c r="R1542" i="3" s="1"/>
  <c r="S1541" i="3"/>
  <c r="S1540" i="3"/>
  <c r="S1539" i="3"/>
  <c r="S1538" i="3"/>
  <c r="P1538" i="3" s="1"/>
  <c r="S1537" i="3"/>
  <c r="P1537" i="3" s="1"/>
  <c r="S1536" i="3"/>
  <c r="Q1536" i="3" s="1"/>
  <c r="R1536" i="3" s="1"/>
  <c r="S1535" i="3"/>
  <c r="P1535" i="3" s="1"/>
  <c r="S1534" i="3"/>
  <c r="P1534" i="3" s="1"/>
  <c r="Q1534" i="3"/>
  <c r="R1534" i="3" s="1"/>
  <c r="S1533" i="3"/>
  <c r="Q1533" i="3" s="1"/>
  <c r="R1533" i="3" s="1"/>
  <c r="S1532" i="3"/>
  <c r="S1531" i="3"/>
  <c r="S1530" i="3"/>
  <c r="P1530" i="3" s="1"/>
  <c r="S1529" i="3"/>
  <c r="P1529" i="3" s="1"/>
  <c r="S1528" i="3"/>
  <c r="S1527" i="3"/>
  <c r="S1526" i="3"/>
  <c r="S1525" i="3"/>
  <c r="S1524" i="3"/>
  <c r="Q1524" i="3" s="1"/>
  <c r="R1524" i="3" s="1"/>
  <c r="S1523" i="3"/>
  <c r="P1523" i="3" s="1"/>
  <c r="S1522" i="3"/>
  <c r="S1521" i="3"/>
  <c r="P1521" i="3" s="1"/>
  <c r="S1520" i="3"/>
  <c r="S1519" i="3"/>
  <c r="P1519" i="3" s="1"/>
  <c r="S1518" i="3"/>
  <c r="P1518" i="3" s="1"/>
  <c r="S1517" i="3"/>
  <c r="S1516" i="3"/>
  <c r="P1516" i="3" s="1"/>
  <c r="S1515" i="3"/>
  <c r="Q1515" i="3" s="1"/>
  <c r="R1515" i="3" s="1"/>
  <c r="S1514" i="3"/>
  <c r="P1514" i="3" s="1"/>
  <c r="Q1514" i="3"/>
  <c r="R1514" i="3" s="1"/>
  <c r="S1513" i="3"/>
  <c r="S1512" i="3"/>
  <c r="P1512" i="3" s="1"/>
  <c r="S1511" i="3"/>
  <c r="Q1511" i="3" s="1"/>
  <c r="R1511" i="3" s="1"/>
  <c r="S1510" i="3"/>
  <c r="S1509" i="3"/>
  <c r="S1508" i="3"/>
  <c r="S1507" i="3"/>
  <c r="P1507" i="3" s="1"/>
  <c r="Q1507" i="3"/>
  <c r="R1507" i="3" s="1"/>
  <c r="S1506" i="3"/>
  <c r="P1506" i="3" s="1"/>
  <c r="Q1506" i="3"/>
  <c r="R1506" i="3" s="1"/>
  <c r="S1505" i="3"/>
  <c r="Q1505" i="3" s="1"/>
  <c r="R1505" i="3" s="1"/>
  <c r="S1504" i="3"/>
  <c r="S1503" i="3"/>
  <c r="S1502" i="3"/>
  <c r="Q1502" i="3" s="1"/>
  <c r="R1502" i="3" s="1"/>
  <c r="P1502" i="3"/>
  <c r="S1501" i="3"/>
  <c r="P1501" i="3" s="1"/>
  <c r="S1500" i="3"/>
  <c r="S1499" i="3"/>
  <c r="S1498" i="3"/>
  <c r="S1497" i="3"/>
  <c r="Q1497" i="3" s="1"/>
  <c r="R1497" i="3" s="1"/>
  <c r="S1496" i="3"/>
  <c r="Q1496" i="3" s="1"/>
  <c r="R1496" i="3" s="1"/>
  <c r="S1495" i="3"/>
  <c r="Q1495" i="3"/>
  <c r="R1495" i="3" s="1"/>
  <c r="P1495" i="3"/>
  <c r="S1494" i="3"/>
  <c r="Q1494" i="3" s="1"/>
  <c r="R1494" i="3" s="1"/>
  <c r="S1493" i="3"/>
  <c r="S1492" i="3"/>
  <c r="S1491" i="3"/>
  <c r="S1490" i="3"/>
  <c r="S1489" i="3"/>
  <c r="S1488" i="3"/>
  <c r="Q1488" i="3"/>
  <c r="R1488" i="3" s="1"/>
  <c r="P1488" i="3"/>
  <c r="S1487" i="3"/>
  <c r="P1487" i="3" s="1"/>
  <c r="Q1487" i="3"/>
  <c r="R1487" i="3" s="1"/>
  <c r="S1486" i="3"/>
  <c r="S1485" i="3"/>
  <c r="S1484" i="3"/>
  <c r="P1484" i="3" s="1"/>
  <c r="S1483" i="3"/>
  <c r="S1482" i="3"/>
  <c r="S1481" i="3"/>
  <c r="Q1481" i="3" s="1"/>
  <c r="R1481" i="3" s="1"/>
  <c r="S1480" i="3"/>
  <c r="Q1480" i="3" s="1"/>
  <c r="R1480" i="3" s="1"/>
  <c r="S1479" i="3"/>
  <c r="S1478" i="3"/>
  <c r="S1477" i="3"/>
  <c r="S1476" i="3"/>
  <c r="S1475" i="3"/>
  <c r="S1474" i="3"/>
  <c r="Q1474" i="3" s="1"/>
  <c r="R1474" i="3" s="1"/>
  <c r="S1473" i="3"/>
  <c r="Q1473" i="3" s="1"/>
  <c r="R1473" i="3" s="1"/>
  <c r="S1472" i="3"/>
  <c r="Q1472" i="3" s="1"/>
  <c r="R1472" i="3" s="1"/>
  <c r="P1472" i="3"/>
  <c r="S1471" i="3"/>
  <c r="S1470" i="3"/>
  <c r="P1470" i="3" s="1"/>
  <c r="S1469" i="3"/>
  <c r="Q1469" i="3" s="1"/>
  <c r="R1469" i="3" s="1"/>
  <c r="S1468" i="3"/>
  <c r="S1467" i="3"/>
  <c r="P1467" i="3" s="1"/>
  <c r="Q1467" i="3"/>
  <c r="R1467" i="3" s="1"/>
  <c r="S1466" i="3"/>
  <c r="S1465" i="3"/>
  <c r="Q1465" i="3" s="1"/>
  <c r="R1465" i="3" s="1"/>
  <c r="P1465" i="3"/>
  <c r="S1464" i="3"/>
  <c r="S1463" i="3"/>
  <c r="P1463" i="3" s="1"/>
  <c r="S1462" i="3"/>
  <c r="S1461" i="3"/>
  <c r="P1461" i="3" s="1"/>
  <c r="S1460" i="3"/>
  <c r="P1460" i="3" s="1"/>
  <c r="S1459" i="3"/>
  <c r="S1458" i="3"/>
  <c r="Q1458" i="3"/>
  <c r="R1458" i="3" s="1"/>
  <c r="P1458" i="3"/>
  <c r="S1457" i="3"/>
  <c r="Q1457" i="3" s="1"/>
  <c r="R1457" i="3" s="1"/>
  <c r="P1457" i="3"/>
  <c r="S1456" i="3"/>
  <c r="P1456" i="3" s="1"/>
  <c r="S1455" i="3"/>
  <c r="P1455" i="3" s="1"/>
  <c r="S1454" i="3"/>
  <c r="S1453" i="3"/>
  <c r="S1452" i="3"/>
  <c r="P1452" i="3" s="1"/>
  <c r="S1451" i="3"/>
  <c r="S1450" i="3"/>
  <c r="Q1450" i="3" s="1"/>
  <c r="R1450" i="3" s="1"/>
  <c r="P1450" i="3"/>
  <c r="S1449" i="3"/>
  <c r="S1448" i="3"/>
  <c r="S1447" i="3"/>
  <c r="S1446" i="3"/>
  <c r="S1445" i="3"/>
  <c r="P1445" i="3" s="1"/>
  <c r="S1444" i="3"/>
  <c r="S1443" i="3"/>
  <c r="Q1443" i="3" s="1"/>
  <c r="R1443" i="3" s="1"/>
  <c r="S1442" i="3"/>
  <c r="S1441" i="3"/>
  <c r="Q1441" i="3" s="1"/>
  <c r="R1441" i="3" s="1"/>
  <c r="S1440" i="3"/>
  <c r="P1440" i="3" s="1"/>
  <c r="S1439" i="3"/>
  <c r="Q1439" i="3" s="1"/>
  <c r="R1439" i="3" s="1"/>
  <c r="S1438" i="3"/>
  <c r="S1437" i="3"/>
  <c r="S1436" i="3"/>
  <c r="Q1436" i="3" s="1"/>
  <c r="R1436" i="3" s="1"/>
  <c r="S1435" i="3"/>
  <c r="P1435" i="3" s="1"/>
  <c r="S1434" i="3"/>
  <c r="P1434" i="3" s="1"/>
  <c r="S1433" i="3"/>
  <c r="Q1433" i="3" s="1"/>
  <c r="R1433" i="3" s="1"/>
  <c r="S1432" i="3"/>
  <c r="P1432" i="3" s="1"/>
  <c r="S1431" i="3"/>
  <c r="P1431" i="3" s="1"/>
  <c r="Q1431" i="3"/>
  <c r="R1431" i="3" s="1"/>
  <c r="S1430" i="3"/>
  <c r="S1429" i="3"/>
  <c r="S1428" i="3"/>
  <c r="P1428" i="3" s="1"/>
  <c r="S1427" i="3"/>
  <c r="Q1427" i="3" s="1"/>
  <c r="R1427" i="3" s="1"/>
  <c r="P1427" i="3"/>
  <c r="S1426" i="3"/>
  <c r="S1425" i="3"/>
  <c r="S1424" i="3"/>
  <c r="S1423" i="3"/>
  <c r="Q1423" i="3" s="1"/>
  <c r="R1423" i="3" s="1"/>
  <c r="S1422" i="3"/>
  <c r="S1421" i="3"/>
  <c r="S1420" i="3"/>
  <c r="S1419" i="3"/>
  <c r="S1418" i="3"/>
  <c r="Q1418" i="3" s="1"/>
  <c r="R1418" i="3" s="1"/>
  <c r="S1417" i="3"/>
  <c r="Q1417" i="3" s="1"/>
  <c r="R1417" i="3" s="1"/>
  <c r="S1416" i="3"/>
  <c r="Q1416" i="3"/>
  <c r="R1416" i="3" s="1"/>
  <c r="P1416" i="3"/>
  <c r="S1415" i="3"/>
  <c r="Q1415" i="3" s="1"/>
  <c r="R1415" i="3" s="1"/>
  <c r="S1414" i="3"/>
  <c r="S1413" i="3"/>
  <c r="S1412" i="3"/>
  <c r="S1411" i="3"/>
  <c r="S1410" i="3"/>
  <c r="S1409" i="3"/>
  <c r="S1408" i="3"/>
  <c r="Q1408" i="3" s="1"/>
  <c r="R1408" i="3" s="1"/>
  <c r="S1407" i="3"/>
  <c r="S1406" i="3"/>
  <c r="S1405" i="3"/>
  <c r="Q1405" i="3" s="1"/>
  <c r="R1405" i="3" s="1"/>
  <c r="P1405" i="3"/>
  <c r="S1404" i="3"/>
  <c r="S1403" i="3"/>
  <c r="P1403" i="3" s="1"/>
  <c r="S1402" i="3"/>
  <c r="S1401" i="3"/>
  <c r="Q1401" i="3" s="1"/>
  <c r="R1401" i="3" s="1"/>
  <c r="S1400" i="3"/>
  <c r="S1399" i="3"/>
  <c r="S1398" i="3"/>
  <c r="Q1398" i="3" s="1"/>
  <c r="R1398" i="3" s="1"/>
  <c r="S1397" i="3"/>
  <c r="S1396" i="3"/>
  <c r="Q1396" i="3" s="1"/>
  <c r="R1396" i="3" s="1"/>
  <c r="S1395" i="3"/>
  <c r="S1394" i="3"/>
  <c r="P1394" i="3" s="1"/>
  <c r="Q1394" i="3"/>
  <c r="R1394" i="3" s="1"/>
  <c r="S1393" i="3"/>
  <c r="S1392" i="3"/>
  <c r="S1391" i="3"/>
  <c r="S1390" i="3"/>
  <c r="P1390" i="3" s="1"/>
  <c r="Q1390" i="3"/>
  <c r="R1390" i="3" s="1"/>
  <c r="S1389" i="3"/>
  <c r="S1388" i="3"/>
  <c r="S1387" i="3"/>
  <c r="S1386" i="3"/>
  <c r="S1385" i="3"/>
  <c r="S1384" i="3"/>
  <c r="Q1384" i="3" s="1"/>
  <c r="R1384" i="3" s="1"/>
  <c r="S1383" i="3"/>
  <c r="S1382" i="3"/>
  <c r="S1381" i="3"/>
  <c r="Q1381" i="3" s="1"/>
  <c r="R1381" i="3" s="1"/>
  <c r="S1380" i="3"/>
  <c r="P1380" i="3" s="1"/>
  <c r="Q1380" i="3"/>
  <c r="R1380" i="3" s="1"/>
  <c r="S1379" i="3"/>
  <c r="S1378" i="3"/>
  <c r="S1377" i="3"/>
  <c r="S1376" i="3"/>
  <c r="P1376" i="3" s="1"/>
  <c r="Q1376" i="3"/>
  <c r="R1376" i="3" s="1"/>
  <c r="S1375" i="3"/>
  <c r="S1374" i="3"/>
  <c r="Q1374" i="3" s="1"/>
  <c r="R1374" i="3" s="1"/>
  <c r="P1374" i="3"/>
  <c r="S1373" i="3"/>
  <c r="S1372" i="3"/>
  <c r="Q1372" i="3" s="1"/>
  <c r="R1372" i="3" s="1"/>
  <c r="S1371" i="3"/>
  <c r="S1370" i="3"/>
  <c r="Q1370" i="3" s="1"/>
  <c r="R1370" i="3" s="1"/>
  <c r="S1369" i="3"/>
  <c r="S1368" i="3"/>
  <c r="P1368" i="3" s="1"/>
  <c r="S1367" i="3"/>
  <c r="Q1367" i="3" s="1"/>
  <c r="R1367" i="3" s="1"/>
  <c r="S1366" i="3"/>
  <c r="P1366" i="3" s="1"/>
  <c r="Q1366" i="3"/>
  <c r="R1366" i="3" s="1"/>
  <c r="S1365" i="3"/>
  <c r="Q1365" i="3" s="1"/>
  <c r="R1365" i="3" s="1"/>
  <c r="S1364" i="3"/>
  <c r="S1363" i="3"/>
  <c r="S1362" i="3"/>
  <c r="S1361" i="3"/>
  <c r="P1361" i="3" s="1"/>
  <c r="Q1361" i="3"/>
  <c r="R1361" i="3" s="1"/>
  <c r="S1360" i="3"/>
  <c r="Q1360" i="3" s="1"/>
  <c r="R1360" i="3" s="1"/>
  <c r="P1360" i="3"/>
  <c r="S1359" i="3"/>
  <c r="S1358" i="3"/>
  <c r="S1357" i="3"/>
  <c r="Q1357" i="3" s="1"/>
  <c r="R1357" i="3" s="1"/>
  <c r="S1356" i="3"/>
  <c r="S1355" i="3"/>
  <c r="Q1355" i="3" s="1"/>
  <c r="R1355" i="3" s="1"/>
  <c r="P1355" i="3"/>
  <c r="S1354" i="3"/>
  <c r="S1353" i="3"/>
  <c r="P1353" i="3" s="1"/>
  <c r="S1352" i="3"/>
  <c r="S1351" i="3"/>
  <c r="P1351" i="3" s="1"/>
  <c r="S1350" i="3"/>
  <c r="P1350" i="3" s="1"/>
  <c r="S1349" i="3"/>
  <c r="S1348" i="3"/>
  <c r="S1347" i="3"/>
  <c r="S1346" i="3"/>
  <c r="Q1346" i="3" s="1"/>
  <c r="R1346" i="3" s="1"/>
  <c r="P1346" i="3"/>
  <c r="S1345" i="3"/>
  <c r="S1344" i="3"/>
  <c r="P1344" i="3" s="1"/>
  <c r="S1343" i="3"/>
  <c r="S1342" i="3"/>
  <c r="S1341" i="3"/>
  <c r="P1341" i="3" s="1"/>
  <c r="S1340" i="3"/>
  <c r="S1339" i="3"/>
  <c r="Q1339" i="3" s="1"/>
  <c r="R1339" i="3" s="1"/>
  <c r="S1338" i="3"/>
  <c r="S1337" i="3"/>
  <c r="S1336" i="3"/>
  <c r="Q1336" i="3" s="1"/>
  <c r="R1336" i="3" s="1"/>
  <c r="S1335" i="3"/>
  <c r="Q1335" i="3" s="1"/>
  <c r="R1335" i="3" s="1"/>
  <c r="S1334" i="3"/>
  <c r="S1333" i="3"/>
  <c r="S1332" i="3"/>
  <c r="S1331" i="3"/>
  <c r="S1330" i="3"/>
  <c r="Q1330" i="3" s="1"/>
  <c r="R1330" i="3" s="1"/>
  <c r="S1329" i="3"/>
  <c r="S1328" i="3"/>
  <c r="S1327" i="3"/>
  <c r="P1327" i="3" s="1"/>
  <c r="S1326" i="3"/>
  <c r="P1326" i="3" s="1"/>
  <c r="Q1326" i="3"/>
  <c r="R1326" i="3" s="1"/>
  <c r="S1325" i="3"/>
  <c r="S1324" i="3"/>
  <c r="S1323" i="3"/>
  <c r="Q1323" i="3" s="1"/>
  <c r="R1323" i="3" s="1"/>
  <c r="S1322" i="3"/>
  <c r="Q1322" i="3" s="1"/>
  <c r="R1322" i="3" s="1"/>
  <c r="P1322" i="3"/>
  <c r="S1321" i="3"/>
  <c r="P1321" i="3" s="1"/>
  <c r="S1320" i="3"/>
  <c r="S1319" i="3"/>
  <c r="S1318" i="3"/>
  <c r="S1317" i="3"/>
  <c r="P1317" i="3" s="1"/>
  <c r="S1316" i="3"/>
  <c r="P1316" i="3" s="1"/>
  <c r="Q1316" i="3"/>
  <c r="R1316" i="3" s="1"/>
  <c r="S1315" i="3"/>
  <c r="S1314" i="3"/>
  <c r="Q1314" i="3" s="1"/>
  <c r="R1314" i="3" s="1"/>
  <c r="S1313" i="3"/>
  <c r="P1313" i="3" s="1"/>
  <c r="Q1313" i="3"/>
  <c r="R1313" i="3" s="1"/>
  <c r="S1312" i="3"/>
  <c r="S1311" i="3"/>
  <c r="S1310" i="3"/>
  <c r="S1309" i="3"/>
  <c r="P1309" i="3" s="1"/>
  <c r="S1308" i="3"/>
  <c r="Q1308" i="3" s="1"/>
  <c r="R1308" i="3" s="1"/>
  <c r="S1307" i="3"/>
  <c r="P1307" i="3" s="1"/>
  <c r="Q1307" i="3"/>
  <c r="R1307" i="3" s="1"/>
  <c r="S1306" i="3"/>
  <c r="Q1306" i="3" s="1"/>
  <c r="R1306" i="3" s="1"/>
  <c r="S1305" i="3"/>
  <c r="S1304" i="3"/>
  <c r="P1304" i="3" s="1"/>
  <c r="S1303" i="3"/>
  <c r="S1302" i="3"/>
  <c r="S1301" i="3"/>
  <c r="P1301" i="3" s="1"/>
  <c r="Q1301" i="3"/>
  <c r="R1301" i="3" s="1"/>
  <c r="S1300" i="3"/>
  <c r="S1299" i="3"/>
  <c r="P1299" i="3" s="1"/>
  <c r="S1298" i="3"/>
  <c r="S1297" i="3"/>
  <c r="Q1297" i="3" s="1"/>
  <c r="R1297" i="3" s="1"/>
  <c r="P1297" i="3"/>
  <c r="S1296" i="3"/>
  <c r="P1296" i="3" s="1"/>
  <c r="S1295" i="3"/>
  <c r="P1295" i="3" s="1"/>
  <c r="S1294" i="3"/>
  <c r="S1293" i="3"/>
  <c r="S1292" i="3"/>
  <c r="Q1292" i="3" s="1"/>
  <c r="R1292" i="3" s="1"/>
  <c r="S1291" i="3"/>
  <c r="Q1291" i="3" s="1"/>
  <c r="R1291" i="3" s="1"/>
  <c r="S1290" i="3"/>
  <c r="S1289" i="3"/>
  <c r="Q1289" i="3" s="1"/>
  <c r="R1289" i="3" s="1"/>
  <c r="S1288" i="3"/>
  <c r="S1287" i="3"/>
  <c r="S1286" i="3"/>
  <c r="Q1286" i="3" s="1"/>
  <c r="R1286" i="3" s="1"/>
  <c r="S1285" i="3"/>
  <c r="P1285" i="3" s="1"/>
  <c r="S1284" i="3"/>
  <c r="P1284" i="3" s="1"/>
  <c r="S1283" i="3"/>
  <c r="Q1283" i="3"/>
  <c r="R1283" i="3" s="1"/>
  <c r="P1283" i="3"/>
  <c r="S1282" i="3"/>
  <c r="S1281" i="3"/>
  <c r="S1280" i="3"/>
  <c r="S1279" i="3"/>
  <c r="Q1279" i="3" s="1"/>
  <c r="R1279" i="3" s="1"/>
  <c r="P1279" i="3"/>
  <c r="S1278" i="3"/>
  <c r="S1277" i="3"/>
  <c r="S1276" i="3"/>
  <c r="S1275" i="3"/>
  <c r="Q1275" i="3" s="1"/>
  <c r="R1275" i="3" s="1"/>
  <c r="P1275" i="3"/>
  <c r="S1274" i="3"/>
  <c r="S1273" i="3"/>
  <c r="Q1273" i="3" s="1"/>
  <c r="R1273" i="3" s="1"/>
  <c r="S1272" i="3"/>
  <c r="S1271" i="3"/>
  <c r="P1271" i="3" s="1"/>
  <c r="S1270" i="3"/>
  <c r="S1269" i="3"/>
  <c r="P1269" i="3" s="1"/>
  <c r="S1268" i="3"/>
  <c r="Q1268" i="3" s="1"/>
  <c r="R1268" i="3" s="1"/>
  <c r="P1268" i="3"/>
  <c r="S1267" i="3"/>
  <c r="S1266" i="3"/>
  <c r="Q1266" i="3" s="1"/>
  <c r="R1266" i="3" s="1"/>
  <c r="S1265" i="3"/>
  <c r="S1264" i="3"/>
  <c r="P1264" i="3" s="1"/>
  <c r="Q1264" i="3"/>
  <c r="R1264" i="3" s="1"/>
  <c r="S1263" i="3"/>
  <c r="P1263" i="3" s="1"/>
  <c r="Q1263" i="3"/>
  <c r="R1263" i="3" s="1"/>
  <c r="S1262" i="3"/>
  <c r="Q1262" i="3" s="1"/>
  <c r="R1262" i="3" s="1"/>
  <c r="P1262" i="3"/>
  <c r="S1261" i="3"/>
  <c r="S1260" i="3"/>
  <c r="S1259" i="3"/>
  <c r="P1259" i="3" s="1"/>
  <c r="S1258" i="3"/>
  <c r="S1257" i="3"/>
  <c r="S1256" i="3"/>
  <c r="S1255" i="3"/>
  <c r="S1254" i="3"/>
  <c r="P1254" i="3" s="1"/>
  <c r="S1253" i="3"/>
  <c r="Q1253" i="3" s="1"/>
  <c r="R1253" i="3" s="1"/>
  <c r="S1252" i="3"/>
  <c r="S1251" i="3"/>
  <c r="P1251" i="3" s="1"/>
  <c r="S1250" i="3"/>
  <c r="S1249" i="3"/>
  <c r="S1248" i="3"/>
  <c r="S1247" i="3"/>
  <c r="S1246" i="3"/>
  <c r="Q1246" i="3" s="1"/>
  <c r="R1246" i="3" s="1"/>
  <c r="S1245" i="3"/>
  <c r="P1245" i="3" s="1"/>
  <c r="Q1245" i="3"/>
  <c r="R1245" i="3" s="1"/>
  <c r="S1244" i="3"/>
  <c r="S1243" i="3"/>
  <c r="Q1243" i="3" s="1"/>
  <c r="R1243" i="3" s="1"/>
  <c r="S1242" i="3"/>
  <c r="P1242" i="3" s="1"/>
  <c r="S1241" i="3"/>
  <c r="S1240" i="3"/>
  <c r="S1239" i="3"/>
  <c r="Q1239" i="3" s="1"/>
  <c r="R1239" i="3" s="1"/>
  <c r="S1238" i="3"/>
  <c r="S1237" i="3"/>
  <c r="Q1237" i="3" s="1"/>
  <c r="R1237" i="3" s="1"/>
  <c r="P1237" i="3"/>
  <c r="S1236" i="3"/>
  <c r="Q1236" i="3" s="1"/>
  <c r="R1236" i="3" s="1"/>
  <c r="P1236" i="3"/>
  <c r="S1235" i="3"/>
  <c r="Q1235" i="3" s="1"/>
  <c r="R1235" i="3" s="1"/>
  <c r="P1235" i="3"/>
  <c r="S1234" i="3"/>
  <c r="S1233" i="3"/>
  <c r="Q1233" i="3" s="1"/>
  <c r="R1233" i="3" s="1"/>
  <c r="S1232" i="3"/>
  <c r="S1231" i="3"/>
  <c r="S1230" i="3"/>
  <c r="S1229" i="3"/>
  <c r="P1229" i="3" s="1"/>
  <c r="S1228" i="3"/>
  <c r="S1227" i="3"/>
  <c r="Q1227" i="3" s="1"/>
  <c r="R1227" i="3" s="1"/>
  <c r="P1227" i="3"/>
  <c r="S1226" i="3"/>
  <c r="S1225" i="3"/>
  <c r="S1224" i="3"/>
  <c r="S1223" i="3"/>
  <c r="S1222" i="3"/>
  <c r="S1221" i="3"/>
  <c r="S1220" i="3"/>
  <c r="S1219" i="3"/>
  <c r="S1218" i="3"/>
  <c r="S1217" i="3"/>
  <c r="Q1217" i="3" s="1"/>
  <c r="R1217" i="3" s="1"/>
  <c r="S1216" i="3"/>
  <c r="Q1216" i="3" s="1"/>
  <c r="R1216" i="3" s="1"/>
  <c r="P1216" i="3"/>
  <c r="S1215" i="3"/>
  <c r="S1214" i="3"/>
  <c r="S1213" i="3"/>
  <c r="S1212" i="3"/>
  <c r="S1211" i="3"/>
  <c r="P1211" i="3" s="1"/>
  <c r="Q1211" i="3"/>
  <c r="R1211" i="3" s="1"/>
  <c r="S1210" i="3"/>
  <c r="Q1210" i="3" s="1"/>
  <c r="R1210" i="3" s="1"/>
  <c r="S1209" i="3"/>
  <c r="S1208" i="3"/>
  <c r="P1208" i="3" s="1"/>
  <c r="Q1208" i="3"/>
  <c r="R1208" i="3" s="1"/>
  <c r="S1207" i="3"/>
  <c r="S1206" i="3"/>
  <c r="P1206" i="3" s="1"/>
  <c r="Q1206" i="3"/>
  <c r="R1206" i="3" s="1"/>
  <c r="S1205" i="3"/>
  <c r="P1205" i="3" s="1"/>
  <c r="S1204" i="3"/>
  <c r="P1204" i="3" s="1"/>
  <c r="S1203" i="3"/>
  <c r="S1202" i="3"/>
  <c r="S1201" i="3"/>
  <c r="Q1201" i="3" s="1"/>
  <c r="R1201" i="3" s="1"/>
  <c r="S1200" i="3"/>
  <c r="S1199" i="3"/>
  <c r="Q1199" i="3" s="1"/>
  <c r="R1199" i="3" s="1"/>
  <c r="S1198" i="3"/>
  <c r="S1197" i="3"/>
  <c r="S1196" i="3"/>
  <c r="S1195" i="3"/>
  <c r="P1195" i="3" s="1"/>
  <c r="S1194" i="3"/>
  <c r="P1194" i="3" s="1"/>
  <c r="S1193" i="3"/>
  <c r="S1192" i="3"/>
  <c r="S1191" i="3"/>
  <c r="S1190" i="3"/>
  <c r="S1189" i="3"/>
  <c r="S1188" i="3"/>
  <c r="S1187" i="3"/>
  <c r="S1186" i="3"/>
  <c r="P1186" i="3" s="1"/>
  <c r="S1185" i="3"/>
  <c r="S1184" i="3"/>
  <c r="Q1184" i="3" s="1"/>
  <c r="R1184" i="3" s="1"/>
  <c r="P1184" i="3"/>
  <c r="S1183" i="3"/>
  <c r="S1182" i="3"/>
  <c r="Q1182" i="3" s="1"/>
  <c r="R1182" i="3" s="1"/>
  <c r="P1182" i="3"/>
  <c r="S1181" i="3"/>
  <c r="P1181" i="3" s="1"/>
  <c r="S1180" i="3"/>
  <c r="Q1180" i="3" s="1"/>
  <c r="R1180" i="3" s="1"/>
  <c r="P1180" i="3"/>
  <c r="S1179" i="3"/>
  <c r="S1178" i="3"/>
  <c r="S1177" i="3"/>
  <c r="P1177" i="3" s="1"/>
  <c r="Q1177" i="3"/>
  <c r="R1177" i="3" s="1"/>
  <c r="S1176" i="3"/>
  <c r="P1176" i="3" s="1"/>
  <c r="S1175" i="3"/>
  <c r="P1175" i="3" s="1"/>
  <c r="S1174" i="3"/>
  <c r="Q1174" i="3" s="1"/>
  <c r="R1174" i="3" s="1"/>
  <c r="S1173" i="3"/>
  <c r="S1172" i="3"/>
  <c r="S1171" i="3"/>
  <c r="Q1171" i="3" s="1"/>
  <c r="R1171" i="3" s="1"/>
  <c r="S1170" i="3"/>
  <c r="P1170" i="3" s="1"/>
  <c r="Q1170" i="3"/>
  <c r="R1170" i="3" s="1"/>
  <c r="S1169" i="3"/>
  <c r="S1168" i="3"/>
  <c r="Q1168" i="3"/>
  <c r="R1168" i="3" s="1"/>
  <c r="P1168" i="3"/>
  <c r="S1167" i="3"/>
  <c r="P1167" i="3" s="1"/>
  <c r="S1166" i="3"/>
  <c r="S1165" i="3"/>
  <c r="S1164" i="3"/>
  <c r="P1164" i="3" s="1"/>
  <c r="Q1164" i="3"/>
  <c r="R1164" i="3" s="1"/>
  <c r="S1163" i="3"/>
  <c r="S1162" i="3"/>
  <c r="S1161" i="3"/>
  <c r="Q1161" i="3" s="1"/>
  <c r="R1161" i="3" s="1"/>
  <c r="S1160" i="3"/>
  <c r="S1159" i="3"/>
  <c r="Q1159" i="3" s="1"/>
  <c r="R1159" i="3" s="1"/>
  <c r="S1158" i="3"/>
  <c r="S1157" i="3"/>
  <c r="S1156" i="3"/>
  <c r="P1156" i="3" s="1"/>
  <c r="S1155" i="3"/>
  <c r="S1154" i="3"/>
  <c r="P1154" i="3" s="1"/>
  <c r="S1153" i="3"/>
  <c r="S1152" i="3"/>
  <c r="S1151" i="3"/>
  <c r="S1150" i="3"/>
  <c r="S1149" i="3"/>
  <c r="Q1149" i="3" s="1"/>
  <c r="R1149" i="3" s="1"/>
  <c r="S1148" i="3"/>
  <c r="S1147" i="3"/>
  <c r="Q1147" i="3" s="1"/>
  <c r="R1147" i="3" s="1"/>
  <c r="P1147" i="3"/>
  <c r="S1146" i="3"/>
  <c r="S1145" i="3"/>
  <c r="P1145" i="3" s="1"/>
  <c r="S1144" i="3"/>
  <c r="S1143" i="3"/>
  <c r="P1143" i="3" s="1"/>
  <c r="Q1143" i="3"/>
  <c r="R1143" i="3" s="1"/>
  <c r="S1142" i="3"/>
  <c r="Q1142" i="3" s="1"/>
  <c r="R1142" i="3" s="1"/>
  <c r="S1141" i="3"/>
  <c r="P1141" i="3" s="1"/>
  <c r="S1140" i="3"/>
  <c r="S1139" i="3"/>
  <c r="Q1139" i="3" s="1"/>
  <c r="R1139" i="3" s="1"/>
  <c r="P1139" i="3"/>
  <c r="S1138" i="3"/>
  <c r="S1137" i="3"/>
  <c r="P1137" i="3" s="1"/>
  <c r="S1136" i="3"/>
  <c r="Q1136" i="3" s="1"/>
  <c r="R1136" i="3" s="1"/>
  <c r="S1135" i="3"/>
  <c r="P1135" i="3" s="1"/>
  <c r="S1134" i="3"/>
  <c r="Q1134" i="3" s="1"/>
  <c r="R1134" i="3" s="1"/>
  <c r="S1133" i="3"/>
  <c r="S1132" i="3"/>
  <c r="Q1132" i="3" s="1"/>
  <c r="R1132" i="3" s="1"/>
  <c r="S1131" i="3"/>
  <c r="S1130" i="3"/>
  <c r="S1129" i="3"/>
  <c r="Q1129" i="3"/>
  <c r="R1129" i="3" s="1"/>
  <c r="P1129" i="3"/>
  <c r="S1128" i="3"/>
  <c r="S1127" i="3"/>
  <c r="S1126" i="3"/>
  <c r="S1125" i="3"/>
  <c r="S1124" i="3"/>
  <c r="P1124" i="3" s="1"/>
  <c r="S1123" i="3"/>
  <c r="P1123" i="3" s="1"/>
  <c r="Q1123" i="3"/>
  <c r="R1123" i="3" s="1"/>
  <c r="S1122" i="3"/>
  <c r="S1121" i="3"/>
  <c r="Q1121" i="3" s="1"/>
  <c r="R1121" i="3" s="1"/>
  <c r="S1120" i="3"/>
  <c r="S1119" i="3"/>
  <c r="P1119" i="3" s="1"/>
  <c r="Q1119" i="3"/>
  <c r="R1119" i="3" s="1"/>
  <c r="S1118" i="3"/>
  <c r="Q1118" i="3" s="1"/>
  <c r="R1118" i="3"/>
  <c r="S1117" i="3"/>
  <c r="S1116" i="3"/>
  <c r="S1115" i="3"/>
  <c r="Q1115" i="3" s="1"/>
  <c r="R1115" i="3" s="1"/>
  <c r="S1114" i="3"/>
  <c r="Q1114" i="3" s="1"/>
  <c r="R1114" i="3" s="1"/>
  <c r="S1113" i="3"/>
  <c r="S1112" i="3"/>
  <c r="S1111" i="3"/>
  <c r="S1110" i="3"/>
  <c r="P1110" i="3" s="1"/>
  <c r="Q1110" i="3"/>
  <c r="R1110" i="3" s="1"/>
  <c r="S1109" i="3"/>
  <c r="Q1109" i="3" s="1"/>
  <c r="R1109" i="3" s="1"/>
  <c r="S1108" i="3"/>
  <c r="S1107" i="3"/>
  <c r="Q1107" i="3" s="1"/>
  <c r="R1107" i="3" s="1"/>
  <c r="S1106" i="3"/>
  <c r="P1106" i="3" s="1"/>
  <c r="S1105" i="3"/>
  <c r="S1104" i="3"/>
  <c r="P1104" i="3" s="1"/>
  <c r="S1103" i="3"/>
  <c r="S1102" i="3"/>
  <c r="S1101" i="3"/>
  <c r="S1100" i="3"/>
  <c r="S1099" i="3"/>
  <c r="Q1099" i="3" s="1"/>
  <c r="R1099" i="3" s="1"/>
  <c r="S1098" i="3"/>
  <c r="S1097" i="3"/>
  <c r="Q1097" i="3" s="1"/>
  <c r="R1097" i="3" s="1"/>
  <c r="S1096" i="3"/>
  <c r="P1096" i="3" s="1"/>
  <c r="S1095" i="3"/>
  <c r="P1095" i="3" s="1"/>
  <c r="Q1095" i="3"/>
  <c r="R1095" i="3" s="1"/>
  <c r="S1094" i="3"/>
  <c r="S1093" i="3"/>
  <c r="P1093" i="3" s="1"/>
  <c r="Q1093" i="3"/>
  <c r="R1093" i="3" s="1"/>
  <c r="S1092" i="3"/>
  <c r="P1092" i="3" s="1"/>
  <c r="Q1092" i="3"/>
  <c r="R1092" i="3" s="1"/>
  <c r="S1091" i="3"/>
  <c r="S1090" i="3"/>
  <c r="Q1090" i="3" s="1"/>
  <c r="R1090" i="3" s="1"/>
  <c r="S1089" i="3"/>
  <c r="Q1089" i="3" s="1"/>
  <c r="R1089" i="3" s="1"/>
  <c r="S1088" i="3"/>
  <c r="Q1088" i="3" s="1"/>
  <c r="R1088" i="3" s="1"/>
  <c r="S1087" i="3"/>
  <c r="P1087" i="3" s="1"/>
  <c r="Q1087" i="3"/>
  <c r="R1087" i="3" s="1"/>
  <c r="S1086" i="3"/>
  <c r="Q1086" i="3" s="1"/>
  <c r="R1086" i="3" s="1"/>
  <c r="S1085" i="3"/>
  <c r="P1085" i="3" s="1"/>
  <c r="S1084" i="3"/>
  <c r="P1084" i="3" s="1"/>
  <c r="S1083" i="3"/>
  <c r="Q1083" i="3"/>
  <c r="R1083" i="3" s="1"/>
  <c r="P1083" i="3"/>
  <c r="S1082" i="3"/>
  <c r="Q1082" i="3" s="1"/>
  <c r="R1082" i="3" s="1"/>
  <c r="S1081" i="3"/>
  <c r="P1081" i="3" s="1"/>
  <c r="Q1081" i="3"/>
  <c r="R1081" i="3" s="1"/>
  <c r="S1080" i="3"/>
  <c r="Q1080" i="3" s="1"/>
  <c r="R1080" i="3" s="1"/>
  <c r="S1079" i="3"/>
  <c r="P1079" i="3" s="1"/>
  <c r="S1078" i="3"/>
  <c r="S1077" i="3"/>
  <c r="S1076" i="3"/>
  <c r="S1075" i="3"/>
  <c r="S1074" i="3"/>
  <c r="Q1074" i="3" s="1"/>
  <c r="R1074" i="3" s="1"/>
  <c r="P1074" i="3"/>
  <c r="S1073" i="3"/>
  <c r="Q1073" i="3" s="1"/>
  <c r="R1073" i="3" s="1"/>
  <c r="P1073" i="3"/>
  <c r="S1072" i="3"/>
  <c r="Q1072" i="3" s="1"/>
  <c r="R1072" i="3" s="1"/>
  <c r="S1071" i="3"/>
  <c r="S1070" i="3"/>
  <c r="Q1070" i="3" s="1"/>
  <c r="R1070" i="3" s="1"/>
  <c r="S1069" i="3"/>
  <c r="Q1069" i="3" s="1"/>
  <c r="R1069" i="3" s="1"/>
  <c r="P1069" i="3"/>
  <c r="S1068" i="3"/>
  <c r="Q1068" i="3" s="1"/>
  <c r="R1068" i="3" s="1"/>
  <c r="P1068" i="3"/>
  <c r="S1067" i="3"/>
  <c r="P1067" i="3" s="1"/>
  <c r="Q1067" i="3"/>
  <c r="R1067" i="3" s="1"/>
  <c r="S1066" i="3"/>
  <c r="Q1066" i="3" s="1"/>
  <c r="R1066" i="3" s="1"/>
  <c r="P1066" i="3"/>
  <c r="S1065" i="3"/>
  <c r="S1064" i="3"/>
  <c r="Q1064" i="3" s="1"/>
  <c r="R1064" i="3" s="1"/>
  <c r="S1063" i="3"/>
  <c r="P1063" i="3" s="1"/>
  <c r="S1062" i="3"/>
  <c r="S1061" i="3"/>
  <c r="P1061" i="3" s="1"/>
  <c r="S1060" i="3"/>
  <c r="Q1060" i="3" s="1"/>
  <c r="R1060" i="3" s="1"/>
  <c r="P1060" i="3"/>
  <c r="S1059" i="3"/>
  <c r="Q1059" i="3" s="1"/>
  <c r="R1059" i="3" s="1"/>
  <c r="S1058" i="3"/>
  <c r="Q1058" i="3" s="1"/>
  <c r="R1058" i="3" s="1"/>
  <c r="S1057" i="3"/>
  <c r="S1056" i="3"/>
  <c r="P1056" i="3" s="1"/>
  <c r="S1055" i="3"/>
  <c r="S1054" i="3"/>
  <c r="Q1054" i="3" s="1"/>
  <c r="R1054" i="3" s="1"/>
  <c r="S1053" i="3"/>
  <c r="S1052" i="3"/>
  <c r="S1051" i="3"/>
  <c r="S1050" i="3"/>
  <c r="Q1050" i="3" s="1"/>
  <c r="R1050" i="3" s="1"/>
  <c r="S1049" i="3"/>
  <c r="Q1049" i="3" s="1"/>
  <c r="R1049" i="3" s="1"/>
  <c r="S1048" i="3"/>
  <c r="S1047" i="3"/>
  <c r="P1047" i="3" s="1"/>
  <c r="S1046" i="3"/>
  <c r="Q1046" i="3" s="1"/>
  <c r="R1046" i="3" s="1"/>
  <c r="S1045" i="3"/>
  <c r="P1045" i="3" s="1"/>
  <c r="S1044" i="3"/>
  <c r="Q1044" i="3" s="1"/>
  <c r="R1044" i="3" s="1"/>
  <c r="S1043" i="3"/>
  <c r="S1042" i="3"/>
  <c r="Q1042" i="3" s="1"/>
  <c r="R1042" i="3" s="1"/>
  <c r="P1042" i="3"/>
  <c r="S1041" i="3"/>
  <c r="P1041" i="3" s="1"/>
  <c r="Q1041" i="3"/>
  <c r="R1041" i="3" s="1"/>
  <c r="S1040" i="3"/>
  <c r="Q1040" i="3" s="1"/>
  <c r="R1040" i="3" s="1"/>
  <c r="S1039" i="3"/>
  <c r="S1038" i="3"/>
  <c r="Q1038" i="3" s="1"/>
  <c r="R1038" i="3" s="1"/>
  <c r="P1038" i="3"/>
  <c r="S1037" i="3"/>
  <c r="Q1037" i="3" s="1"/>
  <c r="R1037" i="3" s="1"/>
  <c r="S1036" i="3"/>
  <c r="S1035" i="3"/>
  <c r="S1034" i="3"/>
  <c r="S1033" i="3"/>
  <c r="S1032" i="3"/>
  <c r="Q1032" i="3" s="1"/>
  <c r="R1032" i="3" s="1"/>
  <c r="S1031" i="3"/>
  <c r="Q1031" i="3" s="1"/>
  <c r="R1031" i="3" s="1"/>
  <c r="S1030" i="3"/>
  <c r="Q1030" i="3" s="1"/>
  <c r="R1030" i="3" s="1"/>
  <c r="S1029" i="3"/>
  <c r="P1029" i="3" s="1"/>
  <c r="S1028" i="3"/>
  <c r="Q1028" i="3" s="1"/>
  <c r="R1028" i="3" s="1"/>
  <c r="S1027" i="3"/>
  <c r="S1026" i="3"/>
  <c r="Q1026" i="3" s="1"/>
  <c r="R1026" i="3" s="1"/>
  <c r="S1025" i="3"/>
  <c r="S1024" i="3"/>
  <c r="S1023" i="3"/>
  <c r="Q1023" i="3" s="1"/>
  <c r="R1023" i="3" s="1"/>
  <c r="S1022" i="3"/>
  <c r="Q1022" i="3" s="1"/>
  <c r="R1022" i="3" s="1"/>
  <c r="S1021" i="3"/>
  <c r="Q1021" i="3" s="1"/>
  <c r="R1021" i="3" s="1"/>
  <c r="S1020" i="3"/>
  <c r="S1019" i="3"/>
  <c r="Q1019" i="3" s="1"/>
  <c r="R1019" i="3" s="1"/>
  <c r="P1019" i="3"/>
  <c r="S1018" i="3"/>
  <c r="Q1018" i="3" s="1"/>
  <c r="R1018" i="3" s="1"/>
  <c r="P1018" i="3"/>
  <c r="S1017" i="3"/>
  <c r="Q1017" i="3" s="1"/>
  <c r="R1017" i="3" s="1"/>
  <c r="S1016" i="3"/>
  <c r="Q1016" i="3" s="1"/>
  <c r="R1016" i="3" s="1"/>
  <c r="S1015" i="3"/>
  <c r="S1014" i="3"/>
  <c r="P1014" i="3" s="1"/>
  <c r="S1013" i="3"/>
  <c r="Q1013" i="3" s="1"/>
  <c r="R1013" i="3" s="1"/>
  <c r="S1012" i="3"/>
  <c r="S1011" i="3"/>
  <c r="Q1011" i="3" s="1"/>
  <c r="R1011" i="3" s="1"/>
  <c r="S1010" i="3"/>
  <c r="Q1010" i="3" s="1"/>
  <c r="R1010" i="3" s="1"/>
  <c r="S1009" i="3"/>
  <c r="P1009" i="3" s="1"/>
  <c r="S1008" i="3"/>
  <c r="S1007" i="3"/>
  <c r="P1007" i="3" s="1"/>
  <c r="S1006" i="3"/>
  <c r="Q1006" i="3" s="1"/>
  <c r="R1006" i="3" s="1"/>
  <c r="S1005" i="3"/>
  <c r="S1004" i="3"/>
  <c r="Q1004" i="3" s="1"/>
  <c r="R1004" i="3" s="1"/>
  <c r="S1003" i="3"/>
  <c r="Q1003" i="3" s="1"/>
  <c r="R1003" i="3" s="1"/>
  <c r="S1002" i="3"/>
  <c r="S1001" i="3"/>
  <c r="S1000" i="3"/>
  <c r="P1000" i="3" s="1"/>
  <c r="Q1000" i="3"/>
  <c r="R1000" i="3" s="1"/>
  <c r="S999" i="3"/>
  <c r="P999" i="3" s="1"/>
  <c r="S998" i="3"/>
  <c r="S997" i="3"/>
  <c r="P997" i="3" s="1"/>
  <c r="Q997" i="3"/>
  <c r="R997" i="3" s="1"/>
  <c r="S996" i="3"/>
  <c r="P996" i="3" s="1"/>
  <c r="S995" i="3"/>
  <c r="Q995" i="3" s="1"/>
  <c r="R995" i="3" s="1"/>
  <c r="S994" i="3"/>
  <c r="P994" i="3" s="1"/>
  <c r="S993" i="3"/>
  <c r="S992" i="3"/>
  <c r="Q992" i="3" s="1"/>
  <c r="R992" i="3" s="1"/>
  <c r="S991" i="3"/>
  <c r="S990" i="3"/>
  <c r="Q990" i="3" s="1"/>
  <c r="R990" i="3" s="1"/>
  <c r="S989" i="3"/>
  <c r="P989" i="3" s="1"/>
  <c r="S988" i="3"/>
  <c r="S987" i="3"/>
  <c r="Q987" i="3" s="1"/>
  <c r="R987" i="3" s="1"/>
  <c r="S986" i="3"/>
  <c r="Q986" i="3" s="1"/>
  <c r="R986" i="3" s="1"/>
  <c r="S985" i="3"/>
  <c r="S984" i="3"/>
  <c r="P984" i="3" s="1"/>
  <c r="S983" i="3"/>
  <c r="S982" i="3"/>
  <c r="P982" i="3" s="1"/>
  <c r="S981" i="3"/>
  <c r="Q981" i="3" s="1"/>
  <c r="R981" i="3" s="1"/>
  <c r="S980" i="3"/>
  <c r="S979" i="3"/>
  <c r="S978" i="3"/>
  <c r="Q978" i="3"/>
  <c r="R978" i="3" s="1"/>
  <c r="P978" i="3"/>
  <c r="S977" i="3"/>
  <c r="Q977" i="3" s="1"/>
  <c r="R977" i="3" s="1"/>
  <c r="S976" i="3"/>
  <c r="S975" i="3"/>
  <c r="S974" i="3"/>
  <c r="Q974" i="3" s="1"/>
  <c r="R974" i="3" s="1"/>
  <c r="S973" i="3"/>
  <c r="Q973" i="3" s="1"/>
  <c r="R973" i="3" s="1"/>
  <c r="S972" i="3"/>
  <c r="S971" i="3"/>
  <c r="P971" i="3" s="1"/>
  <c r="S970" i="3"/>
  <c r="S969" i="3"/>
  <c r="P969" i="3" s="1"/>
  <c r="S968" i="3"/>
  <c r="Q968" i="3" s="1"/>
  <c r="R968" i="3" s="1"/>
  <c r="S967" i="3"/>
  <c r="S966" i="3"/>
  <c r="Q966" i="3" s="1"/>
  <c r="R966" i="3" s="1"/>
  <c r="S965" i="3"/>
  <c r="S964" i="3"/>
  <c r="S963" i="3"/>
  <c r="S962" i="3"/>
  <c r="S961" i="3"/>
  <c r="P961" i="3" s="1"/>
  <c r="Q961" i="3"/>
  <c r="R961" i="3" s="1"/>
  <c r="S960" i="3"/>
  <c r="P960" i="3" s="1"/>
  <c r="S959" i="3"/>
  <c r="Q959" i="3" s="1"/>
  <c r="R959" i="3" s="1"/>
  <c r="S958" i="3"/>
  <c r="S957" i="3"/>
  <c r="S956" i="3"/>
  <c r="Q956" i="3" s="1"/>
  <c r="R956" i="3" s="1"/>
  <c r="S955" i="3"/>
  <c r="P955" i="3" s="1"/>
  <c r="S954" i="3"/>
  <c r="Q954" i="3" s="1"/>
  <c r="R954" i="3" s="1"/>
  <c r="P954" i="3"/>
  <c r="S953" i="3"/>
  <c r="P953" i="3" s="1"/>
  <c r="S952" i="3"/>
  <c r="P952" i="3" s="1"/>
  <c r="S951" i="3"/>
  <c r="Q951" i="3" s="1"/>
  <c r="R951" i="3" s="1"/>
  <c r="S950" i="3"/>
  <c r="S949" i="3"/>
  <c r="P949" i="3" s="1"/>
  <c r="Q949" i="3"/>
  <c r="R949" i="3" s="1"/>
  <c r="S948" i="3"/>
  <c r="P948" i="3" s="1"/>
  <c r="S947" i="3"/>
  <c r="S946" i="3"/>
  <c r="P946" i="3" s="1"/>
  <c r="S945" i="3"/>
  <c r="P945" i="3" s="1"/>
  <c r="S944" i="3"/>
  <c r="S943" i="3"/>
  <c r="Q943" i="3" s="1"/>
  <c r="R943" i="3" s="1"/>
  <c r="S942" i="3"/>
  <c r="P942" i="3" s="1"/>
  <c r="S941" i="3"/>
  <c r="Q941" i="3" s="1"/>
  <c r="R941" i="3" s="1"/>
  <c r="S940" i="3"/>
  <c r="S939" i="3"/>
  <c r="S938" i="3"/>
  <c r="Q938" i="3" s="1"/>
  <c r="R938" i="3" s="1"/>
  <c r="S937" i="3"/>
  <c r="P937" i="3" s="1"/>
  <c r="S936" i="3"/>
  <c r="S935" i="3"/>
  <c r="P935" i="3" s="1"/>
  <c r="S934" i="3"/>
  <c r="S933" i="3"/>
  <c r="Q933" i="3" s="1"/>
  <c r="R933" i="3" s="1"/>
  <c r="S932" i="3"/>
  <c r="S931" i="3"/>
  <c r="S930" i="3"/>
  <c r="P930" i="3" s="1"/>
  <c r="Q930" i="3"/>
  <c r="R930" i="3" s="1"/>
  <c r="S929" i="3"/>
  <c r="Q929" i="3" s="1"/>
  <c r="R929" i="3" s="1"/>
  <c r="S928" i="3"/>
  <c r="Q928" i="3" s="1"/>
  <c r="R928" i="3" s="1"/>
  <c r="S927" i="3"/>
  <c r="S926" i="3"/>
  <c r="Q926" i="3" s="1"/>
  <c r="R926" i="3" s="1"/>
  <c r="P926" i="3"/>
  <c r="S925" i="3"/>
  <c r="P925" i="3" s="1"/>
  <c r="Q925" i="3"/>
  <c r="R925" i="3" s="1"/>
  <c r="S924" i="3"/>
  <c r="Q924" i="3" s="1"/>
  <c r="R924" i="3" s="1"/>
  <c r="P924" i="3"/>
  <c r="S923" i="3"/>
  <c r="Q923" i="3" s="1"/>
  <c r="R923" i="3" s="1"/>
  <c r="S922" i="3"/>
  <c r="P922" i="3" s="1"/>
  <c r="Q922" i="3"/>
  <c r="R922" i="3" s="1"/>
  <c r="S921" i="3"/>
  <c r="S920" i="3"/>
  <c r="Q920" i="3" s="1"/>
  <c r="R920" i="3" s="1"/>
  <c r="S919" i="3"/>
  <c r="S918" i="3"/>
  <c r="Q918" i="3" s="1"/>
  <c r="R918" i="3" s="1"/>
  <c r="S917" i="3"/>
  <c r="P917" i="3" s="1"/>
  <c r="S916" i="3"/>
  <c r="S915" i="3"/>
  <c r="S914" i="3"/>
  <c r="S913" i="3"/>
  <c r="P913" i="3" s="1"/>
  <c r="S912" i="3"/>
  <c r="S911" i="3"/>
  <c r="Q911" i="3" s="1"/>
  <c r="R911" i="3" s="1"/>
  <c r="S910" i="3"/>
  <c r="Q910" i="3" s="1"/>
  <c r="R910" i="3" s="1"/>
  <c r="P910" i="3"/>
  <c r="S909" i="3"/>
  <c r="Q909" i="3" s="1"/>
  <c r="R909" i="3" s="1"/>
  <c r="S908" i="3"/>
  <c r="S907" i="3"/>
  <c r="Q907" i="3" s="1"/>
  <c r="R907" i="3" s="1"/>
  <c r="P907" i="3"/>
  <c r="S906" i="3"/>
  <c r="S905" i="3"/>
  <c r="Q905" i="3" s="1"/>
  <c r="R905" i="3" s="1"/>
  <c r="S904" i="3"/>
  <c r="S903" i="3"/>
  <c r="S902" i="3"/>
  <c r="Q902" i="3" s="1"/>
  <c r="R902" i="3" s="1"/>
  <c r="S901" i="3"/>
  <c r="P901" i="3" s="1"/>
  <c r="S900" i="3"/>
  <c r="Q900" i="3" s="1"/>
  <c r="R900" i="3" s="1"/>
  <c r="P900" i="3"/>
  <c r="S899" i="3"/>
  <c r="P899" i="3" s="1"/>
  <c r="S898" i="3"/>
  <c r="Q898" i="3" s="1"/>
  <c r="R898" i="3" s="1"/>
  <c r="S897" i="3"/>
  <c r="Q897" i="3" s="1"/>
  <c r="R897" i="3" s="1"/>
  <c r="S896" i="3"/>
  <c r="Q896" i="3" s="1"/>
  <c r="R896" i="3" s="1"/>
  <c r="S895" i="3"/>
  <c r="P895" i="3" s="1"/>
  <c r="Q895" i="3"/>
  <c r="R895" i="3" s="1"/>
  <c r="S894" i="3"/>
  <c r="S893" i="3"/>
  <c r="Q893" i="3" s="1"/>
  <c r="R893" i="3" s="1"/>
  <c r="S892" i="3"/>
  <c r="S891" i="3"/>
  <c r="Q891" i="3" s="1"/>
  <c r="R891" i="3" s="1"/>
  <c r="S890" i="3"/>
  <c r="Q890" i="3" s="1"/>
  <c r="R890" i="3" s="1"/>
  <c r="P890" i="3"/>
  <c r="S889" i="3"/>
  <c r="S888" i="3"/>
  <c r="P888" i="3" s="1"/>
  <c r="S887" i="3"/>
  <c r="Q887" i="3" s="1"/>
  <c r="R887" i="3" s="1"/>
  <c r="S886" i="3"/>
  <c r="Q886" i="3" s="1"/>
  <c r="R886" i="3"/>
  <c r="S885" i="3"/>
  <c r="Q885" i="3" s="1"/>
  <c r="R885" i="3" s="1"/>
  <c r="S884" i="3"/>
  <c r="Q884" i="3" s="1"/>
  <c r="R884" i="3" s="1"/>
  <c r="S883" i="3"/>
  <c r="P883" i="3" s="1"/>
  <c r="S882" i="3"/>
  <c r="P882" i="3" s="1"/>
  <c r="S881" i="3"/>
  <c r="P881" i="3" s="1"/>
  <c r="S880" i="3"/>
  <c r="P880" i="3" s="1"/>
  <c r="Q880" i="3"/>
  <c r="R880" i="3" s="1"/>
  <c r="S879" i="3"/>
  <c r="Q879" i="3" s="1"/>
  <c r="R879" i="3" s="1"/>
  <c r="S878" i="3"/>
  <c r="S877" i="3"/>
  <c r="P877" i="3" s="1"/>
  <c r="Q877" i="3"/>
  <c r="R877" i="3" s="1"/>
  <c r="S876" i="3"/>
  <c r="S875" i="3"/>
  <c r="Q875" i="3" s="1"/>
  <c r="R875" i="3" s="1"/>
  <c r="S874" i="3"/>
  <c r="S873" i="3"/>
  <c r="P873" i="3" s="1"/>
  <c r="Q873" i="3"/>
  <c r="R873" i="3" s="1"/>
  <c r="S872" i="3"/>
  <c r="P872" i="3" s="1"/>
  <c r="Q872" i="3"/>
  <c r="R872" i="3" s="1"/>
  <c r="S871" i="3"/>
  <c r="Q871" i="3" s="1"/>
  <c r="R871" i="3" s="1"/>
  <c r="S870" i="3"/>
  <c r="P870" i="3" s="1"/>
  <c r="Q870" i="3"/>
  <c r="R870" i="3" s="1"/>
  <c r="S869" i="3"/>
  <c r="S868" i="3"/>
  <c r="S867" i="3"/>
  <c r="S866" i="3"/>
  <c r="Q866" i="3" s="1"/>
  <c r="R866" i="3" s="1"/>
  <c r="S865" i="3"/>
  <c r="P865" i="3" s="1"/>
  <c r="S864" i="3"/>
  <c r="S863" i="3"/>
  <c r="Q863" i="3" s="1"/>
  <c r="R863" i="3" s="1"/>
  <c r="S862" i="3"/>
  <c r="Q862" i="3" s="1"/>
  <c r="R862" i="3" s="1"/>
  <c r="S861" i="3"/>
  <c r="S860" i="3"/>
  <c r="P860" i="3" s="1"/>
  <c r="S859" i="3"/>
  <c r="S858" i="3"/>
  <c r="Q858" i="3" s="1"/>
  <c r="R858" i="3" s="1"/>
  <c r="S857" i="3"/>
  <c r="Q857" i="3" s="1"/>
  <c r="R857" i="3" s="1"/>
  <c r="S856" i="3"/>
  <c r="S855" i="3"/>
  <c r="S854" i="3"/>
  <c r="S853" i="3"/>
  <c r="S852" i="3"/>
  <c r="P852" i="3" s="1"/>
  <c r="Q852" i="3"/>
  <c r="R852" i="3" s="1"/>
  <c r="S851" i="3"/>
  <c r="P851" i="3" s="1"/>
  <c r="S850" i="3"/>
  <c r="Q850" i="3" s="1"/>
  <c r="R850" i="3" s="1"/>
  <c r="S849" i="3"/>
  <c r="S848" i="3"/>
  <c r="Q848" i="3" s="1"/>
  <c r="R848" i="3" s="1"/>
  <c r="S847" i="3"/>
  <c r="S846" i="3"/>
  <c r="Q846" i="3" s="1"/>
  <c r="R846" i="3" s="1"/>
  <c r="S845" i="3"/>
  <c r="Q845" i="3" s="1"/>
  <c r="R845" i="3" s="1"/>
  <c r="S844" i="3"/>
  <c r="Q844" i="3" s="1"/>
  <c r="R844" i="3" s="1"/>
  <c r="S843" i="3"/>
  <c r="S842" i="3"/>
  <c r="P842" i="3" s="1"/>
  <c r="S841" i="3"/>
  <c r="S840" i="3"/>
  <c r="P840" i="3" s="1"/>
  <c r="Q840" i="3"/>
  <c r="R840" i="3" s="1"/>
  <c r="S839" i="3"/>
  <c r="Q839" i="3" s="1"/>
  <c r="R839" i="3" s="1"/>
  <c r="S838" i="3"/>
  <c r="Q838" i="3"/>
  <c r="R838" i="3" s="1"/>
  <c r="P838" i="3"/>
  <c r="S837" i="3"/>
  <c r="S836" i="3"/>
  <c r="S835" i="3"/>
  <c r="Q835" i="3" s="1"/>
  <c r="R835" i="3" s="1"/>
  <c r="S834" i="3"/>
  <c r="S833" i="3"/>
  <c r="Q833" i="3" s="1"/>
  <c r="R833" i="3" s="1"/>
  <c r="P833" i="3"/>
  <c r="S832" i="3"/>
  <c r="S831" i="3"/>
  <c r="P831" i="3" s="1"/>
  <c r="Q831" i="3"/>
  <c r="R831" i="3" s="1"/>
  <c r="S830" i="3"/>
  <c r="Q830" i="3" s="1"/>
  <c r="R830" i="3" s="1"/>
  <c r="S829" i="3"/>
  <c r="P829" i="3" s="1"/>
  <c r="S828" i="3"/>
  <c r="S827" i="3"/>
  <c r="Q827" i="3" s="1"/>
  <c r="R827" i="3" s="1"/>
  <c r="S826" i="3"/>
  <c r="S825" i="3"/>
  <c r="Q825" i="3" s="1"/>
  <c r="R825" i="3" s="1"/>
  <c r="S824" i="3"/>
  <c r="S823" i="3"/>
  <c r="P823" i="3" s="1"/>
  <c r="S822" i="3"/>
  <c r="S821" i="3"/>
  <c r="Q821" i="3" s="1"/>
  <c r="R821" i="3" s="1"/>
  <c r="S820" i="3"/>
  <c r="Q820" i="3" s="1"/>
  <c r="R820" i="3" s="1"/>
  <c r="S819" i="3"/>
  <c r="S818" i="3"/>
  <c r="S817" i="3"/>
  <c r="S816" i="3"/>
  <c r="S815" i="3"/>
  <c r="P815" i="3" s="1"/>
  <c r="S814" i="3"/>
  <c r="S813" i="3"/>
  <c r="P813" i="3" s="1"/>
  <c r="S812" i="3"/>
  <c r="S811" i="3"/>
  <c r="Q811" i="3" s="1"/>
  <c r="R811" i="3" s="1"/>
  <c r="P811" i="3"/>
  <c r="S810" i="3"/>
  <c r="P810" i="3" s="1"/>
  <c r="S809" i="3"/>
  <c r="Q809" i="3" s="1"/>
  <c r="R809" i="3" s="1"/>
  <c r="S808" i="3"/>
  <c r="P808" i="3" s="1"/>
  <c r="Q808" i="3"/>
  <c r="R808" i="3" s="1"/>
  <c r="S807" i="3"/>
  <c r="S806" i="3"/>
  <c r="P806" i="3" s="1"/>
  <c r="Q806" i="3"/>
  <c r="R806" i="3" s="1"/>
  <c r="S805" i="3"/>
  <c r="P805" i="3" s="1"/>
  <c r="S804" i="3"/>
  <c r="P804" i="3" s="1"/>
  <c r="S803" i="3"/>
  <c r="Q803" i="3" s="1"/>
  <c r="R803" i="3" s="1"/>
  <c r="S802" i="3"/>
  <c r="S801" i="3"/>
  <c r="P801" i="3" s="1"/>
  <c r="S800" i="3"/>
  <c r="P800" i="3" s="1"/>
  <c r="S799" i="3"/>
  <c r="S798" i="3"/>
  <c r="S797" i="3"/>
  <c r="S796" i="3"/>
  <c r="Q796" i="3" s="1"/>
  <c r="R796" i="3" s="1"/>
  <c r="S795" i="3"/>
  <c r="S794" i="3"/>
  <c r="Q794" i="3" s="1"/>
  <c r="R794" i="3" s="1"/>
  <c r="S793" i="3"/>
  <c r="P793" i="3" s="1"/>
  <c r="S792" i="3"/>
  <c r="Q792" i="3" s="1"/>
  <c r="R792" i="3" s="1"/>
  <c r="S791" i="3"/>
  <c r="Q791" i="3" s="1"/>
  <c r="R791" i="3" s="1"/>
  <c r="S790" i="3"/>
  <c r="S789" i="3"/>
  <c r="P789" i="3" s="1"/>
  <c r="S788" i="3"/>
  <c r="S787" i="3"/>
  <c r="Q787" i="3" s="1"/>
  <c r="R787" i="3" s="1"/>
  <c r="S786" i="3"/>
  <c r="Q786" i="3" s="1"/>
  <c r="R786" i="3" s="1"/>
  <c r="P786" i="3"/>
  <c r="S785" i="3"/>
  <c r="Q785" i="3" s="1"/>
  <c r="R785" i="3" s="1"/>
  <c r="S784" i="3"/>
  <c r="S783" i="3"/>
  <c r="Q783" i="3" s="1"/>
  <c r="R783" i="3" s="1"/>
  <c r="S782" i="3"/>
  <c r="S781" i="3"/>
  <c r="S780" i="3"/>
  <c r="S779" i="3"/>
  <c r="P779" i="3" s="1"/>
  <c r="S778" i="3"/>
  <c r="Q778" i="3" s="1"/>
  <c r="R778" i="3" s="1"/>
  <c r="S777" i="3"/>
  <c r="Q777" i="3" s="1"/>
  <c r="R777" i="3" s="1"/>
  <c r="S776" i="3"/>
  <c r="S775" i="3"/>
  <c r="Q775" i="3" s="1"/>
  <c r="R775" i="3" s="1"/>
  <c r="S774" i="3"/>
  <c r="S773" i="3"/>
  <c r="Q773" i="3" s="1"/>
  <c r="R773" i="3" s="1"/>
  <c r="S772" i="3"/>
  <c r="P772" i="3" s="1"/>
  <c r="S771" i="3"/>
  <c r="P771" i="3" s="1"/>
  <c r="S770" i="3"/>
  <c r="P770" i="3" s="1"/>
  <c r="S769" i="3"/>
  <c r="P769" i="3" s="1"/>
  <c r="S768" i="3"/>
  <c r="S767" i="3"/>
  <c r="Q767" i="3" s="1"/>
  <c r="R767" i="3" s="1"/>
  <c r="S766" i="3"/>
  <c r="S765" i="3"/>
  <c r="S764" i="3"/>
  <c r="P764" i="3" s="1"/>
  <c r="S763" i="3"/>
  <c r="P763" i="3" s="1"/>
  <c r="S762" i="3"/>
  <c r="S761" i="3"/>
  <c r="Q761" i="3" s="1"/>
  <c r="R761" i="3" s="1"/>
  <c r="P761" i="3"/>
  <c r="S760" i="3"/>
  <c r="S759" i="3"/>
  <c r="Q759" i="3" s="1"/>
  <c r="R759" i="3" s="1"/>
  <c r="S758" i="3"/>
  <c r="Q758" i="3" s="1"/>
  <c r="R758" i="3" s="1"/>
  <c r="S757" i="3"/>
  <c r="S756" i="3"/>
  <c r="S755" i="3"/>
  <c r="Q755" i="3" s="1"/>
  <c r="R755" i="3" s="1"/>
  <c r="S754" i="3"/>
  <c r="Q754" i="3" s="1"/>
  <c r="R754" i="3" s="1"/>
  <c r="S753" i="3"/>
  <c r="S752" i="3"/>
  <c r="P752" i="3" s="1"/>
  <c r="S751" i="3"/>
  <c r="S750" i="3"/>
  <c r="Q750" i="3" s="1"/>
  <c r="R750" i="3" s="1"/>
  <c r="P750" i="3"/>
  <c r="S749" i="3"/>
  <c r="Q749" i="3" s="1"/>
  <c r="R749" i="3" s="1"/>
  <c r="S748" i="3"/>
  <c r="S747" i="3"/>
  <c r="S746" i="3"/>
  <c r="S745" i="3"/>
  <c r="Q745" i="3" s="1"/>
  <c r="R745" i="3" s="1"/>
  <c r="P745" i="3"/>
  <c r="S744" i="3"/>
  <c r="P744" i="3" s="1"/>
  <c r="S743" i="3"/>
  <c r="P743" i="3" s="1"/>
  <c r="Q743" i="3"/>
  <c r="R743" i="3" s="1"/>
  <c r="S742" i="3"/>
  <c r="S741" i="3"/>
  <c r="Q741" i="3" s="1"/>
  <c r="R741" i="3" s="1"/>
  <c r="S740" i="3"/>
  <c r="S739" i="3"/>
  <c r="S738" i="3"/>
  <c r="Q738" i="3" s="1"/>
  <c r="R738" i="3" s="1"/>
  <c r="P738" i="3"/>
  <c r="S737" i="3"/>
  <c r="Q737" i="3" s="1"/>
  <c r="R737" i="3" s="1"/>
  <c r="S736" i="3"/>
  <c r="S735" i="3"/>
  <c r="Q735" i="3" s="1"/>
  <c r="R735" i="3" s="1"/>
  <c r="P735" i="3"/>
  <c r="S734" i="3"/>
  <c r="S733" i="3"/>
  <c r="Q733" i="3" s="1"/>
  <c r="R733" i="3" s="1"/>
  <c r="S732" i="3"/>
  <c r="S731" i="3"/>
  <c r="S730" i="3"/>
  <c r="P730" i="3" s="1"/>
  <c r="S729" i="3"/>
  <c r="P729" i="3" s="1"/>
  <c r="Q729" i="3"/>
  <c r="R729" i="3" s="1"/>
  <c r="S728" i="3"/>
  <c r="S727" i="3"/>
  <c r="S726" i="3"/>
  <c r="S725" i="3"/>
  <c r="Q725" i="3" s="1"/>
  <c r="R725" i="3" s="1"/>
  <c r="P725" i="3"/>
  <c r="S724" i="3"/>
  <c r="P724" i="3" s="1"/>
  <c r="S723" i="3"/>
  <c r="Q723" i="3" s="1"/>
  <c r="R723" i="3"/>
  <c r="S722" i="3"/>
  <c r="Q722" i="3" s="1"/>
  <c r="R722" i="3" s="1"/>
  <c r="S721" i="3"/>
  <c r="S720" i="3"/>
  <c r="S719" i="3"/>
  <c r="Q719" i="3" s="1"/>
  <c r="R719" i="3" s="1"/>
  <c r="S718" i="3"/>
  <c r="Q718" i="3" s="1"/>
  <c r="R718" i="3" s="1"/>
  <c r="S717" i="3"/>
  <c r="S716" i="3"/>
  <c r="Q716" i="3" s="1"/>
  <c r="R716" i="3" s="1"/>
  <c r="S715" i="3"/>
  <c r="P715" i="3" s="1"/>
  <c r="S714" i="3"/>
  <c r="P714" i="3" s="1"/>
  <c r="Q714" i="3"/>
  <c r="R714" i="3" s="1"/>
  <c r="S713" i="3"/>
  <c r="S712" i="3"/>
  <c r="S711" i="3"/>
  <c r="S710" i="3"/>
  <c r="S709" i="3"/>
  <c r="P709" i="3" s="1"/>
  <c r="S708" i="3"/>
  <c r="P708" i="3" s="1"/>
  <c r="S707" i="3"/>
  <c r="S706" i="3"/>
  <c r="S705" i="3"/>
  <c r="S704" i="3"/>
  <c r="S703" i="3"/>
  <c r="P703" i="3" s="1"/>
  <c r="S702" i="3"/>
  <c r="Q702" i="3" s="1"/>
  <c r="R702" i="3" s="1"/>
  <c r="S701" i="3"/>
  <c r="Q701" i="3" s="1"/>
  <c r="R701" i="3" s="1"/>
  <c r="S700" i="3"/>
  <c r="S699" i="3"/>
  <c r="S698" i="3"/>
  <c r="P698" i="3" s="1"/>
  <c r="S697" i="3"/>
  <c r="S696" i="3"/>
  <c r="Q696" i="3" s="1"/>
  <c r="R696" i="3" s="1"/>
  <c r="S695" i="3"/>
  <c r="S694" i="3"/>
  <c r="Q694" i="3" s="1"/>
  <c r="R694" i="3" s="1"/>
  <c r="S693" i="3"/>
  <c r="Q693" i="3" s="1"/>
  <c r="R693" i="3" s="1"/>
  <c r="S692" i="3"/>
  <c r="S691" i="3"/>
  <c r="S690" i="3"/>
  <c r="Q690" i="3" s="1"/>
  <c r="R690" i="3" s="1"/>
  <c r="S689" i="3"/>
  <c r="Q689" i="3" s="1"/>
  <c r="R689" i="3" s="1"/>
  <c r="S688" i="3"/>
  <c r="S687" i="3"/>
  <c r="S686" i="3"/>
  <c r="Q686" i="3" s="1"/>
  <c r="R686" i="3" s="1"/>
  <c r="S685" i="3"/>
  <c r="Q685" i="3" s="1"/>
  <c r="R685" i="3" s="1"/>
  <c r="S684" i="3"/>
  <c r="S683" i="3"/>
  <c r="Q683" i="3" s="1"/>
  <c r="R683" i="3" s="1"/>
  <c r="S682" i="3"/>
  <c r="S681" i="3"/>
  <c r="P681" i="3" s="1"/>
  <c r="Q681" i="3"/>
  <c r="R681" i="3" s="1"/>
  <c r="S680" i="3"/>
  <c r="Q680" i="3" s="1"/>
  <c r="R680" i="3" s="1"/>
  <c r="S679" i="3"/>
  <c r="S678" i="3"/>
  <c r="Q678" i="3" s="1"/>
  <c r="R678" i="3" s="1"/>
  <c r="P678" i="3"/>
  <c r="S677" i="3"/>
  <c r="Q677" i="3" s="1"/>
  <c r="R677" i="3" s="1"/>
  <c r="P677" i="3"/>
  <c r="S676" i="3"/>
  <c r="Q676" i="3" s="1"/>
  <c r="R676" i="3" s="1"/>
  <c r="S675" i="3"/>
  <c r="Q675" i="3" s="1"/>
  <c r="R675" i="3" s="1"/>
  <c r="S674" i="3"/>
  <c r="S673" i="3"/>
  <c r="P673" i="3" s="1"/>
  <c r="S672" i="3"/>
  <c r="Q672" i="3"/>
  <c r="R672" i="3" s="1"/>
  <c r="P672" i="3"/>
  <c r="S671" i="3"/>
  <c r="P671" i="3" s="1"/>
  <c r="S670" i="3"/>
  <c r="S669" i="3"/>
  <c r="S668" i="3"/>
  <c r="Q668" i="3" s="1"/>
  <c r="R668" i="3" s="1"/>
  <c r="P668" i="3"/>
  <c r="S667" i="3"/>
  <c r="Q667" i="3" s="1"/>
  <c r="R667" i="3" s="1"/>
  <c r="S666" i="3"/>
  <c r="Q666" i="3" s="1"/>
  <c r="R666" i="3" s="1"/>
  <c r="S665" i="3"/>
  <c r="S664" i="3"/>
  <c r="Q664" i="3"/>
  <c r="R664" i="3" s="1"/>
  <c r="P664" i="3"/>
  <c r="S663" i="3"/>
  <c r="Q663" i="3" s="1"/>
  <c r="R663" i="3"/>
  <c r="S662" i="3"/>
  <c r="Q662" i="3" s="1"/>
  <c r="R662" i="3" s="1"/>
  <c r="S661" i="3"/>
  <c r="S660" i="3"/>
  <c r="Q660" i="3" s="1"/>
  <c r="R660" i="3" s="1"/>
  <c r="S659" i="3"/>
  <c r="Q659" i="3" s="1"/>
  <c r="R659" i="3" s="1"/>
  <c r="P659" i="3"/>
  <c r="S658" i="3"/>
  <c r="P658" i="3" s="1"/>
  <c r="S657" i="3"/>
  <c r="P657" i="3" s="1"/>
  <c r="Q657" i="3"/>
  <c r="R657" i="3" s="1"/>
  <c r="S656" i="3"/>
  <c r="Q656" i="3" s="1"/>
  <c r="R656" i="3" s="1"/>
  <c r="S655" i="3"/>
  <c r="S654" i="3"/>
  <c r="S653" i="3"/>
  <c r="Q653" i="3" s="1"/>
  <c r="R653" i="3" s="1"/>
  <c r="P653" i="3"/>
  <c r="S652" i="3"/>
  <c r="S651" i="3"/>
  <c r="S650" i="3"/>
  <c r="Q650" i="3" s="1"/>
  <c r="R650" i="3" s="1"/>
  <c r="S649" i="3"/>
  <c r="S648" i="3"/>
  <c r="S647" i="3"/>
  <c r="Q647" i="3" s="1"/>
  <c r="R647" i="3" s="1"/>
  <c r="S646" i="3"/>
  <c r="P646" i="3" s="1"/>
  <c r="S645" i="3"/>
  <c r="P645" i="3" s="1"/>
  <c r="S644" i="3"/>
  <c r="P644" i="3" s="1"/>
  <c r="Q644" i="3"/>
  <c r="R644" i="3" s="1"/>
  <c r="S643" i="3"/>
  <c r="P643" i="3" s="1"/>
  <c r="S642" i="3"/>
  <c r="Q642" i="3" s="1"/>
  <c r="R642" i="3" s="1"/>
  <c r="P642" i="3"/>
  <c r="S641" i="3"/>
  <c r="Q641" i="3" s="1"/>
  <c r="R641" i="3" s="1"/>
  <c r="P641" i="3"/>
  <c r="S640" i="3"/>
  <c r="S639" i="3"/>
  <c r="Q639" i="3" s="1"/>
  <c r="R639" i="3" s="1"/>
  <c r="S638" i="3"/>
  <c r="S637" i="3"/>
  <c r="S636" i="3"/>
  <c r="P636" i="3" s="1"/>
  <c r="S635" i="3"/>
  <c r="P635" i="3" s="1"/>
  <c r="S634" i="3"/>
  <c r="Q634" i="3" s="1"/>
  <c r="R634" i="3" s="1"/>
  <c r="S633" i="3"/>
  <c r="P633" i="3" s="1"/>
  <c r="S632" i="3"/>
  <c r="S631" i="3"/>
  <c r="S630" i="3"/>
  <c r="P630" i="3" s="1"/>
  <c r="S629" i="3"/>
  <c r="S628" i="3"/>
  <c r="P628" i="3" s="1"/>
  <c r="S627" i="3"/>
  <c r="S626" i="3"/>
  <c r="P626" i="3" s="1"/>
  <c r="Q626" i="3"/>
  <c r="R626" i="3" s="1"/>
  <c r="S625" i="3"/>
  <c r="Q625" i="3" s="1"/>
  <c r="R625" i="3" s="1"/>
  <c r="S624" i="3"/>
  <c r="S623" i="3"/>
  <c r="S622" i="3"/>
  <c r="S621" i="3"/>
  <c r="Q621" i="3" s="1"/>
  <c r="R621" i="3" s="1"/>
  <c r="S620" i="3"/>
  <c r="S619" i="3"/>
  <c r="S618" i="3"/>
  <c r="S617" i="3"/>
  <c r="Q617" i="3" s="1"/>
  <c r="R617" i="3" s="1"/>
  <c r="S616" i="3"/>
  <c r="S615" i="3"/>
  <c r="S614" i="3"/>
  <c r="Q614" i="3" s="1"/>
  <c r="R614" i="3" s="1"/>
  <c r="S613" i="3"/>
  <c r="Q613" i="3" s="1"/>
  <c r="R613" i="3" s="1"/>
  <c r="S612" i="3"/>
  <c r="S611" i="3"/>
  <c r="S610" i="3"/>
  <c r="S609" i="3"/>
  <c r="Q609" i="3" s="1"/>
  <c r="R609" i="3" s="1"/>
  <c r="S608" i="3"/>
  <c r="P608" i="3" s="1"/>
  <c r="S607" i="3"/>
  <c r="S606" i="3"/>
  <c r="S605" i="3"/>
  <c r="Q605" i="3" s="1"/>
  <c r="R605" i="3" s="1"/>
  <c r="S604" i="3"/>
  <c r="Q604" i="3" s="1"/>
  <c r="R604" i="3" s="1"/>
  <c r="S603" i="3"/>
  <c r="Q603" i="3" s="1"/>
  <c r="R603" i="3" s="1"/>
  <c r="P603" i="3"/>
  <c r="S602" i="3"/>
  <c r="Q602" i="3"/>
  <c r="R602" i="3" s="1"/>
  <c r="P602" i="3"/>
  <c r="S601" i="3"/>
  <c r="Q601" i="3" s="1"/>
  <c r="R601" i="3" s="1"/>
  <c r="P601" i="3"/>
  <c r="S600" i="3"/>
  <c r="Q600" i="3" s="1"/>
  <c r="R600" i="3" s="1"/>
  <c r="S599" i="3"/>
  <c r="P599" i="3" s="1"/>
  <c r="Q599" i="3"/>
  <c r="R599" i="3" s="1"/>
  <c r="S598" i="3"/>
  <c r="S597" i="3"/>
  <c r="S596" i="3"/>
  <c r="S595" i="3"/>
  <c r="S594" i="3"/>
  <c r="P594" i="3" s="1"/>
  <c r="S593" i="3"/>
  <c r="S592" i="3"/>
  <c r="S591" i="3"/>
  <c r="S590" i="3"/>
  <c r="Q590" i="3" s="1"/>
  <c r="R590" i="3" s="1"/>
  <c r="S589" i="3"/>
  <c r="Q589" i="3" s="1"/>
  <c r="R589" i="3" s="1"/>
  <c r="S588" i="3"/>
  <c r="S587" i="3"/>
  <c r="S586" i="3"/>
  <c r="S585" i="3"/>
  <c r="Q585" i="3" s="1"/>
  <c r="R585" i="3" s="1"/>
  <c r="P585" i="3"/>
  <c r="S584" i="3"/>
  <c r="P584" i="3" s="1"/>
  <c r="S583" i="3"/>
  <c r="S582" i="3"/>
  <c r="S581" i="3"/>
  <c r="Q581" i="3" s="1"/>
  <c r="R581" i="3" s="1"/>
  <c r="S580" i="3"/>
  <c r="Q580" i="3" s="1"/>
  <c r="R580" i="3" s="1"/>
  <c r="S579" i="3"/>
  <c r="P579" i="3" s="1"/>
  <c r="S578" i="3"/>
  <c r="Q578" i="3"/>
  <c r="R578" i="3" s="1"/>
  <c r="P578" i="3"/>
  <c r="S577" i="3"/>
  <c r="S576" i="3"/>
  <c r="Q576" i="3" s="1"/>
  <c r="R576" i="3" s="1"/>
  <c r="S575" i="3"/>
  <c r="S574" i="3"/>
  <c r="S573" i="3"/>
  <c r="P573" i="3" s="1"/>
  <c r="Q573" i="3"/>
  <c r="R573" i="3" s="1"/>
  <c r="S572" i="3"/>
  <c r="S571" i="3"/>
  <c r="S570" i="3"/>
  <c r="P570" i="3" s="1"/>
  <c r="S569" i="3"/>
  <c r="P569" i="3" s="1"/>
  <c r="Q569" i="3"/>
  <c r="R569" i="3" s="1"/>
  <c r="S568" i="3"/>
  <c r="Q568" i="3" s="1"/>
  <c r="R568" i="3" s="1"/>
  <c r="S567" i="3"/>
  <c r="Q567" i="3" s="1"/>
  <c r="R567" i="3" s="1"/>
  <c r="S566" i="3"/>
  <c r="P566" i="3" s="1"/>
  <c r="Q566" i="3"/>
  <c r="R566" i="3" s="1"/>
  <c r="S565" i="3"/>
  <c r="P565" i="3" s="1"/>
  <c r="S564" i="3"/>
  <c r="S563" i="3"/>
  <c r="P563" i="3" s="1"/>
  <c r="S562" i="3"/>
  <c r="S561" i="3"/>
  <c r="Q561" i="3" s="1"/>
  <c r="R561" i="3" s="1"/>
  <c r="S560" i="3"/>
  <c r="S559" i="3"/>
  <c r="S558" i="3"/>
  <c r="Q558" i="3" s="1"/>
  <c r="R558" i="3" s="1"/>
  <c r="S557" i="3"/>
  <c r="Q557" i="3" s="1"/>
  <c r="R557" i="3" s="1"/>
  <c r="S556" i="3"/>
  <c r="S555" i="3"/>
  <c r="Q555" i="3" s="1"/>
  <c r="R555" i="3" s="1"/>
  <c r="P555" i="3"/>
  <c r="S554" i="3"/>
  <c r="Q554" i="3"/>
  <c r="R554" i="3" s="1"/>
  <c r="P554" i="3"/>
  <c r="S553" i="3"/>
  <c r="P553" i="3" s="1"/>
  <c r="Q553" i="3"/>
  <c r="R553" i="3" s="1"/>
  <c r="S552" i="3"/>
  <c r="Q552" i="3"/>
  <c r="R552" i="3" s="1"/>
  <c r="P552" i="3"/>
  <c r="S551" i="3"/>
  <c r="S550" i="3"/>
  <c r="Q550" i="3" s="1"/>
  <c r="R550" i="3" s="1"/>
  <c r="S549" i="3"/>
  <c r="S548" i="3"/>
  <c r="Q548" i="3" s="1"/>
  <c r="R548" i="3" s="1"/>
  <c r="S547" i="3"/>
  <c r="S546" i="3"/>
  <c r="S545" i="3"/>
  <c r="Q545" i="3" s="1"/>
  <c r="R545" i="3" s="1"/>
  <c r="S544" i="3"/>
  <c r="S543" i="3"/>
  <c r="P543" i="3" s="1"/>
  <c r="S542" i="3"/>
  <c r="P542" i="3" s="1"/>
  <c r="Q542" i="3"/>
  <c r="R542" i="3" s="1"/>
  <c r="S541" i="3"/>
  <c r="S540" i="3"/>
  <c r="Q540" i="3" s="1"/>
  <c r="R540" i="3" s="1"/>
  <c r="S539" i="3"/>
  <c r="Q539" i="3" s="1"/>
  <c r="R539" i="3" s="1"/>
  <c r="S538" i="3"/>
  <c r="Q538" i="3" s="1"/>
  <c r="R538" i="3" s="1"/>
  <c r="P538" i="3"/>
  <c r="S537" i="3"/>
  <c r="P537" i="3" s="1"/>
  <c r="S536" i="3"/>
  <c r="P536" i="3" s="1"/>
  <c r="S535" i="3"/>
  <c r="Q535" i="3" s="1"/>
  <c r="R535" i="3" s="1"/>
  <c r="S534" i="3"/>
  <c r="S533" i="3"/>
  <c r="Q533" i="3" s="1"/>
  <c r="R533" i="3" s="1"/>
  <c r="S532" i="3"/>
  <c r="Q532" i="3" s="1"/>
  <c r="R532" i="3" s="1"/>
  <c r="S531" i="3"/>
  <c r="S530" i="3"/>
  <c r="Q530" i="3" s="1"/>
  <c r="R530" i="3" s="1"/>
  <c r="S529" i="3"/>
  <c r="S528" i="3"/>
  <c r="Q528" i="3" s="1"/>
  <c r="R528" i="3" s="1"/>
  <c r="P528" i="3"/>
  <c r="S527" i="3"/>
  <c r="Q527" i="3" s="1"/>
  <c r="R527" i="3" s="1"/>
  <c r="S526" i="3"/>
  <c r="S525" i="3"/>
  <c r="P525" i="3" s="1"/>
  <c r="S524" i="3"/>
  <c r="P524" i="3" s="1"/>
  <c r="S523" i="3"/>
  <c r="Q523" i="3"/>
  <c r="R523" i="3" s="1"/>
  <c r="P523" i="3"/>
  <c r="S522" i="3"/>
  <c r="P522" i="3" s="1"/>
  <c r="Q522" i="3"/>
  <c r="R522" i="3" s="1"/>
  <c r="S521" i="3"/>
  <c r="P521" i="3" s="1"/>
  <c r="S520" i="3"/>
  <c r="S519" i="3"/>
  <c r="Q519" i="3" s="1"/>
  <c r="R519" i="3" s="1"/>
  <c r="S518" i="3"/>
  <c r="P518" i="3" s="1"/>
  <c r="Q518" i="3"/>
  <c r="R518" i="3" s="1"/>
  <c r="S517" i="3"/>
  <c r="Q517" i="3" s="1"/>
  <c r="R517" i="3" s="1"/>
  <c r="S516" i="3"/>
  <c r="S515" i="3"/>
  <c r="S514" i="3"/>
  <c r="P514" i="3" s="1"/>
  <c r="Q514" i="3"/>
  <c r="R514" i="3" s="1"/>
  <c r="S513" i="3"/>
  <c r="P513" i="3" s="1"/>
  <c r="S512" i="3"/>
  <c r="Q512" i="3" s="1"/>
  <c r="R512" i="3" s="1"/>
  <c r="S511" i="3"/>
  <c r="Q511" i="3"/>
  <c r="R511" i="3" s="1"/>
  <c r="P511" i="3"/>
  <c r="S510" i="3"/>
  <c r="Q510" i="3" s="1"/>
  <c r="R510" i="3" s="1"/>
  <c r="S509" i="3"/>
  <c r="S508" i="3"/>
  <c r="Q508" i="3" s="1"/>
  <c r="R508" i="3" s="1"/>
  <c r="S507" i="3"/>
  <c r="Q507" i="3" s="1"/>
  <c r="R507" i="3" s="1"/>
  <c r="S506" i="3"/>
  <c r="Q506" i="3" s="1"/>
  <c r="R506" i="3" s="1"/>
  <c r="S505" i="3"/>
  <c r="S504" i="3"/>
  <c r="S503" i="3"/>
  <c r="P503" i="3" s="1"/>
  <c r="S502" i="3"/>
  <c r="S501" i="3"/>
  <c r="Q501" i="3" s="1"/>
  <c r="R501" i="3" s="1"/>
  <c r="S500" i="3"/>
  <c r="S499" i="3"/>
  <c r="S498" i="3"/>
  <c r="P498" i="3" s="1"/>
  <c r="Q498" i="3"/>
  <c r="R498" i="3" s="1"/>
  <c r="S497" i="3"/>
  <c r="P497" i="3" s="1"/>
  <c r="S496" i="3"/>
  <c r="P496" i="3" s="1"/>
  <c r="S495" i="3"/>
  <c r="S494" i="3"/>
  <c r="Q494" i="3" s="1"/>
  <c r="R494" i="3" s="1"/>
  <c r="S493" i="3"/>
  <c r="Q493" i="3" s="1"/>
  <c r="R493" i="3" s="1"/>
  <c r="P493" i="3"/>
  <c r="S492" i="3"/>
  <c r="Q492" i="3" s="1"/>
  <c r="R492" i="3" s="1"/>
  <c r="S491" i="3"/>
  <c r="S490" i="3"/>
  <c r="P490" i="3" s="1"/>
  <c r="S489" i="3"/>
  <c r="Q489" i="3" s="1"/>
  <c r="R489" i="3" s="1"/>
  <c r="S488" i="3"/>
  <c r="P488" i="3" s="1"/>
  <c r="Q488" i="3"/>
  <c r="R488" i="3" s="1"/>
  <c r="S487" i="3"/>
  <c r="S486" i="3"/>
  <c r="Q486" i="3" s="1"/>
  <c r="R486" i="3" s="1"/>
  <c r="S485" i="3"/>
  <c r="P485" i="3" s="1"/>
  <c r="S484" i="3"/>
  <c r="S483" i="3"/>
  <c r="P483" i="3" s="1"/>
  <c r="Q483" i="3"/>
  <c r="R483" i="3" s="1"/>
  <c r="S482" i="3"/>
  <c r="P482" i="3" s="1"/>
  <c r="S481" i="3"/>
  <c r="P481" i="3" s="1"/>
  <c r="S480" i="3"/>
  <c r="S479" i="3"/>
  <c r="P479" i="3" s="1"/>
  <c r="S478" i="3"/>
  <c r="P478" i="3" s="1"/>
  <c r="Q478" i="3"/>
  <c r="R478" i="3" s="1"/>
  <c r="S477" i="3"/>
  <c r="P477" i="3" s="1"/>
  <c r="S476" i="3"/>
  <c r="Q476" i="3" s="1"/>
  <c r="R476" i="3" s="1"/>
  <c r="S475" i="3"/>
  <c r="Q475" i="3" s="1"/>
  <c r="R475" i="3" s="1"/>
  <c r="S474" i="3"/>
  <c r="S473" i="3"/>
  <c r="S472" i="3"/>
  <c r="S471" i="3"/>
  <c r="Q471" i="3" s="1"/>
  <c r="R471" i="3" s="1"/>
  <c r="S470" i="3"/>
  <c r="Q470" i="3" s="1"/>
  <c r="R470" i="3" s="1"/>
  <c r="S469" i="3"/>
  <c r="Q469" i="3" s="1"/>
  <c r="R469" i="3" s="1"/>
  <c r="S468" i="3"/>
  <c r="P468" i="3" s="1"/>
  <c r="S467" i="3"/>
  <c r="Q467" i="3" s="1"/>
  <c r="R467" i="3" s="1"/>
  <c r="S466" i="3"/>
  <c r="P466" i="3" s="1"/>
  <c r="S465" i="3"/>
  <c r="S464" i="3"/>
  <c r="Q464" i="3" s="1"/>
  <c r="R464" i="3" s="1"/>
  <c r="P464" i="3"/>
  <c r="S463" i="3"/>
  <c r="P463" i="3" s="1"/>
  <c r="Q463" i="3"/>
  <c r="R463" i="3" s="1"/>
  <c r="S462" i="3"/>
  <c r="S461" i="3"/>
  <c r="P461" i="3" s="1"/>
  <c r="S460" i="3"/>
  <c r="S459" i="3"/>
  <c r="Q459" i="3" s="1"/>
  <c r="R459" i="3" s="1"/>
  <c r="S458" i="3"/>
  <c r="P458" i="3" s="1"/>
  <c r="Q458" i="3"/>
  <c r="R458" i="3" s="1"/>
  <c r="S457" i="3"/>
  <c r="S456" i="3"/>
  <c r="Q456" i="3" s="1"/>
  <c r="R456" i="3" s="1"/>
  <c r="P456" i="3"/>
  <c r="S455" i="3"/>
  <c r="P455" i="3" s="1"/>
  <c r="Q455" i="3"/>
  <c r="R455" i="3" s="1"/>
  <c r="S454" i="3"/>
  <c r="P454" i="3" s="1"/>
  <c r="Q454" i="3"/>
  <c r="R454" i="3" s="1"/>
  <c r="S453" i="3"/>
  <c r="P453" i="3" s="1"/>
  <c r="S452" i="3"/>
  <c r="Q452" i="3" s="1"/>
  <c r="R452" i="3" s="1"/>
  <c r="S451" i="3"/>
  <c r="S450" i="3"/>
  <c r="S449" i="3"/>
  <c r="Q449" i="3" s="1"/>
  <c r="R449" i="3" s="1"/>
  <c r="S448" i="3"/>
  <c r="P448" i="3" s="1"/>
  <c r="S447" i="3"/>
  <c r="P447" i="3" s="1"/>
  <c r="Q447" i="3"/>
  <c r="R447" i="3" s="1"/>
  <c r="S446" i="3"/>
  <c r="P446" i="3" s="1"/>
  <c r="S445" i="3"/>
  <c r="P445" i="3" s="1"/>
  <c r="S444" i="3"/>
  <c r="S443" i="3"/>
  <c r="Q443" i="3" s="1"/>
  <c r="R443" i="3" s="1"/>
  <c r="S442" i="3"/>
  <c r="S441" i="3"/>
  <c r="Q441" i="3" s="1"/>
  <c r="R441" i="3" s="1"/>
  <c r="P441" i="3"/>
  <c r="S440" i="3"/>
  <c r="S439" i="3"/>
  <c r="P439" i="3" s="1"/>
  <c r="S438" i="3"/>
  <c r="Q438" i="3"/>
  <c r="R438" i="3" s="1"/>
  <c r="P438" i="3"/>
  <c r="S437" i="3"/>
  <c r="Q437" i="3" s="1"/>
  <c r="R437" i="3" s="1"/>
  <c r="S436" i="3"/>
  <c r="Q436" i="3" s="1"/>
  <c r="R436" i="3"/>
  <c r="S435" i="3"/>
  <c r="P435" i="3" s="1"/>
  <c r="S434" i="3"/>
  <c r="P434" i="3" s="1"/>
  <c r="S433" i="3"/>
  <c r="S432" i="3"/>
  <c r="Q432" i="3" s="1"/>
  <c r="R432" i="3" s="1"/>
  <c r="S431" i="3"/>
  <c r="Q431" i="3" s="1"/>
  <c r="R431" i="3" s="1"/>
  <c r="S430" i="3"/>
  <c r="S429" i="3"/>
  <c r="P429" i="3" s="1"/>
  <c r="S428" i="3"/>
  <c r="P428" i="3" s="1"/>
  <c r="S427" i="3"/>
  <c r="P427" i="3" s="1"/>
  <c r="S426" i="3"/>
  <c r="P426" i="3" s="1"/>
  <c r="Q426" i="3"/>
  <c r="R426" i="3" s="1"/>
  <c r="S425" i="3"/>
  <c r="P425" i="3" s="1"/>
  <c r="Q425" i="3"/>
  <c r="R425" i="3" s="1"/>
  <c r="S424" i="3"/>
  <c r="S423" i="3"/>
  <c r="Q423" i="3" s="1"/>
  <c r="R423" i="3" s="1"/>
  <c r="P423" i="3"/>
  <c r="S422" i="3"/>
  <c r="S421" i="3"/>
  <c r="P421" i="3" s="1"/>
  <c r="S420" i="3"/>
  <c r="P420" i="3" s="1"/>
  <c r="S419" i="3"/>
  <c r="S418" i="3"/>
  <c r="P418" i="3" s="1"/>
  <c r="S417" i="3"/>
  <c r="Q417" i="3" s="1"/>
  <c r="R417" i="3" s="1"/>
  <c r="S416" i="3"/>
  <c r="P416" i="3" s="1"/>
  <c r="S415" i="3"/>
  <c r="P415" i="3" s="1"/>
  <c r="Q415" i="3"/>
  <c r="R415" i="3" s="1"/>
  <c r="S414" i="3"/>
  <c r="Q414" i="3" s="1"/>
  <c r="R414" i="3" s="1"/>
  <c r="S413" i="3"/>
  <c r="P413" i="3" s="1"/>
  <c r="S412" i="3"/>
  <c r="S411" i="3"/>
  <c r="S410" i="3"/>
  <c r="P410" i="3" s="1"/>
  <c r="S409" i="3"/>
  <c r="P409" i="3" s="1"/>
  <c r="S408" i="3"/>
  <c r="Q408" i="3" s="1"/>
  <c r="R408" i="3" s="1"/>
  <c r="P408" i="3"/>
  <c r="S407" i="3"/>
  <c r="P407" i="3" s="1"/>
  <c r="Q407" i="3"/>
  <c r="R407" i="3" s="1"/>
  <c r="S406" i="3"/>
  <c r="S405" i="3"/>
  <c r="Q405" i="3" s="1"/>
  <c r="R405" i="3" s="1"/>
  <c r="S404" i="3"/>
  <c r="S403" i="3"/>
  <c r="P403" i="3" s="1"/>
  <c r="S402" i="3"/>
  <c r="P402" i="3" s="1"/>
  <c r="S401" i="3"/>
  <c r="Q401" i="3" s="1"/>
  <c r="R401" i="3" s="1"/>
  <c r="P401" i="3"/>
  <c r="S400" i="3"/>
  <c r="S399" i="3"/>
  <c r="P399" i="3" s="1"/>
  <c r="S398" i="3"/>
  <c r="Q398" i="3" s="1"/>
  <c r="R398" i="3" s="1"/>
  <c r="P398" i="3"/>
  <c r="S397" i="3"/>
  <c r="P397" i="3" s="1"/>
  <c r="S396" i="3"/>
  <c r="P396" i="3" s="1"/>
  <c r="S395" i="3"/>
  <c r="Q395" i="3" s="1"/>
  <c r="R395" i="3" s="1"/>
  <c r="S394" i="3"/>
  <c r="S393" i="3"/>
  <c r="S392" i="3"/>
  <c r="Q392" i="3" s="1"/>
  <c r="R392" i="3" s="1"/>
  <c r="S391" i="3"/>
  <c r="Q391" i="3" s="1"/>
  <c r="R391" i="3" s="1"/>
  <c r="S390" i="3"/>
  <c r="Q390" i="3" s="1"/>
  <c r="R390" i="3" s="1"/>
  <c r="P390" i="3"/>
  <c r="S389" i="3"/>
  <c r="P389" i="3" s="1"/>
  <c r="Q389" i="3"/>
  <c r="R389" i="3" s="1"/>
  <c r="S388" i="3"/>
  <c r="Q388" i="3" s="1"/>
  <c r="R388" i="3" s="1"/>
  <c r="P388" i="3"/>
  <c r="S387" i="3"/>
  <c r="P387" i="3" s="1"/>
  <c r="S386" i="3"/>
  <c r="P386" i="3" s="1"/>
  <c r="Q386" i="3"/>
  <c r="R386" i="3" s="1"/>
  <c r="S385" i="3"/>
  <c r="P385" i="3" s="1"/>
  <c r="S384" i="3"/>
  <c r="Q384" i="3" s="1"/>
  <c r="R384" i="3" s="1"/>
  <c r="P384" i="3"/>
  <c r="S383" i="3"/>
  <c r="Q383" i="3" s="1"/>
  <c r="R383" i="3" s="1"/>
  <c r="S382" i="3"/>
  <c r="Q382" i="3" s="1"/>
  <c r="R382" i="3" s="1"/>
  <c r="S381" i="3"/>
  <c r="P381" i="3" s="1"/>
  <c r="S380" i="3"/>
  <c r="Q380" i="3" s="1"/>
  <c r="R380" i="3" s="1"/>
  <c r="S379" i="3"/>
  <c r="P379" i="3" s="1"/>
  <c r="Q379" i="3"/>
  <c r="R379" i="3" s="1"/>
  <c r="S378" i="3"/>
  <c r="S377" i="3"/>
  <c r="P377" i="3" s="1"/>
  <c r="S376" i="3"/>
  <c r="P376" i="3" s="1"/>
  <c r="S375" i="3"/>
  <c r="P375" i="3" s="1"/>
  <c r="Q375" i="3"/>
  <c r="R375" i="3" s="1"/>
  <c r="S374" i="3"/>
  <c r="Q374" i="3" s="1"/>
  <c r="R374" i="3" s="1"/>
  <c r="S373" i="3"/>
  <c r="S372" i="3"/>
  <c r="Q372" i="3" s="1"/>
  <c r="R372" i="3" s="1"/>
  <c r="S371" i="3"/>
  <c r="S370" i="3"/>
  <c r="P370" i="3" s="1"/>
  <c r="Q370" i="3"/>
  <c r="R370" i="3" s="1"/>
  <c r="S369" i="3"/>
  <c r="Q369" i="3" s="1"/>
  <c r="R369" i="3" s="1"/>
  <c r="S368" i="3"/>
  <c r="P368" i="3" s="1"/>
  <c r="S367" i="3"/>
  <c r="P367" i="3" s="1"/>
  <c r="S366" i="3"/>
  <c r="Q366" i="3" s="1"/>
  <c r="R366" i="3" s="1"/>
  <c r="S365" i="3"/>
  <c r="S364" i="3"/>
  <c r="S363" i="3"/>
  <c r="P363" i="3" s="1"/>
  <c r="Q363" i="3"/>
  <c r="R363" i="3" s="1"/>
  <c r="S362" i="3"/>
  <c r="Q362" i="3" s="1"/>
  <c r="R362" i="3" s="1"/>
  <c r="S361" i="3"/>
  <c r="P361" i="3" s="1"/>
  <c r="S360" i="3"/>
  <c r="S359" i="3"/>
  <c r="P359" i="3" s="1"/>
  <c r="S358" i="3"/>
  <c r="S357" i="3"/>
  <c r="Q357" i="3" s="1"/>
  <c r="R357" i="3" s="1"/>
  <c r="P357" i="3"/>
  <c r="S356" i="3"/>
  <c r="P356" i="3" s="1"/>
  <c r="S355" i="3"/>
  <c r="Q355" i="3" s="1"/>
  <c r="R355" i="3" s="1"/>
  <c r="S354" i="3"/>
  <c r="S353" i="3"/>
  <c r="S352" i="3"/>
  <c r="S351" i="3"/>
  <c r="Q351" i="3" s="1"/>
  <c r="R351" i="3" s="1"/>
  <c r="S350" i="3"/>
  <c r="Q350" i="3" s="1"/>
  <c r="R350" i="3" s="1"/>
  <c r="P350" i="3"/>
  <c r="S349" i="3"/>
  <c r="Q349" i="3" s="1"/>
  <c r="R349" i="3" s="1"/>
  <c r="P349" i="3"/>
  <c r="S348" i="3"/>
  <c r="Q348" i="3" s="1"/>
  <c r="R348" i="3" s="1"/>
  <c r="S347" i="3"/>
  <c r="S346" i="3"/>
  <c r="S345" i="3"/>
  <c r="Q345" i="3" s="1"/>
  <c r="R345" i="3" s="1"/>
  <c r="S344" i="3"/>
  <c r="Q344" i="3" s="1"/>
  <c r="R344" i="3" s="1"/>
  <c r="S343" i="3"/>
  <c r="Q343" i="3" s="1"/>
  <c r="R343" i="3" s="1"/>
  <c r="S342" i="3"/>
  <c r="Q342" i="3" s="1"/>
  <c r="R342" i="3" s="1"/>
  <c r="S341" i="3"/>
  <c r="P341" i="3" s="1"/>
  <c r="S340" i="3"/>
  <c r="Q340" i="3" s="1"/>
  <c r="R340" i="3" s="1"/>
  <c r="P340" i="3"/>
  <c r="S339" i="3"/>
  <c r="Q339" i="3" s="1"/>
  <c r="R339" i="3" s="1"/>
  <c r="S338" i="3"/>
  <c r="Q338" i="3" s="1"/>
  <c r="R338" i="3" s="1"/>
  <c r="S337" i="3"/>
  <c r="P337" i="3" s="1"/>
  <c r="Q337" i="3"/>
  <c r="R337" i="3" s="1"/>
  <c r="S336" i="3"/>
  <c r="S335" i="3"/>
  <c r="S334" i="3"/>
  <c r="P334" i="3" s="1"/>
  <c r="S333" i="3"/>
  <c r="P333" i="3" s="1"/>
  <c r="S332" i="3"/>
  <c r="P332" i="3" s="1"/>
  <c r="Q332" i="3"/>
  <c r="R332" i="3" s="1"/>
  <c r="S331" i="3"/>
  <c r="Q331" i="3" s="1"/>
  <c r="R331" i="3" s="1"/>
  <c r="P331" i="3"/>
  <c r="S330" i="3"/>
  <c r="S329" i="3"/>
  <c r="P329" i="3" s="1"/>
  <c r="Q329" i="3"/>
  <c r="R329" i="3" s="1"/>
  <c r="S328" i="3"/>
  <c r="P328" i="3" s="1"/>
  <c r="S327" i="3"/>
  <c r="P327" i="3" s="1"/>
  <c r="Q327" i="3"/>
  <c r="R327" i="3" s="1"/>
  <c r="S326" i="3"/>
  <c r="Q326" i="3" s="1"/>
  <c r="R326" i="3" s="1"/>
  <c r="S325" i="3"/>
  <c r="Q325" i="3" s="1"/>
  <c r="R325" i="3" s="1"/>
  <c r="S324" i="3"/>
  <c r="S323" i="3"/>
  <c r="Q323" i="3" s="1"/>
  <c r="R323" i="3" s="1"/>
  <c r="P323" i="3"/>
  <c r="S322" i="3"/>
  <c r="Q322" i="3" s="1"/>
  <c r="R322" i="3" s="1"/>
  <c r="S321" i="3"/>
  <c r="Q321" i="3" s="1"/>
  <c r="R321" i="3" s="1"/>
  <c r="S320" i="3"/>
  <c r="Q320" i="3" s="1"/>
  <c r="R320" i="3" s="1"/>
  <c r="S319" i="3"/>
  <c r="P319" i="3" s="1"/>
  <c r="Q319" i="3"/>
  <c r="R319" i="3" s="1"/>
  <c r="S318" i="3"/>
  <c r="P318" i="3" s="1"/>
  <c r="S317" i="3"/>
  <c r="S316" i="3"/>
  <c r="Q316" i="3" s="1"/>
  <c r="R316" i="3" s="1"/>
  <c r="P316" i="3"/>
  <c r="S315" i="3"/>
  <c r="Q315" i="3" s="1"/>
  <c r="R315" i="3" s="1"/>
  <c r="P315" i="3"/>
  <c r="S314" i="3"/>
  <c r="Q314" i="3" s="1"/>
  <c r="R314" i="3" s="1"/>
  <c r="S313" i="3"/>
  <c r="S312" i="3"/>
  <c r="Q312" i="3" s="1"/>
  <c r="R312" i="3" s="1"/>
  <c r="P312" i="3"/>
  <c r="S311" i="3"/>
  <c r="Q311" i="3" s="1"/>
  <c r="R311" i="3" s="1"/>
  <c r="S310" i="3"/>
  <c r="S309" i="3"/>
  <c r="P309" i="3" s="1"/>
  <c r="S308" i="3"/>
  <c r="S307" i="3"/>
  <c r="Q307" i="3" s="1"/>
  <c r="R307" i="3"/>
  <c r="S306" i="3"/>
  <c r="S305" i="3"/>
  <c r="P305" i="3" s="1"/>
  <c r="S304" i="3"/>
  <c r="P304" i="3" s="1"/>
  <c r="S303" i="3"/>
  <c r="Q303" i="3" s="1"/>
  <c r="R303" i="3" s="1"/>
  <c r="S302" i="3"/>
  <c r="S301" i="3"/>
  <c r="P301" i="3" s="1"/>
  <c r="S300" i="3"/>
  <c r="Q300" i="3" s="1"/>
  <c r="R300" i="3" s="1"/>
  <c r="S299" i="3"/>
  <c r="Q299" i="3" s="1"/>
  <c r="R299" i="3" s="1"/>
  <c r="S298" i="3"/>
  <c r="Q298" i="3" s="1"/>
  <c r="R298" i="3" s="1"/>
  <c r="P298" i="3"/>
  <c r="S297" i="3"/>
  <c r="Q297" i="3" s="1"/>
  <c r="R297" i="3" s="1"/>
  <c r="S296" i="3"/>
  <c r="P296" i="3" s="1"/>
  <c r="S295" i="3"/>
  <c r="Q295" i="3" s="1"/>
  <c r="R295" i="3" s="1"/>
  <c r="S294" i="3"/>
  <c r="S293" i="3"/>
  <c r="P293" i="3" s="1"/>
  <c r="Q293" i="3"/>
  <c r="R293" i="3" s="1"/>
  <c r="S292" i="3"/>
  <c r="Q292" i="3" s="1"/>
  <c r="R292" i="3" s="1"/>
  <c r="S291" i="3"/>
  <c r="S290" i="3"/>
  <c r="P290" i="3" s="1"/>
  <c r="S289" i="3"/>
  <c r="P289" i="3" s="1"/>
  <c r="S288" i="3"/>
  <c r="Q288" i="3"/>
  <c r="R288" i="3" s="1"/>
  <c r="P288" i="3"/>
  <c r="S287" i="3"/>
  <c r="Q287" i="3" s="1"/>
  <c r="R287" i="3" s="1"/>
  <c r="S286" i="3"/>
  <c r="Q286" i="3" s="1"/>
  <c r="R286" i="3" s="1"/>
  <c r="S285" i="3"/>
  <c r="P285" i="3" s="1"/>
  <c r="Q285" i="3"/>
  <c r="R285" i="3" s="1"/>
  <c r="S284" i="3"/>
  <c r="S283" i="3"/>
  <c r="P283" i="3" s="1"/>
  <c r="S282" i="3"/>
  <c r="P282" i="3" s="1"/>
  <c r="Q282" i="3"/>
  <c r="R282" i="3" s="1"/>
  <c r="S281" i="3"/>
  <c r="Q281" i="3" s="1"/>
  <c r="R281" i="3" s="1"/>
  <c r="S280" i="3"/>
  <c r="Q280" i="3" s="1"/>
  <c r="R280" i="3" s="1"/>
  <c r="S279" i="3"/>
  <c r="Q279" i="3"/>
  <c r="R279" i="3" s="1"/>
  <c r="P279" i="3"/>
  <c r="S278" i="3"/>
  <c r="P278" i="3" s="1"/>
  <c r="S277" i="3"/>
  <c r="S276" i="3"/>
  <c r="P276" i="3" s="1"/>
  <c r="S275" i="3"/>
  <c r="Q275" i="3" s="1"/>
  <c r="R275" i="3" s="1"/>
  <c r="S274" i="3"/>
  <c r="Q274" i="3" s="1"/>
  <c r="R274" i="3" s="1"/>
  <c r="S273" i="3"/>
  <c r="Q273" i="3" s="1"/>
  <c r="R273" i="3" s="1"/>
  <c r="S272" i="3"/>
  <c r="S271" i="3"/>
  <c r="Q271" i="3" s="1"/>
  <c r="R271" i="3" s="1"/>
  <c r="P271" i="3"/>
  <c r="S270" i="3"/>
  <c r="P270" i="3" s="1"/>
  <c r="S269" i="3"/>
  <c r="P269" i="3" s="1"/>
  <c r="Q269" i="3"/>
  <c r="R269" i="3" s="1"/>
  <c r="S268" i="3"/>
  <c r="Q268" i="3" s="1"/>
  <c r="R268" i="3"/>
  <c r="S267" i="3"/>
  <c r="P267" i="3" s="1"/>
  <c r="S266" i="3"/>
  <c r="S265" i="3"/>
  <c r="P265" i="3" s="1"/>
  <c r="Q265" i="3"/>
  <c r="R265" i="3" s="1"/>
  <c r="S264" i="3"/>
  <c r="Q264" i="3" s="1"/>
  <c r="R264" i="3" s="1"/>
  <c r="S263" i="3"/>
  <c r="Q263" i="3" s="1"/>
  <c r="R263" i="3" s="1"/>
  <c r="S262" i="3"/>
  <c r="Q262" i="3" s="1"/>
  <c r="R262" i="3" s="1"/>
  <c r="P262" i="3"/>
  <c r="S261" i="3"/>
  <c r="P261" i="3" s="1"/>
  <c r="Q261" i="3"/>
  <c r="R261" i="3" s="1"/>
  <c r="S260" i="3"/>
  <c r="P260" i="3" s="1"/>
  <c r="S259" i="3"/>
  <c r="S258" i="3"/>
  <c r="P258" i="3" s="1"/>
  <c r="S257" i="3"/>
  <c r="Q257" i="3" s="1"/>
  <c r="R257" i="3" s="1"/>
  <c r="P257" i="3"/>
  <c r="S256" i="3"/>
  <c r="S255" i="3"/>
  <c r="S254" i="3"/>
  <c r="Q254" i="3" s="1"/>
  <c r="R254" i="3" s="1"/>
  <c r="P254" i="3"/>
  <c r="S253" i="3"/>
  <c r="Q253" i="3" s="1"/>
  <c r="R253" i="3" s="1"/>
  <c r="P253" i="3"/>
  <c r="S252" i="3"/>
  <c r="Q252" i="3" s="1"/>
  <c r="R252" i="3" s="1"/>
  <c r="S251" i="3"/>
  <c r="Q251" i="3" s="1"/>
  <c r="R251" i="3" s="1"/>
  <c r="S250" i="3"/>
  <c r="Q250" i="3" s="1"/>
  <c r="R250" i="3" s="1"/>
  <c r="S249" i="3"/>
  <c r="P249" i="3" s="1"/>
  <c r="S248" i="3"/>
  <c r="S247" i="3"/>
  <c r="P247" i="3" s="1"/>
  <c r="S246" i="3"/>
  <c r="Q246" i="3" s="1"/>
  <c r="R246" i="3" s="1"/>
  <c r="S245" i="3"/>
  <c r="Q245" i="3" s="1"/>
  <c r="R245" i="3" s="1"/>
  <c r="S244" i="3"/>
  <c r="Q244" i="3" s="1"/>
  <c r="R244" i="3" s="1"/>
  <c r="S243" i="3"/>
  <c r="S242" i="3"/>
  <c r="P242" i="3" s="1"/>
  <c r="Q242" i="3"/>
  <c r="R242" i="3" s="1"/>
  <c r="S241" i="3"/>
  <c r="P241" i="3" s="1"/>
  <c r="S240" i="3"/>
  <c r="Q240" i="3" s="1"/>
  <c r="R240" i="3" s="1"/>
  <c r="P240" i="3"/>
  <c r="S239" i="3"/>
  <c r="Q239" i="3" s="1"/>
  <c r="R239" i="3" s="1"/>
  <c r="S238" i="3"/>
  <c r="S237" i="3"/>
  <c r="P237" i="3" s="1"/>
  <c r="S236" i="3"/>
  <c r="Q236" i="3" s="1"/>
  <c r="R236" i="3" s="1"/>
  <c r="P236" i="3"/>
  <c r="S235" i="3"/>
  <c r="Q235" i="3" s="1"/>
  <c r="R235" i="3" s="1"/>
  <c r="S234" i="3"/>
  <c r="P234" i="3" s="1"/>
  <c r="S233" i="3"/>
  <c r="S232" i="3"/>
  <c r="Q232" i="3" s="1"/>
  <c r="R232" i="3" s="1"/>
  <c r="S231" i="3"/>
  <c r="P231" i="3" s="1"/>
  <c r="Q231" i="3"/>
  <c r="R231" i="3" s="1"/>
  <c r="S230" i="3"/>
  <c r="Q230" i="3"/>
  <c r="R230" i="3" s="1"/>
  <c r="P230" i="3"/>
  <c r="S229" i="3"/>
  <c r="P229" i="3" s="1"/>
  <c r="Q229" i="3"/>
  <c r="R229" i="3" s="1"/>
  <c r="S228" i="3"/>
  <c r="P228" i="3" s="1"/>
  <c r="S227" i="3"/>
  <c r="S226" i="3"/>
  <c r="S225" i="3"/>
  <c r="P225" i="3" s="1"/>
  <c r="Q225" i="3"/>
  <c r="R225" i="3" s="1"/>
  <c r="S224" i="3"/>
  <c r="P224" i="3" s="1"/>
  <c r="Q224" i="3"/>
  <c r="R224" i="3" s="1"/>
  <c r="S223" i="3"/>
  <c r="Q223" i="3"/>
  <c r="R223" i="3" s="1"/>
  <c r="P223" i="3"/>
  <c r="S222" i="3"/>
  <c r="Q222" i="3" s="1"/>
  <c r="R222" i="3" s="1"/>
  <c r="S221" i="3"/>
  <c r="P221" i="3" s="1"/>
  <c r="S220" i="3"/>
  <c r="S219" i="3"/>
  <c r="P219" i="3" s="1"/>
  <c r="Q219" i="3"/>
  <c r="R219" i="3" s="1"/>
  <c r="S218" i="3"/>
  <c r="Q218" i="3" s="1"/>
  <c r="R218" i="3" s="1"/>
  <c r="S217" i="3"/>
  <c r="P217" i="3" s="1"/>
  <c r="S216" i="3"/>
  <c r="S215" i="3"/>
  <c r="S214" i="3"/>
  <c r="P214" i="3" s="1"/>
  <c r="S213" i="3"/>
  <c r="Q213" i="3" s="1"/>
  <c r="R213" i="3" s="1"/>
  <c r="P213" i="3"/>
  <c r="S212" i="3"/>
  <c r="P212" i="3" s="1"/>
  <c r="Q212" i="3"/>
  <c r="R212" i="3" s="1"/>
  <c r="S211" i="3"/>
  <c r="Q211" i="3" s="1"/>
  <c r="R211" i="3" s="1"/>
  <c r="S210" i="3"/>
  <c r="S209" i="3"/>
  <c r="P209" i="3" s="1"/>
  <c r="Q209" i="3"/>
  <c r="R209" i="3" s="1"/>
  <c r="S208" i="3"/>
  <c r="S207" i="3"/>
  <c r="Q207" i="3" s="1"/>
  <c r="R207" i="3" s="1"/>
  <c r="P207" i="3"/>
  <c r="S206" i="3"/>
  <c r="P206" i="3" s="1"/>
  <c r="S205" i="3"/>
  <c r="Q205" i="3" s="1"/>
  <c r="R205" i="3" s="1"/>
  <c r="S204" i="3"/>
  <c r="Q204" i="3" s="1"/>
  <c r="R204" i="3" s="1"/>
  <c r="S203" i="3"/>
  <c r="Q203" i="3" s="1"/>
  <c r="R203" i="3" s="1"/>
  <c r="S202" i="3"/>
  <c r="P202" i="3" s="1"/>
  <c r="Q202" i="3"/>
  <c r="R202" i="3" s="1"/>
  <c r="S201" i="3"/>
  <c r="P201" i="3" s="1"/>
  <c r="S200" i="3"/>
  <c r="Q200" i="3" s="1"/>
  <c r="R200" i="3" s="1"/>
  <c r="S199" i="3"/>
  <c r="Q199" i="3" s="1"/>
  <c r="R199" i="3" s="1"/>
  <c r="S198" i="3"/>
  <c r="Q198" i="3" s="1"/>
  <c r="R198" i="3" s="1"/>
  <c r="S197" i="3"/>
  <c r="S196" i="3"/>
  <c r="Q196" i="3" s="1"/>
  <c r="R196" i="3" s="1"/>
  <c r="S195" i="3"/>
  <c r="P195" i="3" s="1"/>
  <c r="Q195" i="3"/>
  <c r="R195" i="3" s="1"/>
  <c r="S194" i="3"/>
  <c r="Q194" i="3" s="1"/>
  <c r="R194" i="3" s="1"/>
  <c r="S193" i="3"/>
  <c r="S192" i="3"/>
  <c r="P192" i="3" s="1"/>
  <c r="Q192" i="3"/>
  <c r="R192" i="3" s="1"/>
  <c r="S191" i="3"/>
  <c r="P191" i="3" s="1"/>
  <c r="S190" i="3"/>
  <c r="S189" i="3"/>
  <c r="Q189" i="3" s="1"/>
  <c r="R189" i="3" s="1"/>
  <c r="P189" i="3"/>
  <c r="S188" i="3"/>
  <c r="P188" i="3" s="1"/>
  <c r="Q188" i="3"/>
  <c r="R188" i="3" s="1"/>
  <c r="S187" i="3"/>
  <c r="Q187" i="3" s="1"/>
  <c r="R187" i="3" s="1"/>
  <c r="P187" i="3"/>
  <c r="S186" i="3"/>
  <c r="P186" i="3" s="1"/>
  <c r="S185" i="3"/>
  <c r="Q185" i="3" s="1"/>
  <c r="R185" i="3" s="1"/>
  <c r="S184" i="3"/>
  <c r="Q184" i="3" s="1"/>
  <c r="R184" i="3" s="1"/>
  <c r="S183" i="3"/>
  <c r="Q183" i="3" s="1"/>
  <c r="R183" i="3" s="1"/>
  <c r="S182" i="3"/>
  <c r="Q182" i="3" s="1"/>
  <c r="R182" i="3" s="1"/>
  <c r="S181" i="3"/>
  <c r="Q181" i="3" s="1"/>
  <c r="R181" i="3" s="1"/>
  <c r="S180" i="3"/>
  <c r="P180" i="3" s="1"/>
  <c r="S179" i="3"/>
  <c r="S178" i="3"/>
  <c r="P178" i="3" s="1"/>
  <c r="S177" i="3"/>
  <c r="Q177" i="3" s="1"/>
  <c r="R177" i="3" s="1"/>
  <c r="S176" i="3"/>
  <c r="Q176" i="3" s="1"/>
  <c r="R176" i="3" s="1"/>
  <c r="P176" i="3"/>
  <c r="S175" i="3"/>
  <c r="P175" i="3" s="1"/>
  <c r="Q175" i="3"/>
  <c r="R175" i="3" s="1"/>
  <c r="S174" i="3"/>
  <c r="Q174" i="3" s="1"/>
  <c r="R174" i="3" s="1"/>
  <c r="S173" i="3"/>
  <c r="P173" i="3" s="1"/>
  <c r="S172" i="3"/>
  <c r="P172" i="3" s="1"/>
  <c r="S171" i="3"/>
  <c r="Q171" i="3"/>
  <c r="R171" i="3" s="1"/>
  <c r="P171" i="3"/>
  <c r="S170" i="3"/>
  <c r="Q170" i="3" s="1"/>
  <c r="R170" i="3" s="1"/>
  <c r="S169" i="3"/>
  <c r="S168" i="3"/>
  <c r="P168" i="3" s="1"/>
  <c r="S167" i="3"/>
  <c r="P167" i="3" s="1"/>
  <c r="S166" i="3"/>
  <c r="Q166" i="3" s="1"/>
  <c r="R166" i="3" s="1"/>
  <c r="P166" i="3"/>
  <c r="S165" i="3"/>
  <c r="P165" i="3" s="1"/>
  <c r="S164" i="3"/>
  <c r="Q164" i="3" s="1"/>
  <c r="R164" i="3" s="1"/>
  <c r="S163" i="3"/>
  <c r="Q163" i="3" s="1"/>
  <c r="R163" i="3" s="1"/>
  <c r="S162" i="3"/>
  <c r="P162" i="3" s="1"/>
  <c r="S161" i="3"/>
  <c r="Q161" i="3" s="1"/>
  <c r="R161" i="3" s="1"/>
  <c r="S160" i="3"/>
  <c r="Q160" i="3" s="1"/>
  <c r="R160" i="3" s="1"/>
  <c r="P160" i="3"/>
  <c r="S159" i="3"/>
  <c r="Q159" i="3" s="1"/>
  <c r="R159" i="3" s="1"/>
  <c r="S158" i="3"/>
  <c r="P158" i="3" s="1"/>
  <c r="Q158" i="3"/>
  <c r="R158" i="3" s="1"/>
  <c r="S157" i="3"/>
  <c r="Q157" i="3" s="1"/>
  <c r="R157" i="3" s="1"/>
  <c r="S156" i="3"/>
  <c r="P156" i="3" s="1"/>
  <c r="S155" i="3"/>
  <c r="Q155" i="3" s="1"/>
  <c r="R155" i="3" s="1"/>
  <c r="S154" i="3"/>
  <c r="P154" i="3" s="1"/>
  <c r="S153" i="3"/>
  <c r="Q153" i="3" s="1"/>
  <c r="R153" i="3" s="1"/>
  <c r="S152" i="3"/>
  <c r="P152" i="3" s="1"/>
  <c r="S151" i="3"/>
  <c r="Q151" i="3"/>
  <c r="R151" i="3" s="1"/>
  <c r="P151" i="3"/>
  <c r="S150" i="3"/>
  <c r="P150" i="3" s="1"/>
  <c r="Q150" i="3"/>
  <c r="R150" i="3" s="1"/>
  <c r="S149" i="3"/>
  <c r="Q149" i="3" s="1"/>
  <c r="R149" i="3" s="1"/>
  <c r="S148" i="3"/>
  <c r="Q148" i="3" s="1"/>
  <c r="R148" i="3" s="1"/>
  <c r="S147" i="3"/>
  <c r="P147" i="3" s="1"/>
  <c r="S146" i="3"/>
  <c r="Q146" i="3" s="1"/>
  <c r="R146" i="3" s="1"/>
  <c r="S145" i="3"/>
  <c r="P145" i="3" s="1"/>
  <c r="S144" i="3"/>
  <c r="Q144" i="3" s="1"/>
  <c r="R144" i="3" s="1"/>
  <c r="S143" i="3"/>
  <c r="P143" i="3" s="1"/>
  <c r="Q143" i="3"/>
  <c r="R143" i="3" s="1"/>
  <c r="S142" i="3"/>
  <c r="Q142" i="3" s="1"/>
  <c r="R142" i="3" s="1"/>
  <c r="S141" i="3"/>
  <c r="P141" i="3" s="1"/>
  <c r="Q141" i="3"/>
  <c r="R141" i="3" s="1"/>
  <c r="S140" i="3"/>
  <c r="P140" i="3" s="1"/>
  <c r="S139" i="3"/>
  <c r="Q139" i="3" s="1"/>
  <c r="R139" i="3" s="1"/>
  <c r="S138" i="3"/>
  <c r="P138" i="3" s="1"/>
  <c r="Q138" i="3"/>
  <c r="R138" i="3" s="1"/>
  <c r="S137" i="3"/>
  <c r="P137" i="3" s="1"/>
  <c r="S136" i="3"/>
  <c r="Q136" i="3" s="1"/>
  <c r="R136" i="3" s="1"/>
  <c r="S135" i="3"/>
  <c r="Q135" i="3" s="1"/>
  <c r="R135" i="3" s="1"/>
  <c r="S134" i="3"/>
  <c r="P134" i="3" s="1"/>
  <c r="Q134" i="3"/>
  <c r="R134" i="3" s="1"/>
  <c r="S133" i="3"/>
  <c r="P133" i="3" s="1"/>
  <c r="S132" i="3"/>
  <c r="P132" i="3" s="1"/>
  <c r="S131" i="3"/>
  <c r="Q131" i="3" s="1"/>
  <c r="R131" i="3" s="1"/>
  <c r="S130" i="3"/>
  <c r="P130" i="3" s="1"/>
  <c r="S129" i="3"/>
  <c r="S128" i="3"/>
  <c r="Q128" i="3" s="1"/>
  <c r="R128" i="3" s="1"/>
  <c r="P128" i="3"/>
  <c r="S127" i="3"/>
  <c r="P127" i="3" s="1"/>
  <c r="S126" i="3"/>
  <c r="Q126" i="3" s="1"/>
  <c r="R126" i="3" s="1"/>
  <c r="S125" i="3"/>
  <c r="Q125" i="3" s="1"/>
  <c r="R125" i="3" s="1"/>
  <c r="S124" i="3"/>
  <c r="Q124" i="3" s="1"/>
  <c r="R124" i="3"/>
  <c r="S123" i="3"/>
  <c r="Q123" i="3" s="1"/>
  <c r="R123" i="3" s="1"/>
  <c r="S122" i="3"/>
  <c r="P122" i="3" s="1"/>
  <c r="S121" i="3"/>
  <c r="S120" i="3"/>
  <c r="Q120" i="3" s="1"/>
  <c r="R120" i="3" s="1"/>
  <c r="S119" i="3"/>
  <c r="Q119" i="3" s="1"/>
  <c r="R119" i="3" s="1"/>
  <c r="P119" i="3"/>
  <c r="S118" i="3"/>
  <c r="Q118" i="3" s="1"/>
  <c r="R118" i="3" s="1"/>
  <c r="S117" i="3"/>
  <c r="P117" i="3" s="1"/>
  <c r="S116" i="3"/>
  <c r="P116" i="3" s="1"/>
  <c r="Q116" i="3"/>
  <c r="R116" i="3" s="1"/>
  <c r="S115" i="3"/>
  <c r="P115" i="3" s="1"/>
  <c r="S114" i="3"/>
  <c r="P114" i="3" s="1"/>
  <c r="S113" i="3"/>
  <c r="Q113" i="3" s="1"/>
  <c r="R113" i="3" s="1"/>
  <c r="S112" i="3"/>
  <c r="Q112" i="3" s="1"/>
  <c r="R112" i="3" s="1"/>
  <c r="S111" i="3"/>
  <c r="P111" i="3" s="1"/>
  <c r="S110" i="3"/>
  <c r="P110" i="3" s="1"/>
  <c r="S109" i="3"/>
  <c r="Q109" i="3" s="1"/>
  <c r="R109" i="3" s="1"/>
  <c r="S108" i="3"/>
  <c r="Q108" i="3" s="1"/>
  <c r="R108" i="3" s="1"/>
  <c r="S107" i="3"/>
  <c r="Q107" i="3" s="1"/>
  <c r="R107" i="3" s="1"/>
  <c r="S106" i="3"/>
  <c r="P106" i="3" s="1"/>
  <c r="S105" i="3"/>
  <c r="P105" i="3" s="1"/>
  <c r="Q105" i="3"/>
  <c r="R105" i="3" s="1"/>
  <c r="S104" i="3"/>
  <c r="Q104" i="3" s="1"/>
  <c r="R104" i="3" s="1"/>
  <c r="S103" i="3"/>
  <c r="Q103" i="3" s="1"/>
  <c r="R103" i="3" s="1"/>
  <c r="S102" i="3"/>
  <c r="Q102" i="3" s="1"/>
  <c r="R102" i="3" s="1"/>
  <c r="S101" i="3"/>
  <c r="P101" i="3" s="1"/>
  <c r="Q101" i="3"/>
  <c r="R101" i="3" s="1"/>
  <c r="S100" i="3"/>
  <c r="Q100" i="3" s="1"/>
  <c r="R100" i="3" s="1"/>
  <c r="S99" i="3"/>
  <c r="Q99" i="3" s="1"/>
  <c r="R99" i="3" s="1"/>
  <c r="S98" i="3"/>
  <c r="Q98" i="3" s="1"/>
  <c r="R98" i="3" s="1"/>
  <c r="S97" i="3"/>
  <c r="P97" i="3" s="1"/>
  <c r="S96" i="3"/>
  <c r="Q96" i="3" s="1"/>
  <c r="R96" i="3" s="1"/>
  <c r="S95" i="3"/>
  <c r="Q95" i="3" s="1"/>
  <c r="R95" i="3" s="1"/>
  <c r="S94" i="3"/>
  <c r="Q94" i="3" s="1"/>
  <c r="R94" i="3" s="1"/>
  <c r="S93" i="3"/>
  <c r="Q93" i="3" s="1"/>
  <c r="R93" i="3" s="1"/>
  <c r="S92" i="3"/>
  <c r="P92" i="3" s="1"/>
  <c r="S91" i="3"/>
  <c r="Q91" i="3"/>
  <c r="R91" i="3" s="1"/>
  <c r="P91" i="3"/>
  <c r="S90" i="3"/>
  <c r="P90" i="3" s="1"/>
  <c r="S89" i="3"/>
  <c r="Q89" i="3" s="1"/>
  <c r="R89" i="3" s="1"/>
  <c r="S88" i="3"/>
  <c r="Q88" i="3" s="1"/>
  <c r="R88" i="3" s="1"/>
  <c r="S87" i="3"/>
  <c r="Q87" i="3" s="1"/>
  <c r="R87" i="3" s="1"/>
  <c r="S86" i="3"/>
  <c r="Q86" i="3" s="1"/>
  <c r="R86" i="3" s="1"/>
  <c r="S85" i="3"/>
  <c r="P85" i="3" s="1"/>
  <c r="S84" i="3"/>
  <c r="P84" i="3" s="1"/>
  <c r="S83" i="3"/>
  <c r="P83" i="3" s="1"/>
  <c r="S82" i="3"/>
  <c r="Q82" i="3"/>
  <c r="R82" i="3" s="1"/>
  <c r="P82" i="3"/>
  <c r="S81" i="3"/>
  <c r="Q81" i="3"/>
  <c r="R81" i="3" s="1"/>
  <c r="P81" i="3"/>
  <c r="S80" i="3"/>
  <c r="Q80" i="3" s="1"/>
  <c r="R80" i="3" s="1"/>
  <c r="S79" i="3"/>
  <c r="Q79" i="3" s="1"/>
  <c r="R79" i="3" s="1"/>
  <c r="S78" i="3"/>
  <c r="Q78" i="3" s="1"/>
  <c r="R78" i="3"/>
  <c r="S77" i="3"/>
  <c r="Q77" i="3" s="1"/>
  <c r="R77" i="3" s="1"/>
  <c r="S76" i="3"/>
  <c r="P76" i="3" s="1"/>
  <c r="Q76" i="3"/>
  <c r="R76" i="3" s="1"/>
  <c r="S75" i="3"/>
  <c r="P75" i="3" s="1"/>
  <c r="S74" i="3"/>
  <c r="Q74" i="3" s="1"/>
  <c r="R74" i="3" s="1"/>
  <c r="S73" i="3"/>
  <c r="Q73" i="3" s="1"/>
  <c r="R73" i="3" s="1"/>
  <c r="P73" i="3"/>
  <c r="S72" i="3"/>
  <c r="Q72" i="3" s="1"/>
  <c r="R72" i="3" s="1"/>
  <c r="S71" i="3"/>
  <c r="Q71" i="3" s="1"/>
  <c r="R71" i="3" s="1"/>
  <c r="S70" i="3"/>
  <c r="Q70" i="3" s="1"/>
  <c r="R70" i="3" s="1"/>
  <c r="S69" i="3"/>
  <c r="Q69" i="3" s="1"/>
  <c r="R69" i="3" s="1"/>
  <c r="S68" i="3"/>
  <c r="Q68" i="3" s="1"/>
  <c r="R68" i="3" s="1"/>
  <c r="S67" i="3"/>
  <c r="Q67" i="3" s="1"/>
  <c r="R67" i="3" s="1"/>
  <c r="S66" i="3"/>
  <c r="Q66" i="3" s="1"/>
  <c r="R66" i="3" s="1"/>
  <c r="P66" i="3"/>
  <c r="S65" i="3"/>
  <c r="P65" i="3" s="1"/>
  <c r="S64" i="3"/>
  <c r="P64" i="3" s="1"/>
  <c r="S63" i="3"/>
  <c r="Q63" i="3" s="1"/>
  <c r="R63" i="3" s="1"/>
  <c r="S62" i="3"/>
  <c r="P62" i="3" s="1"/>
  <c r="S61" i="3"/>
  <c r="Q61" i="3" s="1"/>
  <c r="R61" i="3" s="1"/>
  <c r="S60" i="3"/>
  <c r="P60" i="3" s="1"/>
  <c r="Q60" i="3"/>
  <c r="R60" i="3" s="1"/>
  <c r="S59" i="3"/>
  <c r="Q59" i="3" s="1"/>
  <c r="R59" i="3" s="1"/>
  <c r="S58" i="3"/>
  <c r="Q58" i="3" s="1"/>
  <c r="R58" i="3" s="1"/>
  <c r="P58" i="3"/>
  <c r="S57" i="3"/>
  <c r="Q57" i="3" s="1"/>
  <c r="R57" i="3" s="1"/>
  <c r="P57" i="3"/>
  <c r="S56" i="3"/>
  <c r="P56" i="3" s="1"/>
  <c r="S55" i="3"/>
  <c r="Q55" i="3" s="1"/>
  <c r="R55" i="3"/>
  <c r="S54" i="3"/>
  <c r="Q54" i="3" s="1"/>
  <c r="R54" i="3" s="1"/>
  <c r="S53" i="3"/>
  <c r="Q53" i="3" s="1"/>
  <c r="R53" i="3" s="1"/>
  <c r="S52" i="3"/>
  <c r="P52" i="3" s="1"/>
  <c r="Q52" i="3"/>
  <c r="R52" i="3" s="1"/>
  <c r="S51" i="3"/>
  <c r="Q51" i="3" s="1"/>
  <c r="R51" i="3" s="1"/>
  <c r="S50" i="3"/>
  <c r="P50" i="3" s="1"/>
  <c r="S49" i="3"/>
  <c r="Q49" i="3" s="1"/>
  <c r="R49" i="3" s="1"/>
  <c r="S48" i="3"/>
  <c r="Q48" i="3" s="1"/>
  <c r="R48" i="3" s="1"/>
  <c r="S47" i="3"/>
  <c r="P47" i="3" s="1"/>
  <c r="Q47" i="3"/>
  <c r="R47" i="3" s="1"/>
  <c r="S46" i="3"/>
  <c r="S45" i="3"/>
  <c r="Q45" i="3" s="1"/>
  <c r="R45" i="3" s="1"/>
  <c r="S44" i="3"/>
  <c r="Q44" i="3" s="1"/>
  <c r="R44" i="3" s="1"/>
  <c r="S43" i="3"/>
  <c r="P43" i="3" s="1"/>
  <c r="S42" i="3"/>
  <c r="Q42" i="3" s="1"/>
  <c r="R42" i="3" s="1"/>
  <c r="S41" i="3"/>
  <c r="P41" i="3" s="1"/>
  <c r="S40" i="3"/>
  <c r="Q40" i="3" s="1"/>
  <c r="R40" i="3" s="1"/>
  <c r="P40" i="3"/>
  <c r="S39" i="3"/>
  <c r="Q39" i="3" s="1"/>
  <c r="R39" i="3" s="1"/>
  <c r="S38" i="3"/>
  <c r="Q38" i="3" s="1"/>
  <c r="R38" i="3" s="1"/>
  <c r="S37" i="3"/>
  <c r="Q37" i="3" s="1"/>
  <c r="R37" i="3" s="1"/>
  <c r="S36" i="3"/>
  <c r="Q36" i="3" s="1"/>
  <c r="R36" i="3" s="1"/>
  <c r="S35" i="3"/>
  <c r="P35" i="3" s="1"/>
  <c r="Q35" i="3"/>
  <c r="R35" i="3" s="1"/>
  <c r="S34" i="3"/>
  <c r="Q34" i="3" s="1"/>
  <c r="R34" i="3" s="1"/>
  <c r="S33" i="3"/>
  <c r="Q33" i="3" s="1"/>
  <c r="R33" i="3" s="1"/>
  <c r="S32" i="3"/>
  <c r="P32" i="3" s="1"/>
  <c r="S31" i="3"/>
  <c r="Q31" i="3" s="1"/>
  <c r="R31" i="3" s="1"/>
  <c r="S30" i="3"/>
  <c r="Q30" i="3" s="1"/>
  <c r="R30" i="3" s="1"/>
  <c r="S29" i="3"/>
  <c r="P29" i="3" s="1"/>
  <c r="S28" i="3"/>
  <c r="P28" i="3" s="1"/>
  <c r="S27" i="3"/>
  <c r="Q27" i="3" s="1"/>
  <c r="R27" i="3" s="1"/>
  <c r="S26" i="3"/>
  <c r="P26" i="3" s="1"/>
  <c r="S25" i="3"/>
  <c r="Q25" i="3" s="1"/>
  <c r="R25" i="3" s="1"/>
  <c r="S24" i="3"/>
  <c r="Q24" i="3" s="1"/>
  <c r="R24" i="3" s="1"/>
  <c r="S23" i="3"/>
  <c r="P23" i="3" s="1"/>
  <c r="S22" i="3"/>
  <c r="Q22" i="3" s="1"/>
  <c r="R22" i="3" s="1"/>
  <c r="S21" i="3"/>
  <c r="Q21" i="3" s="1"/>
  <c r="R21" i="3" s="1"/>
  <c r="S20" i="3"/>
  <c r="P20" i="3" s="1"/>
  <c r="Q20" i="3"/>
  <c r="R20" i="3" s="1"/>
  <c r="S19" i="3"/>
  <c r="Q19" i="3" s="1"/>
  <c r="R19" i="3" s="1"/>
  <c r="S18" i="3"/>
  <c r="P18" i="3" s="1"/>
  <c r="S17" i="3"/>
  <c r="Q17" i="3" s="1"/>
  <c r="R17" i="3" s="1"/>
  <c r="S16" i="3"/>
  <c r="S15" i="3"/>
  <c r="Q15" i="3" s="1"/>
  <c r="R15" i="3" s="1"/>
  <c r="S14" i="3"/>
  <c r="Q14" i="3" s="1"/>
  <c r="R14" i="3" s="1"/>
  <c r="S13" i="3"/>
  <c r="Q13" i="3" s="1"/>
  <c r="R13" i="3" s="1"/>
  <c r="S12" i="3"/>
  <c r="P12" i="3" s="1"/>
  <c r="S11" i="3"/>
  <c r="Q11" i="3" s="1"/>
  <c r="R11" i="3" s="1"/>
  <c r="P11" i="3"/>
  <c r="S10" i="3"/>
  <c r="Q10" i="3" s="1"/>
  <c r="R10" i="3" s="1"/>
  <c r="S9" i="3"/>
  <c r="P9" i="3" s="1"/>
  <c r="S8" i="3"/>
  <c r="Q8" i="3" s="1"/>
  <c r="R8" i="3" s="1"/>
  <c r="S7" i="3"/>
  <c r="P7" i="3" s="1"/>
  <c r="Q7" i="3"/>
  <c r="R7" i="3" s="1"/>
  <c r="S6" i="3"/>
  <c r="Q6" i="3" s="1"/>
  <c r="R6" i="3" s="1"/>
  <c r="S4" i="3"/>
  <c r="Q4" i="3" s="1"/>
  <c r="R4" i="3" s="1"/>
  <c r="S3" i="3"/>
  <c r="Q3" i="3" s="1"/>
  <c r="R3" i="3" s="1"/>
  <c r="S2" i="3"/>
  <c r="Q2" i="3" s="1"/>
  <c r="R2" i="3" s="1"/>
  <c r="L259" i="2"/>
  <c r="G259" i="2"/>
  <c r="F259" i="2"/>
  <c r="H259" i="2" s="1"/>
  <c r="E259" i="2"/>
  <c r="B259" i="2" s="1"/>
  <c r="A259" i="2"/>
  <c r="L258" i="2"/>
  <c r="F258" i="2"/>
  <c r="E258" i="2"/>
  <c r="B258" i="2"/>
  <c r="A258" i="2"/>
  <c r="L257" i="2"/>
  <c r="K257" i="2"/>
  <c r="H257" i="2"/>
  <c r="F257" i="2"/>
  <c r="E257" i="2"/>
  <c r="B257" i="2" s="1"/>
  <c r="A257" i="2"/>
  <c r="L256" i="2"/>
  <c r="K256" i="2"/>
  <c r="I256" i="2"/>
  <c r="H256" i="2"/>
  <c r="G256" i="2"/>
  <c r="F256" i="2"/>
  <c r="J256" i="2" s="1"/>
  <c r="E256" i="2"/>
  <c r="B256" i="2" s="1"/>
  <c r="A256" i="2"/>
  <c r="L255" i="2"/>
  <c r="K255" i="2"/>
  <c r="I255" i="2"/>
  <c r="G255" i="2"/>
  <c r="F255" i="2"/>
  <c r="E255" i="2"/>
  <c r="B255" i="2"/>
  <c r="A255" i="2"/>
  <c r="L254" i="2"/>
  <c r="K254" i="2"/>
  <c r="J254" i="2"/>
  <c r="I254" i="2"/>
  <c r="H254" i="2"/>
  <c r="G254" i="2"/>
  <c r="F254" i="2"/>
  <c r="E254" i="2"/>
  <c r="B254" i="2" s="1"/>
  <c r="A254" i="2"/>
  <c r="L253" i="2"/>
  <c r="I253" i="2"/>
  <c r="H253" i="2"/>
  <c r="G253" i="2"/>
  <c r="F253" i="2"/>
  <c r="E253" i="2"/>
  <c r="B253" i="2" s="1"/>
  <c r="A253" i="2"/>
  <c r="L252" i="2"/>
  <c r="K252" i="2"/>
  <c r="J252" i="2"/>
  <c r="G252" i="2"/>
  <c r="F252" i="2"/>
  <c r="E252" i="2"/>
  <c r="B252" i="2"/>
  <c r="A252" i="2"/>
  <c r="L251" i="2"/>
  <c r="K251" i="2"/>
  <c r="J251" i="2"/>
  <c r="I251" i="2"/>
  <c r="H251" i="2"/>
  <c r="G251" i="2"/>
  <c r="F251" i="2"/>
  <c r="E251" i="2"/>
  <c r="B251" i="2" s="1"/>
  <c r="A251" i="2"/>
  <c r="L250" i="2"/>
  <c r="F250" i="2"/>
  <c r="J250" i="2" s="1"/>
  <c r="E250" i="2"/>
  <c r="B250" i="2" s="1"/>
  <c r="A250" i="2"/>
  <c r="L249" i="2"/>
  <c r="I249" i="2"/>
  <c r="F249" i="2"/>
  <c r="H249" i="2" s="1"/>
  <c r="E249" i="2"/>
  <c r="B249" i="2"/>
  <c r="A249" i="2"/>
  <c r="L248" i="2"/>
  <c r="K248" i="2"/>
  <c r="J248" i="2"/>
  <c r="I248" i="2"/>
  <c r="H248" i="2"/>
  <c r="G248" i="2"/>
  <c r="F248" i="2"/>
  <c r="E248" i="2"/>
  <c r="B248" i="2"/>
  <c r="A248" i="2"/>
  <c r="L247" i="2"/>
  <c r="K247" i="2"/>
  <c r="J247" i="2"/>
  <c r="I247" i="2"/>
  <c r="F247" i="2"/>
  <c r="E247" i="2"/>
  <c r="B247" i="2" s="1"/>
  <c r="A247" i="2"/>
  <c r="L246" i="2"/>
  <c r="F246" i="2"/>
  <c r="K246" i="2" s="1"/>
  <c r="E246" i="2"/>
  <c r="B246" i="2"/>
  <c r="A246" i="2"/>
  <c r="L245" i="2"/>
  <c r="J245" i="2"/>
  <c r="I245" i="2"/>
  <c r="H245" i="2"/>
  <c r="G245" i="2"/>
  <c r="F245" i="2"/>
  <c r="K245" i="2" s="1"/>
  <c r="E245" i="2"/>
  <c r="B245" i="2"/>
  <c r="A245" i="2"/>
  <c r="L244" i="2"/>
  <c r="F244" i="2"/>
  <c r="J244" i="2" s="1"/>
  <c r="E244" i="2"/>
  <c r="B244" i="2"/>
  <c r="A244" i="2"/>
  <c r="L243" i="2"/>
  <c r="I243" i="2"/>
  <c r="F243" i="2"/>
  <c r="E243" i="2"/>
  <c r="B243" i="2"/>
  <c r="A243" i="2"/>
  <c r="L242" i="2"/>
  <c r="K242" i="2"/>
  <c r="J242" i="2"/>
  <c r="I242" i="2"/>
  <c r="H242" i="2"/>
  <c r="G242" i="2"/>
  <c r="F242" i="2"/>
  <c r="E242" i="2"/>
  <c r="B242" i="2"/>
  <c r="A242" i="2"/>
  <c r="L241" i="2"/>
  <c r="J241" i="2"/>
  <c r="I241" i="2"/>
  <c r="H241" i="2"/>
  <c r="G241" i="2"/>
  <c r="F241" i="2"/>
  <c r="K241" i="2" s="1"/>
  <c r="E241" i="2"/>
  <c r="B241" i="2" s="1"/>
  <c r="A241" i="2"/>
  <c r="L240" i="2"/>
  <c r="K240" i="2"/>
  <c r="F240" i="2"/>
  <c r="J240" i="2" s="1"/>
  <c r="E240" i="2"/>
  <c r="B240" i="2"/>
  <c r="A240" i="2"/>
  <c r="L239" i="2"/>
  <c r="K239" i="2"/>
  <c r="J239" i="2"/>
  <c r="I239" i="2"/>
  <c r="G239" i="2"/>
  <c r="F239" i="2"/>
  <c r="H239" i="2" s="1"/>
  <c r="E239" i="2"/>
  <c r="B239" i="2"/>
  <c r="A239" i="2"/>
  <c r="L238" i="2"/>
  <c r="F238" i="2"/>
  <c r="E238" i="2"/>
  <c r="B238" i="2" s="1"/>
  <c r="A238" i="2"/>
  <c r="L237" i="2"/>
  <c r="K237" i="2"/>
  <c r="J237" i="2"/>
  <c r="I237" i="2"/>
  <c r="G237" i="2"/>
  <c r="F237" i="2"/>
  <c r="H237" i="2" s="1"/>
  <c r="E237" i="2"/>
  <c r="B237" i="2"/>
  <c r="A237" i="2"/>
  <c r="L236" i="2"/>
  <c r="K236" i="2"/>
  <c r="J236" i="2"/>
  <c r="I236" i="2"/>
  <c r="H236" i="2"/>
  <c r="G236" i="2"/>
  <c r="F236" i="2"/>
  <c r="E236" i="2"/>
  <c r="B236" i="2" s="1"/>
  <c r="A236" i="2"/>
  <c r="L235" i="2"/>
  <c r="K235" i="2"/>
  <c r="J235" i="2"/>
  <c r="I235" i="2"/>
  <c r="G235" i="2"/>
  <c r="F235" i="2"/>
  <c r="H235" i="2" s="1"/>
  <c r="E235" i="2"/>
  <c r="B235" i="2" s="1"/>
  <c r="A235" i="2"/>
  <c r="L234" i="2"/>
  <c r="F234" i="2"/>
  <c r="E234" i="2"/>
  <c r="B234" i="2" s="1"/>
  <c r="A234" i="2"/>
  <c r="L233" i="2"/>
  <c r="K233" i="2"/>
  <c r="J233" i="2"/>
  <c r="H233" i="2"/>
  <c r="G233" i="2"/>
  <c r="F233" i="2"/>
  <c r="I233" i="2" s="1"/>
  <c r="E233" i="2"/>
  <c r="B233" i="2"/>
  <c r="A233" i="2"/>
  <c r="L232" i="2"/>
  <c r="K232" i="2"/>
  <c r="I232" i="2"/>
  <c r="H232" i="2"/>
  <c r="G232" i="2"/>
  <c r="F232" i="2"/>
  <c r="J232" i="2" s="1"/>
  <c r="E232" i="2"/>
  <c r="B232" i="2"/>
  <c r="A232" i="2"/>
  <c r="L231" i="2"/>
  <c r="K231" i="2"/>
  <c r="J231" i="2"/>
  <c r="I231" i="2"/>
  <c r="F231" i="2"/>
  <c r="H231" i="2" s="1"/>
  <c r="E231" i="2"/>
  <c r="B231" i="2"/>
  <c r="A231" i="2"/>
  <c r="L230" i="2"/>
  <c r="K230" i="2"/>
  <c r="J230" i="2"/>
  <c r="I230" i="2"/>
  <c r="H230" i="2"/>
  <c r="G230" i="2"/>
  <c r="F230" i="2"/>
  <c r="E230" i="2"/>
  <c r="B230" i="2"/>
  <c r="A230" i="2"/>
  <c r="L229" i="2"/>
  <c r="J229" i="2"/>
  <c r="I229" i="2"/>
  <c r="H229" i="2"/>
  <c r="G229" i="2"/>
  <c r="F229" i="2"/>
  <c r="K229" i="2" s="1"/>
  <c r="E229" i="2"/>
  <c r="B229" i="2" s="1"/>
  <c r="A229" i="2"/>
  <c r="L228" i="2"/>
  <c r="F228" i="2"/>
  <c r="H228" i="2" s="1"/>
  <c r="E228" i="2"/>
  <c r="B228" i="2"/>
  <c r="A228" i="2"/>
  <c r="L227" i="2"/>
  <c r="K227" i="2"/>
  <c r="J227" i="2"/>
  <c r="I227" i="2"/>
  <c r="H227" i="2"/>
  <c r="G227" i="2"/>
  <c r="F227" i="2"/>
  <c r="E227" i="2"/>
  <c r="B227" i="2"/>
  <c r="A227" i="2"/>
  <c r="L226" i="2"/>
  <c r="F226" i="2"/>
  <c r="E226" i="2"/>
  <c r="B226" i="2"/>
  <c r="A226" i="2"/>
  <c r="L225" i="2"/>
  <c r="K225" i="2"/>
  <c r="J225" i="2"/>
  <c r="I225" i="2"/>
  <c r="G225" i="2"/>
  <c r="F225" i="2"/>
  <c r="H225" i="2" s="1"/>
  <c r="E225" i="2"/>
  <c r="B225" i="2"/>
  <c r="A225" i="2"/>
  <c r="L224" i="2"/>
  <c r="K224" i="2"/>
  <c r="J224" i="2"/>
  <c r="I224" i="2"/>
  <c r="H224" i="2"/>
  <c r="G224" i="2"/>
  <c r="F224" i="2"/>
  <c r="E224" i="2"/>
  <c r="B224" i="2" s="1"/>
  <c r="A224" i="2"/>
  <c r="L223" i="2"/>
  <c r="K223" i="2"/>
  <c r="I223" i="2"/>
  <c r="F223" i="2"/>
  <c r="H223" i="2" s="1"/>
  <c r="E223" i="2"/>
  <c r="B223" i="2" s="1"/>
  <c r="A223" i="2"/>
  <c r="L222" i="2"/>
  <c r="K222" i="2"/>
  <c r="J222" i="2"/>
  <c r="I222" i="2"/>
  <c r="H222" i="2"/>
  <c r="G222" i="2"/>
  <c r="F222" i="2"/>
  <c r="E222" i="2"/>
  <c r="B222" i="2"/>
  <c r="A222" i="2"/>
  <c r="L221" i="2"/>
  <c r="F221" i="2"/>
  <c r="E221" i="2"/>
  <c r="B221" i="2" s="1"/>
  <c r="A221" i="2"/>
  <c r="L220" i="2"/>
  <c r="K220" i="2"/>
  <c r="I220" i="2"/>
  <c r="H220" i="2"/>
  <c r="G220" i="2"/>
  <c r="F220" i="2"/>
  <c r="J220" i="2" s="1"/>
  <c r="E220" i="2"/>
  <c r="B220" i="2"/>
  <c r="A220" i="2"/>
  <c r="L219" i="2"/>
  <c r="F219" i="2"/>
  <c r="E219" i="2"/>
  <c r="B219" i="2" s="1"/>
  <c r="A219" i="2"/>
  <c r="L218" i="2"/>
  <c r="K218" i="2"/>
  <c r="J218" i="2"/>
  <c r="I218" i="2"/>
  <c r="H218" i="2"/>
  <c r="G218" i="2"/>
  <c r="F218" i="2"/>
  <c r="E218" i="2"/>
  <c r="B218" i="2"/>
  <c r="A218" i="2"/>
  <c r="L217" i="2"/>
  <c r="G217" i="2"/>
  <c r="F217" i="2"/>
  <c r="E217" i="2"/>
  <c r="B217" i="2" s="1"/>
  <c r="A217" i="2"/>
  <c r="L216" i="2"/>
  <c r="K216" i="2"/>
  <c r="J216" i="2"/>
  <c r="I216" i="2"/>
  <c r="H216" i="2"/>
  <c r="G216" i="2"/>
  <c r="F216" i="2"/>
  <c r="E216" i="2"/>
  <c r="B216" i="2"/>
  <c r="A216" i="2"/>
  <c r="L215" i="2"/>
  <c r="H215" i="2"/>
  <c r="F215" i="2"/>
  <c r="K215" i="2" s="1"/>
  <c r="E215" i="2"/>
  <c r="B215" i="2" s="1"/>
  <c r="A215" i="2"/>
  <c r="L214" i="2"/>
  <c r="K214" i="2"/>
  <c r="G214" i="2"/>
  <c r="F214" i="2"/>
  <c r="E214" i="2"/>
  <c r="B214" i="2"/>
  <c r="A214" i="2"/>
  <c r="L213" i="2"/>
  <c r="K213" i="2"/>
  <c r="J213" i="2"/>
  <c r="I213" i="2"/>
  <c r="G213" i="2"/>
  <c r="F213" i="2"/>
  <c r="H213" i="2" s="1"/>
  <c r="E213" i="2"/>
  <c r="B213" i="2"/>
  <c r="A213" i="2"/>
  <c r="L212" i="2"/>
  <c r="K212" i="2"/>
  <c r="J212" i="2"/>
  <c r="I212" i="2"/>
  <c r="H212" i="2"/>
  <c r="G212" i="2"/>
  <c r="F212" i="2"/>
  <c r="E212" i="2"/>
  <c r="B212" i="2" s="1"/>
  <c r="A212" i="2"/>
  <c r="L211" i="2"/>
  <c r="H211" i="2"/>
  <c r="F211" i="2"/>
  <c r="K211" i="2" s="1"/>
  <c r="E211" i="2"/>
  <c r="B211" i="2" s="1"/>
  <c r="A211" i="2"/>
  <c r="L210" i="2"/>
  <c r="J210" i="2"/>
  <c r="I210" i="2"/>
  <c r="G210" i="2"/>
  <c r="F210" i="2"/>
  <c r="K210" i="2" s="1"/>
  <c r="E210" i="2"/>
  <c r="B210" i="2"/>
  <c r="A210" i="2"/>
  <c r="L209" i="2"/>
  <c r="F209" i="2"/>
  <c r="E209" i="2"/>
  <c r="B209" i="2"/>
  <c r="A209" i="2"/>
  <c r="L208" i="2"/>
  <c r="K208" i="2"/>
  <c r="I208" i="2"/>
  <c r="H208" i="2"/>
  <c r="G208" i="2"/>
  <c r="F208" i="2"/>
  <c r="J208" i="2" s="1"/>
  <c r="E208" i="2"/>
  <c r="B208" i="2"/>
  <c r="A208" i="2"/>
  <c r="L207" i="2"/>
  <c r="G207" i="2"/>
  <c r="F207" i="2"/>
  <c r="H207" i="2" s="1"/>
  <c r="E207" i="2"/>
  <c r="B207" i="2" s="1"/>
  <c r="A207" i="2"/>
  <c r="L206" i="2"/>
  <c r="K206" i="2"/>
  <c r="J206" i="2"/>
  <c r="I206" i="2"/>
  <c r="H206" i="2"/>
  <c r="G206" i="2"/>
  <c r="F206" i="2"/>
  <c r="E206" i="2"/>
  <c r="B206" i="2" s="1"/>
  <c r="A206" i="2"/>
  <c r="L205" i="2"/>
  <c r="J205" i="2"/>
  <c r="I205" i="2"/>
  <c r="H205" i="2"/>
  <c r="G205" i="2"/>
  <c r="F205" i="2"/>
  <c r="K205" i="2" s="1"/>
  <c r="E205" i="2"/>
  <c r="B205" i="2" s="1"/>
  <c r="A205" i="2"/>
  <c r="L204" i="2"/>
  <c r="K204" i="2"/>
  <c r="J204" i="2"/>
  <c r="I204" i="2"/>
  <c r="G204" i="2"/>
  <c r="F204" i="2"/>
  <c r="H204" i="2" s="1"/>
  <c r="E204" i="2"/>
  <c r="B204" i="2" s="1"/>
  <c r="A204" i="2"/>
  <c r="L203" i="2"/>
  <c r="K203" i="2"/>
  <c r="J203" i="2"/>
  <c r="I203" i="2"/>
  <c r="H203" i="2"/>
  <c r="G203" i="2"/>
  <c r="F203" i="2"/>
  <c r="E203" i="2"/>
  <c r="B203" i="2" s="1"/>
  <c r="A203" i="2"/>
  <c r="L202" i="2"/>
  <c r="K202" i="2"/>
  <c r="H202" i="2"/>
  <c r="F202" i="2"/>
  <c r="J202" i="2" s="1"/>
  <c r="E202" i="2"/>
  <c r="B202" i="2" s="1"/>
  <c r="A202" i="2"/>
  <c r="L201" i="2"/>
  <c r="K201" i="2"/>
  <c r="J201" i="2"/>
  <c r="I201" i="2"/>
  <c r="G201" i="2"/>
  <c r="F201" i="2"/>
  <c r="H201" i="2" s="1"/>
  <c r="E201" i="2"/>
  <c r="B201" i="2" s="1"/>
  <c r="A201" i="2"/>
  <c r="L200" i="2"/>
  <c r="K200" i="2"/>
  <c r="J200" i="2"/>
  <c r="I200" i="2"/>
  <c r="H200" i="2"/>
  <c r="G200" i="2"/>
  <c r="F200" i="2"/>
  <c r="E200" i="2"/>
  <c r="B200" i="2" s="1"/>
  <c r="A200" i="2"/>
  <c r="L199" i="2"/>
  <c r="J199" i="2"/>
  <c r="I199" i="2"/>
  <c r="G199" i="2"/>
  <c r="F199" i="2"/>
  <c r="H199" i="2" s="1"/>
  <c r="E199" i="2"/>
  <c r="B199" i="2" s="1"/>
  <c r="A199" i="2"/>
  <c r="L198" i="2"/>
  <c r="K198" i="2"/>
  <c r="F198" i="2"/>
  <c r="J198" i="2" s="1"/>
  <c r="E198" i="2"/>
  <c r="B198" i="2"/>
  <c r="A198" i="2"/>
  <c r="L197" i="2"/>
  <c r="K197" i="2"/>
  <c r="J197" i="2"/>
  <c r="I197" i="2"/>
  <c r="G197" i="2"/>
  <c r="F197" i="2"/>
  <c r="H197" i="2" s="1"/>
  <c r="E197" i="2"/>
  <c r="B197" i="2"/>
  <c r="A197" i="2"/>
  <c r="L196" i="2"/>
  <c r="F196" i="2"/>
  <c r="E196" i="2"/>
  <c r="B196" i="2"/>
  <c r="A196" i="2"/>
  <c r="L195" i="2"/>
  <c r="K195" i="2"/>
  <c r="I195" i="2"/>
  <c r="G195" i="2"/>
  <c r="F195" i="2"/>
  <c r="E195" i="2"/>
  <c r="B195" i="2"/>
  <c r="A195" i="2"/>
  <c r="L194" i="2"/>
  <c r="K194" i="2"/>
  <c r="J194" i="2"/>
  <c r="I194" i="2"/>
  <c r="H194" i="2"/>
  <c r="G194" i="2"/>
  <c r="F194" i="2"/>
  <c r="E194" i="2"/>
  <c r="B194" i="2" s="1"/>
  <c r="A194" i="2"/>
  <c r="L193" i="2"/>
  <c r="K193" i="2"/>
  <c r="J193" i="2"/>
  <c r="H193" i="2"/>
  <c r="F193" i="2"/>
  <c r="I193" i="2" s="1"/>
  <c r="E193" i="2"/>
  <c r="B193" i="2" s="1"/>
  <c r="A193" i="2"/>
  <c r="L192" i="2"/>
  <c r="K192" i="2"/>
  <c r="J192" i="2"/>
  <c r="I192" i="2"/>
  <c r="H192" i="2"/>
  <c r="G192" i="2"/>
  <c r="F192" i="2"/>
  <c r="E192" i="2"/>
  <c r="B192" i="2" s="1"/>
  <c r="A192" i="2"/>
  <c r="L191" i="2"/>
  <c r="G191" i="2"/>
  <c r="F191" i="2"/>
  <c r="E191" i="2"/>
  <c r="B191" i="2" s="1"/>
  <c r="A191" i="2"/>
  <c r="L190" i="2"/>
  <c r="I190" i="2"/>
  <c r="H190" i="2"/>
  <c r="G190" i="2"/>
  <c r="F190" i="2"/>
  <c r="J190" i="2" s="1"/>
  <c r="E190" i="2"/>
  <c r="B190" i="2"/>
  <c r="A190" i="2"/>
  <c r="L189" i="2"/>
  <c r="F189" i="2"/>
  <c r="H189" i="2" s="1"/>
  <c r="E189" i="2"/>
  <c r="B189" i="2" s="1"/>
  <c r="A189" i="2"/>
  <c r="L188" i="2"/>
  <c r="K188" i="2"/>
  <c r="J188" i="2"/>
  <c r="I188" i="2"/>
  <c r="H188" i="2"/>
  <c r="G188" i="2"/>
  <c r="F188" i="2"/>
  <c r="E188" i="2"/>
  <c r="B188" i="2"/>
  <c r="A188" i="2"/>
  <c r="L187" i="2"/>
  <c r="K187" i="2"/>
  <c r="J187" i="2"/>
  <c r="I187" i="2"/>
  <c r="H187" i="2"/>
  <c r="G187" i="2"/>
  <c r="F187" i="2"/>
  <c r="E187" i="2"/>
  <c r="B187" i="2" s="1"/>
  <c r="A187" i="2"/>
  <c r="L186" i="2"/>
  <c r="F186" i="2"/>
  <c r="E186" i="2"/>
  <c r="B186" i="2" s="1"/>
  <c r="A186" i="2"/>
  <c r="L185" i="2"/>
  <c r="I185" i="2"/>
  <c r="H185" i="2"/>
  <c r="G185" i="2"/>
  <c r="F185" i="2"/>
  <c r="K185" i="2" s="1"/>
  <c r="E185" i="2"/>
  <c r="B185" i="2"/>
  <c r="A185" i="2"/>
  <c r="L184" i="2"/>
  <c r="F184" i="2"/>
  <c r="J184" i="2" s="1"/>
  <c r="E184" i="2"/>
  <c r="B184" i="2" s="1"/>
  <c r="A184" i="2"/>
  <c r="L183" i="2"/>
  <c r="K183" i="2"/>
  <c r="J183" i="2"/>
  <c r="I183" i="2"/>
  <c r="F183" i="2"/>
  <c r="H183" i="2" s="1"/>
  <c r="E183" i="2"/>
  <c r="B183" i="2"/>
  <c r="A183" i="2"/>
  <c r="L182" i="2"/>
  <c r="K182" i="2"/>
  <c r="J182" i="2"/>
  <c r="I182" i="2"/>
  <c r="H182" i="2"/>
  <c r="G182" i="2"/>
  <c r="F182" i="2"/>
  <c r="E182" i="2"/>
  <c r="B182" i="2"/>
  <c r="A182" i="2"/>
  <c r="L181" i="2"/>
  <c r="F181" i="2"/>
  <c r="E181" i="2"/>
  <c r="B181" i="2" s="1"/>
  <c r="A181" i="2"/>
  <c r="L180" i="2"/>
  <c r="H180" i="2"/>
  <c r="G180" i="2"/>
  <c r="F180" i="2"/>
  <c r="K180" i="2" s="1"/>
  <c r="E180" i="2"/>
  <c r="B180" i="2" s="1"/>
  <c r="A180" i="2"/>
  <c r="L179" i="2"/>
  <c r="F179" i="2"/>
  <c r="E179" i="2"/>
  <c r="B179" i="2" s="1"/>
  <c r="A179" i="2"/>
  <c r="L178" i="2"/>
  <c r="K178" i="2"/>
  <c r="I178" i="2"/>
  <c r="H178" i="2"/>
  <c r="F178" i="2"/>
  <c r="J178" i="2" s="1"/>
  <c r="E178" i="2"/>
  <c r="B178" i="2"/>
  <c r="A178" i="2"/>
  <c r="L177" i="2"/>
  <c r="G177" i="2"/>
  <c r="F177" i="2"/>
  <c r="E177" i="2"/>
  <c r="B177" i="2" s="1"/>
  <c r="A177" i="2"/>
  <c r="L176" i="2"/>
  <c r="K176" i="2"/>
  <c r="J176" i="2"/>
  <c r="I176" i="2"/>
  <c r="H176" i="2"/>
  <c r="G176" i="2"/>
  <c r="F176" i="2"/>
  <c r="E176" i="2"/>
  <c r="B176" i="2"/>
  <c r="A176" i="2"/>
  <c r="L175" i="2"/>
  <c r="H175" i="2"/>
  <c r="G175" i="2"/>
  <c r="F175" i="2"/>
  <c r="K175" i="2" s="1"/>
  <c r="E175" i="2"/>
  <c r="B175" i="2" s="1"/>
  <c r="A175" i="2"/>
  <c r="L174" i="2"/>
  <c r="K174" i="2"/>
  <c r="J174" i="2"/>
  <c r="H174" i="2"/>
  <c r="F174" i="2"/>
  <c r="I174" i="2" s="1"/>
  <c r="E174" i="2"/>
  <c r="B174" i="2" s="1"/>
  <c r="A174" i="2"/>
  <c r="L173" i="2"/>
  <c r="J173" i="2"/>
  <c r="I173" i="2"/>
  <c r="H173" i="2"/>
  <c r="F173" i="2"/>
  <c r="G173" i="2" s="1"/>
  <c r="E173" i="2"/>
  <c r="B173" i="2"/>
  <c r="A173" i="2"/>
  <c r="L172" i="2"/>
  <c r="I172" i="2"/>
  <c r="G172" i="2"/>
  <c r="F172" i="2"/>
  <c r="E172" i="2"/>
  <c r="B172" i="2" s="1"/>
  <c r="A172" i="2"/>
  <c r="L171" i="2"/>
  <c r="J171" i="2"/>
  <c r="F171" i="2"/>
  <c r="E171" i="2"/>
  <c r="B171" i="2"/>
  <c r="A171" i="2"/>
  <c r="L170" i="2"/>
  <c r="K170" i="2"/>
  <c r="J170" i="2"/>
  <c r="I170" i="2"/>
  <c r="H170" i="2"/>
  <c r="G170" i="2"/>
  <c r="F170" i="2"/>
  <c r="E170" i="2"/>
  <c r="B170" i="2"/>
  <c r="A170" i="2"/>
  <c r="L169" i="2"/>
  <c r="F169" i="2"/>
  <c r="E169" i="2"/>
  <c r="B169" i="2" s="1"/>
  <c r="A169" i="2"/>
  <c r="L168" i="2"/>
  <c r="K168" i="2"/>
  <c r="J168" i="2"/>
  <c r="I168" i="2"/>
  <c r="H168" i="2"/>
  <c r="G168" i="2"/>
  <c r="F168" i="2"/>
  <c r="E168" i="2"/>
  <c r="B168" i="2" s="1"/>
  <c r="A168" i="2"/>
  <c r="L167" i="2"/>
  <c r="I167" i="2"/>
  <c r="F167" i="2"/>
  <c r="E167" i="2"/>
  <c r="B167" i="2" s="1"/>
  <c r="A167" i="2"/>
  <c r="L166" i="2"/>
  <c r="K166" i="2"/>
  <c r="I166" i="2"/>
  <c r="F166" i="2"/>
  <c r="E166" i="2"/>
  <c r="B166" i="2"/>
  <c r="A166" i="2"/>
  <c r="L165" i="2"/>
  <c r="F165" i="2"/>
  <c r="E165" i="2"/>
  <c r="B165" i="2" s="1"/>
  <c r="A165" i="2"/>
  <c r="L164" i="2"/>
  <c r="K164" i="2"/>
  <c r="J164" i="2"/>
  <c r="I164" i="2"/>
  <c r="H164" i="2"/>
  <c r="G164" i="2"/>
  <c r="F164" i="2"/>
  <c r="E164" i="2"/>
  <c r="B164" i="2" s="1"/>
  <c r="A164" i="2"/>
  <c r="L163" i="2"/>
  <c r="K163" i="2"/>
  <c r="J163" i="2"/>
  <c r="I163" i="2"/>
  <c r="H163" i="2"/>
  <c r="G163" i="2"/>
  <c r="F163" i="2"/>
  <c r="E163" i="2"/>
  <c r="B163" i="2" s="1"/>
  <c r="A163" i="2"/>
  <c r="L162" i="2"/>
  <c r="F162" i="2"/>
  <c r="E162" i="2"/>
  <c r="B162" i="2"/>
  <c r="A162" i="2"/>
  <c r="L161" i="2"/>
  <c r="F161" i="2"/>
  <c r="E161" i="2"/>
  <c r="B161" i="2"/>
  <c r="A161" i="2"/>
  <c r="L160" i="2"/>
  <c r="F160" i="2"/>
  <c r="E160" i="2"/>
  <c r="B160" i="2" s="1"/>
  <c r="A160" i="2"/>
  <c r="L159" i="2"/>
  <c r="K159" i="2"/>
  <c r="J159" i="2"/>
  <c r="I159" i="2"/>
  <c r="F159" i="2"/>
  <c r="H159" i="2" s="1"/>
  <c r="E159" i="2"/>
  <c r="B159" i="2"/>
  <c r="A159" i="2"/>
  <c r="L158" i="2"/>
  <c r="K158" i="2"/>
  <c r="J158" i="2"/>
  <c r="I158" i="2"/>
  <c r="H158" i="2"/>
  <c r="G158" i="2"/>
  <c r="F158" i="2"/>
  <c r="E158" i="2"/>
  <c r="B158" i="2"/>
  <c r="A158" i="2"/>
  <c r="L157" i="2"/>
  <c r="F157" i="2"/>
  <c r="E157" i="2"/>
  <c r="B157" i="2" s="1"/>
  <c r="A157" i="2"/>
  <c r="L156" i="2"/>
  <c r="K156" i="2"/>
  <c r="I156" i="2"/>
  <c r="H156" i="2"/>
  <c r="G156" i="2"/>
  <c r="F156" i="2"/>
  <c r="J156" i="2" s="1"/>
  <c r="E156" i="2"/>
  <c r="B156" i="2" s="1"/>
  <c r="A156" i="2"/>
  <c r="L155" i="2"/>
  <c r="K155" i="2"/>
  <c r="J155" i="2"/>
  <c r="I155" i="2"/>
  <c r="H155" i="2"/>
  <c r="G155" i="2"/>
  <c r="E155" i="2"/>
  <c r="B155" i="2" s="1"/>
  <c r="A155" i="2"/>
  <c r="L154" i="2"/>
  <c r="K154" i="2"/>
  <c r="J154" i="2"/>
  <c r="I154" i="2"/>
  <c r="H154" i="2"/>
  <c r="G154" i="2"/>
  <c r="E154" i="2"/>
  <c r="B154" i="2" s="1"/>
  <c r="A154" i="2"/>
  <c r="L153" i="2"/>
  <c r="K153" i="2"/>
  <c r="J153" i="2"/>
  <c r="I153" i="2"/>
  <c r="H153" i="2"/>
  <c r="G153" i="2"/>
  <c r="E153" i="2"/>
  <c r="B153" i="2"/>
  <c r="A153" i="2"/>
  <c r="L152" i="2"/>
  <c r="K152" i="2"/>
  <c r="J152" i="2"/>
  <c r="I152" i="2"/>
  <c r="H152" i="2"/>
  <c r="G152" i="2"/>
  <c r="E152" i="2"/>
  <c r="B152" i="2" s="1"/>
  <c r="A152" i="2"/>
  <c r="L151" i="2"/>
  <c r="K151" i="2"/>
  <c r="J151" i="2"/>
  <c r="I151" i="2"/>
  <c r="H151" i="2"/>
  <c r="G151" i="2"/>
  <c r="E151" i="2"/>
  <c r="B151" i="2" s="1"/>
  <c r="A151" i="2"/>
  <c r="L150" i="2"/>
  <c r="K150" i="2"/>
  <c r="J150" i="2"/>
  <c r="I150" i="2"/>
  <c r="H150" i="2"/>
  <c r="G150" i="2"/>
  <c r="E150" i="2"/>
  <c r="B150" i="2" s="1"/>
  <c r="A150" i="2"/>
  <c r="L149" i="2"/>
  <c r="K149" i="2"/>
  <c r="J149" i="2"/>
  <c r="I149" i="2"/>
  <c r="H149" i="2"/>
  <c r="G149" i="2"/>
  <c r="E149" i="2"/>
  <c r="B149" i="2"/>
  <c r="A149" i="2"/>
  <c r="L148" i="2"/>
  <c r="K148" i="2"/>
  <c r="J148" i="2"/>
  <c r="I148" i="2"/>
  <c r="H148" i="2"/>
  <c r="G148" i="2"/>
  <c r="E148" i="2"/>
  <c r="B148" i="2" s="1"/>
  <c r="A148" i="2"/>
  <c r="L147" i="2"/>
  <c r="K147" i="2"/>
  <c r="G147" i="2"/>
  <c r="F147" i="2"/>
  <c r="E147" i="2"/>
  <c r="B147" i="2" s="1"/>
  <c r="A147" i="2"/>
  <c r="L146" i="2"/>
  <c r="K146" i="2"/>
  <c r="J146" i="2"/>
  <c r="I146" i="2"/>
  <c r="H146" i="2"/>
  <c r="G146" i="2"/>
  <c r="E146" i="2"/>
  <c r="B146" i="2"/>
  <c r="A146" i="2"/>
  <c r="L145" i="2"/>
  <c r="K145" i="2"/>
  <c r="J145" i="2"/>
  <c r="I145" i="2"/>
  <c r="H145" i="2"/>
  <c r="G145" i="2"/>
  <c r="E145" i="2"/>
  <c r="B145" i="2" s="1"/>
  <c r="A145" i="2"/>
  <c r="L144" i="2"/>
  <c r="K144" i="2"/>
  <c r="J144" i="2"/>
  <c r="I144" i="2"/>
  <c r="H144" i="2"/>
  <c r="G144" i="2"/>
  <c r="E144" i="2"/>
  <c r="B144" i="2"/>
  <c r="A144" i="2"/>
  <c r="L143" i="2"/>
  <c r="K143" i="2"/>
  <c r="J143" i="2"/>
  <c r="I143" i="2"/>
  <c r="H143" i="2"/>
  <c r="G143" i="2"/>
  <c r="E143" i="2"/>
  <c r="B143" i="2" s="1"/>
  <c r="A143" i="2"/>
  <c r="L142" i="2"/>
  <c r="K142" i="2"/>
  <c r="J142" i="2"/>
  <c r="I142" i="2"/>
  <c r="H142" i="2"/>
  <c r="G142" i="2"/>
  <c r="E142" i="2"/>
  <c r="B142" i="2"/>
  <c r="A142" i="2"/>
  <c r="L141" i="2"/>
  <c r="K141" i="2"/>
  <c r="J141" i="2"/>
  <c r="I141" i="2"/>
  <c r="H141" i="2"/>
  <c r="G141" i="2"/>
  <c r="E141" i="2"/>
  <c r="B141" i="2" s="1"/>
  <c r="A141" i="2"/>
  <c r="L140" i="2"/>
  <c r="K140" i="2"/>
  <c r="J140" i="2"/>
  <c r="I140" i="2"/>
  <c r="H140" i="2"/>
  <c r="G140" i="2"/>
  <c r="E140" i="2"/>
  <c r="B140" i="2"/>
  <c r="A140" i="2"/>
  <c r="L139" i="2"/>
  <c r="K139" i="2"/>
  <c r="J139" i="2"/>
  <c r="I139" i="2"/>
  <c r="H139" i="2"/>
  <c r="G139" i="2"/>
  <c r="E139" i="2"/>
  <c r="B139" i="2"/>
  <c r="A139" i="2"/>
  <c r="L138" i="2"/>
  <c r="K138" i="2"/>
  <c r="J138" i="2"/>
  <c r="I138" i="2"/>
  <c r="H138" i="2"/>
  <c r="G138" i="2"/>
  <c r="E138" i="2"/>
  <c r="B138" i="2"/>
  <c r="A138" i="2"/>
  <c r="L137" i="2"/>
  <c r="K137" i="2"/>
  <c r="J137" i="2"/>
  <c r="I137" i="2"/>
  <c r="H137" i="2"/>
  <c r="G137" i="2"/>
  <c r="E137" i="2"/>
  <c r="B137" i="2" s="1"/>
  <c r="A137" i="2"/>
  <c r="L136" i="2"/>
  <c r="K136" i="2"/>
  <c r="J136" i="2"/>
  <c r="I136" i="2"/>
  <c r="H136" i="2"/>
  <c r="G136" i="2"/>
  <c r="E136" i="2"/>
  <c r="B136" i="2"/>
  <c r="A136" i="2"/>
  <c r="L135" i="2"/>
  <c r="K135" i="2"/>
  <c r="J135" i="2"/>
  <c r="I135" i="2"/>
  <c r="H135" i="2"/>
  <c r="G135" i="2"/>
  <c r="E135" i="2"/>
  <c r="B135" i="2" s="1"/>
  <c r="A135" i="2"/>
  <c r="L134" i="2"/>
  <c r="K134" i="2"/>
  <c r="J134" i="2"/>
  <c r="I134" i="2"/>
  <c r="H134" i="2"/>
  <c r="G134" i="2"/>
  <c r="E134" i="2"/>
  <c r="B134" i="2"/>
  <c r="A134" i="2"/>
  <c r="L133" i="2"/>
  <c r="K133" i="2"/>
  <c r="J133" i="2"/>
  <c r="I133" i="2"/>
  <c r="H133" i="2"/>
  <c r="G133" i="2"/>
  <c r="E133" i="2"/>
  <c r="B133" i="2" s="1"/>
  <c r="A133" i="2"/>
  <c r="L132" i="2"/>
  <c r="K132" i="2"/>
  <c r="J132" i="2"/>
  <c r="I132" i="2"/>
  <c r="H132" i="2"/>
  <c r="G132" i="2"/>
  <c r="E132" i="2"/>
  <c r="B132" i="2"/>
  <c r="A132" i="2"/>
  <c r="L131" i="2"/>
  <c r="K131" i="2"/>
  <c r="J131" i="2"/>
  <c r="I131" i="2"/>
  <c r="H131" i="2"/>
  <c r="G131" i="2"/>
  <c r="E131" i="2"/>
  <c r="B131" i="2" s="1"/>
  <c r="A131" i="2"/>
  <c r="L130" i="2"/>
  <c r="K130" i="2"/>
  <c r="J130" i="2"/>
  <c r="I130" i="2"/>
  <c r="H130" i="2"/>
  <c r="G130" i="2"/>
  <c r="E130" i="2"/>
  <c r="B130" i="2"/>
  <c r="A130" i="2"/>
  <c r="L129" i="2"/>
  <c r="K129" i="2"/>
  <c r="J129" i="2"/>
  <c r="I129" i="2"/>
  <c r="H129" i="2"/>
  <c r="G129" i="2"/>
  <c r="E129" i="2"/>
  <c r="B129" i="2" s="1"/>
  <c r="A129" i="2"/>
  <c r="L128" i="2"/>
  <c r="K128" i="2"/>
  <c r="J128" i="2"/>
  <c r="I128" i="2"/>
  <c r="H128" i="2"/>
  <c r="G128" i="2"/>
  <c r="E128" i="2"/>
  <c r="B128" i="2"/>
  <c r="A128" i="2"/>
  <c r="L127" i="2"/>
  <c r="K127" i="2"/>
  <c r="J127" i="2"/>
  <c r="I127" i="2"/>
  <c r="H127" i="2"/>
  <c r="G127" i="2"/>
  <c r="E127" i="2"/>
  <c r="B127" i="2" s="1"/>
  <c r="A127" i="2"/>
  <c r="L126" i="2"/>
  <c r="K126" i="2"/>
  <c r="J126" i="2"/>
  <c r="I126" i="2"/>
  <c r="H126" i="2"/>
  <c r="G126" i="2"/>
  <c r="E126" i="2"/>
  <c r="B126" i="2"/>
  <c r="A126" i="2"/>
  <c r="L125" i="2"/>
  <c r="K125" i="2"/>
  <c r="J125" i="2"/>
  <c r="I125" i="2"/>
  <c r="H125" i="2"/>
  <c r="G125" i="2"/>
  <c r="E125" i="2"/>
  <c r="B125" i="2" s="1"/>
  <c r="A125" i="2"/>
  <c r="L124" i="2"/>
  <c r="K124" i="2"/>
  <c r="J124" i="2"/>
  <c r="I124" i="2"/>
  <c r="H124" i="2"/>
  <c r="G124" i="2"/>
  <c r="E124" i="2"/>
  <c r="B124" i="2"/>
  <c r="A124" i="2"/>
  <c r="L123" i="2"/>
  <c r="K123" i="2"/>
  <c r="J123" i="2"/>
  <c r="I123" i="2"/>
  <c r="H123" i="2"/>
  <c r="G123" i="2"/>
  <c r="E123" i="2"/>
  <c r="B123" i="2" s="1"/>
  <c r="A123" i="2"/>
  <c r="L122" i="2"/>
  <c r="K122" i="2"/>
  <c r="J122" i="2"/>
  <c r="I122" i="2"/>
  <c r="H122" i="2"/>
  <c r="G122" i="2"/>
  <c r="E122" i="2"/>
  <c r="B122" i="2"/>
  <c r="A122" i="2"/>
  <c r="L121" i="2"/>
  <c r="K121" i="2"/>
  <c r="J121" i="2"/>
  <c r="I121" i="2"/>
  <c r="H121" i="2"/>
  <c r="G121" i="2"/>
  <c r="E121" i="2"/>
  <c r="B121" i="2" s="1"/>
  <c r="A121" i="2"/>
  <c r="L120" i="2"/>
  <c r="K120" i="2"/>
  <c r="J120" i="2"/>
  <c r="I120" i="2"/>
  <c r="H120" i="2"/>
  <c r="G120" i="2"/>
  <c r="E120" i="2"/>
  <c r="B120" i="2" s="1"/>
  <c r="A120" i="2"/>
  <c r="L119" i="2"/>
  <c r="J119" i="2"/>
  <c r="H119" i="2"/>
  <c r="G119" i="2"/>
  <c r="F119" i="2"/>
  <c r="E119" i="2"/>
  <c r="B119" i="2"/>
  <c r="A119" i="2"/>
  <c r="L118" i="2"/>
  <c r="K118" i="2"/>
  <c r="J118" i="2"/>
  <c r="I118" i="2"/>
  <c r="H118" i="2"/>
  <c r="G118" i="2"/>
  <c r="E118" i="2"/>
  <c r="B118" i="2"/>
  <c r="A118" i="2"/>
  <c r="L117" i="2"/>
  <c r="J117" i="2"/>
  <c r="I117" i="2"/>
  <c r="G117" i="2"/>
  <c r="F117" i="2"/>
  <c r="H117" i="2" s="1"/>
  <c r="E117" i="2"/>
  <c r="B117" i="2"/>
  <c r="A117" i="2"/>
  <c r="L116" i="2"/>
  <c r="K116" i="2"/>
  <c r="J116" i="2"/>
  <c r="I116" i="2"/>
  <c r="H116" i="2"/>
  <c r="G116" i="2"/>
  <c r="E116" i="2"/>
  <c r="B116" i="2"/>
  <c r="A116" i="2"/>
  <c r="L115" i="2"/>
  <c r="K115" i="2"/>
  <c r="J115" i="2"/>
  <c r="I115" i="2"/>
  <c r="H115" i="2"/>
  <c r="G115" i="2"/>
  <c r="E115" i="2"/>
  <c r="B115" i="2"/>
  <c r="A115" i="2"/>
  <c r="L114" i="2"/>
  <c r="K114" i="2"/>
  <c r="J114" i="2"/>
  <c r="I114" i="2"/>
  <c r="H114" i="2"/>
  <c r="G114" i="2"/>
  <c r="E114" i="2"/>
  <c r="B114" i="2"/>
  <c r="A114" i="2"/>
  <c r="L113" i="2"/>
  <c r="J113" i="2"/>
  <c r="H113" i="2"/>
  <c r="G113" i="2"/>
  <c r="F113" i="2"/>
  <c r="I113" i="2" s="1"/>
  <c r="E113" i="2"/>
  <c r="B113" i="2"/>
  <c r="A113" i="2"/>
  <c r="L112" i="2"/>
  <c r="F112" i="2"/>
  <c r="E112" i="2"/>
  <c r="B112" i="2" s="1"/>
  <c r="A112" i="2"/>
  <c r="L111" i="2"/>
  <c r="K111" i="2"/>
  <c r="I111" i="2"/>
  <c r="H111" i="2"/>
  <c r="G111" i="2"/>
  <c r="F111" i="2"/>
  <c r="J111" i="2" s="1"/>
  <c r="E111" i="2"/>
  <c r="B111" i="2"/>
  <c r="A111" i="2"/>
  <c r="L110" i="2"/>
  <c r="F110" i="2"/>
  <c r="E110" i="2"/>
  <c r="B110" i="2" s="1"/>
  <c r="A110" i="2"/>
  <c r="L109" i="2"/>
  <c r="K109" i="2"/>
  <c r="J109" i="2"/>
  <c r="I109" i="2"/>
  <c r="H109" i="2"/>
  <c r="G109" i="2"/>
  <c r="F109" i="2"/>
  <c r="E109" i="2"/>
  <c r="B109" i="2"/>
  <c r="A109" i="2"/>
  <c r="L108" i="2"/>
  <c r="F108" i="2"/>
  <c r="E108" i="2"/>
  <c r="B108" i="2"/>
  <c r="A108" i="2"/>
  <c r="L107" i="2"/>
  <c r="K107" i="2"/>
  <c r="J107" i="2"/>
  <c r="H107" i="2"/>
  <c r="G107" i="2"/>
  <c r="F107" i="2"/>
  <c r="I107" i="2" s="1"/>
  <c r="E107" i="2"/>
  <c r="B107" i="2"/>
  <c r="A107" i="2"/>
  <c r="L106" i="2"/>
  <c r="F106" i="2"/>
  <c r="E106" i="2"/>
  <c r="B106" i="2" s="1"/>
  <c r="A106" i="2"/>
  <c r="L105" i="2"/>
  <c r="F105" i="2"/>
  <c r="E105" i="2"/>
  <c r="B105" i="2"/>
  <c r="A105" i="2"/>
  <c r="L104" i="2"/>
  <c r="K104" i="2"/>
  <c r="J104" i="2"/>
  <c r="I104" i="2"/>
  <c r="H104" i="2"/>
  <c r="F104" i="2"/>
  <c r="G104" i="2" s="1"/>
  <c r="E104" i="2"/>
  <c r="B104" i="2"/>
  <c r="A104" i="2"/>
  <c r="L103" i="2"/>
  <c r="K103" i="2"/>
  <c r="I103" i="2"/>
  <c r="H103" i="2"/>
  <c r="F103" i="2"/>
  <c r="G103" i="2" s="1"/>
  <c r="E103" i="2"/>
  <c r="B103" i="2"/>
  <c r="A103" i="2"/>
  <c r="L102" i="2"/>
  <c r="F102" i="2"/>
  <c r="E102" i="2"/>
  <c r="B102" i="2" s="1"/>
  <c r="A102" i="2"/>
  <c r="L101" i="2"/>
  <c r="G101" i="2"/>
  <c r="F101" i="2"/>
  <c r="E101" i="2"/>
  <c r="B101" i="2"/>
  <c r="A101" i="2"/>
  <c r="L100" i="2"/>
  <c r="K100" i="2"/>
  <c r="J100" i="2"/>
  <c r="I100" i="2"/>
  <c r="H100" i="2"/>
  <c r="F100" i="2"/>
  <c r="G100" i="2" s="1"/>
  <c r="E100" i="2"/>
  <c r="B100" i="2"/>
  <c r="A100" i="2"/>
  <c r="L99" i="2"/>
  <c r="K99" i="2"/>
  <c r="J99" i="2"/>
  <c r="I99" i="2"/>
  <c r="H99" i="2"/>
  <c r="G99" i="2"/>
  <c r="F99" i="2"/>
  <c r="E99" i="2"/>
  <c r="B99" i="2"/>
  <c r="A99" i="2"/>
  <c r="L98" i="2"/>
  <c r="F98" i="2"/>
  <c r="H98" i="2" s="1"/>
  <c r="E98" i="2"/>
  <c r="B98" i="2" s="1"/>
  <c r="A98" i="2"/>
  <c r="L97" i="2"/>
  <c r="I97" i="2"/>
  <c r="H97" i="2"/>
  <c r="F97" i="2"/>
  <c r="E97" i="2"/>
  <c r="B97" i="2"/>
  <c r="A97" i="2"/>
  <c r="L96" i="2"/>
  <c r="F96" i="2"/>
  <c r="E96" i="2"/>
  <c r="B96" i="2"/>
  <c r="A96" i="2"/>
  <c r="L95" i="2"/>
  <c r="K95" i="2"/>
  <c r="J95" i="2"/>
  <c r="H95" i="2"/>
  <c r="G95" i="2"/>
  <c r="F95" i="2"/>
  <c r="I95" i="2" s="1"/>
  <c r="E95" i="2"/>
  <c r="B95" i="2" s="1"/>
  <c r="A95" i="2"/>
  <c r="L94" i="2"/>
  <c r="I94" i="2"/>
  <c r="F94" i="2"/>
  <c r="E94" i="2"/>
  <c r="B94" i="2"/>
  <c r="A94" i="2"/>
  <c r="L93" i="2"/>
  <c r="F93" i="2"/>
  <c r="E93" i="2"/>
  <c r="B93" i="2"/>
  <c r="A93" i="2"/>
  <c r="L92" i="2"/>
  <c r="F92" i="2"/>
  <c r="E92" i="2"/>
  <c r="B92" i="2"/>
  <c r="A92" i="2"/>
  <c r="L91" i="2"/>
  <c r="J91" i="2"/>
  <c r="H91" i="2"/>
  <c r="G91" i="2"/>
  <c r="F91" i="2"/>
  <c r="E91" i="2"/>
  <c r="B91" i="2" s="1"/>
  <c r="A91" i="2"/>
  <c r="L90" i="2"/>
  <c r="J90" i="2"/>
  <c r="I90" i="2"/>
  <c r="H90" i="2"/>
  <c r="G90" i="2"/>
  <c r="F90" i="2"/>
  <c r="K90" i="2" s="1"/>
  <c r="E90" i="2"/>
  <c r="B90" i="2" s="1"/>
  <c r="A90" i="2"/>
  <c r="L89" i="2"/>
  <c r="F89" i="2"/>
  <c r="E89" i="2"/>
  <c r="B89" i="2"/>
  <c r="A89" i="2"/>
  <c r="L88" i="2"/>
  <c r="K88" i="2"/>
  <c r="F88" i="2"/>
  <c r="G88" i="2" s="1"/>
  <c r="E88" i="2"/>
  <c r="B88" i="2" s="1"/>
  <c r="A88" i="2"/>
  <c r="L87" i="2"/>
  <c r="K87" i="2"/>
  <c r="I87" i="2"/>
  <c r="H87" i="2"/>
  <c r="G87" i="2"/>
  <c r="F87" i="2"/>
  <c r="J87" i="2" s="1"/>
  <c r="E87" i="2"/>
  <c r="B87" i="2"/>
  <c r="A87" i="2"/>
  <c r="L86" i="2"/>
  <c r="K86" i="2"/>
  <c r="I86" i="2"/>
  <c r="G86" i="2"/>
  <c r="F86" i="2"/>
  <c r="E86" i="2"/>
  <c r="B86" i="2" s="1"/>
  <c r="A86" i="2"/>
  <c r="L85" i="2"/>
  <c r="K85" i="2"/>
  <c r="J85" i="2"/>
  <c r="I85" i="2"/>
  <c r="H85" i="2"/>
  <c r="G85" i="2"/>
  <c r="F85" i="2"/>
  <c r="E85" i="2"/>
  <c r="B85" i="2" s="1"/>
  <c r="A85" i="2"/>
  <c r="L84" i="2"/>
  <c r="J84" i="2"/>
  <c r="F84" i="2"/>
  <c r="K84" i="2" s="1"/>
  <c r="E84" i="2"/>
  <c r="B84" i="2"/>
  <c r="A84" i="2"/>
  <c r="L83" i="2"/>
  <c r="K83" i="2"/>
  <c r="J83" i="2"/>
  <c r="H83" i="2"/>
  <c r="G83" i="2"/>
  <c r="F83" i="2"/>
  <c r="I83" i="2" s="1"/>
  <c r="E83" i="2"/>
  <c r="B83" i="2" s="1"/>
  <c r="A83" i="2"/>
  <c r="L82" i="2"/>
  <c r="K82" i="2"/>
  <c r="I82" i="2"/>
  <c r="H82" i="2"/>
  <c r="F82" i="2"/>
  <c r="E82" i="2"/>
  <c r="B82" i="2"/>
  <c r="A82" i="2"/>
  <c r="L81" i="2"/>
  <c r="F81" i="2"/>
  <c r="E81" i="2"/>
  <c r="B81" i="2"/>
  <c r="A81" i="2"/>
  <c r="L80" i="2"/>
  <c r="K80" i="2"/>
  <c r="J80" i="2"/>
  <c r="I80" i="2"/>
  <c r="H80" i="2"/>
  <c r="F80" i="2"/>
  <c r="G80" i="2" s="1"/>
  <c r="E80" i="2"/>
  <c r="B80" i="2"/>
  <c r="A80" i="2"/>
  <c r="L79" i="2"/>
  <c r="K79" i="2"/>
  <c r="J79" i="2"/>
  <c r="H79" i="2"/>
  <c r="G79" i="2"/>
  <c r="F79" i="2"/>
  <c r="I79" i="2" s="1"/>
  <c r="E79" i="2"/>
  <c r="B79" i="2"/>
  <c r="A79" i="2"/>
  <c r="L78" i="2"/>
  <c r="J78" i="2"/>
  <c r="I78" i="2"/>
  <c r="H78" i="2"/>
  <c r="G78" i="2"/>
  <c r="F78" i="2"/>
  <c r="K78" i="2" s="1"/>
  <c r="E78" i="2"/>
  <c r="B78" i="2"/>
  <c r="A78" i="2"/>
  <c r="L77" i="2"/>
  <c r="F77" i="2"/>
  <c r="E77" i="2"/>
  <c r="B77" i="2"/>
  <c r="A77" i="2"/>
  <c r="L76" i="2"/>
  <c r="K76" i="2"/>
  <c r="J76" i="2"/>
  <c r="I76" i="2"/>
  <c r="H76" i="2"/>
  <c r="F76" i="2"/>
  <c r="G76" i="2" s="1"/>
  <c r="E76" i="2"/>
  <c r="B76" i="2"/>
  <c r="A76" i="2"/>
  <c r="L75" i="2"/>
  <c r="K75" i="2"/>
  <c r="J75" i="2"/>
  <c r="I75" i="2"/>
  <c r="H75" i="2"/>
  <c r="G75" i="2"/>
  <c r="F75" i="2"/>
  <c r="E75" i="2"/>
  <c r="B75" i="2"/>
  <c r="A75" i="2"/>
  <c r="L74" i="2"/>
  <c r="K74" i="2"/>
  <c r="J74" i="2"/>
  <c r="I74" i="2"/>
  <c r="H74" i="2"/>
  <c r="F74" i="2"/>
  <c r="G74" i="2" s="1"/>
  <c r="E74" i="2"/>
  <c r="B74" i="2" s="1"/>
  <c r="A74" i="2"/>
  <c r="L73" i="2"/>
  <c r="H73" i="2"/>
  <c r="G73" i="2"/>
  <c r="F73" i="2"/>
  <c r="E73" i="2"/>
  <c r="B73" i="2" s="1"/>
  <c r="A73" i="2"/>
  <c r="L72" i="2"/>
  <c r="J72" i="2"/>
  <c r="H72" i="2"/>
  <c r="G72" i="2"/>
  <c r="F72" i="2"/>
  <c r="E72" i="2"/>
  <c r="B72" i="2"/>
  <c r="A72" i="2"/>
  <c r="L71" i="2"/>
  <c r="K71" i="2"/>
  <c r="J71" i="2"/>
  <c r="H71" i="2"/>
  <c r="G71" i="2"/>
  <c r="F71" i="2"/>
  <c r="I71" i="2" s="1"/>
  <c r="E71" i="2"/>
  <c r="B71" i="2" s="1"/>
  <c r="A71" i="2"/>
  <c r="L70" i="2"/>
  <c r="K70" i="2"/>
  <c r="J70" i="2"/>
  <c r="I70" i="2"/>
  <c r="H70" i="2"/>
  <c r="F70" i="2"/>
  <c r="G70" i="2" s="1"/>
  <c r="E70" i="2"/>
  <c r="B70" i="2"/>
  <c r="A70" i="2"/>
  <c r="L69" i="2"/>
  <c r="F69" i="2"/>
  <c r="E69" i="2"/>
  <c r="B69" i="2"/>
  <c r="A69" i="2"/>
  <c r="L68" i="2"/>
  <c r="J68" i="2"/>
  <c r="I68" i="2"/>
  <c r="F68" i="2"/>
  <c r="K68" i="2" s="1"/>
  <c r="E68" i="2"/>
  <c r="B68" i="2"/>
  <c r="A68" i="2"/>
  <c r="L67" i="2"/>
  <c r="H67" i="2"/>
  <c r="G67" i="2"/>
  <c r="F67" i="2"/>
  <c r="E67" i="2"/>
  <c r="B67" i="2" s="1"/>
  <c r="A67" i="2"/>
  <c r="L66" i="2"/>
  <c r="J66" i="2"/>
  <c r="I66" i="2"/>
  <c r="H66" i="2"/>
  <c r="G66" i="2"/>
  <c r="F66" i="2"/>
  <c r="K66" i="2" s="1"/>
  <c r="E66" i="2"/>
  <c r="B66" i="2"/>
  <c r="A66" i="2"/>
  <c r="L65" i="2"/>
  <c r="F65" i="2"/>
  <c r="E65" i="2"/>
  <c r="B65" i="2"/>
  <c r="A65" i="2"/>
  <c r="L64" i="2"/>
  <c r="K64" i="2"/>
  <c r="J64" i="2"/>
  <c r="I64" i="2"/>
  <c r="H64" i="2"/>
  <c r="F64" i="2"/>
  <c r="G64" i="2" s="1"/>
  <c r="E64" i="2"/>
  <c r="B64" i="2"/>
  <c r="A64" i="2"/>
  <c r="L63" i="2"/>
  <c r="F63" i="2"/>
  <c r="E63" i="2"/>
  <c r="B63" i="2"/>
  <c r="A63" i="2"/>
  <c r="L62" i="2"/>
  <c r="K62" i="2"/>
  <c r="I62" i="2"/>
  <c r="G62" i="2"/>
  <c r="F62" i="2"/>
  <c r="E62" i="2"/>
  <c r="B62" i="2"/>
  <c r="A62" i="2"/>
  <c r="L61" i="2"/>
  <c r="K61" i="2"/>
  <c r="J61" i="2"/>
  <c r="I61" i="2"/>
  <c r="H61" i="2"/>
  <c r="G61" i="2"/>
  <c r="F61" i="2"/>
  <c r="E61" i="2"/>
  <c r="B61" i="2" s="1"/>
  <c r="A61" i="2"/>
  <c r="L60" i="2"/>
  <c r="J60" i="2"/>
  <c r="I60" i="2"/>
  <c r="H60" i="2"/>
  <c r="G60" i="2"/>
  <c r="F60" i="2"/>
  <c r="K60" i="2" s="1"/>
  <c r="E60" i="2"/>
  <c r="B60" i="2"/>
  <c r="A60" i="2"/>
  <c r="L59" i="2"/>
  <c r="F59" i="2"/>
  <c r="E59" i="2"/>
  <c r="B59" i="2" s="1"/>
  <c r="A59" i="2"/>
  <c r="L58" i="2"/>
  <c r="K58" i="2"/>
  <c r="I58" i="2"/>
  <c r="F58" i="2"/>
  <c r="E58" i="2"/>
  <c r="B58" i="2"/>
  <c r="A58" i="2"/>
  <c r="L57" i="2"/>
  <c r="K57" i="2"/>
  <c r="J57" i="2"/>
  <c r="F57" i="2"/>
  <c r="E57" i="2"/>
  <c r="B57" i="2"/>
  <c r="A57" i="2"/>
  <c r="L56" i="2"/>
  <c r="K56" i="2"/>
  <c r="J56" i="2"/>
  <c r="I56" i="2"/>
  <c r="H56" i="2"/>
  <c r="G56" i="2"/>
  <c r="F56" i="2"/>
  <c r="E56" i="2"/>
  <c r="B56" i="2"/>
  <c r="A56" i="2"/>
  <c r="L55" i="2"/>
  <c r="K55" i="2"/>
  <c r="I55" i="2"/>
  <c r="H55" i="2"/>
  <c r="G55" i="2"/>
  <c r="F55" i="2"/>
  <c r="J55" i="2" s="1"/>
  <c r="E55" i="2"/>
  <c r="B55" i="2" s="1"/>
  <c r="A55" i="2"/>
  <c r="L54" i="2"/>
  <c r="H54" i="2"/>
  <c r="F54" i="2"/>
  <c r="E54" i="2"/>
  <c r="B54" i="2" s="1"/>
  <c r="A54" i="2"/>
  <c r="L53" i="2"/>
  <c r="F53" i="2"/>
  <c r="E53" i="2"/>
  <c r="B53" i="2"/>
  <c r="A53" i="2"/>
  <c r="L52" i="2"/>
  <c r="K52" i="2"/>
  <c r="J52" i="2"/>
  <c r="I52" i="2"/>
  <c r="H52" i="2"/>
  <c r="F52" i="2"/>
  <c r="G52" i="2" s="1"/>
  <c r="E52" i="2"/>
  <c r="B52" i="2"/>
  <c r="A52" i="2"/>
  <c r="L51" i="2"/>
  <c r="K51" i="2"/>
  <c r="G51" i="2"/>
  <c r="F51" i="2"/>
  <c r="J51" i="2" s="1"/>
  <c r="E51" i="2"/>
  <c r="B51" i="2"/>
  <c r="A51" i="2"/>
  <c r="L50" i="2"/>
  <c r="I50" i="2"/>
  <c r="G50" i="2"/>
  <c r="F50" i="2"/>
  <c r="H50" i="2" s="1"/>
  <c r="E50" i="2"/>
  <c r="B50" i="2"/>
  <c r="A50" i="2"/>
  <c r="L49" i="2"/>
  <c r="J49" i="2"/>
  <c r="I49" i="2"/>
  <c r="H49" i="2"/>
  <c r="G49" i="2"/>
  <c r="F49" i="2"/>
  <c r="K49" i="2" s="1"/>
  <c r="E49" i="2"/>
  <c r="B49" i="2"/>
  <c r="A49" i="2"/>
  <c r="L48" i="2"/>
  <c r="J48" i="2"/>
  <c r="F48" i="2"/>
  <c r="E48" i="2"/>
  <c r="B48" i="2" s="1"/>
  <c r="A48" i="2"/>
  <c r="L47" i="2"/>
  <c r="K47" i="2"/>
  <c r="J47" i="2"/>
  <c r="H47" i="2"/>
  <c r="G47" i="2"/>
  <c r="F47" i="2"/>
  <c r="I47" i="2" s="1"/>
  <c r="E47" i="2"/>
  <c r="B47" i="2"/>
  <c r="A47" i="2"/>
  <c r="L46" i="2"/>
  <c r="K46" i="2"/>
  <c r="J46" i="2"/>
  <c r="H46" i="2"/>
  <c r="F46" i="2"/>
  <c r="E46" i="2"/>
  <c r="B46" i="2"/>
  <c r="A46" i="2"/>
  <c r="L45" i="2"/>
  <c r="J45" i="2"/>
  <c r="I45" i="2"/>
  <c r="H45" i="2"/>
  <c r="G45" i="2"/>
  <c r="F45" i="2"/>
  <c r="K45" i="2" s="1"/>
  <c r="E45" i="2"/>
  <c r="B45" i="2"/>
  <c r="A45" i="2"/>
  <c r="L44" i="2"/>
  <c r="J44" i="2"/>
  <c r="G44" i="2"/>
  <c r="F44" i="2"/>
  <c r="E44" i="2"/>
  <c r="B44" i="2"/>
  <c r="A44" i="2"/>
  <c r="L43" i="2"/>
  <c r="K43" i="2"/>
  <c r="J43" i="2"/>
  <c r="H43" i="2"/>
  <c r="G43" i="2"/>
  <c r="F43" i="2"/>
  <c r="I43" i="2" s="1"/>
  <c r="E43" i="2"/>
  <c r="B43" i="2"/>
  <c r="A43" i="2"/>
  <c r="L42" i="2"/>
  <c r="J42" i="2"/>
  <c r="I42" i="2"/>
  <c r="H42" i="2"/>
  <c r="G42" i="2"/>
  <c r="F42" i="2"/>
  <c r="K42" i="2" s="1"/>
  <c r="E42" i="2"/>
  <c r="B42" i="2" s="1"/>
  <c r="A42" i="2"/>
  <c r="L41" i="2"/>
  <c r="K41" i="2"/>
  <c r="G41" i="2"/>
  <c r="F41" i="2"/>
  <c r="I41" i="2" s="1"/>
  <c r="E41" i="2"/>
  <c r="B41" i="2"/>
  <c r="A41" i="2"/>
  <c r="L40" i="2"/>
  <c r="F40" i="2"/>
  <c r="E40" i="2"/>
  <c r="B40" i="2" s="1"/>
  <c r="A40" i="2"/>
  <c r="L39" i="2"/>
  <c r="K39" i="2"/>
  <c r="I39" i="2"/>
  <c r="H39" i="2"/>
  <c r="G39" i="2"/>
  <c r="F39" i="2"/>
  <c r="J39" i="2" s="1"/>
  <c r="E39" i="2"/>
  <c r="B39" i="2"/>
  <c r="A39" i="2"/>
  <c r="L38" i="2"/>
  <c r="I38" i="2"/>
  <c r="G38" i="2"/>
  <c r="F38" i="2"/>
  <c r="H38" i="2" s="1"/>
  <c r="E38" i="2"/>
  <c r="B38" i="2"/>
  <c r="A38" i="2"/>
  <c r="L37" i="2"/>
  <c r="K37" i="2"/>
  <c r="J37" i="2"/>
  <c r="I37" i="2"/>
  <c r="H37" i="2"/>
  <c r="G37" i="2"/>
  <c r="F37" i="2"/>
  <c r="E37" i="2"/>
  <c r="B37" i="2" s="1"/>
  <c r="A37" i="2"/>
  <c r="L36" i="2"/>
  <c r="F36" i="2"/>
  <c r="E36" i="2"/>
  <c r="B36" i="2"/>
  <c r="A36" i="2"/>
  <c r="L35" i="2"/>
  <c r="K35" i="2"/>
  <c r="J35" i="2"/>
  <c r="H35" i="2"/>
  <c r="F35" i="2"/>
  <c r="I35" i="2" s="1"/>
  <c r="E35" i="2"/>
  <c r="B35" i="2" s="1"/>
  <c r="A35" i="2"/>
  <c r="L34" i="2"/>
  <c r="K34" i="2"/>
  <c r="I34" i="2"/>
  <c r="H34" i="2"/>
  <c r="F34" i="2"/>
  <c r="E34" i="2"/>
  <c r="B34" i="2" s="1"/>
  <c r="A34" i="2"/>
  <c r="L33" i="2"/>
  <c r="K33" i="2"/>
  <c r="F33" i="2"/>
  <c r="G33" i="2" s="1"/>
  <c r="E33" i="2"/>
  <c r="B33" i="2"/>
  <c r="A33" i="2"/>
  <c r="L32" i="2"/>
  <c r="V105" i="1" s="1"/>
  <c r="K32" i="2"/>
  <c r="F32" i="2"/>
  <c r="E32" i="2"/>
  <c r="B32" i="2"/>
  <c r="A32" i="2"/>
  <c r="L31" i="2"/>
  <c r="F31" i="2"/>
  <c r="E31" i="2"/>
  <c r="B31" i="2" s="1"/>
  <c r="A31" i="2"/>
  <c r="L30" i="2"/>
  <c r="F30" i="2"/>
  <c r="K30" i="2" s="1"/>
  <c r="E30" i="2"/>
  <c r="B30" i="2"/>
  <c r="A30" i="2"/>
  <c r="L29" i="2"/>
  <c r="K29" i="2"/>
  <c r="H29" i="2"/>
  <c r="G29" i="2"/>
  <c r="F29" i="2"/>
  <c r="E29" i="2"/>
  <c r="B29" i="2"/>
  <c r="A29" i="2"/>
  <c r="L28" i="2"/>
  <c r="K28" i="2"/>
  <c r="J28" i="2"/>
  <c r="I28" i="2"/>
  <c r="H28" i="2"/>
  <c r="F28" i="2"/>
  <c r="G28" i="2" s="1"/>
  <c r="E28" i="2"/>
  <c r="B28" i="2"/>
  <c r="A28" i="2"/>
  <c r="L27" i="2"/>
  <c r="K27" i="2"/>
  <c r="J27" i="2"/>
  <c r="I27" i="2"/>
  <c r="F27" i="2"/>
  <c r="E27" i="2"/>
  <c r="B27" i="2"/>
  <c r="A27" i="2"/>
  <c r="L26" i="2"/>
  <c r="K26" i="2"/>
  <c r="J26" i="2"/>
  <c r="I26" i="2"/>
  <c r="H26" i="2"/>
  <c r="G26" i="2"/>
  <c r="F26" i="2"/>
  <c r="E26" i="2"/>
  <c r="B26" i="2"/>
  <c r="A26" i="2"/>
  <c r="L25" i="2"/>
  <c r="K25" i="2"/>
  <c r="J25" i="2"/>
  <c r="I25" i="2"/>
  <c r="H25" i="2"/>
  <c r="G25" i="2"/>
  <c r="F25" i="2"/>
  <c r="E25" i="2"/>
  <c r="B25" i="2" s="1"/>
  <c r="A25" i="2"/>
  <c r="L24" i="2"/>
  <c r="G24" i="2"/>
  <c r="F24" i="2"/>
  <c r="E24" i="2"/>
  <c r="B24" i="2" s="1"/>
  <c r="A24" i="2"/>
  <c r="L23" i="2"/>
  <c r="K23" i="2"/>
  <c r="J23" i="2"/>
  <c r="H23" i="2"/>
  <c r="G23" i="2"/>
  <c r="F23" i="2"/>
  <c r="I23" i="2" s="1"/>
  <c r="E23" i="2"/>
  <c r="B23" i="2"/>
  <c r="A23" i="2"/>
  <c r="L22" i="2"/>
  <c r="K22" i="2"/>
  <c r="J22" i="2"/>
  <c r="I22" i="2"/>
  <c r="H22" i="2"/>
  <c r="F22" i="2"/>
  <c r="G22" i="2" s="1"/>
  <c r="E22" i="2"/>
  <c r="B22" i="2"/>
  <c r="A22" i="2"/>
  <c r="L21" i="2"/>
  <c r="K21" i="2"/>
  <c r="J21" i="2"/>
  <c r="I21" i="2"/>
  <c r="H21" i="2"/>
  <c r="G21" i="2"/>
  <c r="F21" i="2"/>
  <c r="E21" i="2"/>
  <c r="B21" i="2"/>
  <c r="A21" i="2"/>
  <c r="L20" i="2"/>
  <c r="H20" i="2"/>
  <c r="G20" i="2"/>
  <c r="F20" i="2"/>
  <c r="K20" i="2" s="1"/>
  <c r="E20" i="2"/>
  <c r="B20" i="2"/>
  <c r="A20" i="2"/>
  <c r="L19" i="2"/>
  <c r="F19" i="2"/>
  <c r="E19" i="2"/>
  <c r="B19" i="2" s="1"/>
  <c r="A19" i="2"/>
  <c r="L18" i="2"/>
  <c r="J18" i="2"/>
  <c r="I18" i="2"/>
  <c r="H18" i="2"/>
  <c r="G18" i="2"/>
  <c r="F18" i="2"/>
  <c r="K18" i="2" s="1"/>
  <c r="E18" i="2"/>
  <c r="B18" i="2"/>
  <c r="A18" i="2"/>
  <c r="L17" i="2"/>
  <c r="J17" i="2"/>
  <c r="H17" i="2"/>
  <c r="G17" i="2"/>
  <c r="F17" i="2"/>
  <c r="I17" i="2" s="1"/>
  <c r="E17" i="2"/>
  <c r="B17" i="2" s="1"/>
  <c r="A17" i="2"/>
  <c r="L16" i="2"/>
  <c r="K16" i="2"/>
  <c r="J16" i="2"/>
  <c r="I16" i="2"/>
  <c r="H16" i="2"/>
  <c r="F16" i="2"/>
  <c r="G16" i="2" s="1"/>
  <c r="E16" i="2"/>
  <c r="B16" i="2" s="1"/>
  <c r="A16" i="2"/>
  <c r="L15" i="2"/>
  <c r="H15" i="2"/>
  <c r="G15" i="2"/>
  <c r="F15" i="2"/>
  <c r="E15" i="2"/>
  <c r="B15" i="2"/>
  <c r="A15" i="2"/>
  <c r="L14" i="2"/>
  <c r="K14" i="2"/>
  <c r="J14" i="2"/>
  <c r="I14" i="2"/>
  <c r="F14" i="2"/>
  <c r="H14" i="2" s="1"/>
  <c r="E14" i="2"/>
  <c r="B14" i="2"/>
  <c r="A14" i="2"/>
  <c r="L13" i="2"/>
  <c r="K13" i="2"/>
  <c r="J13" i="2"/>
  <c r="I13" i="2"/>
  <c r="H13" i="2"/>
  <c r="G13" i="2"/>
  <c r="F13" i="2"/>
  <c r="E13" i="2"/>
  <c r="B13" i="2"/>
  <c r="A13" i="2"/>
  <c r="L12" i="2"/>
  <c r="F12" i="2"/>
  <c r="E12" i="2"/>
  <c r="B12" i="2" s="1"/>
  <c r="A12" i="2"/>
  <c r="L11" i="2"/>
  <c r="J11" i="2"/>
  <c r="H11" i="2"/>
  <c r="G11" i="2"/>
  <c r="F11" i="2"/>
  <c r="E11" i="2"/>
  <c r="B11" i="2"/>
  <c r="A11" i="2"/>
  <c r="L10" i="2"/>
  <c r="V92" i="1" s="1"/>
  <c r="K10" i="2"/>
  <c r="I10" i="2"/>
  <c r="F10" i="2"/>
  <c r="E10" i="2"/>
  <c r="B10" i="2" s="1"/>
  <c r="A10" i="2"/>
  <c r="L9" i="2"/>
  <c r="F9" i="2"/>
  <c r="E9" i="2"/>
  <c r="B9" i="2"/>
  <c r="A9" i="2"/>
  <c r="L8" i="2"/>
  <c r="K8" i="2"/>
  <c r="J8" i="2"/>
  <c r="I8" i="2"/>
  <c r="F8" i="2"/>
  <c r="H8" i="2" s="1"/>
  <c r="E8" i="2"/>
  <c r="B8" i="2"/>
  <c r="A8" i="2"/>
  <c r="L7" i="2"/>
  <c r="J7" i="2"/>
  <c r="I7" i="2"/>
  <c r="F7" i="2"/>
  <c r="K7" i="2" s="1"/>
  <c r="E7" i="2"/>
  <c r="B7" i="2" s="1"/>
  <c r="A7" i="2"/>
  <c r="L6" i="2"/>
  <c r="J6" i="2"/>
  <c r="G6" i="2"/>
  <c r="F6" i="2"/>
  <c r="E6" i="2"/>
  <c r="E79" i="5" s="1"/>
  <c r="A6" i="2"/>
  <c r="L5" i="2"/>
  <c r="K5" i="2"/>
  <c r="F5" i="2"/>
  <c r="E5" i="2"/>
  <c r="B5" i="2"/>
  <c r="A5" i="2"/>
  <c r="L4" i="2"/>
  <c r="K4" i="2"/>
  <c r="J4" i="2"/>
  <c r="I4" i="2"/>
  <c r="H4" i="2"/>
  <c r="F4" i="2"/>
  <c r="G4" i="2" s="1"/>
  <c r="E4" i="2"/>
  <c r="B4" i="2" s="1"/>
  <c r="A4" i="2"/>
  <c r="L3" i="2"/>
  <c r="J3" i="2"/>
  <c r="G3" i="2"/>
  <c r="F3" i="2"/>
  <c r="K3" i="2" s="1"/>
  <c r="E3" i="2"/>
  <c r="B3" i="2"/>
  <c r="A3" i="2"/>
  <c r="L2" i="2"/>
  <c r="V182" i="1" s="1"/>
  <c r="F2" i="2"/>
  <c r="E2" i="2"/>
  <c r="B2" i="2" s="1"/>
  <c r="A2" i="2"/>
  <c r="W221" i="1"/>
  <c r="W220" i="1"/>
  <c r="W219" i="1"/>
  <c r="W218" i="1"/>
  <c r="W217" i="1"/>
  <c r="W216" i="1"/>
  <c r="W215" i="1"/>
  <c r="W214" i="1"/>
  <c r="V214" i="1" s="1"/>
  <c r="W213" i="1"/>
  <c r="V213" i="1" s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V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V180" i="1" s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V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V113" i="1" s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V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V62" i="1"/>
  <c r="W61" i="1"/>
  <c r="V61" i="1" s="1"/>
  <c r="W60" i="1"/>
  <c r="W59" i="1"/>
  <c r="W58" i="1"/>
  <c r="W57" i="1"/>
  <c r="W56" i="1"/>
  <c r="W55" i="1"/>
  <c r="W54" i="1"/>
  <c r="W53" i="1"/>
  <c r="W52" i="1"/>
  <c r="V52" i="1" s="1"/>
  <c r="W51" i="1"/>
  <c r="W50" i="1"/>
  <c r="W49" i="1"/>
  <c r="W48" i="1"/>
  <c r="W47" i="1"/>
  <c r="W46" i="1"/>
  <c r="W45" i="1"/>
  <c r="W44" i="1"/>
  <c r="W43" i="1"/>
  <c r="W42" i="1"/>
  <c r="W41" i="1"/>
  <c r="W40" i="1"/>
  <c r="V40" i="1" s="1"/>
  <c r="W39" i="1"/>
  <c r="W38" i="1"/>
  <c r="W37" i="1"/>
  <c r="W36" i="1"/>
  <c r="W35" i="1"/>
  <c r="W34" i="1"/>
  <c r="W33" i="1"/>
  <c r="W32" i="1"/>
  <c r="W31" i="1"/>
  <c r="V31" i="1" s="1"/>
  <c r="W30" i="1"/>
  <c r="W29" i="1"/>
  <c r="W28" i="1"/>
  <c r="W27" i="1"/>
  <c r="W26" i="1"/>
  <c r="W25" i="1"/>
  <c r="W24" i="1"/>
  <c r="W23" i="1"/>
  <c r="W22" i="1"/>
  <c r="W21" i="1"/>
  <c r="W20" i="1"/>
  <c r="V20" i="1"/>
  <c r="W19" i="1"/>
  <c r="W18" i="1"/>
  <c r="W17" i="1"/>
  <c r="V17" i="1" s="1"/>
  <c r="W16" i="1"/>
  <c r="W15" i="1"/>
  <c r="W14" i="1"/>
  <c r="W13" i="1"/>
  <c r="W12" i="1"/>
  <c r="W11" i="1"/>
  <c r="V11" i="1"/>
  <c r="W10" i="1"/>
  <c r="W9" i="1"/>
  <c r="W8" i="1"/>
  <c r="V8" i="1" s="1"/>
  <c r="W7" i="1"/>
  <c r="W6" i="1"/>
  <c r="W5" i="1"/>
  <c r="V5" i="1" s="1"/>
  <c r="W4" i="1"/>
  <c r="W3" i="1"/>
  <c r="V3" i="1"/>
  <c r="W2" i="1"/>
  <c r="V2" i="1" s="1"/>
  <c r="C124" i="5"/>
  <c r="E112" i="5"/>
  <c r="C16" i="5"/>
  <c r="C6" i="5"/>
  <c r="C5" i="5"/>
  <c r="C4" i="5"/>
  <c r="C3" i="5"/>
  <c r="Q3324" i="3" l="1"/>
  <c r="R3324" i="3" s="1"/>
  <c r="Q3174" i="3"/>
  <c r="R3174" i="3" s="1"/>
  <c r="P3262" i="3"/>
  <c r="P3327" i="3"/>
  <c r="P53" i="3"/>
  <c r="P2662" i="3"/>
  <c r="Q23" i="3"/>
  <c r="R23" i="3" s="1"/>
  <c r="P88" i="3"/>
  <c r="Q97" i="3"/>
  <c r="R97" i="3" s="1"/>
  <c r="Q127" i="3"/>
  <c r="R127" i="3" s="1"/>
  <c r="Q154" i="3"/>
  <c r="R154" i="3" s="1"/>
  <c r="Q356" i="3"/>
  <c r="R356" i="3" s="1"/>
  <c r="P557" i="3"/>
  <c r="P567" i="3"/>
  <c r="Q708" i="3"/>
  <c r="R708" i="3" s="1"/>
  <c r="P803" i="3"/>
  <c r="Q955" i="3"/>
  <c r="R955" i="3" s="1"/>
  <c r="P1109" i="3"/>
  <c r="P1199" i="3"/>
  <c r="Q1353" i="3"/>
  <c r="R1353" i="3" s="1"/>
  <c r="P1381" i="3"/>
  <c r="P1433" i="3"/>
  <c r="P1626" i="3"/>
  <c r="Q1685" i="3"/>
  <c r="R1685" i="3" s="1"/>
  <c r="Q1695" i="3"/>
  <c r="R1695" i="3" s="1"/>
  <c r="P1705" i="3"/>
  <c r="Q1724" i="3"/>
  <c r="R1724" i="3" s="1"/>
  <c r="P1811" i="3"/>
  <c r="P1819" i="3"/>
  <c r="P1951" i="3"/>
  <c r="Q1961" i="3"/>
  <c r="R1961" i="3" s="1"/>
  <c r="P1993" i="3"/>
  <c r="P2131" i="3"/>
  <c r="Q2227" i="3"/>
  <c r="R2227" i="3" s="1"/>
  <c r="P2236" i="3"/>
  <c r="P2288" i="3"/>
  <c r="Q2308" i="3"/>
  <c r="R2308" i="3" s="1"/>
  <c r="P2425" i="3"/>
  <c r="P2672" i="3"/>
  <c r="Q2803" i="3"/>
  <c r="R2803" i="3" s="1"/>
  <c r="Q2881" i="3"/>
  <c r="R2881" i="3" s="1"/>
  <c r="Q2891" i="3"/>
  <c r="R2891" i="3" s="1"/>
  <c r="P3187" i="3"/>
  <c r="P3208" i="3"/>
  <c r="P3220" i="3"/>
  <c r="P422" i="3"/>
  <c r="Q422" i="3"/>
  <c r="R422" i="3" s="1"/>
  <c r="Q2905" i="3"/>
  <c r="R2905" i="3" s="1"/>
  <c r="P2905" i="3"/>
  <c r="P826" i="3"/>
  <c r="Q826" i="3"/>
  <c r="R826" i="3" s="1"/>
  <c r="Q46" i="3"/>
  <c r="R46" i="3" s="1"/>
  <c r="P46" i="3"/>
  <c r="P1255" i="3"/>
  <c r="Q1255" i="3"/>
  <c r="R1255" i="3" s="1"/>
  <c r="Q1777" i="3"/>
  <c r="R1777" i="3" s="1"/>
  <c r="P1777" i="3"/>
  <c r="Q3106" i="3"/>
  <c r="R3106" i="3" s="1"/>
  <c r="P3106" i="3"/>
  <c r="P3185" i="3"/>
  <c r="Q3185" i="3"/>
  <c r="R3185" i="3" s="1"/>
  <c r="Q16" i="3"/>
  <c r="R16" i="3" s="1"/>
  <c r="P16" i="3"/>
  <c r="Q757" i="3"/>
  <c r="R757" i="3" s="1"/>
  <c r="P757" i="3"/>
  <c r="Q18" i="3"/>
  <c r="R18" i="3" s="1"/>
  <c r="Q56" i="3"/>
  <c r="R56" i="3" s="1"/>
  <c r="P109" i="3"/>
  <c r="Q117" i="3"/>
  <c r="R117" i="3" s="1"/>
  <c r="P161" i="3"/>
  <c r="Q178" i="3"/>
  <c r="R178" i="3" s="1"/>
  <c r="Q206" i="3"/>
  <c r="R206" i="3" s="1"/>
  <c r="Q237" i="3"/>
  <c r="R237" i="3" s="1"/>
  <c r="Q272" i="3"/>
  <c r="R272" i="3" s="1"/>
  <c r="P272" i="3"/>
  <c r="Q333" i="3"/>
  <c r="R333" i="3" s="1"/>
  <c r="Q381" i="3"/>
  <c r="R381" i="3" s="1"/>
  <c r="P436" i="3"/>
  <c r="Q482" i="3"/>
  <c r="R482" i="3" s="1"/>
  <c r="Q731" i="3"/>
  <c r="R731" i="3" s="1"/>
  <c r="P731" i="3"/>
  <c r="Q769" i="3"/>
  <c r="R769" i="3" s="1"/>
  <c r="Q789" i="3"/>
  <c r="R789" i="3" s="1"/>
  <c r="P820" i="3"/>
  <c r="P871" i="3"/>
  <c r="P909" i="3"/>
  <c r="Q937" i="3"/>
  <c r="R937" i="3" s="1"/>
  <c r="Q999" i="3"/>
  <c r="R999" i="3" s="1"/>
  <c r="Q1063" i="3"/>
  <c r="R1063" i="3" s="1"/>
  <c r="P1086" i="3"/>
  <c r="P1121" i="3"/>
  <c r="P1150" i="3"/>
  <c r="Q1150" i="3"/>
  <c r="R1150" i="3" s="1"/>
  <c r="P1161" i="3"/>
  <c r="Q1229" i="3"/>
  <c r="R1229" i="3" s="1"/>
  <c r="Q1295" i="3"/>
  <c r="R1295" i="3" s="1"/>
  <c r="P1314" i="3"/>
  <c r="P1323" i="3"/>
  <c r="Q1432" i="3"/>
  <c r="R1432" i="3" s="1"/>
  <c r="P1441" i="3"/>
  <c r="Q1538" i="3"/>
  <c r="R1538" i="3" s="1"/>
  <c r="P1548" i="3"/>
  <c r="Q1595" i="3"/>
  <c r="R1595" i="3" s="1"/>
  <c r="Q1709" i="3"/>
  <c r="R1709" i="3" s="1"/>
  <c r="P1709" i="3"/>
  <c r="Q1780" i="3"/>
  <c r="R1780" i="3" s="1"/>
  <c r="Q1879" i="3"/>
  <c r="R1879" i="3" s="1"/>
  <c r="Q2039" i="3"/>
  <c r="R2039" i="3" s="1"/>
  <c r="Q2245" i="3"/>
  <c r="R2245" i="3" s="1"/>
  <c r="P2255" i="3"/>
  <c r="P2324" i="3"/>
  <c r="Q2407" i="3"/>
  <c r="R2407" i="3" s="1"/>
  <c r="Q2476" i="3"/>
  <c r="R2476" i="3" s="1"/>
  <c r="P2653" i="3"/>
  <c r="P2690" i="3"/>
  <c r="Q2720" i="3"/>
  <c r="R2720" i="3" s="1"/>
  <c r="P2860" i="3"/>
  <c r="P2869" i="3"/>
  <c r="Q2899" i="3"/>
  <c r="R2899" i="3" s="1"/>
  <c r="P2974" i="3"/>
  <c r="Q3046" i="3"/>
  <c r="R3046" i="3" s="1"/>
  <c r="P3046" i="3"/>
  <c r="Q3079" i="3"/>
  <c r="R3079" i="3" s="1"/>
  <c r="P3079" i="3"/>
  <c r="Q3071" i="3"/>
  <c r="R3071" i="3" s="1"/>
  <c r="Q3081" i="3"/>
  <c r="R3081" i="3" s="1"/>
  <c r="Q256" i="3"/>
  <c r="R256" i="3" s="1"/>
  <c r="P256" i="3"/>
  <c r="Q623" i="3"/>
  <c r="R623" i="3" s="1"/>
  <c r="P623" i="3"/>
  <c r="P1634" i="3"/>
  <c r="Q1634" i="3"/>
  <c r="R1634" i="3" s="1"/>
  <c r="Q2104" i="3"/>
  <c r="R2104" i="3" s="1"/>
  <c r="P2104" i="3"/>
  <c r="Q2124" i="3"/>
  <c r="R2124" i="3" s="1"/>
  <c r="P2124" i="3"/>
  <c r="Q2072" i="3"/>
  <c r="R2072" i="3" s="1"/>
  <c r="P2072" i="3"/>
  <c r="P216" i="3"/>
  <c r="Q216" i="3"/>
  <c r="R216" i="3" s="1"/>
  <c r="Q1065" i="3"/>
  <c r="R1065" i="3" s="1"/>
  <c r="P1065" i="3"/>
  <c r="P2041" i="3"/>
  <c r="Q2041" i="3"/>
  <c r="R2041" i="3" s="1"/>
  <c r="P113" i="3"/>
  <c r="Q129" i="3"/>
  <c r="R129" i="3" s="1"/>
  <c r="P129" i="3"/>
  <c r="P139" i="3"/>
  <c r="Q165" i="3"/>
  <c r="R165" i="3" s="1"/>
  <c r="P182" i="3"/>
  <c r="P534" i="3"/>
  <c r="Q534" i="3"/>
  <c r="R534" i="3" s="1"/>
  <c r="Q744" i="3"/>
  <c r="R744" i="3" s="1"/>
  <c r="P773" i="3"/>
  <c r="Q903" i="3"/>
  <c r="R903" i="3" s="1"/>
  <c r="P903" i="3"/>
  <c r="P1089" i="3"/>
  <c r="P1107" i="3"/>
  <c r="Q1204" i="3"/>
  <c r="R1204" i="3" s="1"/>
  <c r="P1233" i="3"/>
  <c r="Q1428" i="3"/>
  <c r="R1428" i="3" s="1"/>
  <c r="Q1445" i="3"/>
  <c r="R1445" i="3" s="1"/>
  <c r="Q1455" i="3"/>
  <c r="R1455" i="3" s="1"/>
  <c r="Q1512" i="3"/>
  <c r="R1512" i="3" s="1"/>
  <c r="P1533" i="3"/>
  <c r="P1637" i="3"/>
  <c r="Q1647" i="3"/>
  <c r="R1647" i="3" s="1"/>
  <c r="P1664" i="3"/>
  <c r="Q1713" i="3"/>
  <c r="R1713" i="3" s="1"/>
  <c r="Q1815" i="3"/>
  <c r="R1815" i="3" s="1"/>
  <c r="P1934" i="3"/>
  <c r="P2220" i="3"/>
  <c r="P2420" i="3"/>
  <c r="Q2647" i="3"/>
  <c r="R2647" i="3" s="1"/>
  <c r="P2657" i="3"/>
  <c r="P2673" i="3"/>
  <c r="P2714" i="3"/>
  <c r="Q2864" i="3"/>
  <c r="R2864" i="3" s="1"/>
  <c r="P2926" i="3"/>
  <c r="Q2926" i="3"/>
  <c r="R2926" i="3" s="1"/>
  <c r="P2999" i="3"/>
  <c r="Q2999" i="3"/>
  <c r="R2999" i="3" s="1"/>
  <c r="Q3094" i="3"/>
  <c r="R3094" i="3" s="1"/>
  <c r="Q2816" i="3"/>
  <c r="R2816" i="3" s="1"/>
  <c r="P2816" i="3"/>
  <c r="Q238" i="3"/>
  <c r="R238" i="3" s="1"/>
  <c r="P238" i="3"/>
  <c r="P612" i="3"/>
  <c r="Q612" i="3"/>
  <c r="R612" i="3" s="1"/>
  <c r="P1596" i="3"/>
  <c r="Q1596" i="3"/>
  <c r="R1596" i="3" s="1"/>
  <c r="Q2742" i="3"/>
  <c r="R2742" i="3" s="1"/>
  <c r="P2742" i="3"/>
  <c r="P574" i="3"/>
  <c r="Q574" i="3"/>
  <c r="R574" i="3" s="1"/>
  <c r="Q1578" i="3"/>
  <c r="R1578" i="3" s="1"/>
  <c r="P1578" i="3"/>
  <c r="P3039" i="3"/>
  <c r="Q3039" i="3"/>
  <c r="R3039" i="3" s="1"/>
  <c r="Q3123" i="3"/>
  <c r="R3123" i="3" s="1"/>
  <c r="P3123" i="3"/>
  <c r="Q1462" i="3"/>
  <c r="R1462" i="3" s="1"/>
  <c r="P1462" i="3"/>
  <c r="P2693" i="3"/>
  <c r="Q2693" i="3"/>
  <c r="R2693" i="3" s="1"/>
  <c r="Q2954" i="3"/>
  <c r="R2954" i="3" s="1"/>
  <c r="P2954" i="3"/>
  <c r="P252" i="3"/>
  <c r="Q278" i="3"/>
  <c r="R278" i="3" s="1"/>
  <c r="Q305" i="3"/>
  <c r="R305" i="3" s="1"/>
  <c r="P348" i="3"/>
  <c r="P392" i="3"/>
  <c r="P465" i="3"/>
  <c r="Q465" i="3"/>
  <c r="R465" i="3" s="1"/>
  <c r="P535" i="3"/>
  <c r="P561" i="3"/>
  <c r="Q658" i="3"/>
  <c r="R658" i="3" s="1"/>
  <c r="P754" i="3"/>
  <c r="Q764" i="3"/>
  <c r="R764" i="3" s="1"/>
  <c r="P825" i="3"/>
  <c r="P894" i="3"/>
  <c r="Q894" i="3"/>
  <c r="R894" i="3" s="1"/>
  <c r="Q913" i="3"/>
  <c r="R913" i="3" s="1"/>
  <c r="Q996" i="3"/>
  <c r="R996" i="3" s="1"/>
  <c r="P1097" i="3"/>
  <c r="Q1156" i="3"/>
  <c r="R1156" i="3" s="1"/>
  <c r="Q1271" i="3"/>
  <c r="R1271" i="3" s="1"/>
  <c r="Q1318" i="3"/>
  <c r="R1318" i="3" s="1"/>
  <c r="P1318" i="3"/>
  <c r="Q1350" i="3"/>
  <c r="R1350" i="3" s="1"/>
  <c r="Q1368" i="3"/>
  <c r="R1368" i="3" s="1"/>
  <c r="P1436" i="3"/>
  <c r="Q1523" i="3"/>
  <c r="R1523" i="3" s="1"/>
  <c r="Q1543" i="3"/>
  <c r="R1543" i="3" s="1"/>
  <c r="P1609" i="3"/>
  <c r="P1775" i="3"/>
  <c r="Q1985" i="3"/>
  <c r="R1985" i="3" s="1"/>
  <c r="Q1994" i="3"/>
  <c r="R1994" i="3" s="1"/>
  <c r="P2087" i="3"/>
  <c r="P2157" i="3"/>
  <c r="P2167" i="3"/>
  <c r="P2320" i="3"/>
  <c r="Q2538" i="3"/>
  <c r="R2538" i="3" s="1"/>
  <c r="P2538" i="3"/>
  <c r="Q2756" i="3"/>
  <c r="R2756" i="3" s="1"/>
  <c r="Q2767" i="3"/>
  <c r="R2767" i="3" s="1"/>
  <c r="P2915" i="3"/>
  <c r="Q2915" i="3"/>
  <c r="R2915" i="3" s="1"/>
  <c r="P3104" i="3"/>
  <c r="Q3104" i="3"/>
  <c r="R3104" i="3" s="1"/>
  <c r="Q3171" i="3"/>
  <c r="R3171" i="3" s="1"/>
  <c r="P3171" i="3"/>
  <c r="P867" i="3"/>
  <c r="Q867" i="3"/>
  <c r="R867" i="3" s="1"/>
  <c r="P1290" i="3"/>
  <c r="Q1290" i="3"/>
  <c r="R1290" i="3" s="1"/>
  <c r="Q1843" i="3"/>
  <c r="R1843" i="3" s="1"/>
  <c r="P1843" i="3"/>
  <c r="Q2461" i="3"/>
  <c r="R2461" i="3" s="1"/>
  <c r="P2461" i="3"/>
  <c r="Q412" i="3"/>
  <c r="R412" i="3" s="1"/>
  <c r="P412" i="3"/>
  <c r="P1272" i="3"/>
  <c r="Q1272" i="3"/>
  <c r="R1272" i="3" s="1"/>
  <c r="Q766" i="3"/>
  <c r="R766" i="3" s="1"/>
  <c r="P766" i="3"/>
  <c r="Q2858" i="3"/>
  <c r="R2858" i="3" s="1"/>
  <c r="P2858" i="3"/>
  <c r="Q308" i="3"/>
  <c r="R308" i="3" s="1"/>
  <c r="P308" i="3"/>
  <c r="P748" i="3"/>
  <c r="Q748" i="3"/>
  <c r="R748" i="3" s="1"/>
  <c r="P1187" i="3"/>
  <c r="Q1187" i="3"/>
  <c r="R1187" i="3" s="1"/>
  <c r="P1726" i="3"/>
  <c r="Q1726" i="3"/>
  <c r="R1726" i="3" s="1"/>
  <c r="Q3108" i="3"/>
  <c r="R3108" i="3" s="1"/>
  <c r="P3175" i="3"/>
  <c r="Q3175" i="3"/>
  <c r="R3175" i="3" s="1"/>
  <c r="P3253" i="3"/>
  <c r="Q3315" i="3"/>
  <c r="R3315" i="3" s="1"/>
  <c r="Q3326" i="3"/>
  <c r="R3326" i="3" s="1"/>
  <c r="Q3308" i="3"/>
  <c r="R3308" i="3" s="1"/>
  <c r="Q3323" i="3"/>
  <c r="R3323" i="3" s="1"/>
  <c r="Q3322" i="3"/>
  <c r="R3322" i="3" s="1"/>
  <c r="Q3121" i="3"/>
  <c r="R3121" i="3" s="1"/>
  <c r="Q3321" i="3"/>
  <c r="R3321" i="3" s="1"/>
  <c r="Q3320" i="3"/>
  <c r="R3320" i="3" s="1"/>
  <c r="Q3319" i="3"/>
  <c r="R3319" i="3" s="1"/>
  <c r="P3229" i="3"/>
  <c r="P3283" i="3"/>
  <c r="Q3318" i="3"/>
  <c r="R3318" i="3" s="1"/>
  <c r="Q3314" i="3"/>
  <c r="R3314" i="3" s="1"/>
  <c r="Q3179" i="3"/>
  <c r="R3179" i="3" s="1"/>
  <c r="P504" i="3"/>
  <c r="Q504" i="3"/>
  <c r="R504" i="3" s="1"/>
  <c r="P712" i="3"/>
  <c r="Q712" i="3"/>
  <c r="R712" i="3" s="1"/>
  <c r="Q1901" i="3"/>
  <c r="R1901" i="3" s="1"/>
  <c r="P1901" i="3"/>
  <c r="P2200" i="3"/>
  <c r="Q2200" i="3"/>
  <c r="R2200" i="3" s="1"/>
  <c r="Q931" i="3"/>
  <c r="R931" i="3" s="1"/>
  <c r="P931" i="3"/>
  <c r="Q1209" i="3"/>
  <c r="R1209" i="3" s="1"/>
  <c r="P1209" i="3"/>
  <c r="P1779" i="3"/>
  <c r="Q1779" i="3"/>
  <c r="R1779" i="3" s="1"/>
  <c r="Q2037" i="3"/>
  <c r="R2037" i="3" s="1"/>
  <c r="P2037" i="3"/>
  <c r="Q2067" i="3"/>
  <c r="R2067" i="3" s="1"/>
  <c r="P2067" i="3"/>
  <c r="P2152" i="3"/>
  <c r="Q2152" i="3"/>
  <c r="R2152" i="3" s="1"/>
  <c r="P2213" i="3"/>
  <c r="Q2213" i="3"/>
  <c r="R2213" i="3" s="1"/>
  <c r="P2366" i="3"/>
  <c r="Q2366" i="3"/>
  <c r="R2366" i="3" s="1"/>
  <c r="P2387" i="3"/>
  <c r="Q2387" i="3"/>
  <c r="R2387" i="3" s="1"/>
  <c r="Q2605" i="3"/>
  <c r="R2605" i="3" s="1"/>
  <c r="P2605" i="3"/>
  <c r="P620" i="3"/>
  <c r="Q620" i="3"/>
  <c r="R620" i="3" s="1"/>
  <c r="Q837" i="3"/>
  <c r="R837" i="3" s="1"/>
  <c r="P837" i="3"/>
  <c r="P1909" i="3"/>
  <c r="Q1909" i="3"/>
  <c r="R1909" i="3" s="1"/>
  <c r="Q2014" i="3"/>
  <c r="R2014" i="3" s="1"/>
  <c r="P2014" i="3"/>
  <c r="Q2634" i="3"/>
  <c r="R2634" i="3" s="1"/>
  <c r="P2634" i="3"/>
  <c r="Q3003" i="3"/>
  <c r="R3003" i="3" s="1"/>
  <c r="P3003" i="3"/>
  <c r="Q2683" i="3"/>
  <c r="R2683" i="3" s="1"/>
  <c r="P2683" i="3"/>
  <c r="P2" i="3"/>
  <c r="P27" i="3"/>
  <c r="Q62" i="3"/>
  <c r="R62" i="3" s="1"/>
  <c r="Q85" i="3"/>
  <c r="R85" i="3" s="1"/>
  <c r="P93" i="3"/>
  <c r="Q147" i="3"/>
  <c r="R147" i="3" s="1"/>
  <c r="Q186" i="3"/>
  <c r="R186" i="3" s="1"/>
  <c r="Q191" i="3"/>
  <c r="R191" i="3" s="1"/>
  <c r="Q241" i="3"/>
  <c r="R241" i="3" s="1"/>
  <c r="P300" i="3"/>
  <c r="P391" i="3"/>
  <c r="Q435" i="3"/>
  <c r="R435" i="3" s="1"/>
  <c r="Q490" i="3"/>
  <c r="R490" i="3" s="1"/>
  <c r="Q525" i="3"/>
  <c r="R525" i="3" s="1"/>
  <c r="P559" i="3"/>
  <c r="Q559" i="3"/>
  <c r="R559" i="3" s="1"/>
  <c r="P580" i="3"/>
  <c r="Q588" i="3"/>
  <c r="R588" i="3" s="1"/>
  <c r="P588" i="3"/>
  <c r="Q636" i="3"/>
  <c r="R636" i="3" s="1"/>
  <c r="P696" i="3"/>
  <c r="P777" i="3"/>
  <c r="P787" i="3"/>
  <c r="Q805" i="3"/>
  <c r="R805" i="3" s="1"/>
  <c r="Q982" i="3"/>
  <c r="R982" i="3" s="1"/>
  <c r="Q1033" i="3"/>
  <c r="R1033" i="3" s="1"/>
  <c r="P1033" i="3"/>
  <c r="P1070" i="3"/>
  <c r="P1136" i="3"/>
  <c r="P1265" i="3"/>
  <c r="Q1265" i="3"/>
  <c r="R1265" i="3" s="1"/>
  <c r="P1291" i="3"/>
  <c r="Q1309" i="3"/>
  <c r="R1309" i="3" s="1"/>
  <c r="P1365" i="3"/>
  <c r="Q1403" i="3"/>
  <c r="R1403" i="3" s="1"/>
  <c r="P1423" i="3"/>
  <c r="P1560" i="3"/>
  <c r="Q1560" i="3"/>
  <c r="R1560" i="3" s="1"/>
  <c r="Q1605" i="3"/>
  <c r="R1605" i="3" s="1"/>
  <c r="P1605" i="3"/>
  <c r="P1730" i="3"/>
  <c r="Q1730" i="3"/>
  <c r="R1730" i="3" s="1"/>
  <c r="P1749" i="3"/>
  <c r="Q1749" i="3"/>
  <c r="R1749" i="3" s="1"/>
  <c r="Q1913" i="3"/>
  <c r="R1913" i="3" s="1"/>
  <c r="P1913" i="3"/>
  <c r="P1972" i="3"/>
  <c r="Q1972" i="3"/>
  <c r="R1972" i="3" s="1"/>
  <c r="Q2173" i="3"/>
  <c r="R2173" i="3" s="1"/>
  <c r="P2173" i="3"/>
  <c r="Q2400" i="3"/>
  <c r="R2400" i="3" s="1"/>
  <c r="P2400" i="3"/>
  <c r="Q2447" i="3"/>
  <c r="R2447" i="3" s="1"/>
  <c r="P2447" i="3"/>
  <c r="Q2497" i="3"/>
  <c r="R2497" i="3" s="1"/>
  <c r="P2497" i="3"/>
  <c r="P406" i="3"/>
  <c r="Q406" i="3"/>
  <c r="R406" i="3" s="1"/>
  <c r="P765" i="3"/>
  <c r="Q765" i="3"/>
  <c r="R765" i="3" s="1"/>
  <c r="P1287" i="3"/>
  <c r="Q1287" i="3"/>
  <c r="R1287" i="3" s="1"/>
  <c r="Q487" i="3"/>
  <c r="R487" i="3" s="1"/>
  <c r="P487" i="3"/>
  <c r="P1701" i="3"/>
  <c r="Q1701" i="3"/>
  <c r="R1701" i="3" s="1"/>
  <c r="Q2054" i="3"/>
  <c r="R2054" i="3" s="1"/>
  <c r="P2054" i="3"/>
  <c r="Q3064" i="3"/>
  <c r="R3064" i="3" s="1"/>
  <c r="P3064" i="3"/>
  <c r="Q451" i="3"/>
  <c r="R451" i="3" s="1"/>
  <c r="P451" i="3"/>
  <c r="P751" i="3"/>
  <c r="Q751" i="3"/>
  <c r="R751" i="3" s="1"/>
  <c r="Q1001" i="3"/>
  <c r="R1001" i="3" s="1"/>
  <c r="P1001" i="3"/>
  <c r="Q1146" i="3"/>
  <c r="R1146" i="3" s="1"/>
  <c r="P1146" i="3"/>
  <c r="P1202" i="3"/>
  <c r="Q1202" i="3"/>
  <c r="R1202" i="3" s="1"/>
  <c r="Q1221" i="3"/>
  <c r="R1221" i="3" s="1"/>
  <c r="P1221" i="3"/>
  <c r="P1258" i="3"/>
  <c r="Q1258" i="3"/>
  <c r="R1258" i="3" s="1"/>
  <c r="Q1925" i="3"/>
  <c r="R1925" i="3" s="1"/>
  <c r="P1925" i="3"/>
  <c r="Q2059" i="3"/>
  <c r="R2059" i="3" s="1"/>
  <c r="Q2088" i="3"/>
  <c r="R2088" i="3" s="1"/>
  <c r="P2088" i="3"/>
  <c r="Q2126" i="3"/>
  <c r="R2126" i="3" s="1"/>
  <c r="P2126" i="3"/>
  <c r="P2573" i="3"/>
  <c r="Q2573" i="3"/>
  <c r="R2573" i="3" s="1"/>
  <c r="Q2595" i="3"/>
  <c r="R2595" i="3" s="1"/>
  <c r="P2595" i="3"/>
  <c r="Q3069" i="3"/>
  <c r="R3069" i="3" s="1"/>
  <c r="P3069" i="3"/>
  <c r="P1241" i="3"/>
  <c r="Q1241" i="3"/>
  <c r="R1241" i="3" s="1"/>
  <c r="Q1628" i="3"/>
  <c r="R1628" i="3" s="1"/>
  <c r="P1628" i="3"/>
  <c r="P1849" i="3"/>
  <c r="Q1849" i="3"/>
  <c r="R1849" i="3" s="1"/>
  <c r="P1690" i="3"/>
  <c r="Q1690" i="3"/>
  <c r="R1690" i="3" s="1"/>
  <c r="P476" i="3"/>
  <c r="P500" i="3"/>
  <c r="Q500" i="3"/>
  <c r="R500" i="3" s="1"/>
  <c r="P568" i="3"/>
  <c r="P581" i="3"/>
  <c r="P637" i="3"/>
  <c r="Q637" i="3"/>
  <c r="R637" i="3" s="1"/>
  <c r="Q944" i="3"/>
  <c r="R944" i="3" s="1"/>
  <c r="P944" i="3"/>
  <c r="Q1120" i="3"/>
  <c r="R1120" i="3" s="1"/>
  <c r="P1120" i="3"/>
  <c r="Q1166" i="3"/>
  <c r="R1166" i="3" s="1"/>
  <c r="P1166" i="3"/>
  <c r="Q1232" i="3"/>
  <c r="R1232" i="3" s="1"/>
  <c r="P1232" i="3"/>
  <c r="P1773" i="3"/>
  <c r="Q1773" i="3"/>
  <c r="R1773" i="3" s="1"/>
  <c r="Q1844" i="3"/>
  <c r="R1844" i="3" s="1"/>
  <c r="P1844" i="3"/>
  <c r="P1963" i="3"/>
  <c r="Q1963" i="3"/>
  <c r="R1963" i="3" s="1"/>
  <c r="P2429" i="3"/>
  <c r="Q2429" i="3"/>
  <c r="R2429" i="3" s="1"/>
  <c r="Q2725" i="3"/>
  <c r="R2725" i="3" s="1"/>
  <c r="P2725" i="3"/>
  <c r="Q2765" i="3"/>
  <c r="R2765" i="3" s="1"/>
  <c r="P2765" i="3"/>
  <c r="Q2840" i="3"/>
  <c r="R2840" i="3" s="1"/>
  <c r="P2840" i="3"/>
  <c r="Q2968" i="3"/>
  <c r="R2968" i="3" s="1"/>
  <c r="P2968" i="3"/>
  <c r="P2209" i="3"/>
  <c r="Q2209" i="3"/>
  <c r="R2209" i="3" s="1"/>
  <c r="P611" i="3"/>
  <c r="Q611" i="3"/>
  <c r="R611" i="3" s="1"/>
  <c r="P1509" i="3"/>
  <c r="Q1509" i="3"/>
  <c r="R1509" i="3" s="1"/>
  <c r="P1663" i="3"/>
  <c r="Q1663" i="3"/>
  <c r="R1663" i="3" s="1"/>
  <c r="Q2527" i="3"/>
  <c r="R2527" i="3" s="1"/>
  <c r="P2527" i="3"/>
  <c r="Q2902" i="3"/>
  <c r="R2902" i="3" s="1"/>
  <c r="P2902" i="3"/>
  <c r="P2590" i="3"/>
  <c r="Q2590" i="3"/>
  <c r="R2590" i="3" s="1"/>
  <c r="P4" i="3"/>
  <c r="Q64" i="3"/>
  <c r="R64" i="3" s="1"/>
  <c r="Q217" i="3"/>
  <c r="R217" i="3" s="1"/>
  <c r="Q420" i="3"/>
  <c r="R420" i="3" s="1"/>
  <c r="Q442" i="3"/>
  <c r="R442" i="3" s="1"/>
  <c r="P442" i="3"/>
  <c r="P459" i="3"/>
  <c r="Q466" i="3"/>
  <c r="R466" i="3" s="1"/>
  <c r="P492" i="3"/>
  <c r="P501" i="3"/>
  <c r="Q536" i="3"/>
  <c r="R536" i="3" s="1"/>
  <c r="Q608" i="3"/>
  <c r="R608" i="3" s="1"/>
  <c r="Q627" i="3"/>
  <c r="R627" i="3" s="1"/>
  <c r="P627" i="3"/>
  <c r="Q646" i="3"/>
  <c r="R646" i="3" s="1"/>
  <c r="Q655" i="3"/>
  <c r="R655" i="3" s="1"/>
  <c r="P655" i="3"/>
  <c r="P662" i="3"/>
  <c r="Q709" i="3"/>
  <c r="R709" i="3" s="1"/>
  <c r="P728" i="3"/>
  <c r="Q728" i="3"/>
  <c r="R728" i="3" s="1"/>
  <c r="Q770" i="3"/>
  <c r="R770" i="3" s="1"/>
  <c r="Q865" i="3"/>
  <c r="R865" i="3" s="1"/>
  <c r="Q945" i="3"/>
  <c r="R945" i="3" s="1"/>
  <c r="Q1138" i="3"/>
  <c r="R1138" i="3" s="1"/>
  <c r="P1138" i="3"/>
  <c r="Q1194" i="3"/>
  <c r="R1194" i="3" s="1"/>
  <c r="P1223" i="3"/>
  <c r="Q1223" i="3"/>
  <c r="R1223" i="3" s="1"/>
  <c r="P1239" i="3"/>
  <c r="P1249" i="3"/>
  <c r="Q1249" i="3"/>
  <c r="R1249" i="3" s="1"/>
  <c r="Q1284" i="3"/>
  <c r="R1284" i="3" s="1"/>
  <c r="Q1349" i="3"/>
  <c r="R1349" i="3" s="1"/>
  <c r="P1349" i="3"/>
  <c r="Q1395" i="3"/>
  <c r="R1395" i="3" s="1"/>
  <c r="P1395" i="3"/>
  <c r="Q1478" i="3"/>
  <c r="R1478" i="3" s="1"/>
  <c r="P1478" i="3"/>
  <c r="P1497" i="3"/>
  <c r="P1515" i="3"/>
  <c r="P1525" i="3"/>
  <c r="Q1525" i="3"/>
  <c r="R1525" i="3" s="1"/>
  <c r="P1580" i="3"/>
  <c r="Q1580" i="3"/>
  <c r="R1580" i="3" s="1"/>
  <c r="P1696" i="3"/>
  <c r="Q1696" i="3"/>
  <c r="R1696" i="3" s="1"/>
  <c r="Q1741" i="3"/>
  <c r="R1741" i="3" s="1"/>
  <c r="Q1782" i="3"/>
  <c r="R1782" i="3" s="1"/>
  <c r="P1782" i="3"/>
  <c r="Q2050" i="3"/>
  <c r="R2050" i="3" s="1"/>
  <c r="P2050" i="3"/>
  <c r="P2121" i="3"/>
  <c r="Q2128" i="3"/>
  <c r="R2128" i="3" s="1"/>
  <c r="P2207" i="3"/>
  <c r="Q2329" i="3"/>
  <c r="R2329" i="3" s="1"/>
  <c r="Q2339" i="3"/>
  <c r="R2339" i="3" s="1"/>
  <c r="Q2478" i="3"/>
  <c r="R2478" i="3" s="1"/>
  <c r="P2478" i="3"/>
  <c r="P2698" i="3"/>
  <c r="P3060" i="3"/>
  <c r="Q3060" i="3"/>
  <c r="R3060" i="3" s="1"/>
  <c r="P921" i="3"/>
  <c r="Q921" i="3"/>
  <c r="R921" i="3" s="1"/>
  <c r="Q1379" i="3"/>
  <c r="R1379" i="3" s="1"/>
  <c r="P1379" i="3"/>
  <c r="Q1482" i="3"/>
  <c r="R1482" i="3" s="1"/>
  <c r="P1482" i="3"/>
  <c r="P48" i="3"/>
  <c r="P54" i="3"/>
  <c r="P59" i="3"/>
  <c r="P103" i="3"/>
  <c r="P273" i="3"/>
  <c r="P280" i="3"/>
  <c r="P287" i="3"/>
  <c r="P338" i="3"/>
  <c r="P656" i="3"/>
  <c r="Q807" i="3"/>
  <c r="R807" i="3" s="1"/>
  <c r="P807" i="3"/>
  <c r="Q936" i="3"/>
  <c r="R936" i="3" s="1"/>
  <c r="P936" i="3"/>
  <c r="Q1277" i="3"/>
  <c r="R1277" i="3" s="1"/>
  <c r="P1277" i="3"/>
  <c r="P1426" i="3"/>
  <c r="Q1426" i="3"/>
  <c r="R1426" i="3" s="1"/>
  <c r="Q1546" i="3"/>
  <c r="R1546" i="3" s="1"/>
  <c r="P1546" i="3"/>
  <c r="P1600" i="3"/>
  <c r="P1616" i="3"/>
  <c r="Q1616" i="3"/>
  <c r="R1616" i="3" s="1"/>
  <c r="P1654" i="3"/>
  <c r="P1837" i="3"/>
  <c r="P1887" i="3"/>
  <c r="Q1887" i="3"/>
  <c r="R1887" i="3" s="1"/>
  <c r="P1976" i="3"/>
  <c r="Q2071" i="3"/>
  <c r="R2071" i="3" s="1"/>
  <c r="P2071" i="3"/>
  <c r="Q2187" i="3"/>
  <c r="R2187" i="3" s="1"/>
  <c r="P2187" i="3"/>
  <c r="Q2469" i="3"/>
  <c r="R2469" i="3" s="1"/>
  <c r="P2469" i="3"/>
  <c r="P2512" i="3"/>
  <c r="Q2512" i="3"/>
  <c r="R2512" i="3" s="1"/>
  <c r="Q2842" i="3"/>
  <c r="R2842" i="3" s="1"/>
  <c r="P2842" i="3"/>
  <c r="Q2909" i="3"/>
  <c r="R2909" i="3" s="1"/>
  <c r="P2909" i="3"/>
  <c r="P3040" i="3"/>
  <c r="Q3040" i="3"/>
  <c r="R3040" i="3" s="1"/>
  <c r="Q2032" i="3"/>
  <c r="R2032" i="3" s="1"/>
  <c r="P2032" i="3"/>
  <c r="P739" i="3"/>
  <c r="Q739" i="3"/>
  <c r="R739" i="3" s="1"/>
  <c r="P96" i="3"/>
  <c r="P203" i="3"/>
  <c r="Q65" i="3"/>
  <c r="R65" i="3" s="1"/>
  <c r="Q156" i="3"/>
  <c r="R156" i="3" s="1"/>
  <c r="P218" i="3"/>
  <c r="P268" i="3"/>
  <c r="Q304" i="3"/>
  <c r="R304" i="3" s="1"/>
  <c r="Q429" i="3"/>
  <c r="R429" i="3" s="1"/>
  <c r="P437" i="3"/>
  <c r="Q477" i="3"/>
  <c r="R477" i="3" s="1"/>
  <c r="P512" i="3"/>
  <c r="Q593" i="3"/>
  <c r="R593" i="3" s="1"/>
  <c r="P593" i="3"/>
  <c r="P700" i="3"/>
  <c r="Q700" i="3"/>
  <c r="R700" i="3" s="1"/>
  <c r="Q720" i="3"/>
  <c r="R720" i="3" s="1"/>
  <c r="P720" i="3"/>
  <c r="Q801" i="3"/>
  <c r="R801" i="3" s="1"/>
  <c r="P845" i="3"/>
  <c r="P1027" i="3"/>
  <c r="Q1027" i="3"/>
  <c r="R1027" i="3" s="1"/>
  <c r="P1114" i="3"/>
  <c r="P1130" i="3"/>
  <c r="Q1130" i="3"/>
  <c r="R1130" i="3" s="1"/>
  <c r="Q1186" i="3"/>
  <c r="R1186" i="3" s="1"/>
  <c r="Q1341" i="3"/>
  <c r="R1341" i="3" s="1"/>
  <c r="P1489" i="3"/>
  <c r="Q1489" i="3"/>
  <c r="R1489" i="3" s="1"/>
  <c r="Q1498" i="3"/>
  <c r="R1498" i="3" s="1"/>
  <c r="P1498" i="3"/>
  <c r="Q1547" i="3"/>
  <c r="R1547" i="3" s="1"/>
  <c r="Q1636" i="3"/>
  <c r="R1636" i="3" s="1"/>
  <c r="P1636" i="3"/>
  <c r="Q1688" i="3"/>
  <c r="R1688" i="3" s="1"/>
  <c r="P1708" i="3"/>
  <c r="Q1708" i="3"/>
  <c r="R1708" i="3" s="1"/>
  <c r="Q1814" i="3"/>
  <c r="R1814" i="3" s="1"/>
  <c r="Q2139" i="3"/>
  <c r="R2139" i="3" s="1"/>
  <c r="P2139" i="3"/>
  <c r="P2188" i="3"/>
  <c r="Q2313" i="3"/>
  <c r="R2313" i="3" s="1"/>
  <c r="P2313" i="3"/>
  <c r="Q2728" i="3"/>
  <c r="R2728" i="3" s="1"/>
  <c r="P2728" i="3"/>
  <c r="P2855" i="3"/>
  <c r="Q2855" i="3"/>
  <c r="R2855" i="3" s="1"/>
  <c r="P2910" i="3"/>
  <c r="P3032" i="3"/>
  <c r="Q3032" i="3"/>
  <c r="R3032" i="3" s="1"/>
  <c r="P3131" i="3"/>
  <c r="Q3131" i="3"/>
  <c r="R3131" i="3" s="1"/>
  <c r="P3154" i="3"/>
  <c r="Q3154" i="3"/>
  <c r="R3154" i="3" s="1"/>
  <c r="Q927" i="3"/>
  <c r="R927" i="3" s="1"/>
  <c r="P927" i="3"/>
  <c r="P2062" i="3"/>
  <c r="Q2062" i="3"/>
  <c r="R2062" i="3" s="1"/>
  <c r="P2845" i="3"/>
  <c r="Q2845" i="3"/>
  <c r="R2845" i="3" s="1"/>
  <c r="Q596" i="3"/>
  <c r="R596" i="3" s="1"/>
  <c r="P596" i="3"/>
  <c r="P1556" i="3"/>
  <c r="Q1556" i="3"/>
  <c r="R1556" i="3" s="1"/>
  <c r="P704" i="3"/>
  <c r="Q704" i="3"/>
  <c r="R704" i="3" s="1"/>
  <c r="Q1051" i="3"/>
  <c r="R1051" i="3" s="1"/>
  <c r="P1051" i="3"/>
  <c r="P1280" i="3"/>
  <c r="Q1280" i="3"/>
  <c r="R1280" i="3" s="1"/>
  <c r="P1315" i="3"/>
  <c r="Q1315" i="3"/>
  <c r="R1315" i="3" s="1"/>
  <c r="Q1672" i="3"/>
  <c r="R1672" i="3" s="1"/>
  <c r="P1672" i="3"/>
  <c r="Q1831" i="3"/>
  <c r="R1831" i="3" s="1"/>
  <c r="P1831" i="3"/>
  <c r="P1921" i="3"/>
  <c r="Q1921" i="3"/>
  <c r="R1921" i="3" s="1"/>
  <c r="Q2569" i="3"/>
  <c r="R2569" i="3" s="1"/>
  <c r="P2569" i="3"/>
  <c r="Q2814" i="3"/>
  <c r="R2814" i="3" s="1"/>
  <c r="P2814" i="3"/>
  <c r="Q2875" i="3"/>
  <c r="R2875" i="3" s="1"/>
  <c r="P2875" i="3"/>
  <c r="Q26" i="3"/>
  <c r="R26" i="3" s="1"/>
  <c r="P68" i="3"/>
  <c r="Q84" i="3"/>
  <c r="R84" i="3" s="1"/>
  <c r="P99" i="3"/>
  <c r="Q152" i="3"/>
  <c r="R152" i="3" s="1"/>
  <c r="Q167" i="3"/>
  <c r="R167" i="3" s="1"/>
  <c r="Q214" i="3"/>
  <c r="R214" i="3" s="1"/>
  <c r="Q228" i="3"/>
  <c r="R228" i="3" s="1"/>
  <c r="Q234" i="3"/>
  <c r="R234" i="3" s="1"/>
  <c r="Q249" i="3"/>
  <c r="R249" i="3" s="1"/>
  <c r="P263" i="3"/>
  <c r="P299" i="3"/>
  <c r="P307" i="3"/>
  <c r="P320" i="3"/>
  <c r="Q385" i="3"/>
  <c r="R385" i="3" s="1"/>
  <c r="Q416" i="3"/>
  <c r="R416" i="3" s="1"/>
  <c r="Q439" i="3"/>
  <c r="R439" i="3" s="1"/>
  <c r="P605" i="3"/>
  <c r="Q643" i="3"/>
  <c r="R643" i="3" s="1"/>
  <c r="Q804" i="3"/>
  <c r="R804" i="3" s="1"/>
  <c r="P906" i="3"/>
  <c r="Q906" i="3"/>
  <c r="R906" i="3" s="1"/>
  <c r="Q971" i="3"/>
  <c r="R971" i="3" s="1"/>
  <c r="P1032" i="3"/>
  <c r="P1099" i="3"/>
  <c r="Q1135" i="3"/>
  <c r="R1135" i="3" s="1"/>
  <c r="Q1153" i="3"/>
  <c r="R1153" i="3" s="1"/>
  <c r="P1153" i="3"/>
  <c r="P1308" i="3"/>
  <c r="P1391" i="3"/>
  <c r="Q1391" i="3"/>
  <c r="R1391" i="3" s="1"/>
  <c r="P1474" i="3"/>
  <c r="Q1673" i="3"/>
  <c r="R1673" i="3" s="1"/>
  <c r="P1778" i="3"/>
  <c r="Q1778" i="3"/>
  <c r="R1778" i="3" s="1"/>
  <c r="Q1810" i="3"/>
  <c r="R1810" i="3" s="1"/>
  <c r="P1810" i="3"/>
  <c r="Q1933" i="3"/>
  <c r="R1933" i="3" s="1"/>
  <c r="P1933" i="3"/>
  <c r="Q1942" i="3"/>
  <c r="R1942" i="3" s="1"/>
  <c r="Q2096" i="3"/>
  <c r="R2096" i="3" s="1"/>
  <c r="P2096" i="3"/>
  <c r="Q2161" i="3"/>
  <c r="R2161" i="3" s="1"/>
  <c r="P2161" i="3"/>
  <c r="P2172" i="3"/>
  <c r="P2182" i="3"/>
  <c r="Q2182" i="3"/>
  <c r="R2182" i="3" s="1"/>
  <c r="Q2239" i="3"/>
  <c r="R2239" i="3" s="1"/>
  <c r="P2299" i="3"/>
  <c r="Q2375" i="3"/>
  <c r="R2375" i="3" s="1"/>
  <c r="P2375" i="3"/>
  <c r="P2485" i="3"/>
  <c r="Q2559" i="3"/>
  <c r="R2559" i="3" s="1"/>
  <c r="P2559" i="3"/>
  <c r="Q2626" i="3"/>
  <c r="R2626" i="3" s="1"/>
  <c r="Q2722" i="3"/>
  <c r="R2722" i="3" s="1"/>
  <c r="P2741" i="3"/>
  <c r="Q2741" i="3"/>
  <c r="R2741" i="3" s="1"/>
  <c r="P2836" i="3"/>
  <c r="Q2836" i="3"/>
  <c r="R2836" i="3" s="1"/>
  <c r="Q2896" i="3"/>
  <c r="R2896" i="3" s="1"/>
  <c r="Q2953" i="3"/>
  <c r="R2953" i="3" s="1"/>
  <c r="P2953" i="3"/>
  <c r="P3084" i="3"/>
  <c r="Q3084" i="3"/>
  <c r="R3084" i="3" s="1"/>
  <c r="Q3111" i="3"/>
  <c r="R3111" i="3" s="1"/>
  <c r="P3111" i="3"/>
  <c r="P975" i="3"/>
  <c r="Q975" i="3"/>
  <c r="R975" i="3" s="1"/>
  <c r="P1178" i="3"/>
  <c r="Q1178" i="3"/>
  <c r="R1178" i="3" s="1"/>
  <c r="Q1668" i="3"/>
  <c r="R1668" i="3" s="1"/>
  <c r="P1668" i="3"/>
  <c r="Q1722" i="3"/>
  <c r="R1722" i="3" s="1"/>
  <c r="Q2779" i="3"/>
  <c r="R2779" i="3" s="1"/>
  <c r="P2779" i="3"/>
  <c r="P2810" i="3"/>
  <c r="Q3133" i="3"/>
  <c r="R3133" i="3" s="1"/>
  <c r="P3133" i="3"/>
  <c r="Q1407" i="3"/>
  <c r="R1407" i="3" s="1"/>
  <c r="P1407" i="3"/>
  <c r="P2612" i="3"/>
  <c r="Q2612" i="3"/>
  <c r="R2612" i="3" s="1"/>
  <c r="P3088" i="3"/>
  <c r="Q3088" i="3"/>
  <c r="R3088" i="3" s="1"/>
  <c r="Q673" i="3"/>
  <c r="R673" i="3" s="1"/>
  <c r="Q793" i="3"/>
  <c r="R793" i="3" s="1"/>
  <c r="P862" i="3"/>
  <c r="P886" i="3"/>
  <c r="Q942" i="3"/>
  <c r="R942" i="3" s="1"/>
  <c r="P968" i="3"/>
  <c r="P987" i="3"/>
  <c r="P1003" i="3"/>
  <c r="Q1029" i="3"/>
  <c r="R1029" i="3" s="1"/>
  <c r="Q1047" i="3"/>
  <c r="R1047" i="3" s="1"/>
  <c r="P1058" i="3"/>
  <c r="P1080" i="3"/>
  <c r="Q1124" i="3"/>
  <c r="R1124" i="3" s="1"/>
  <c r="Q1195" i="3"/>
  <c r="R1195" i="3" s="1"/>
  <c r="P1243" i="3"/>
  <c r="Q1251" i="3"/>
  <c r="R1251" i="3" s="1"/>
  <c r="P1289" i="3"/>
  <c r="Q1296" i="3"/>
  <c r="R1296" i="3" s="1"/>
  <c r="P1339" i="3"/>
  <c r="P1393" i="3"/>
  <c r="Q1393" i="3"/>
  <c r="R1393" i="3" s="1"/>
  <c r="P1401" i="3"/>
  <c r="P1418" i="3"/>
  <c r="Q1434" i="3"/>
  <c r="R1434" i="3" s="1"/>
  <c r="Q1544" i="3"/>
  <c r="R1544" i="3" s="1"/>
  <c r="P1558" i="3"/>
  <c r="Q1575" i="3"/>
  <c r="R1575" i="3" s="1"/>
  <c r="P1597" i="3"/>
  <c r="Q1642" i="3"/>
  <c r="R1642" i="3" s="1"/>
  <c r="Q1679" i="3"/>
  <c r="R1679" i="3" s="1"/>
  <c r="Q1739" i="3"/>
  <c r="R1739" i="3" s="1"/>
  <c r="Q1747" i="3"/>
  <c r="R1747" i="3" s="1"/>
  <c r="P1804" i="3"/>
  <c r="Q2102" i="3"/>
  <c r="R2102" i="3" s="1"/>
  <c r="P2118" i="3"/>
  <c r="P2132" i="3"/>
  <c r="Q2303" i="3"/>
  <c r="R2303" i="3" s="1"/>
  <c r="P2409" i="3"/>
  <c r="P2480" i="3"/>
  <c r="Q2519" i="3"/>
  <c r="R2519" i="3" s="1"/>
  <c r="P2549" i="3"/>
  <c r="Q2582" i="3"/>
  <c r="R2582" i="3" s="1"/>
  <c r="P2582" i="3"/>
  <c r="P2633" i="3"/>
  <c r="P2667" i="3"/>
  <c r="Q2675" i="3"/>
  <c r="R2675" i="3" s="1"/>
  <c r="P2710" i="3"/>
  <c r="P2727" i="3"/>
  <c r="Q2782" i="3"/>
  <c r="R2782" i="3" s="1"/>
  <c r="Q2819" i="3"/>
  <c r="R2819" i="3" s="1"/>
  <c r="P2847" i="3"/>
  <c r="Q2857" i="3"/>
  <c r="R2857" i="3" s="1"/>
  <c r="Q2945" i="3"/>
  <c r="R2945" i="3" s="1"/>
  <c r="P2945" i="3"/>
  <c r="Q3005" i="3"/>
  <c r="R3005" i="3" s="1"/>
  <c r="P817" i="3"/>
  <c r="Q817" i="3"/>
  <c r="R817" i="3" s="1"/>
  <c r="P951" i="3"/>
  <c r="P1021" i="3"/>
  <c r="Q1140" i="3"/>
  <c r="R1140" i="3" s="1"/>
  <c r="P1140" i="3"/>
  <c r="P1370" i="3"/>
  <c r="P1496" i="3"/>
  <c r="P1619" i="3"/>
  <c r="Q1956" i="3"/>
  <c r="R1956" i="3" s="1"/>
  <c r="P1956" i="3"/>
  <c r="P1975" i="3"/>
  <c r="P1990" i="3"/>
  <c r="Q2004" i="3"/>
  <c r="R2004" i="3" s="1"/>
  <c r="P2004" i="3"/>
  <c r="P2111" i="3"/>
  <c r="P2419" i="3"/>
  <c r="Q2575" i="3"/>
  <c r="R2575" i="3" s="1"/>
  <c r="Q3117" i="3"/>
  <c r="R3117" i="3" s="1"/>
  <c r="Q810" i="3"/>
  <c r="R810" i="3" s="1"/>
  <c r="P911" i="3"/>
  <c r="P1004" i="3"/>
  <c r="Q1014" i="3"/>
  <c r="R1014" i="3" s="1"/>
  <c r="P1125" i="3"/>
  <c r="Q1125" i="3"/>
  <c r="R1125" i="3" s="1"/>
  <c r="P1134" i="3"/>
  <c r="Q1141" i="3"/>
  <c r="R1141" i="3" s="1"/>
  <c r="P1149" i="3"/>
  <c r="Q1181" i="3"/>
  <c r="R1181" i="3" s="1"/>
  <c r="Q1321" i="3"/>
  <c r="R1321" i="3" s="1"/>
  <c r="Q1435" i="3"/>
  <c r="R1435" i="3" s="1"/>
  <c r="P1443" i="3"/>
  <c r="Q1452" i="3"/>
  <c r="R1452" i="3" s="1"/>
  <c r="P1473" i="3"/>
  <c r="P1505" i="3"/>
  <c r="Q1521" i="3"/>
  <c r="R1521" i="3" s="1"/>
  <c r="Q1529" i="3"/>
  <c r="R1529" i="3" s="1"/>
  <c r="Q1598" i="3"/>
  <c r="R1598" i="3" s="1"/>
  <c r="Q1643" i="3"/>
  <c r="R1643" i="3" s="1"/>
  <c r="P1680" i="3"/>
  <c r="P1786" i="3"/>
  <c r="P1805" i="3"/>
  <c r="Q1882" i="3"/>
  <c r="R1882" i="3" s="1"/>
  <c r="Q1916" i="3"/>
  <c r="R1916" i="3" s="1"/>
  <c r="P1997" i="3"/>
  <c r="P2023" i="3"/>
  <c r="P2103" i="3"/>
  <c r="Q2119" i="3"/>
  <c r="R2119" i="3" s="1"/>
  <c r="P2237" i="3"/>
  <c r="Q2237" i="3"/>
  <c r="R2237" i="3" s="1"/>
  <c r="Q2287" i="3"/>
  <c r="R2287" i="3" s="1"/>
  <c r="P2346" i="3"/>
  <c r="P2384" i="3"/>
  <c r="Q2550" i="3"/>
  <c r="R2550" i="3" s="1"/>
  <c r="P2550" i="3"/>
  <c r="P2668" i="3"/>
  <c r="Q2704" i="3"/>
  <c r="R2704" i="3" s="1"/>
  <c r="Q2711" i="3"/>
  <c r="R2711" i="3" s="1"/>
  <c r="Q2744" i="3"/>
  <c r="R2744" i="3" s="1"/>
  <c r="P2874" i="3"/>
  <c r="P2893" i="3"/>
  <c r="Q2893" i="3"/>
  <c r="R2893" i="3" s="1"/>
  <c r="Q1103" i="3"/>
  <c r="R1103" i="3" s="1"/>
  <c r="P1103" i="3"/>
  <c r="P1827" i="3"/>
  <c r="Q1827" i="3"/>
  <c r="R1827" i="3" s="1"/>
  <c r="P2501" i="3"/>
  <c r="Q2501" i="3"/>
  <c r="R2501" i="3" s="1"/>
  <c r="Q2884" i="3"/>
  <c r="R2884" i="3" s="1"/>
  <c r="P2884" i="3"/>
  <c r="P3092" i="3"/>
  <c r="Q3092" i="3"/>
  <c r="R3092" i="3" s="1"/>
  <c r="Q724" i="3"/>
  <c r="R724" i="3" s="1"/>
  <c r="Q800" i="3"/>
  <c r="R800" i="3" s="1"/>
  <c r="Q813" i="3"/>
  <c r="R813" i="3" s="1"/>
  <c r="Q823" i="3"/>
  <c r="R823" i="3" s="1"/>
  <c r="P839" i="3"/>
  <c r="P848" i="3"/>
  <c r="Q883" i="3"/>
  <c r="R883" i="3" s="1"/>
  <c r="P983" i="3"/>
  <c r="Q983" i="3"/>
  <c r="R983" i="3" s="1"/>
  <c r="Q994" i="3"/>
  <c r="R994" i="3" s="1"/>
  <c r="Q1009" i="3"/>
  <c r="R1009" i="3" s="1"/>
  <c r="Q1193" i="3"/>
  <c r="R1193" i="3" s="1"/>
  <c r="P1193" i="3"/>
  <c r="Q1317" i="3"/>
  <c r="R1317" i="3" s="1"/>
  <c r="P1367" i="3"/>
  <c r="P1398" i="3"/>
  <c r="P1439" i="3"/>
  <c r="Q1447" i="3"/>
  <c r="R1447" i="3" s="1"/>
  <c r="P1447" i="3"/>
  <c r="Q1456" i="3"/>
  <c r="R1456" i="3" s="1"/>
  <c r="Q1463" i="3"/>
  <c r="R1463" i="3" s="1"/>
  <c r="Q1470" i="3"/>
  <c r="R1470" i="3" s="1"/>
  <c r="Q1516" i="3"/>
  <c r="R1516" i="3" s="1"/>
  <c r="P1542" i="3"/>
  <c r="P1601" i="3"/>
  <c r="P1662" i="3"/>
  <c r="Q1684" i="3"/>
  <c r="R1684" i="3" s="1"/>
  <c r="P1684" i="3"/>
  <c r="Q1691" i="3"/>
  <c r="R1691" i="3" s="1"/>
  <c r="P1744" i="3"/>
  <c r="Q1791" i="3"/>
  <c r="R1791" i="3" s="1"/>
  <c r="P1928" i="3"/>
  <c r="Q1978" i="3"/>
  <c r="R1978" i="3" s="1"/>
  <c r="Q2107" i="3"/>
  <c r="R2107" i="3" s="1"/>
  <c r="Q2165" i="3"/>
  <c r="R2165" i="3" s="1"/>
  <c r="P2291" i="3"/>
  <c r="P2332" i="3"/>
  <c r="P2341" i="3"/>
  <c r="Q2341" i="3"/>
  <c r="R2341" i="3" s="1"/>
  <c r="Q2362" i="3"/>
  <c r="R2362" i="3" s="1"/>
  <c r="P2389" i="3"/>
  <c r="P2460" i="3"/>
  <c r="Q2506" i="3"/>
  <c r="R2506" i="3" s="1"/>
  <c r="P2516" i="3"/>
  <c r="Q2789" i="3"/>
  <c r="R2789" i="3" s="1"/>
  <c r="Q3148" i="3"/>
  <c r="R3148" i="3" s="1"/>
  <c r="Q3158" i="3"/>
  <c r="R3158" i="3" s="1"/>
  <c r="Q3201" i="3"/>
  <c r="R3201" i="3" s="1"/>
  <c r="Q3241" i="3"/>
  <c r="R3241" i="3" s="1"/>
  <c r="Q3260" i="3"/>
  <c r="R3260" i="3" s="1"/>
  <c r="P3279" i="3"/>
  <c r="Q3089" i="3"/>
  <c r="R3089" i="3" s="1"/>
  <c r="Q3193" i="3"/>
  <c r="R3193" i="3" s="1"/>
  <c r="P3202" i="3"/>
  <c r="P3280" i="3"/>
  <c r="Q3116" i="3"/>
  <c r="R3116" i="3" s="1"/>
  <c r="Q3124" i="3"/>
  <c r="R3124" i="3" s="1"/>
  <c r="Q3163" i="3"/>
  <c r="R3163" i="3" s="1"/>
  <c r="P3180" i="3"/>
  <c r="Q3205" i="3"/>
  <c r="R3205" i="3" s="1"/>
  <c r="Q3245" i="3"/>
  <c r="R3245" i="3" s="1"/>
  <c r="P3255" i="3"/>
  <c r="Q3264" i="3"/>
  <c r="R3264" i="3" s="1"/>
  <c r="P3300" i="3"/>
  <c r="Q3173" i="3"/>
  <c r="R3173" i="3" s="1"/>
  <c r="Q3188" i="3"/>
  <c r="R3188" i="3" s="1"/>
  <c r="Q3310" i="3"/>
  <c r="R3310" i="3" s="1"/>
  <c r="Q3293" i="3"/>
  <c r="R3293" i="3" s="1"/>
  <c r="Q3267" i="3"/>
  <c r="R3267" i="3" s="1"/>
  <c r="Q3294" i="3"/>
  <c r="R3294" i="3" s="1"/>
  <c r="Q3312" i="3"/>
  <c r="R3312" i="3" s="1"/>
  <c r="P430" i="3"/>
  <c r="Q430" i="3"/>
  <c r="R430" i="3" s="1"/>
  <c r="P697" i="3"/>
  <c r="Q697" i="3"/>
  <c r="R697" i="3" s="1"/>
  <c r="P1429" i="3"/>
  <c r="Q1429" i="3"/>
  <c r="R1429" i="3" s="1"/>
  <c r="Q2241" i="3"/>
  <c r="R2241" i="3" s="1"/>
  <c r="P2241" i="3"/>
  <c r="P2996" i="3"/>
  <c r="Q2996" i="3"/>
  <c r="R2996" i="3" s="1"/>
  <c r="P25" i="3"/>
  <c r="P185" i="3"/>
  <c r="Q220" i="3"/>
  <c r="R220" i="3" s="1"/>
  <c r="P220" i="3"/>
  <c r="P295" i="3"/>
  <c r="P344" i="3"/>
  <c r="P365" i="3"/>
  <c r="Q365" i="3"/>
  <c r="R365" i="3" s="1"/>
  <c r="Q373" i="3"/>
  <c r="R373" i="3" s="1"/>
  <c r="P373" i="3"/>
  <c r="Q418" i="3"/>
  <c r="R418" i="3" s="1"/>
  <c r="P449" i="3"/>
  <c r="P473" i="3"/>
  <c r="Q473" i="3"/>
  <c r="R473" i="3" s="1"/>
  <c r="Q652" i="3"/>
  <c r="R652" i="3" s="1"/>
  <c r="P652" i="3"/>
  <c r="Q736" i="3"/>
  <c r="R736" i="3" s="1"/>
  <c r="P736" i="3"/>
  <c r="Q963" i="3"/>
  <c r="R963" i="3" s="1"/>
  <c r="P963" i="3"/>
  <c r="Q1005" i="3"/>
  <c r="R1005" i="3" s="1"/>
  <c r="P1005" i="3"/>
  <c r="Q1015" i="3"/>
  <c r="R1015" i="3" s="1"/>
  <c r="P1015" i="3"/>
  <c r="Q1550" i="3"/>
  <c r="R1550" i="3" s="1"/>
  <c r="P1550" i="3"/>
  <c r="P2956" i="3"/>
  <c r="Q2956" i="3"/>
  <c r="R2956" i="3" s="1"/>
  <c r="P1100" i="3"/>
  <c r="Q1100" i="3"/>
  <c r="R1100" i="3" s="1"/>
  <c r="P37" i="3"/>
  <c r="P14" i="3"/>
  <c r="Q32" i="3"/>
  <c r="R32" i="3" s="1"/>
  <c r="Q43" i="3"/>
  <c r="R43" i="3" s="1"/>
  <c r="P125" i="3"/>
  <c r="Q137" i="3"/>
  <c r="R137" i="3" s="1"/>
  <c r="P142" i="3"/>
  <c r="P153" i="3"/>
  <c r="P164" i="3"/>
  <c r="P174" i="3"/>
  <c r="P210" i="3"/>
  <c r="Q210" i="3"/>
  <c r="R210" i="3" s="1"/>
  <c r="Q221" i="3"/>
  <c r="R221" i="3" s="1"/>
  <c r="P246" i="3"/>
  <c r="P251" i="3"/>
  <c r="Q276" i="3"/>
  <c r="R276" i="3" s="1"/>
  <c r="P303" i="3"/>
  <c r="Q309" i="3"/>
  <c r="R309" i="3" s="1"/>
  <c r="P321" i="3"/>
  <c r="P339" i="3"/>
  <c r="P374" i="3"/>
  <c r="Q387" i="3"/>
  <c r="R387" i="3" s="1"/>
  <c r="Q413" i="3"/>
  <c r="R413" i="3" s="1"/>
  <c r="Q424" i="3"/>
  <c r="R424" i="3" s="1"/>
  <c r="P424" i="3"/>
  <c r="P432" i="3"/>
  <c r="P443" i="3"/>
  <c r="Q460" i="3"/>
  <c r="R460" i="3" s="1"/>
  <c r="P460" i="3"/>
  <c r="P494" i="3"/>
  <c r="Q516" i="3"/>
  <c r="R516" i="3" s="1"/>
  <c r="P516" i="3"/>
  <c r="P545" i="3"/>
  <c r="P589" i="3"/>
  <c r="Q688" i="3"/>
  <c r="R688" i="3" s="1"/>
  <c r="P688" i="3"/>
  <c r="Q816" i="3"/>
  <c r="R816" i="3" s="1"/>
  <c r="P816" i="3"/>
  <c r="Q915" i="3"/>
  <c r="R915" i="3" s="1"/>
  <c r="P915" i="3"/>
  <c r="Q947" i="3"/>
  <c r="R947" i="3" s="1"/>
  <c r="P947" i="3"/>
  <c r="P1094" i="3"/>
  <c r="Q1094" i="3"/>
  <c r="R1094" i="3" s="1"/>
  <c r="Q1162" i="3"/>
  <c r="R1162" i="3" s="1"/>
  <c r="P1162" i="3"/>
  <c r="Q1397" i="3"/>
  <c r="R1397" i="3" s="1"/>
  <c r="P1397" i="3"/>
  <c r="Q1466" i="3"/>
  <c r="R1466" i="3" s="1"/>
  <c r="P1466" i="3"/>
  <c r="Q1527" i="3"/>
  <c r="R1527" i="3" s="1"/>
  <c r="P1527" i="3"/>
  <c r="P1660" i="3"/>
  <c r="Q1660" i="3"/>
  <c r="R1660" i="3" s="1"/>
  <c r="P2191" i="3"/>
  <c r="Q2191" i="3"/>
  <c r="R2191" i="3" s="1"/>
  <c r="P651" i="3"/>
  <c r="Q651" i="3"/>
  <c r="R651" i="3" s="1"/>
  <c r="Q83" i="3"/>
  <c r="R83" i="3" s="1"/>
  <c r="Q106" i="3"/>
  <c r="R106" i="3" s="1"/>
  <c r="P131" i="3"/>
  <c r="Q180" i="3"/>
  <c r="R180" i="3" s="1"/>
  <c r="P204" i="3"/>
  <c r="P211" i="3"/>
  <c r="Q328" i="3"/>
  <c r="R328" i="3" s="1"/>
  <c r="P351" i="3"/>
  <c r="P358" i="3"/>
  <c r="Q358" i="3"/>
  <c r="R358" i="3" s="1"/>
  <c r="Q367" i="3"/>
  <c r="R367" i="3" s="1"/>
  <c r="P382" i="3"/>
  <c r="P517" i="3"/>
  <c r="P532" i="3"/>
  <c r="P606" i="3"/>
  <c r="Q606" i="3"/>
  <c r="R606" i="3" s="1"/>
  <c r="Q629" i="3"/>
  <c r="R629" i="3" s="1"/>
  <c r="P629" i="3"/>
  <c r="P680" i="3"/>
  <c r="Q876" i="3"/>
  <c r="R876" i="3" s="1"/>
  <c r="P876" i="3"/>
  <c r="Q1718" i="3"/>
  <c r="R1718" i="3" s="1"/>
  <c r="P1718" i="3"/>
  <c r="P2746" i="3"/>
  <c r="Q2746" i="3"/>
  <c r="R2746" i="3" s="1"/>
  <c r="Q2766" i="3"/>
  <c r="R2766" i="3" s="1"/>
  <c r="P2766" i="3"/>
  <c r="P529" i="3"/>
  <c r="Q529" i="3"/>
  <c r="R529" i="3" s="1"/>
  <c r="Q1220" i="3"/>
  <c r="R1220" i="3" s="1"/>
  <c r="P1220" i="3"/>
  <c r="P89" i="3"/>
  <c r="P310" i="3"/>
  <c r="Q310" i="3"/>
  <c r="R310" i="3" s="1"/>
  <c r="P322" i="3"/>
  <c r="Q400" i="3"/>
  <c r="R400" i="3" s="1"/>
  <c r="P400" i="3"/>
  <c r="Q419" i="3"/>
  <c r="R419" i="3" s="1"/>
  <c r="P419" i="3"/>
  <c r="P450" i="3"/>
  <c r="Q450" i="3"/>
  <c r="R450" i="3" s="1"/>
  <c r="P614" i="3"/>
  <c r="Q654" i="3"/>
  <c r="R654" i="3" s="1"/>
  <c r="P654" i="3"/>
  <c r="P762" i="3"/>
  <c r="Q762" i="3"/>
  <c r="R762" i="3" s="1"/>
  <c r="Q834" i="3"/>
  <c r="R834" i="3" s="1"/>
  <c r="P834" i="3"/>
  <c r="Q940" i="3"/>
  <c r="R940" i="3" s="1"/>
  <c r="P940" i="3"/>
  <c r="Q1008" i="3"/>
  <c r="R1008" i="3" s="1"/>
  <c r="P1008" i="3"/>
  <c r="Q1231" i="3"/>
  <c r="R1231" i="3" s="1"/>
  <c r="P1231" i="3"/>
  <c r="P1712" i="3"/>
  <c r="Q1712" i="3"/>
  <c r="R1712" i="3" s="1"/>
  <c r="Q2730" i="3"/>
  <c r="R2730" i="3" s="1"/>
  <c r="P2730" i="3"/>
  <c r="Q294" i="3"/>
  <c r="R294" i="3" s="1"/>
  <c r="P294" i="3"/>
  <c r="Q472" i="3"/>
  <c r="R472" i="3" s="1"/>
  <c r="P472" i="3"/>
  <c r="Q1311" i="3"/>
  <c r="R1311" i="3" s="1"/>
  <c r="P1311" i="3"/>
  <c r="P22" i="3"/>
  <c r="P71" i="3"/>
  <c r="P170" i="3"/>
  <c r="P222" i="3"/>
  <c r="Q9" i="3"/>
  <c r="R9" i="3" s="1"/>
  <c r="P34" i="3"/>
  <c r="P45" i="3"/>
  <c r="P95" i="3"/>
  <c r="P199" i="3"/>
  <c r="Q247" i="3"/>
  <c r="R247" i="3" s="1"/>
  <c r="Q258" i="3"/>
  <c r="R258" i="3" s="1"/>
  <c r="Q289" i="3"/>
  <c r="R289" i="3" s="1"/>
  <c r="P311" i="3"/>
  <c r="Q368" i="3"/>
  <c r="R368" i="3" s="1"/>
  <c r="P383" i="3"/>
  <c r="P444" i="3"/>
  <c r="Q444" i="3"/>
  <c r="R444" i="3" s="1"/>
  <c r="P495" i="3"/>
  <c r="Q495" i="3"/>
  <c r="R495" i="3" s="1"/>
  <c r="P546" i="3"/>
  <c r="Q546" i="3"/>
  <c r="R546" i="3" s="1"/>
  <c r="Q584" i="3"/>
  <c r="R584" i="3" s="1"/>
  <c r="P590" i="3"/>
  <c r="Q622" i="3"/>
  <c r="R622" i="3" s="1"/>
  <c r="P622" i="3"/>
  <c r="P639" i="3"/>
  <c r="P778" i="3"/>
  <c r="P1148" i="3"/>
  <c r="Q1148" i="3"/>
  <c r="R1148" i="3" s="1"/>
  <c r="P1446" i="3"/>
  <c r="Q1446" i="3"/>
  <c r="R1446" i="3" s="1"/>
  <c r="Q1490" i="3"/>
  <c r="R1490" i="3" s="1"/>
  <c r="P1490" i="3"/>
  <c r="Q1938" i="3"/>
  <c r="R1938" i="3" s="1"/>
  <c r="P1938" i="3"/>
  <c r="P660" i="3"/>
  <c r="P692" i="3"/>
  <c r="Q692" i="3"/>
  <c r="R692" i="3" s="1"/>
  <c r="P732" i="3"/>
  <c r="Q732" i="3"/>
  <c r="R732" i="3" s="1"/>
  <c r="Q788" i="3"/>
  <c r="R788" i="3" s="1"/>
  <c r="P788" i="3"/>
  <c r="Q878" i="3"/>
  <c r="R878" i="3" s="1"/>
  <c r="P878" i="3"/>
  <c r="Q1035" i="3"/>
  <c r="R1035" i="3" s="1"/>
  <c r="P1035" i="3"/>
  <c r="P1075" i="3"/>
  <c r="Q1075" i="3"/>
  <c r="R1075" i="3" s="1"/>
  <c r="P352" i="3"/>
  <c r="Q352" i="3"/>
  <c r="R352" i="3" s="1"/>
  <c r="Q547" i="3"/>
  <c r="R547" i="3" s="1"/>
  <c r="P547" i="3"/>
  <c r="Q579" i="3"/>
  <c r="R579" i="3" s="1"/>
  <c r="Q50" i="3"/>
  <c r="R50" i="3" s="1"/>
  <c r="P80" i="3"/>
  <c r="Q90" i="3"/>
  <c r="R90" i="3" s="1"/>
  <c r="Q115" i="3"/>
  <c r="R115" i="3" s="1"/>
  <c r="P200" i="3"/>
  <c r="P248" i="3"/>
  <c r="Q248" i="3"/>
  <c r="R248" i="3" s="1"/>
  <c r="Q318" i="3"/>
  <c r="R318" i="3" s="1"/>
  <c r="P362" i="3"/>
  <c r="Q394" i="3"/>
  <c r="R394" i="3" s="1"/>
  <c r="P394" i="3"/>
  <c r="Q402" i="3"/>
  <c r="R402" i="3" s="1"/>
  <c r="P452" i="3"/>
  <c r="P470" i="3"/>
  <c r="P540" i="3"/>
  <c r="P615" i="3"/>
  <c r="Q615" i="3"/>
  <c r="R615" i="3" s="1"/>
  <c r="Q633" i="3"/>
  <c r="R633" i="3" s="1"/>
  <c r="Q640" i="3"/>
  <c r="R640" i="3" s="1"/>
  <c r="P640" i="3"/>
  <c r="P702" i="3"/>
  <c r="Q771" i="3"/>
  <c r="R771" i="3" s="1"/>
  <c r="P798" i="3"/>
  <c r="Q798" i="3"/>
  <c r="R798" i="3" s="1"/>
  <c r="P1247" i="3"/>
  <c r="Q1247" i="3"/>
  <c r="R1247" i="3" s="1"/>
  <c r="Q591" i="3"/>
  <c r="R591" i="3" s="1"/>
  <c r="P591" i="3"/>
  <c r="Q598" i="3"/>
  <c r="R598" i="3" s="1"/>
  <c r="P598" i="3"/>
  <c r="P828" i="3"/>
  <c r="Q828" i="3"/>
  <c r="R828" i="3" s="1"/>
  <c r="P853" i="3"/>
  <c r="Q853" i="3"/>
  <c r="R853" i="3" s="1"/>
  <c r="Q1055" i="3"/>
  <c r="R1055" i="3" s="1"/>
  <c r="P1055" i="3"/>
  <c r="P1540" i="3"/>
  <c r="Q1540" i="3"/>
  <c r="R1540" i="3" s="1"/>
  <c r="P123" i="3"/>
  <c r="Q140" i="3"/>
  <c r="R140" i="3" s="1"/>
  <c r="P183" i="3"/>
  <c r="P194" i="3"/>
  <c r="P342" i="3"/>
  <c r="Q396" i="3"/>
  <c r="R396" i="3" s="1"/>
  <c r="Q453" i="3"/>
  <c r="R453" i="3" s="1"/>
  <c r="P471" i="3"/>
  <c r="Q485" i="3"/>
  <c r="R485" i="3" s="1"/>
  <c r="Q541" i="3"/>
  <c r="R541" i="3" s="1"/>
  <c r="P541" i="3"/>
  <c r="P550" i="3"/>
  <c r="Q563" i="3"/>
  <c r="R563" i="3" s="1"/>
  <c r="P617" i="3"/>
  <c r="P634" i="3"/>
  <c r="Q648" i="3"/>
  <c r="R648" i="3" s="1"/>
  <c r="P648" i="3"/>
  <c r="Q695" i="3"/>
  <c r="R695" i="3" s="1"/>
  <c r="P695" i="3"/>
  <c r="Q727" i="3"/>
  <c r="R727" i="3" s="1"/>
  <c r="P727" i="3"/>
  <c r="Q781" i="3"/>
  <c r="R781" i="3" s="1"/>
  <c r="P781" i="3"/>
  <c r="Q812" i="3"/>
  <c r="R812" i="3" s="1"/>
  <c r="P812" i="3"/>
  <c r="P1012" i="3"/>
  <c r="Q1012" i="3"/>
  <c r="R1012" i="3" s="1"/>
  <c r="P1091" i="3"/>
  <c r="Q1091" i="3"/>
  <c r="R1091" i="3" s="1"/>
  <c r="P1158" i="3"/>
  <c r="Q1158" i="3"/>
  <c r="R1158" i="3" s="1"/>
  <c r="Q1599" i="3"/>
  <c r="R1599" i="3" s="1"/>
  <c r="P1599" i="3"/>
  <c r="Q2351" i="3"/>
  <c r="R2351" i="3" s="1"/>
  <c r="P2351" i="3"/>
  <c r="P336" i="3"/>
  <c r="Q336" i="3"/>
  <c r="R336" i="3" s="1"/>
  <c r="Q616" i="3"/>
  <c r="R616" i="3" s="1"/>
  <c r="P616" i="3"/>
  <c r="P24" i="3"/>
  <c r="P243" i="3"/>
  <c r="Q243" i="3"/>
  <c r="R243" i="3" s="1"/>
  <c r="P499" i="3"/>
  <c r="Q499" i="3"/>
  <c r="R499" i="3" s="1"/>
  <c r="P507" i="3"/>
  <c r="Q586" i="3"/>
  <c r="R586" i="3" s="1"/>
  <c r="P586" i="3"/>
  <c r="Q669" i="3"/>
  <c r="R669" i="3" s="1"/>
  <c r="P669" i="3"/>
  <c r="P790" i="3"/>
  <c r="Q790" i="3"/>
  <c r="R790" i="3" s="1"/>
  <c r="Q822" i="3"/>
  <c r="R822" i="3" s="1"/>
  <c r="P822" i="3"/>
  <c r="P889" i="3"/>
  <c r="Q889" i="3"/>
  <c r="R889" i="3" s="1"/>
  <c r="Q979" i="3"/>
  <c r="R979" i="3" s="1"/>
  <c r="P979" i="3"/>
  <c r="Q1057" i="3"/>
  <c r="R1057" i="3" s="1"/>
  <c r="P1057" i="3"/>
  <c r="P1332" i="3"/>
  <c r="Q1332" i="3"/>
  <c r="R1332" i="3" s="1"/>
  <c r="P1388" i="3"/>
  <c r="Q1388" i="3"/>
  <c r="R1388" i="3" s="1"/>
  <c r="P193" i="3"/>
  <c r="Q193" i="3"/>
  <c r="R193" i="3" s="1"/>
  <c r="P378" i="3"/>
  <c r="Q378" i="3"/>
  <c r="R378" i="3" s="1"/>
  <c r="P505" i="3"/>
  <c r="Q505" i="3"/>
  <c r="R505" i="3" s="1"/>
  <c r="Q661" i="3"/>
  <c r="R661" i="3" s="1"/>
  <c r="P661" i="3"/>
  <c r="P799" i="3"/>
  <c r="Q799" i="3"/>
  <c r="R799" i="3" s="1"/>
  <c r="P1172" i="3"/>
  <c r="Q1172" i="3"/>
  <c r="R1172" i="3" s="1"/>
  <c r="P36" i="3"/>
  <c r="P61" i="3"/>
  <c r="P135" i="3"/>
  <c r="P146" i="3"/>
  <c r="P250" i="3"/>
  <c r="Q12" i="3"/>
  <c r="R12" i="3" s="1"/>
  <c r="P30" i="3"/>
  <c r="Q41" i="3"/>
  <c r="R41" i="3" s="1"/>
  <c r="Q75" i="3"/>
  <c r="R75" i="3" s="1"/>
  <c r="P87" i="3"/>
  <c r="Q110" i="3"/>
  <c r="R110" i="3" s="1"/>
  <c r="P124" i="3"/>
  <c r="Q162" i="3"/>
  <c r="R162" i="3" s="1"/>
  <c r="Q173" i="3"/>
  <c r="R173" i="3" s="1"/>
  <c r="P184" i="3"/>
  <c r="P244" i="3"/>
  <c r="P343" i="3"/>
  <c r="P372" i="3"/>
  <c r="P380" i="3"/>
  <c r="Q397" i="3"/>
  <c r="R397" i="3" s="1"/>
  <c r="P405" i="3"/>
  <c r="P417" i="3"/>
  <c r="Q448" i="3"/>
  <c r="R448" i="3" s="1"/>
  <c r="Q587" i="3"/>
  <c r="R587" i="3" s="1"/>
  <c r="P587" i="3"/>
  <c r="Q670" i="3"/>
  <c r="R670" i="3" s="1"/>
  <c r="P670" i="3"/>
  <c r="P759" i="3"/>
  <c r="P847" i="3"/>
  <c r="Q847" i="3"/>
  <c r="R847" i="3" s="1"/>
  <c r="P1117" i="3"/>
  <c r="Q1117" i="3"/>
  <c r="R1117" i="3" s="1"/>
  <c r="Q1152" i="3"/>
  <c r="R1152" i="3" s="1"/>
  <c r="P1152" i="3"/>
  <c r="Q1294" i="3"/>
  <c r="R1294" i="3" s="1"/>
  <c r="P1294" i="3"/>
  <c r="P1816" i="3"/>
  <c r="Q1816" i="3"/>
  <c r="R1816" i="3" s="1"/>
  <c r="Q2260" i="3"/>
  <c r="R2260" i="3" s="1"/>
  <c r="P2260" i="3"/>
  <c r="Q3249" i="3"/>
  <c r="R3249" i="3" s="1"/>
  <c r="P3249" i="3"/>
  <c r="P879" i="3"/>
  <c r="P885" i="3"/>
  <c r="Q1101" i="3"/>
  <c r="R1101" i="3" s="1"/>
  <c r="P1101" i="3"/>
  <c r="Q1163" i="3"/>
  <c r="R1163" i="3" s="1"/>
  <c r="P1163" i="3"/>
  <c r="P1306" i="3"/>
  <c r="Q1587" i="3"/>
  <c r="R1587" i="3" s="1"/>
  <c r="P1587" i="3"/>
  <c r="P1924" i="3"/>
  <c r="Q1924" i="3"/>
  <c r="R1924" i="3" s="1"/>
  <c r="Q2503" i="3"/>
  <c r="R2503" i="3" s="1"/>
  <c r="Q2957" i="3"/>
  <c r="R2957" i="3" s="1"/>
  <c r="P2957" i="3"/>
  <c r="P3120" i="3"/>
  <c r="Q3120" i="3"/>
  <c r="R3120" i="3" s="1"/>
  <c r="P613" i="3"/>
  <c r="P689" i="3"/>
  <c r="Q703" i="3"/>
  <c r="R703" i="3" s="1"/>
  <c r="P718" i="3"/>
  <c r="P802" i="3"/>
  <c r="Q802" i="3"/>
  <c r="R802" i="3" s="1"/>
  <c r="Q860" i="3"/>
  <c r="R860" i="3" s="1"/>
  <c r="P896" i="3"/>
  <c r="Q917" i="3"/>
  <c r="R917" i="3" s="1"/>
  <c r="P958" i="3"/>
  <c r="Q958" i="3"/>
  <c r="R958" i="3" s="1"/>
  <c r="Q964" i="3"/>
  <c r="R964" i="3" s="1"/>
  <c r="P964" i="3"/>
  <c r="P973" i="3"/>
  <c r="P981" i="3"/>
  <c r="P1017" i="3"/>
  <c r="P1022" i="3"/>
  <c r="P1030" i="3"/>
  <c r="P1037" i="3"/>
  <c r="Q1052" i="3"/>
  <c r="R1052" i="3" s="1"/>
  <c r="P1052" i="3"/>
  <c r="P1071" i="3"/>
  <c r="Q1071" i="3"/>
  <c r="R1071" i="3" s="1"/>
  <c r="Q1176" i="3"/>
  <c r="R1176" i="3" s="1"/>
  <c r="P1210" i="3"/>
  <c r="P1217" i="3"/>
  <c r="Q1224" i="3"/>
  <c r="R1224" i="3" s="1"/>
  <c r="P1224" i="3"/>
  <c r="Q1285" i="3"/>
  <c r="R1285" i="3" s="1"/>
  <c r="Q1325" i="3"/>
  <c r="R1325" i="3" s="1"/>
  <c r="P1325" i="3"/>
  <c r="Q1334" i="3"/>
  <c r="R1334" i="3" s="1"/>
  <c r="P1334" i="3"/>
  <c r="P1342" i="3"/>
  <c r="Q1342" i="3"/>
  <c r="R1342" i="3" s="1"/>
  <c r="P1357" i="3"/>
  <c r="P1377" i="3"/>
  <c r="Q1377" i="3"/>
  <c r="R1377" i="3" s="1"/>
  <c r="P1392" i="3"/>
  <c r="Q1392" i="3"/>
  <c r="R1392" i="3" s="1"/>
  <c r="P1451" i="3"/>
  <c r="Q1451" i="3"/>
  <c r="R1451" i="3" s="1"/>
  <c r="Q1477" i="3"/>
  <c r="R1477" i="3" s="1"/>
  <c r="P1477" i="3"/>
  <c r="Q1486" i="3"/>
  <c r="R1486" i="3" s="1"/>
  <c r="P1486" i="3"/>
  <c r="Q1677" i="3"/>
  <c r="R1677" i="3" s="1"/>
  <c r="P1677" i="3"/>
  <c r="Q1770" i="3"/>
  <c r="R1770" i="3" s="1"/>
  <c r="P1770" i="3"/>
  <c r="P1858" i="3"/>
  <c r="Q2185" i="3"/>
  <c r="R2185" i="3" s="1"/>
  <c r="P2716" i="3"/>
  <c r="Q2716" i="3"/>
  <c r="R2716" i="3" s="1"/>
  <c r="P2732" i="3"/>
  <c r="Q2732" i="3"/>
  <c r="R2732" i="3" s="1"/>
  <c r="Q2998" i="3"/>
  <c r="R2998" i="3" s="1"/>
  <c r="P2998" i="3"/>
  <c r="Q797" i="3"/>
  <c r="R797" i="3" s="1"/>
  <c r="P797" i="3"/>
  <c r="P846" i="3"/>
  <c r="P891" i="3"/>
  <c r="Q952" i="3"/>
  <c r="R952" i="3" s="1"/>
  <c r="P1059" i="3"/>
  <c r="P1072" i="3"/>
  <c r="P1090" i="3"/>
  <c r="Q1225" i="3"/>
  <c r="R1225" i="3" s="1"/>
  <c r="P1225" i="3"/>
  <c r="Q1343" i="3"/>
  <c r="R1343" i="3" s="1"/>
  <c r="P1343" i="3"/>
  <c r="P1399" i="3"/>
  <c r="Q1399" i="3"/>
  <c r="R1399" i="3" s="1"/>
  <c r="P1552" i="3"/>
  <c r="Q1552" i="3"/>
  <c r="R1552" i="3" s="1"/>
  <c r="P1588" i="3"/>
  <c r="Q1588" i="3"/>
  <c r="R1588" i="3" s="1"/>
  <c r="P2044" i="3"/>
  <c r="Q2044" i="3"/>
  <c r="R2044" i="3" s="1"/>
  <c r="Q2666" i="3"/>
  <c r="R2666" i="3" s="1"/>
  <c r="P2666" i="3"/>
  <c r="Q2702" i="3"/>
  <c r="R2702" i="3" s="1"/>
  <c r="P2702" i="3"/>
  <c r="P875" i="3"/>
  <c r="P939" i="3"/>
  <c r="Q939" i="3"/>
  <c r="R939" i="3" s="1"/>
  <c r="Q946" i="3"/>
  <c r="R946" i="3" s="1"/>
  <c r="Q960" i="3"/>
  <c r="R960" i="3" s="1"/>
  <c r="P966" i="3"/>
  <c r="P1011" i="3"/>
  <c r="P1023" i="3"/>
  <c r="Q1045" i="3"/>
  <c r="R1045" i="3" s="1"/>
  <c r="P1054" i="3"/>
  <c r="Q1079" i="3"/>
  <c r="R1079" i="3" s="1"/>
  <c r="Q1096" i="3"/>
  <c r="R1096" i="3" s="1"/>
  <c r="Q1145" i="3"/>
  <c r="R1145" i="3" s="1"/>
  <c r="Q1205" i="3"/>
  <c r="R1205" i="3" s="1"/>
  <c r="P1253" i="3"/>
  <c r="Q1274" i="3"/>
  <c r="R1274" i="3" s="1"/>
  <c r="P1274" i="3"/>
  <c r="P1286" i="3"/>
  <c r="P1292" i="3"/>
  <c r="Q1299" i="3"/>
  <c r="R1299" i="3" s="1"/>
  <c r="Q1344" i="3"/>
  <c r="R1344" i="3" s="1"/>
  <c r="P1372" i="3"/>
  <c r="Q1386" i="3"/>
  <c r="R1386" i="3" s="1"/>
  <c r="P1386" i="3"/>
  <c r="Q1400" i="3"/>
  <c r="R1400" i="3" s="1"/>
  <c r="P1400" i="3"/>
  <c r="P1589" i="3"/>
  <c r="Q1589" i="3"/>
  <c r="R1589" i="3" s="1"/>
  <c r="Q1772" i="3"/>
  <c r="R1772" i="3" s="1"/>
  <c r="P1772" i="3"/>
  <c r="Q2021" i="3"/>
  <c r="R2021" i="3" s="1"/>
  <c r="P2021" i="3"/>
  <c r="Q2170" i="3"/>
  <c r="R2170" i="3" s="1"/>
  <c r="P2170" i="3"/>
  <c r="P2900" i="3"/>
  <c r="Q2900" i="3"/>
  <c r="R2900" i="3" s="1"/>
  <c r="P2935" i="3"/>
  <c r="Q2935" i="3"/>
  <c r="R2935" i="3" s="1"/>
  <c r="Q912" i="3"/>
  <c r="R912" i="3" s="1"/>
  <c r="P912" i="3"/>
  <c r="P1191" i="3"/>
  <c r="Q1191" i="3"/>
  <c r="R1191" i="3" s="1"/>
  <c r="Q1320" i="3"/>
  <c r="R1320" i="3" s="1"/>
  <c r="P1320" i="3"/>
  <c r="Q1337" i="3"/>
  <c r="R1337" i="3" s="1"/>
  <c r="P1337" i="3"/>
  <c r="Q1359" i="3"/>
  <c r="R1359" i="3" s="1"/>
  <c r="P1359" i="3"/>
  <c r="P1417" i="3"/>
  <c r="Q1460" i="3"/>
  <c r="R1460" i="3" s="1"/>
  <c r="P1762" i="3"/>
  <c r="Q1762" i="3"/>
  <c r="R1762" i="3" s="1"/>
  <c r="Q1850" i="3"/>
  <c r="R1850" i="3" s="1"/>
  <c r="P1919" i="3"/>
  <c r="P892" i="3"/>
  <c r="Q892" i="3"/>
  <c r="R892" i="3" s="1"/>
  <c r="Q1113" i="3"/>
  <c r="R1113" i="3" s="1"/>
  <c r="P1113" i="3"/>
  <c r="Q1151" i="3"/>
  <c r="R1151" i="3" s="1"/>
  <c r="P1151" i="3"/>
  <c r="P1219" i="3"/>
  <c r="Q1219" i="3"/>
  <c r="R1219" i="3" s="1"/>
  <c r="Q1293" i="3"/>
  <c r="R1293" i="3" s="1"/>
  <c r="P1293" i="3"/>
  <c r="Q1338" i="3"/>
  <c r="R1338" i="3" s="1"/>
  <c r="P1338" i="3"/>
  <c r="Q1582" i="3"/>
  <c r="R1582" i="3" s="1"/>
  <c r="P1582" i="3"/>
  <c r="P1624" i="3"/>
  <c r="Q1624" i="3"/>
  <c r="R1624" i="3" s="1"/>
  <c r="P1694" i="3"/>
  <c r="Q1694" i="3"/>
  <c r="R1694" i="3" s="1"/>
  <c r="Q1753" i="3"/>
  <c r="R1753" i="3" s="1"/>
  <c r="Q1912" i="3"/>
  <c r="R1912" i="3" s="1"/>
  <c r="Q2006" i="3"/>
  <c r="R2006" i="3" s="1"/>
  <c r="P2443" i="3"/>
  <c r="Q2443" i="3"/>
  <c r="R2443" i="3" s="1"/>
  <c r="P2596" i="3"/>
  <c r="P2644" i="3"/>
  <c r="Q2644" i="3"/>
  <c r="R2644" i="3" s="1"/>
  <c r="Q2876" i="3"/>
  <c r="R2876" i="3" s="1"/>
  <c r="Q1896" i="3"/>
  <c r="R1896" i="3" s="1"/>
  <c r="P1896" i="3"/>
  <c r="Q2284" i="3"/>
  <c r="R2284" i="3" s="1"/>
  <c r="P2284" i="3"/>
  <c r="P576" i="3"/>
  <c r="P733" i="3"/>
  <c r="Q772" i="3"/>
  <c r="R772" i="3" s="1"/>
  <c r="Q829" i="3"/>
  <c r="R829" i="3" s="1"/>
  <c r="Q842" i="3"/>
  <c r="R842" i="3" s="1"/>
  <c r="Q882" i="3"/>
  <c r="R882" i="3" s="1"/>
  <c r="Q888" i="3"/>
  <c r="R888" i="3" s="1"/>
  <c r="Q935" i="3"/>
  <c r="R935" i="3" s="1"/>
  <c r="P1040" i="3"/>
  <c r="Q1056" i="3"/>
  <c r="R1056" i="3" s="1"/>
  <c r="Q1127" i="3"/>
  <c r="R1127" i="3" s="1"/>
  <c r="P1127" i="3"/>
  <c r="P1201" i="3"/>
  <c r="Q1242" i="3"/>
  <c r="R1242" i="3" s="1"/>
  <c r="Q1270" i="3"/>
  <c r="R1270" i="3" s="1"/>
  <c r="P1270" i="3"/>
  <c r="P1330" i="3"/>
  <c r="P1389" i="3"/>
  <c r="Q1389" i="3"/>
  <c r="R1389" i="3" s="1"/>
  <c r="Q1440" i="3"/>
  <c r="R1440" i="3" s="1"/>
  <c r="P1561" i="3"/>
  <c r="Q1561" i="3"/>
  <c r="R1561" i="3" s="1"/>
  <c r="Q1610" i="3"/>
  <c r="R1610" i="3" s="1"/>
  <c r="P1610" i="3"/>
  <c r="P1731" i="3"/>
  <c r="Q1731" i="3"/>
  <c r="R1731" i="3" s="1"/>
  <c r="Q1746" i="3"/>
  <c r="R1746" i="3" s="1"/>
  <c r="P1746" i="3"/>
  <c r="P1977" i="3"/>
  <c r="P2404" i="3"/>
  <c r="Q2404" i="3"/>
  <c r="R2404" i="3" s="1"/>
  <c r="Q2563" i="3"/>
  <c r="R2563" i="3" s="1"/>
  <c r="P2563" i="3"/>
  <c r="P855" i="3"/>
  <c r="Q855" i="3"/>
  <c r="R855" i="3" s="1"/>
  <c r="Q1128" i="3"/>
  <c r="R1128" i="3" s="1"/>
  <c r="P1128" i="3"/>
  <c r="P1160" i="3"/>
  <c r="Q1160" i="3"/>
  <c r="R1160" i="3" s="1"/>
  <c r="Q1419" i="3"/>
  <c r="R1419" i="3" s="1"/>
  <c r="P1419" i="3"/>
  <c r="P1723" i="3"/>
  <c r="Q1723" i="3"/>
  <c r="R1723" i="3" s="1"/>
  <c r="Q1835" i="3"/>
  <c r="R1835" i="3" s="1"/>
  <c r="P1835" i="3"/>
  <c r="P2093" i="3"/>
  <c r="Q2093" i="3"/>
  <c r="R2093" i="3" s="1"/>
  <c r="Q2428" i="3"/>
  <c r="R2428" i="3" s="1"/>
  <c r="P2428" i="3"/>
  <c r="Q2518" i="3"/>
  <c r="R2518" i="3" s="1"/>
  <c r="P2518" i="3"/>
  <c r="P2812" i="3"/>
  <c r="Q2812" i="3"/>
  <c r="R2812" i="3" s="1"/>
  <c r="P1020" i="3"/>
  <c r="Q1020" i="3"/>
  <c r="R1020" i="3" s="1"/>
  <c r="Q1215" i="3"/>
  <c r="R1215" i="3" s="1"/>
  <c r="P1215" i="3"/>
  <c r="Q1230" i="3"/>
  <c r="R1230" i="3" s="1"/>
  <c r="P1230" i="3"/>
  <c r="Q1256" i="3"/>
  <c r="R1256" i="3" s="1"/>
  <c r="P1256" i="3"/>
  <c r="Q1303" i="3"/>
  <c r="R1303" i="3" s="1"/>
  <c r="P1303" i="3"/>
  <c r="P1412" i="3"/>
  <c r="Q1412" i="3"/>
  <c r="R1412" i="3" s="1"/>
  <c r="P1420" i="3"/>
  <c r="Q1420" i="3"/>
  <c r="R1420" i="3" s="1"/>
  <c r="Q1503" i="3"/>
  <c r="R1503" i="3" s="1"/>
  <c r="P1503" i="3"/>
  <c r="P1570" i="3"/>
  <c r="Q1570" i="3"/>
  <c r="R1570" i="3" s="1"/>
  <c r="Q1641" i="3"/>
  <c r="R1641" i="3" s="1"/>
  <c r="Q1809" i="3"/>
  <c r="R1809" i="3" s="1"/>
  <c r="P2232" i="3"/>
  <c r="P2278" i="3"/>
  <c r="Q2342" i="3"/>
  <c r="R2342" i="3" s="1"/>
  <c r="P2342" i="3"/>
  <c r="P2361" i="3"/>
  <c r="P2377" i="3"/>
  <c r="Q2377" i="3"/>
  <c r="R2377" i="3" s="1"/>
  <c r="Q679" i="3"/>
  <c r="R679" i="3" s="1"/>
  <c r="P679" i="3"/>
  <c r="P723" i="3"/>
  <c r="Q843" i="3"/>
  <c r="R843" i="3" s="1"/>
  <c r="P843" i="3"/>
  <c r="P850" i="3"/>
  <c r="Q985" i="3"/>
  <c r="R985" i="3" s="1"/>
  <c r="P985" i="3"/>
  <c r="Q1154" i="3"/>
  <c r="R1154" i="3" s="1"/>
  <c r="Q1175" i="3"/>
  <c r="R1175" i="3" s="1"/>
  <c r="Q1520" i="3"/>
  <c r="R1520" i="3" s="1"/>
  <c r="P1520" i="3"/>
  <c r="Q1801" i="3"/>
  <c r="R1801" i="3" s="1"/>
  <c r="P1801" i="3"/>
  <c r="P1865" i="3"/>
  <c r="Q1865" i="3"/>
  <c r="R1865" i="3" s="1"/>
  <c r="P2075" i="3"/>
  <c r="Q2075" i="3"/>
  <c r="R2075" i="3" s="1"/>
  <c r="Q2085" i="3"/>
  <c r="R2085" i="3" s="1"/>
  <c r="P2085" i="3"/>
  <c r="Q2248" i="3"/>
  <c r="R2248" i="3" s="1"/>
  <c r="P2248" i="3"/>
  <c r="Q2510" i="3"/>
  <c r="R2510" i="3" s="1"/>
  <c r="P2510" i="3"/>
  <c r="P2530" i="3"/>
  <c r="Q2530" i="3"/>
  <c r="R2530" i="3" s="1"/>
  <c r="Q1541" i="3"/>
  <c r="R1541" i="3" s="1"/>
  <c r="P1541" i="3"/>
  <c r="P1577" i="3"/>
  <c r="Q1577" i="3"/>
  <c r="R1577" i="3" s="1"/>
  <c r="Q1625" i="3"/>
  <c r="R1625" i="3" s="1"/>
  <c r="Q1631" i="3"/>
  <c r="R1631" i="3" s="1"/>
  <c r="P1734" i="3"/>
  <c r="Q1755" i="3"/>
  <c r="R1755" i="3" s="1"/>
  <c r="Q1851" i="3"/>
  <c r="R1851" i="3" s="1"/>
  <c r="Q1867" i="3"/>
  <c r="R1867" i="3" s="1"/>
  <c r="P1867" i="3"/>
  <c r="P1899" i="3"/>
  <c r="Q1899" i="3"/>
  <c r="R1899" i="3" s="1"/>
  <c r="Q1964" i="3"/>
  <c r="R1964" i="3" s="1"/>
  <c r="Q1986" i="3"/>
  <c r="R1986" i="3" s="1"/>
  <c r="P1986" i="3"/>
  <c r="Q2031" i="3"/>
  <c r="R2031" i="3" s="1"/>
  <c r="P2031" i="3"/>
  <c r="P2077" i="3"/>
  <c r="P2140" i="3"/>
  <c r="P2186" i="3"/>
  <c r="Q2186" i="3"/>
  <c r="R2186" i="3" s="1"/>
  <c r="P2194" i="3"/>
  <c r="Q2201" i="3"/>
  <c r="R2201" i="3" s="1"/>
  <c r="P2201" i="3"/>
  <c r="P2218" i="3"/>
  <c r="Q2218" i="3"/>
  <c r="R2218" i="3" s="1"/>
  <c r="Q2261" i="3"/>
  <c r="R2261" i="3" s="1"/>
  <c r="P2261" i="3"/>
  <c r="P2309" i="3"/>
  <c r="Q2309" i="3"/>
  <c r="R2309" i="3" s="1"/>
  <c r="Q2317" i="3"/>
  <c r="R2317" i="3" s="1"/>
  <c r="Q2338" i="3"/>
  <c r="R2338" i="3" s="1"/>
  <c r="Q2371" i="3"/>
  <c r="R2371" i="3" s="1"/>
  <c r="P2371" i="3"/>
  <c r="Q2446" i="3"/>
  <c r="R2446" i="3" s="1"/>
  <c r="P2470" i="3"/>
  <c r="Q2470" i="3"/>
  <c r="R2470" i="3" s="1"/>
  <c r="Q2479" i="3"/>
  <c r="R2479" i="3" s="1"/>
  <c r="P2479" i="3"/>
  <c r="P2489" i="3"/>
  <c r="P2531" i="3"/>
  <c r="Q2531" i="3"/>
  <c r="R2531" i="3" s="1"/>
  <c r="P2608" i="3"/>
  <c r="Q2660" i="3"/>
  <c r="R2660" i="3" s="1"/>
  <c r="P2660" i="3"/>
  <c r="Q2776" i="3"/>
  <c r="R2776" i="3" s="1"/>
  <c r="P3137" i="3"/>
  <c r="Q3137" i="3"/>
  <c r="R3137" i="3" s="1"/>
  <c r="Q1764" i="3"/>
  <c r="R1764" i="3" s="1"/>
  <c r="P1764" i="3"/>
  <c r="Q1947" i="3"/>
  <c r="R1947" i="3" s="1"/>
  <c r="P1947" i="3"/>
  <c r="Q1979" i="3"/>
  <c r="R1979" i="3" s="1"/>
  <c r="P1979" i="3"/>
  <c r="Q2251" i="3"/>
  <c r="R2251" i="3" s="1"/>
  <c r="P2251" i="3"/>
  <c r="P2363" i="3"/>
  <c r="Q2363" i="3"/>
  <c r="R2363" i="3" s="1"/>
  <c r="P2438" i="3"/>
  <c r="Q2438" i="3"/>
  <c r="R2438" i="3" s="1"/>
  <c r="Q2540" i="3"/>
  <c r="R2540" i="3" s="1"/>
  <c r="P2540" i="3"/>
  <c r="Q2785" i="3"/>
  <c r="R2785" i="3" s="1"/>
  <c r="P2785" i="3"/>
  <c r="P2794" i="3"/>
  <c r="Q2794" i="3"/>
  <c r="R2794" i="3" s="1"/>
  <c r="Q2918" i="3"/>
  <c r="R2918" i="3" s="1"/>
  <c r="P2918" i="3"/>
  <c r="P3130" i="3"/>
  <c r="Q3130" i="3"/>
  <c r="R3130" i="3" s="1"/>
  <c r="P1442" i="3"/>
  <c r="Q1442" i="3"/>
  <c r="R1442" i="3" s="1"/>
  <c r="P1480" i="3"/>
  <c r="Q1535" i="3"/>
  <c r="R1535" i="3" s="1"/>
  <c r="P1571" i="3"/>
  <c r="Q1571" i="3"/>
  <c r="R1571" i="3" s="1"/>
  <c r="Q1613" i="3"/>
  <c r="R1613" i="3" s="1"/>
  <c r="P1632" i="3"/>
  <c r="Q1703" i="3"/>
  <c r="R1703" i="3" s="1"/>
  <c r="Q1765" i="3"/>
  <c r="R1765" i="3" s="1"/>
  <c r="P1765" i="3"/>
  <c r="Q1877" i="3"/>
  <c r="R1877" i="3" s="1"/>
  <c r="P1877" i="3"/>
  <c r="P1948" i="3"/>
  <c r="P1988" i="3"/>
  <c r="P2156" i="3"/>
  <c r="Q2156" i="3"/>
  <c r="R2156" i="3" s="1"/>
  <c r="Q2164" i="3"/>
  <c r="R2164" i="3" s="1"/>
  <c r="P2164" i="3"/>
  <c r="P2318" i="3"/>
  <c r="Q2318" i="3"/>
  <c r="R2318" i="3" s="1"/>
  <c r="Q2431" i="3"/>
  <c r="R2431" i="3" s="1"/>
  <c r="Q2600" i="3"/>
  <c r="R2600" i="3" s="1"/>
  <c r="P2600" i="3"/>
  <c r="P2677" i="3"/>
  <c r="Q2677" i="3"/>
  <c r="R2677" i="3" s="1"/>
  <c r="P2960" i="3"/>
  <c r="Q2960" i="3"/>
  <c r="R2960" i="3" s="1"/>
  <c r="Q3073" i="3"/>
  <c r="R3073" i="3" s="1"/>
  <c r="P3073" i="3"/>
  <c r="Q3139" i="3"/>
  <c r="R3139" i="3" s="1"/>
  <c r="P3139" i="3"/>
  <c r="P1492" i="3"/>
  <c r="Q1492" i="3"/>
  <c r="R1492" i="3" s="1"/>
  <c r="P1591" i="3"/>
  <c r="Q1591" i="3"/>
  <c r="R1591" i="3" s="1"/>
  <c r="Q1697" i="3"/>
  <c r="R1697" i="3" s="1"/>
  <c r="P1697" i="3"/>
  <c r="P1721" i="3"/>
  <c r="Q1721" i="3"/>
  <c r="R1721" i="3" s="1"/>
  <c r="P1966" i="3"/>
  <c r="Q1966" i="3"/>
  <c r="R1966" i="3" s="1"/>
  <c r="Q2105" i="3"/>
  <c r="R2105" i="3" s="1"/>
  <c r="P2105" i="3"/>
  <c r="Q2204" i="3"/>
  <c r="R2204" i="3" s="1"/>
  <c r="P2204" i="3"/>
  <c r="Q2229" i="3"/>
  <c r="R2229" i="3" s="1"/>
  <c r="P2229" i="3"/>
  <c r="P2264" i="3"/>
  <c r="Q2264" i="3"/>
  <c r="R2264" i="3" s="1"/>
  <c r="Q2296" i="3"/>
  <c r="R2296" i="3" s="1"/>
  <c r="P2296" i="3"/>
  <c r="Q2551" i="3"/>
  <c r="R2551" i="3" s="1"/>
  <c r="P2551" i="3"/>
  <c r="Q2610" i="3"/>
  <c r="R2610" i="3" s="1"/>
  <c r="P2610" i="3"/>
  <c r="P2770" i="3"/>
  <c r="P2920" i="3"/>
  <c r="Q2920" i="3"/>
  <c r="R2920" i="3" s="1"/>
  <c r="Q2929" i="3"/>
  <c r="R2929" i="3" s="1"/>
  <c r="P2929" i="3"/>
  <c r="Q3097" i="3"/>
  <c r="R3097" i="3" s="1"/>
  <c r="P3097" i="3"/>
  <c r="P1088" i="3"/>
  <c r="P1118" i="3"/>
  <c r="P1132" i="3"/>
  <c r="P1142" i="3"/>
  <c r="P1246" i="3"/>
  <c r="P1273" i="3"/>
  <c r="P1415" i="3"/>
  <c r="P1437" i="3"/>
  <c r="Q1437" i="3"/>
  <c r="R1437" i="3" s="1"/>
  <c r="P1469" i="3"/>
  <c r="P1481" i="3"/>
  <c r="P1511" i="3"/>
  <c r="P1524" i="3"/>
  <c r="P1536" i="3"/>
  <c r="P1554" i="3"/>
  <c r="Q1559" i="3"/>
  <c r="R1559" i="3" s="1"/>
  <c r="P1573" i="3"/>
  <c r="Q1592" i="3"/>
  <c r="R1592" i="3" s="1"/>
  <c r="Q1614" i="3"/>
  <c r="R1614" i="3" s="1"/>
  <c r="Q1633" i="3"/>
  <c r="R1633" i="3" s="1"/>
  <c r="Q1652" i="3"/>
  <c r="R1652" i="3" s="1"/>
  <c r="P1658" i="3"/>
  <c r="P1698" i="3"/>
  <c r="Q1704" i="3"/>
  <c r="R1704" i="3" s="1"/>
  <c r="Q1750" i="3"/>
  <c r="R1750" i="3" s="1"/>
  <c r="Q1798" i="3"/>
  <c r="R1798" i="3" s="1"/>
  <c r="P1798" i="3"/>
  <c r="Q1832" i="3"/>
  <c r="R1832" i="3" s="1"/>
  <c r="P1847" i="3"/>
  <c r="P1854" i="3"/>
  <c r="Q1922" i="3"/>
  <c r="R1922" i="3" s="1"/>
  <c r="Q2003" i="3"/>
  <c r="R2003" i="3" s="1"/>
  <c r="P2058" i="3"/>
  <c r="P2098" i="3"/>
  <c r="Q2098" i="3"/>
  <c r="R2098" i="3" s="1"/>
  <c r="P2149" i="3"/>
  <c r="Q2205" i="3"/>
  <c r="R2205" i="3" s="1"/>
  <c r="P2205" i="3"/>
  <c r="Q2230" i="3"/>
  <c r="R2230" i="3" s="1"/>
  <c r="P2304" i="3"/>
  <c r="Q2401" i="3"/>
  <c r="R2401" i="3" s="1"/>
  <c r="P2401" i="3"/>
  <c r="Q2424" i="3"/>
  <c r="R2424" i="3" s="1"/>
  <c r="P2424" i="3"/>
  <c r="P2465" i="3"/>
  <c r="P2602" i="3"/>
  <c r="Q2602" i="3"/>
  <c r="R2602" i="3" s="1"/>
  <c r="Q2638" i="3"/>
  <c r="R2638" i="3" s="1"/>
  <c r="P2638" i="3"/>
  <c r="P2743" i="3"/>
  <c r="Q2743" i="3"/>
  <c r="R2743" i="3" s="1"/>
  <c r="Q2797" i="3"/>
  <c r="R2797" i="3" s="1"/>
  <c r="P2797" i="3"/>
  <c r="Q2821" i="3"/>
  <c r="R2821" i="3" s="1"/>
  <c r="P2848" i="3"/>
  <c r="Q2848" i="3"/>
  <c r="R2848" i="3" s="1"/>
  <c r="Q2897" i="3"/>
  <c r="R2897" i="3" s="1"/>
  <c r="P2897" i="3"/>
  <c r="Q2911" i="3"/>
  <c r="R2911" i="3" s="1"/>
  <c r="P3012" i="3"/>
  <c r="P3083" i="3"/>
  <c r="Q3083" i="3"/>
  <c r="R3083" i="3" s="1"/>
  <c r="P1174" i="3"/>
  <c r="Q1519" i="3"/>
  <c r="R1519" i="3" s="1"/>
  <c r="Q1530" i="3"/>
  <c r="R1530" i="3" s="1"/>
  <c r="P1566" i="3"/>
  <c r="Q1584" i="3"/>
  <c r="R1584" i="3" s="1"/>
  <c r="P1584" i="3"/>
  <c r="P1639" i="3"/>
  <c r="P1646" i="3"/>
  <c r="P1676" i="3"/>
  <c r="P1692" i="3"/>
  <c r="P1729" i="3"/>
  <c r="Q1759" i="3"/>
  <c r="R1759" i="3" s="1"/>
  <c r="P1759" i="3"/>
  <c r="P1768" i="3"/>
  <c r="Q1789" i="3"/>
  <c r="R1789" i="3" s="1"/>
  <c r="Q1806" i="3"/>
  <c r="R1806" i="3" s="1"/>
  <c r="P1806" i="3"/>
  <c r="Q1840" i="3"/>
  <c r="R1840" i="3" s="1"/>
  <c r="Q1886" i="3"/>
  <c r="R1886" i="3" s="1"/>
  <c r="P1910" i="3"/>
  <c r="P1944" i="3"/>
  <c r="Q2051" i="3"/>
  <c r="R2051" i="3" s="1"/>
  <c r="P2080" i="3"/>
  <c r="Q2099" i="3"/>
  <c r="R2099" i="3" s="1"/>
  <c r="P2099" i="3"/>
  <c r="Q2106" i="3"/>
  <c r="R2106" i="3" s="1"/>
  <c r="P2106" i="3"/>
  <c r="P2290" i="3"/>
  <c r="Q2374" i="3"/>
  <c r="R2374" i="3" s="1"/>
  <c r="P2374" i="3"/>
  <c r="P2402" i="3"/>
  <c r="Q2402" i="3"/>
  <c r="R2402" i="3" s="1"/>
  <c r="Q2576" i="3"/>
  <c r="R2576" i="3" s="1"/>
  <c r="P2576" i="3"/>
  <c r="P2585" i="3"/>
  <c r="Q2593" i="3"/>
  <c r="R2593" i="3" s="1"/>
  <c r="P2593" i="3"/>
  <c r="P2603" i="3"/>
  <c r="Q2603" i="3"/>
  <c r="R2603" i="3" s="1"/>
  <c r="Q2671" i="3"/>
  <c r="R2671" i="3" s="1"/>
  <c r="P2671" i="3"/>
  <c r="Q2849" i="3"/>
  <c r="R2849" i="3" s="1"/>
  <c r="P2993" i="3"/>
  <c r="Q2993" i="3"/>
  <c r="R2993" i="3" s="1"/>
  <c r="P3059" i="3"/>
  <c r="Q3059" i="3"/>
  <c r="R3059" i="3" s="1"/>
  <c r="Q1549" i="3"/>
  <c r="R1549" i="3" s="1"/>
  <c r="P1549" i="3"/>
  <c r="P1743" i="3"/>
  <c r="Q1743" i="3"/>
  <c r="R1743" i="3" s="1"/>
  <c r="P1864" i="3"/>
  <c r="Q1864" i="3"/>
  <c r="R1864" i="3" s="1"/>
  <c r="Q1929" i="3"/>
  <c r="R1929" i="3" s="1"/>
  <c r="P1929" i="3"/>
  <c r="Q2090" i="3"/>
  <c r="R2090" i="3" s="1"/>
  <c r="P2090" i="3"/>
  <c r="Q2631" i="3"/>
  <c r="R2631" i="3" s="1"/>
  <c r="P2631" i="3"/>
  <c r="Q2809" i="3"/>
  <c r="R2809" i="3" s="1"/>
  <c r="P2809" i="3"/>
  <c r="Q2833" i="3"/>
  <c r="R2833" i="3" s="1"/>
  <c r="P2833" i="3"/>
  <c r="P2912" i="3"/>
  <c r="Q2912" i="3"/>
  <c r="R2912" i="3" s="1"/>
  <c r="P1476" i="3"/>
  <c r="Q1476" i="3"/>
  <c r="R1476" i="3" s="1"/>
  <c r="Q1711" i="3"/>
  <c r="R1711" i="3" s="1"/>
  <c r="P1711" i="3"/>
  <c r="Q2035" i="3"/>
  <c r="R2035" i="3" s="1"/>
  <c r="P2035" i="3"/>
  <c r="Q2052" i="3"/>
  <c r="R2052" i="3" s="1"/>
  <c r="P2052" i="3"/>
  <c r="Q2276" i="3"/>
  <c r="R2276" i="3" s="1"/>
  <c r="P2276" i="3"/>
  <c r="P2578" i="3"/>
  <c r="Q2578" i="3"/>
  <c r="R2578" i="3" s="1"/>
  <c r="Q2906" i="3"/>
  <c r="R2906" i="3" s="1"/>
  <c r="P2906" i="3"/>
  <c r="Q3093" i="3"/>
  <c r="R3093" i="3" s="1"/>
  <c r="P3093" i="3"/>
  <c r="P1422" i="3"/>
  <c r="Q1422" i="3"/>
  <c r="R1422" i="3" s="1"/>
  <c r="Q1532" i="3"/>
  <c r="R1532" i="3" s="1"/>
  <c r="P1532" i="3"/>
  <c r="Q1700" i="3"/>
  <c r="R1700" i="3" s="1"/>
  <c r="P1700" i="3"/>
  <c r="Q1800" i="3"/>
  <c r="R1800" i="3" s="1"/>
  <c r="P1800" i="3"/>
  <c r="Q1857" i="3"/>
  <c r="R1857" i="3" s="1"/>
  <c r="P1857" i="3"/>
  <c r="P1917" i="3"/>
  <c r="Q1917" i="3"/>
  <c r="R1917" i="3" s="1"/>
  <c r="P2020" i="3"/>
  <c r="Q2020" i="3"/>
  <c r="R2020" i="3" s="1"/>
  <c r="P2074" i="3"/>
  <c r="Q2074" i="3"/>
  <c r="R2074" i="3" s="1"/>
  <c r="Q2116" i="3"/>
  <c r="R2116" i="3" s="1"/>
  <c r="P2116" i="3"/>
  <c r="P2144" i="3"/>
  <c r="Q2144" i="3"/>
  <c r="R2144" i="3" s="1"/>
  <c r="Q2328" i="3"/>
  <c r="R2328" i="3" s="1"/>
  <c r="P2328" i="3"/>
  <c r="P2335" i="3"/>
  <c r="Q2335" i="3"/>
  <c r="R2335" i="3" s="1"/>
  <c r="Q2385" i="3"/>
  <c r="R2385" i="3" s="1"/>
  <c r="P2385" i="3"/>
  <c r="Q2546" i="3"/>
  <c r="R2546" i="3" s="1"/>
  <c r="P2546" i="3"/>
  <c r="P2800" i="3"/>
  <c r="Q2800" i="3"/>
  <c r="R2800" i="3" s="1"/>
  <c r="Q2883" i="3"/>
  <c r="R2883" i="3" s="1"/>
  <c r="P2883" i="3"/>
  <c r="Q2914" i="3"/>
  <c r="R2914" i="3" s="1"/>
  <c r="P2914" i="3"/>
  <c r="P3033" i="3"/>
  <c r="Q3033" i="3"/>
  <c r="R3033" i="3" s="1"/>
  <c r="P3145" i="3"/>
  <c r="Q3145" i="3"/>
  <c r="R3145" i="3" s="1"/>
  <c r="P2047" i="3"/>
  <c r="Q2047" i="3"/>
  <c r="R2047" i="3" s="1"/>
  <c r="Q2196" i="3"/>
  <c r="R2196" i="3" s="1"/>
  <c r="P2196" i="3"/>
  <c r="Q2211" i="3"/>
  <c r="R2211" i="3" s="1"/>
  <c r="P2211" i="3"/>
  <c r="Q2369" i="3"/>
  <c r="R2369" i="3" s="1"/>
  <c r="P2369" i="3"/>
  <c r="Q2514" i="3"/>
  <c r="R2514" i="3" s="1"/>
  <c r="P2514" i="3"/>
  <c r="Q2635" i="3"/>
  <c r="R2635" i="3" s="1"/>
  <c r="P2635" i="3"/>
  <c r="P2663" i="3"/>
  <c r="Q2663" i="3"/>
  <c r="R2663" i="3" s="1"/>
  <c r="Q2678" i="3"/>
  <c r="R2678" i="3" s="1"/>
  <c r="P2678" i="3"/>
  <c r="P2969" i="3"/>
  <c r="Q2969" i="3"/>
  <c r="R2969" i="3" s="1"/>
  <c r="Q3025" i="3"/>
  <c r="R3025" i="3" s="1"/>
  <c r="P3025" i="3"/>
  <c r="Q3115" i="3"/>
  <c r="R3115" i="3" s="1"/>
  <c r="P3115" i="3"/>
  <c r="Q1756" i="3"/>
  <c r="R1756" i="3" s="1"/>
  <c r="P1756" i="3"/>
  <c r="P2027" i="3"/>
  <c r="Q2027" i="3"/>
  <c r="R2027" i="3" s="1"/>
  <c r="Q2033" i="3"/>
  <c r="R2033" i="3" s="1"/>
  <c r="P2033" i="3"/>
  <c r="P2076" i="3"/>
  <c r="Q2233" i="3"/>
  <c r="R2233" i="3" s="1"/>
  <c r="P2265" i="3"/>
  <c r="Q2347" i="3"/>
  <c r="R2347" i="3" s="1"/>
  <c r="P2364" i="3"/>
  <c r="P2376" i="3"/>
  <c r="P2426" i="3"/>
  <c r="P2464" i="3"/>
  <c r="P2471" i="3"/>
  <c r="Q2471" i="3"/>
  <c r="R2471" i="3" s="1"/>
  <c r="P2494" i="3"/>
  <c r="Q2494" i="3"/>
  <c r="R2494" i="3" s="1"/>
  <c r="P2509" i="3"/>
  <c r="P2524" i="3"/>
  <c r="Q2599" i="3"/>
  <c r="R2599" i="3" s="1"/>
  <c r="P2599" i="3"/>
  <c r="P2614" i="3"/>
  <c r="P2622" i="3"/>
  <c r="P2852" i="3"/>
  <c r="P2971" i="3"/>
  <c r="P2228" i="3"/>
  <c r="Q2228" i="3"/>
  <c r="R2228" i="3" s="1"/>
  <c r="P2321" i="3"/>
  <c r="Q2321" i="3"/>
  <c r="R2321" i="3" s="1"/>
  <c r="Q2449" i="3"/>
  <c r="R2449" i="3" s="1"/>
  <c r="P2449" i="3"/>
  <c r="P2458" i="3"/>
  <c r="Q2458" i="3"/>
  <c r="R2458" i="3" s="1"/>
  <c r="P2487" i="3"/>
  <c r="Q2495" i="3"/>
  <c r="R2495" i="3" s="1"/>
  <c r="P2533" i="3"/>
  <c r="Q2548" i="3"/>
  <c r="R2548" i="3" s="1"/>
  <c r="P2555" i="3"/>
  <c r="Q2555" i="3"/>
  <c r="R2555" i="3" s="1"/>
  <c r="P2571" i="3"/>
  <c r="P2607" i="3"/>
  <c r="P2654" i="3"/>
  <c r="Q2815" i="3"/>
  <c r="R2815" i="3" s="1"/>
  <c r="P2829" i="3"/>
  <c r="Q2917" i="3"/>
  <c r="R2917" i="3" s="1"/>
  <c r="P2991" i="3"/>
  <c r="P3009" i="3"/>
  <c r="Q3009" i="3"/>
  <c r="R3009" i="3" s="1"/>
  <c r="Q3017" i="3"/>
  <c r="R3017" i="3" s="1"/>
  <c r="Q2005" i="3"/>
  <c r="R2005" i="3" s="1"/>
  <c r="P2005" i="3"/>
  <c r="P2198" i="3"/>
  <c r="Q2198" i="3"/>
  <c r="R2198" i="3" s="1"/>
  <c r="Q2266" i="3"/>
  <c r="R2266" i="3" s="1"/>
  <c r="P2266" i="3"/>
  <c r="Q2289" i="3"/>
  <c r="R2289" i="3" s="1"/>
  <c r="P2289" i="3"/>
  <c r="P2413" i="3"/>
  <c r="Q2413" i="3"/>
  <c r="R2413" i="3" s="1"/>
  <c r="Q2421" i="3"/>
  <c r="R2421" i="3" s="1"/>
  <c r="P2421" i="3"/>
  <c r="Q2584" i="3"/>
  <c r="R2584" i="3" s="1"/>
  <c r="P2584" i="3"/>
  <c r="P2768" i="3"/>
  <c r="Q2768" i="3"/>
  <c r="R2768" i="3" s="1"/>
  <c r="Q2775" i="3"/>
  <c r="R2775" i="3" s="1"/>
  <c r="P2775" i="3"/>
  <c r="Q2942" i="3"/>
  <c r="R2942" i="3" s="1"/>
  <c r="P2942" i="3"/>
  <c r="Q2955" i="3"/>
  <c r="R2955" i="3" s="1"/>
  <c r="P2955" i="3"/>
  <c r="Q3000" i="3"/>
  <c r="R3000" i="3" s="1"/>
  <c r="P3000" i="3"/>
  <c r="P2890" i="3"/>
  <c r="Q2890" i="3"/>
  <c r="R2890" i="3" s="1"/>
  <c r="P3045" i="3"/>
  <c r="Q3045" i="3"/>
  <c r="R3045" i="3" s="1"/>
  <c r="P3143" i="3"/>
  <c r="Q3143" i="3"/>
  <c r="R3143" i="3" s="1"/>
  <c r="Q3196" i="3"/>
  <c r="R3196" i="3" s="1"/>
  <c r="P3196" i="3"/>
  <c r="P3226" i="3"/>
  <c r="Q3226" i="3"/>
  <c r="R3226" i="3" s="1"/>
  <c r="P1788" i="3"/>
  <c r="Q1788" i="3"/>
  <c r="R1788" i="3" s="1"/>
  <c r="Q1842" i="3"/>
  <c r="R1842" i="3" s="1"/>
  <c r="P1842" i="3"/>
  <c r="P1870" i="3"/>
  <c r="Q1870" i="3"/>
  <c r="R1870" i="3" s="1"/>
  <c r="Q1981" i="3"/>
  <c r="R1981" i="3" s="1"/>
  <c r="P1981" i="3"/>
  <c r="Q2445" i="3"/>
  <c r="R2445" i="3" s="1"/>
  <c r="P2445" i="3"/>
  <c r="Q2870" i="3"/>
  <c r="R2870" i="3" s="1"/>
  <c r="P2870" i="3"/>
  <c r="P3066" i="3"/>
  <c r="P3218" i="3"/>
  <c r="Q3218" i="3"/>
  <c r="R3218" i="3" s="1"/>
  <c r="P3156" i="3"/>
  <c r="Q3156" i="3"/>
  <c r="R3156" i="3" s="1"/>
  <c r="Q2386" i="3"/>
  <c r="R2386" i="3" s="1"/>
  <c r="P2386" i="3"/>
  <c r="Q2542" i="3"/>
  <c r="R2542" i="3" s="1"/>
  <c r="P2542" i="3"/>
  <c r="Q2958" i="3"/>
  <c r="R2958" i="3" s="1"/>
  <c r="P2958" i="3"/>
  <c r="Q3126" i="3"/>
  <c r="R3126" i="3" s="1"/>
  <c r="P3151" i="3"/>
  <c r="Q3151" i="3"/>
  <c r="R3151" i="3" s="1"/>
  <c r="P3170" i="3"/>
  <c r="Q3170" i="3"/>
  <c r="R3170" i="3" s="1"/>
  <c r="P2513" i="3"/>
  <c r="Q2513" i="3"/>
  <c r="R2513" i="3" s="1"/>
  <c r="Q2757" i="3"/>
  <c r="R2757" i="3" s="1"/>
  <c r="P2757" i="3"/>
  <c r="Q2889" i="3"/>
  <c r="R2889" i="3" s="1"/>
  <c r="P2889" i="3"/>
  <c r="Q2976" i="3"/>
  <c r="R2976" i="3" s="1"/>
  <c r="P2976" i="3"/>
  <c r="P2155" i="3"/>
  <c r="Q2155" i="3"/>
  <c r="R2155" i="3" s="1"/>
  <c r="Q2314" i="3"/>
  <c r="R2314" i="3" s="1"/>
  <c r="P2314" i="3"/>
  <c r="Q2863" i="3"/>
  <c r="R2863" i="3" s="1"/>
  <c r="P2863" i="3"/>
  <c r="P3065" i="3"/>
  <c r="Q3065" i="3"/>
  <c r="R3065" i="3" s="1"/>
  <c r="Q3153" i="3"/>
  <c r="R3153" i="3" s="1"/>
  <c r="P3153" i="3"/>
  <c r="Q3225" i="3"/>
  <c r="R3225" i="3" s="1"/>
  <c r="P3225" i="3"/>
  <c r="Q3197" i="3"/>
  <c r="R3197" i="3" s="1"/>
  <c r="Q3203" i="3"/>
  <c r="R3203" i="3" s="1"/>
  <c r="Q3212" i="3"/>
  <c r="R3212" i="3" s="1"/>
  <c r="Q3251" i="3"/>
  <c r="R3251" i="3" s="1"/>
  <c r="P3259" i="3"/>
  <c r="Q3266" i="3"/>
  <c r="R3266" i="3" s="1"/>
  <c r="P3273" i="3"/>
  <c r="Q3281" i="3"/>
  <c r="R3281" i="3" s="1"/>
  <c r="Q3296" i="3"/>
  <c r="R3296" i="3" s="1"/>
  <c r="P3304" i="3"/>
  <c r="Q3237" i="3"/>
  <c r="R3237" i="3" s="1"/>
  <c r="Q3311" i="3"/>
  <c r="R3311" i="3" s="1"/>
  <c r="Q3191" i="3"/>
  <c r="R3191" i="3" s="1"/>
  <c r="Q3198" i="3"/>
  <c r="R3198" i="3" s="1"/>
  <c r="P3213" i="3"/>
  <c r="Q3221" i="3"/>
  <c r="R3221" i="3" s="1"/>
  <c r="Q3192" i="3"/>
  <c r="R3192" i="3" s="1"/>
  <c r="Q3239" i="3"/>
  <c r="R3239" i="3" s="1"/>
  <c r="Q3306" i="3"/>
  <c r="R3306" i="3" s="1"/>
  <c r="P3268" i="3"/>
  <c r="Q5" i="3"/>
  <c r="R5" i="3" s="1"/>
  <c r="Q3250" i="3"/>
  <c r="R3250" i="3" s="1"/>
  <c r="Q3272" i="3"/>
  <c r="R3272" i="3" s="1"/>
  <c r="Q255" i="3"/>
  <c r="R255" i="3" s="1"/>
  <c r="P255" i="3"/>
  <c r="P457" i="3"/>
  <c r="Q457" i="3"/>
  <c r="R457" i="3" s="1"/>
  <c r="P859" i="3"/>
  <c r="Q859" i="3"/>
  <c r="R859" i="3" s="1"/>
  <c r="Q957" i="3"/>
  <c r="R957" i="3" s="1"/>
  <c r="P957" i="3"/>
  <c r="Q991" i="3"/>
  <c r="R991" i="3" s="1"/>
  <c r="P991" i="3"/>
  <c r="Q998" i="3"/>
  <c r="R998" i="3" s="1"/>
  <c r="P998" i="3"/>
  <c r="P1200" i="3"/>
  <c r="Q1200" i="3"/>
  <c r="R1200" i="3" s="1"/>
  <c r="P13" i="3"/>
  <c r="P38" i="3"/>
  <c r="P49" i="3"/>
  <c r="P63" i="3"/>
  <c r="P70" i="3"/>
  <c r="P107" i="3"/>
  <c r="Q111" i="3"/>
  <c r="R111" i="3" s="1"/>
  <c r="P148" i="3"/>
  <c r="Q172" i="3"/>
  <c r="R172" i="3" s="1"/>
  <c r="P181" i="3"/>
  <c r="P198" i="3"/>
  <c r="P232" i="3"/>
  <c r="Q270" i="3"/>
  <c r="R270" i="3" s="1"/>
  <c r="P274" i="3"/>
  <c r="P292" i="3"/>
  <c r="Q296" i="3"/>
  <c r="R296" i="3" s="1"/>
  <c r="Q346" i="3"/>
  <c r="R346" i="3" s="1"/>
  <c r="P346" i="3"/>
  <c r="Q361" i="3"/>
  <c r="R361" i="3" s="1"/>
  <c r="P366" i="3"/>
  <c r="Q404" i="3"/>
  <c r="R404" i="3" s="1"/>
  <c r="P404" i="3"/>
  <c r="P431" i="3"/>
  <c r="Q462" i="3"/>
  <c r="R462" i="3" s="1"/>
  <c r="P462" i="3"/>
  <c r="Q481" i="3"/>
  <c r="R481" i="3" s="1"/>
  <c r="P486" i="3"/>
  <c r="Q509" i="3"/>
  <c r="R509" i="3" s="1"/>
  <c r="P509" i="3"/>
  <c r="Q543" i="3"/>
  <c r="R543" i="3" s="1"/>
  <c r="Q582" i="3"/>
  <c r="R582" i="3" s="1"/>
  <c r="P582" i="3"/>
  <c r="Q595" i="3"/>
  <c r="R595" i="3" s="1"/>
  <c r="P595" i="3"/>
  <c r="Q607" i="3"/>
  <c r="R607" i="3" s="1"/>
  <c r="P607" i="3"/>
  <c r="Q632" i="3"/>
  <c r="R632" i="3" s="1"/>
  <c r="P632" i="3"/>
  <c r="P666" i="3"/>
  <c r="Q752" i="3"/>
  <c r="R752" i="3" s="1"/>
  <c r="Q776" i="3"/>
  <c r="R776" i="3" s="1"/>
  <c r="P776" i="3"/>
  <c r="Q919" i="3"/>
  <c r="R919" i="3" s="1"/>
  <c r="P919" i="3"/>
  <c r="Q1076" i="3"/>
  <c r="R1076" i="3" s="1"/>
  <c r="P1076" i="3"/>
  <c r="Q1358" i="3"/>
  <c r="R1358" i="3" s="1"/>
  <c r="P1358" i="3"/>
  <c r="P1767" i="3"/>
  <c r="Q1767" i="3"/>
  <c r="R1767" i="3" s="1"/>
  <c r="Q360" i="3"/>
  <c r="R360" i="3" s="1"/>
  <c r="P360" i="3"/>
  <c r="Q631" i="3"/>
  <c r="R631" i="3" s="1"/>
  <c r="P631" i="3"/>
  <c r="P42" i="3"/>
  <c r="P77" i="3"/>
  <c r="P100" i="3"/>
  <c r="P136" i="3"/>
  <c r="P144" i="3"/>
  <c r="P177" i="3"/>
  <c r="Q283" i="3"/>
  <c r="R283" i="3" s="1"/>
  <c r="Q301" i="3"/>
  <c r="R301" i="3" s="1"/>
  <c r="P306" i="3"/>
  <c r="Q306" i="3"/>
  <c r="R306" i="3" s="1"/>
  <c r="Q376" i="3"/>
  <c r="R376" i="3" s="1"/>
  <c r="Q399" i="3"/>
  <c r="R399" i="3" s="1"/>
  <c r="Q409" i="3"/>
  <c r="R409" i="3" s="1"/>
  <c r="P414" i="3"/>
  <c r="Q427" i="3"/>
  <c r="R427" i="3" s="1"/>
  <c r="Q445" i="3"/>
  <c r="R445" i="3" s="1"/>
  <c r="P467" i="3"/>
  <c r="Q496" i="3"/>
  <c r="R496" i="3" s="1"/>
  <c r="P510" i="3"/>
  <c r="P519" i="3"/>
  <c r="P539" i="3"/>
  <c r="P548" i="3"/>
  <c r="P558" i="3"/>
  <c r="Q564" i="3"/>
  <c r="R564" i="3" s="1"/>
  <c r="P564" i="3"/>
  <c r="P600" i="3"/>
  <c r="P604" i="3"/>
  <c r="P621" i="3"/>
  <c r="Q682" i="3"/>
  <c r="R682" i="3" s="1"/>
  <c r="P682" i="3"/>
  <c r="P795" i="3"/>
  <c r="Q795" i="3"/>
  <c r="R795" i="3" s="1"/>
  <c r="Q868" i="3"/>
  <c r="R868" i="3" s="1"/>
  <c r="P868" i="3"/>
  <c r="Q972" i="3"/>
  <c r="R972" i="3" s="1"/>
  <c r="P972" i="3"/>
  <c r="Q1077" i="3"/>
  <c r="R1077" i="3" s="1"/>
  <c r="P1077" i="3"/>
  <c r="P1111" i="3"/>
  <c r="Q1111" i="3"/>
  <c r="R1111" i="3" s="1"/>
  <c r="Q1218" i="3"/>
  <c r="R1218" i="3" s="1"/>
  <c r="P1218" i="3"/>
  <c r="P1250" i="3"/>
  <c r="Q1250" i="3"/>
  <c r="R1250" i="3" s="1"/>
  <c r="Q1425" i="3"/>
  <c r="R1425" i="3" s="1"/>
  <c r="P1425" i="3"/>
  <c r="P1444" i="3"/>
  <c r="Q1444" i="3"/>
  <c r="R1444" i="3" s="1"/>
  <c r="Q227" i="3"/>
  <c r="R227" i="3" s="1"/>
  <c r="P227" i="3"/>
  <c r="Q665" i="3"/>
  <c r="R665" i="3" s="1"/>
  <c r="P665" i="3"/>
  <c r="P3" i="3"/>
  <c r="P31" i="3"/>
  <c r="P67" i="3"/>
  <c r="Q92" i="3"/>
  <c r="R92" i="3" s="1"/>
  <c r="P112" i="3"/>
  <c r="Q132" i="3"/>
  <c r="R132" i="3" s="1"/>
  <c r="Q168" i="3"/>
  <c r="R168" i="3" s="1"/>
  <c r="Q215" i="3"/>
  <c r="R215" i="3" s="1"/>
  <c r="P215" i="3"/>
  <c r="P297" i="3"/>
  <c r="Q324" i="3"/>
  <c r="R324" i="3" s="1"/>
  <c r="P324" i="3"/>
  <c r="Q347" i="3"/>
  <c r="R347" i="3" s="1"/>
  <c r="P347" i="3"/>
  <c r="Q371" i="3"/>
  <c r="R371" i="3" s="1"/>
  <c r="P371" i="3"/>
  <c r="P395" i="3"/>
  <c r="Q440" i="3"/>
  <c r="R440" i="3" s="1"/>
  <c r="P440" i="3"/>
  <c r="Q491" i="3"/>
  <c r="R491" i="3" s="1"/>
  <c r="P491" i="3"/>
  <c r="Q524" i="3"/>
  <c r="R524" i="3" s="1"/>
  <c r="Q565" i="3"/>
  <c r="R565" i="3" s="1"/>
  <c r="Q583" i="3"/>
  <c r="R583" i="3" s="1"/>
  <c r="P583" i="3"/>
  <c r="P691" i="3"/>
  <c r="Q691" i="3"/>
  <c r="R691" i="3" s="1"/>
  <c r="Q717" i="3"/>
  <c r="R717" i="3" s="1"/>
  <c r="P717" i="3"/>
  <c r="Q753" i="3"/>
  <c r="R753" i="3" s="1"/>
  <c r="P753" i="3"/>
  <c r="Q841" i="3"/>
  <c r="R841" i="3" s="1"/>
  <c r="P841" i="3"/>
  <c r="P861" i="3"/>
  <c r="Q861" i="3"/>
  <c r="R861" i="3" s="1"/>
  <c r="Q869" i="3"/>
  <c r="R869" i="3" s="1"/>
  <c r="P869" i="3"/>
  <c r="Q934" i="3"/>
  <c r="R934" i="3" s="1"/>
  <c r="P934" i="3"/>
  <c r="P1105" i="3"/>
  <c r="Q1105" i="3"/>
  <c r="R1105" i="3" s="1"/>
  <c r="P1212" i="3"/>
  <c r="Q1212" i="3"/>
  <c r="R1212" i="3" s="1"/>
  <c r="P1336" i="3"/>
  <c r="Q197" i="3"/>
  <c r="R197" i="3" s="1"/>
  <c r="P197" i="3"/>
  <c r="Q291" i="3"/>
  <c r="R291" i="3" s="1"/>
  <c r="P291" i="3"/>
  <c r="Q480" i="3"/>
  <c r="R480" i="3" s="1"/>
  <c r="P480" i="3"/>
  <c r="P10" i="3"/>
  <c r="P39" i="3"/>
  <c r="P74" i="3"/>
  <c r="P104" i="3"/>
  <c r="P108" i="3"/>
  <c r="P120" i="3"/>
  <c r="P149" i="3"/>
  <c r="P157" i="3"/>
  <c r="P245" i="3"/>
  <c r="Q266" i="3"/>
  <c r="R266" i="3" s="1"/>
  <c r="P266" i="3"/>
  <c r="P275" i="3"/>
  <c r="P325" i="3"/>
  <c r="Q334" i="3"/>
  <c r="R334" i="3" s="1"/>
  <c r="P506" i="3"/>
  <c r="Q515" i="3"/>
  <c r="R515" i="3" s="1"/>
  <c r="P515" i="3"/>
  <c r="P530" i="3"/>
  <c r="Q544" i="3"/>
  <c r="R544" i="3" s="1"/>
  <c r="P544" i="3"/>
  <c r="Q684" i="3"/>
  <c r="R684" i="3" s="1"/>
  <c r="P684" i="3"/>
  <c r="Q734" i="3"/>
  <c r="R734" i="3" s="1"/>
  <c r="P734" i="3"/>
  <c r="Q784" i="3"/>
  <c r="R784" i="3" s="1"/>
  <c r="P784" i="3"/>
  <c r="P874" i="3"/>
  <c r="Q874" i="3"/>
  <c r="R874" i="3" s="1"/>
  <c r="Q965" i="3"/>
  <c r="R965" i="3" s="1"/>
  <c r="P965" i="3"/>
  <c r="Q1189" i="3"/>
  <c r="R1189" i="3" s="1"/>
  <c r="P1189" i="3"/>
  <c r="Q1240" i="3"/>
  <c r="R1240" i="3" s="1"/>
  <c r="P1240" i="3"/>
  <c r="P1382" i="3"/>
  <c r="Q1382" i="3"/>
  <c r="R1382" i="3" s="1"/>
  <c r="P1568" i="3"/>
  <c r="Q1568" i="3"/>
  <c r="R1568" i="3" s="1"/>
  <c r="Q1640" i="3"/>
  <c r="R1640" i="3" s="1"/>
  <c r="P1640" i="3"/>
  <c r="Q1683" i="3"/>
  <c r="R1683" i="3" s="1"/>
  <c r="P1683" i="3"/>
  <c r="Q1228" i="3"/>
  <c r="R1228" i="3" s="1"/>
  <c r="P1228" i="3"/>
  <c r="P6" i="3"/>
  <c r="P17" i="3"/>
  <c r="P21" i="3"/>
  <c r="Q28" i="3"/>
  <c r="R28" i="3" s="1"/>
  <c r="P78" i="3"/>
  <c r="Q133" i="3"/>
  <c r="R133" i="3" s="1"/>
  <c r="Q145" i="3"/>
  <c r="R145" i="3" s="1"/>
  <c r="Q233" i="3"/>
  <c r="R233" i="3" s="1"/>
  <c r="P233" i="3"/>
  <c r="Q267" i="3"/>
  <c r="R267" i="3" s="1"/>
  <c r="Q284" i="3"/>
  <c r="R284" i="3" s="1"/>
  <c r="P284" i="3"/>
  <c r="Q302" i="3"/>
  <c r="R302" i="3" s="1"/>
  <c r="P302" i="3"/>
  <c r="Q377" i="3"/>
  <c r="R377" i="3" s="1"/>
  <c r="Q410" i="3"/>
  <c r="R410" i="3" s="1"/>
  <c r="Q428" i="3"/>
  <c r="R428" i="3" s="1"/>
  <c r="Q446" i="3"/>
  <c r="R446" i="3" s="1"/>
  <c r="Q468" i="3"/>
  <c r="R468" i="3" s="1"/>
  <c r="Q497" i="3"/>
  <c r="R497" i="3" s="1"/>
  <c r="Q549" i="3"/>
  <c r="R549" i="3" s="1"/>
  <c r="P549" i="3"/>
  <c r="Q570" i="3"/>
  <c r="R570" i="3" s="1"/>
  <c r="Q592" i="3"/>
  <c r="R592" i="3" s="1"/>
  <c r="P592" i="3"/>
  <c r="P609" i="3"/>
  <c r="Q628" i="3"/>
  <c r="R628" i="3" s="1"/>
  <c r="P699" i="3"/>
  <c r="Q699" i="3"/>
  <c r="R699" i="3" s="1"/>
  <c r="Q705" i="3"/>
  <c r="R705" i="3" s="1"/>
  <c r="P705" i="3"/>
  <c r="Q740" i="3"/>
  <c r="R740" i="3" s="1"/>
  <c r="P740" i="3"/>
  <c r="Q747" i="3"/>
  <c r="R747" i="3" s="1"/>
  <c r="P747" i="3"/>
  <c r="Q760" i="3"/>
  <c r="R760" i="3" s="1"/>
  <c r="P760" i="3"/>
  <c r="Q824" i="3"/>
  <c r="R824" i="3" s="1"/>
  <c r="P824" i="3"/>
  <c r="P986" i="3"/>
  <c r="Q1034" i="3"/>
  <c r="R1034" i="3" s="1"/>
  <c r="P1034" i="3"/>
  <c r="Q1053" i="3"/>
  <c r="R1053" i="3" s="1"/>
  <c r="P1053" i="3"/>
  <c r="P1190" i="3"/>
  <c r="Q1190" i="3"/>
  <c r="R1190" i="3" s="1"/>
  <c r="Q1304" i="3"/>
  <c r="R1304" i="3" s="1"/>
  <c r="Q1769" i="3"/>
  <c r="R1769" i="3" s="1"/>
  <c r="P1769" i="3"/>
  <c r="Q2934" i="3"/>
  <c r="R2934" i="3" s="1"/>
  <c r="P2934" i="3"/>
  <c r="Q3169" i="3"/>
  <c r="R3169" i="3" s="1"/>
  <c r="P3169" i="3"/>
  <c r="Q277" i="3"/>
  <c r="R277" i="3" s="1"/>
  <c r="P277" i="3"/>
  <c r="Q208" i="3"/>
  <c r="R208" i="3" s="1"/>
  <c r="P208" i="3"/>
  <c r="Q317" i="3"/>
  <c r="R317" i="3" s="1"/>
  <c r="P317" i="3"/>
  <c r="P326" i="3"/>
  <c r="Q353" i="3"/>
  <c r="R353" i="3" s="1"/>
  <c r="P353" i="3"/>
  <c r="P469" i="3"/>
  <c r="Q521" i="3"/>
  <c r="R521" i="3" s="1"/>
  <c r="Q531" i="3"/>
  <c r="R531" i="3" s="1"/>
  <c r="P531" i="3"/>
  <c r="Q597" i="3"/>
  <c r="R597" i="3" s="1"/>
  <c r="P597" i="3"/>
  <c r="Q610" i="3"/>
  <c r="R610" i="3" s="1"/>
  <c r="P610" i="3"/>
  <c r="Q649" i="3"/>
  <c r="R649" i="3" s="1"/>
  <c r="P649" i="3"/>
  <c r="Q730" i="3"/>
  <c r="R730" i="3" s="1"/>
  <c r="P742" i="3"/>
  <c r="Q742" i="3"/>
  <c r="R742" i="3" s="1"/>
  <c r="P756" i="3"/>
  <c r="Q756" i="3"/>
  <c r="R756" i="3" s="1"/>
  <c r="Q849" i="3"/>
  <c r="R849" i="3" s="1"/>
  <c r="P849" i="3"/>
  <c r="Q967" i="3"/>
  <c r="R967" i="3" s="1"/>
  <c r="P967" i="3"/>
  <c r="P1185" i="3"/>
  <c r="Q1185" i="3"/>
  <c r="R1185" i="3" s="1"/>
  <c r="P3160" i="3"/>
  <c r="Q3160" i="3"/>
  <c r="R3160" i="3" s="1"/>
  <c r="P3177" i="3"/>
  <c r="Q3177" i="3"/>
  <c r="R3177" i="3" s="1"/>
  <c r="P3222" i="3"/>
  <c r="Q3222" i="3"/>
  <c r="R3222" i="3" s="1"/>
  <c r="P556" i="3"/>
  <c r="Q556" i="3"/>
  <c r="R556" i="3" s="1"/>
  <c r="Q721" i="3"/>
  <c r="R721" i="3" s="1"/>
  <c r="P721" i="3"/>
  <c r="Q1261" i="3"/>
  <c r="R1261" i="3" s="1"/>
  <c r="P1261" i="3"/>
  <c r="Q1387" i="3"/>
  <c r="R1387" i="3" s="1"/>
  <c r="P1387" i="3"/>
  <c r="Q1504" i="3"/>
  <c r="R1504" i="3" s="1"/>
  <c r="P1504" i="3"/>
  <c r="Q2383" i="3"/>
  <c r="R2383" i="3" s="1"/>
  <c r="P2383" i="3"/>
  <c r="P2545" i="3"/>
  <c r="Q2545" i="3"/>
  <c r="R2545" i="3" s="1"/>
  <c r="Q2565" i="3"/>
  <c r="R2565" i="3" s="1"/>
  <c r="P2565" i="3"/>
  <c r="Q190" i="3"/>
  <c r="R190" i="3" s="1"/>
  <c r="P190" i="3"/>
  <c r="Q520" i="3"/>
  <c r="R520" i="3" s="1"/>
  <c r="P520" i="3"/>
  <c r="Q560" i="3"/>
  <c r="R560" i="3" s="1"/>
  <c r="P560" i="3"/>
  <c r="Q575" i="3"/>
  <c r="R575" i="3" s="1"/>
  <c r="P575" i="3"/>
  <c r="P1252" i="3"/>
  <c r="Q1252" i="3"/>
  <c r="R1252" i="3" s="1"/>
  <c r="Q1995" i="3"/>
  <c r="R1995" i="3" s="1"/>
  <c r="P1995" i="3"/>
  <c r="Q2070" i="3"/>
  <c r="R2070" i="3" s="1"/>
  <c r="P2070" i="3"/>
  <c r="P2089" i="3"/>
  <c r="Q2089" i="3"/>
  <c r="R2089" i="3" s="1"/>
  <c r="P51" i="3"/>
  <c r="P72" i="3"/>
  <c r="P79" i="3"/>
  <c r="P94" i="3"/>
  <c r="P235" i="3"/>
  <c r="P354" i="3"/>
  <c r="Q354" i="3"/>
  <c r="R354" i="3" s="1"/>
  <c r="Q411" i="3"/>
  <c r="R411" i="3" s="1"/>
  <c r="P411" i="3"/>
  <c r="P433" i="3"/>
  <c r="Q433" i="3"/>
  <c r="R433" i="3" s="1"/>
  <c r="P474" i="3"/>
  <c r="Q474" i="3"/>
  <c r="R474" i="3" s="1"/>
  <c r="Q502" i="3"/>
  <c r="R502" i="3" s="1"/>
  <c r="P502" i="3"/>
  <c r="Q713" i="3"/>
  <c r="R713" i="3" s="1"/>
  <c r="P713" i="3"/>
  <c r="Q864" i="3"/>
  <c r="R864" i="3" s="1"/>
  <c r="P864" i="3"/>
  <c r="P15" i="3"/>
  <c r="P19" i="3"/>
  <c r="Q29" i="3"/>
  <c r="R29" i="3" s="1"/>
  <c r="P33" i="3"/>
  <c r="P44" i="3"/>
  <c r="P69" i="3"/>
  <c r="P86" i="3"/>
  <c r="P98" i="3"/>
  <c r="P102" i="3"/>
  <c r="P118" i="3"/>
  <c r="Q122" i="3"/>
  <c r="R122" i="3" s="1"/>
  <c r="P126" i="3"/>
  <c r="Q130" i="3"/>
  <c r="R130" i="3" s="1"/>
  <c r="P159" i="3"/>
  <c r="P163" i="3"/>
  <c r="P196" i="3"/>
  <c r="P205" i="3"/>
  <c r="P239" i="3"/>
  <c r="Q259" i="3"/>
  <c r="R259" i="3" s="1"/>
  <c r="P259" i="3"/>
  <c r="P264" i="3"/>
  <c r="P281" i="3"/>
  <c r="P286" i="3"/>
  <c r="Q290" i="3"/>
  <c r="R290" i="3" s="1"/>
  <c r="P313" i="3"/>
  <c r="Q313" i="3"/>
  <c r="R313" i="3" s="1"/>
  <c r="P345" i="3"/>
  <c r="P355" i="3"/>
  <c r="Q359" i="3"/>
  <c r="R359" i="3" s="1"/>
  <c r="P369" i="3"/>
  <c r="Q434" i="3"/>
  <c r="R434" i="3" s="1"/>
  <c r="P475" i="3"/>
  <c r="Q479" i="3"/>
  <c r="R479" i="3" s="1"/>
  <c r="P489" i="3"/>
  <c r="Q503" i="3"/>
  <c r="R503" i="3" s="1"/>
  <c r="Q526" i="3"/>
  <c r="R526" i="3" s="1"/>
  <c r="P526" i="3"/>
  <c r="Q551" i="3"/>
  <c r="R551" i="3" s="1"/>
  <c r="P551" i="3"/>
  <c r="Q571" i="3"/>
  <c r="R571" i="3" s="1"/>
  <c r="P571" i="3"/>
  <c r="Q619" i="3"/>
  <c r="R619" i="3" s="1"/>
  <c r="P619" i="3"/>
  <c r="Q624" i="3"/>
  <c r="R624" i="3" s="1"/>
  <c r="P624" i="3"/>
  <c r="Q726" i="3"/>
  <c r="R726" i="3" s="1"/>
  <c r="P726" i="3"/>
  <c r="Q768" i="3"/>
  <c r="R768" i="3" s="1"/>
  <c r="P768" i="3"/>
  <c r="Q780" i="3"/>
  <c r="R780" i="3" s="1"/>
  <c r="P780" i="3"/>
  <c r="Q856" i="3"/>
  <c r="R856" i="3" s="1"/>
  <c r="P856" i="3"/>
  <c r="Q904" i="3"/>
  <c r="R904" i="3" s="1"/>
  <c r="P904" i="3"/>
  <c r="Q916" i="3"/>
  <c r="R916" i="3" s="1"/>
  <c r="P916" i="3"/>
  <c r="P976" i="3"/>
  <c r="Q976" i="3"/>
  <c r="R976" i="3" s="1"/>
  <c r="P988" i="3"/>
  <c r="Q988" i="3"/>
  <c r="R988" i="3" s="1"/>
  <c r="Q1024" i="3"/>
  <c r="R1024" i="3" s="1"/>
  <c r="P1024" i="3"/>
  <c r="Q1036" i="3"/>
  <c r="R1036" i="3" s="1"/>
  <c r="P1036" i="3"/>
  <c r="Q393" i="3"/>
  <c r="R393" i="3" s="1"/>
  <c r="P393" i="3"/>
  <c r="Q774" i="3"/>
  <c r="R774" i="3" s="1"/>
  <c r="P774" i="3"/>
  <c r="Q970" i="3"/>
  <c r="R970" i="3" s="1"/>
  <c r="P970" i="3"/>
  <c r="Q2026" i="3"/>
  <c r="R2026" i="3" s="1"/>
  <c r="P2026" i="3"/>
  <c r="P2285" i="3"/>
  <c r="Q2285" i="3"/>
  <c r="R2285" i="3" s="1"/>
  <c r="P2423" i="3"/>
  <c r="Q2423" i="3"/>
  <c r="R2423" i="3" s="1"/>
  <c r="P169" i="3"/>
  <c r="Q169" i="3"/>
  <c r="R169" i="3" s="1"/>
  <c r="P330" i="3"/>
  <c r="Q330" i="3"/>
  <c r="R330" i="3" s="1"/>
  <c r="Q819" i="3"/>
  <c r="R819" i="3" s="1"/>
  <c r="P819" i="3"/>
  <c r="Q1196" i="3"/>
  <c r="R1196" i="3" s="1"/>
  <c r="P1196" i="3"/>
  <c r="Q1324" i="3"/>
  <c r="R1324" i="3" s="1"/>
  <c r="P1324" i="3"/>
  <c r="Q1348" i="3"/>
  <c r="R1348" i="3" s="1"/>
  <c r="P1348" i="3"/>
  <c r="Q2097" i="3"/>
  <c r="R2097" i="3" s="1"/>
  <c r="P2097" i="3"/>
  <c r="P121" i="3"/>
  <c r="Q121" i="3"/>
  <c r="R121" i="3" s="1"/>
  <c r="Q335" i="3"/>
  <c r="R335" i="3" s="1"/>
  <c r="P335" i="3"/>
  <c r="Q618" i="3"/>
  <c r="R618" i="3" s="1"/>
  <c r="P618" i="3"/>
  <c r="P687" i="3"/>
  <c r="Q687" i="3"/>
  <c r="R687" i="3" s="1"/>
  <c r="Q950" i="3"/>
  <c r="R950" i="3" s="1"/>
  <c r="P950" i="3"/>
  <c r="Q1108" i="3"/>
  <c r="R1108" i="3" s="1"/>
  <c r="P1108" i="3"/>
  <c r="Q1192" i="3"/>
  <c r="R1192" i="3" s="1"/>
  <c r="P1192" i="3"/>
  <c r="Q1226" i="3"/>
  <c r="R1226" i="3" s="1"/>
  <c r="P1226" i="3"/>
  <c r="P1491" i="3"/>
  <c r="Q1491" i="3"/>
  <c r="R1491" i="3" s="1"/>
  <c r="Q1602" i="3"/>
  <c r="R1602" i="3" s="1"/>
  <c r="P1602" i="3"/>
  <c r="Q1669" i="3"/>
  <c r="R1669" i="3" s="1"/>
  <c r="P1669" i="3"/>
  <c r="P8" i="3"/>
  <c r="P55" i="3"/>
  <c r="Q114" i="3"/>
  <c r="R114" i="3" s="1"/>
  <c r="P155" i="3"/>
  <c r="Q179" i="3"/>
  <c r="R179" i="3" s="1"/>
  <c r="P179" i="3"/>
  <c r="Q201" i="3"/>
  <c r="R201" i="3" s="1"/>
  <c r="Q226" i="3"/>
  <c r="R226" i="3" s="1"/>
  <c r="P226" i="3"/>
  <c r="Q260" i="3"/>
  <c r="R260" i="3" s="1"/>
  <c r="P314" i="3"/>
  <c r="Q341" i="3"/>
  <c r="R341" i="3" s="1"/>
  <c r="Q364" i="3"/>
  <c r="R364" i="3" s="1"/>
  <c r="P364" i="3"/>
  <c r="Q403" i="3"/>
  <c r="R403" i="3" s="1"/>
  <c r="Q421" i="3"/>
  <c r="R421" i="3" s="1"/>
  <c r="Q461" i="3"/>
  <c r="R461" i="3" s="1"/>
  <c r="Q484" i="3"/>
  <c r="R484" i="3" s="1"/>
  <c r="P484" i="3"/>
  <c r="P508" i="3"/>
  <c r="Q513" i="3"/>
  <c r="R513" i="3" s="1"/>
  <c r="P527" i="3"/>
  <c r="P533" i="3"/>
  <c r="Q537" i="3"/>
  <c r="R537" i="3" s="1"/>
  <c r="Q562" i="3"/>
  <c r="R562" i="3" s="1"/>
  <c r="P562" i="3"/>
  <c r="P572" i="3"/>
  <c r="Q572" i="3"/>
  <c r="R572" i="3" s="1"/>
  <c r="P577" i="3"/>
  <c r="Q577" i="3"/>
  <c r="R577" i="3" s="1"/>
  <c r="Q594" i="3"/>
  <c r="R594" i="3" s="1"/>
  <c r="P625" i="3"/>
  <c r="Q630" i="3"/>
  <c r="R630" i="3" s="1"/>
  <c r="Q645" i="3"/>
  <c r="R645" i="3" s="1"/>
  <c r="Q814" i="3"/>
  <c r="R814" i="3" s="1"/>
  <c r="P814" i="3"/>
  <c r="Q881" i="3"/>
  <c r="R881" i="3" s="1"/>
  <c r="P1048" i="3"/>
  <c r="Q1048" i="3"/>
  <c r="R1048" i="3" s="1"/>
  <c r="P1171" i="3"/>
  <c r="Q1260" i="3"/>
  <c r="R1260" i="3" s="1"/>
  <c r="P1260" i="3"/>
  <c r="Q1564" i="3"/>
  <c r="R1564" i="3" s="1"/>
  <c r="P1564" i="3"/>
  <c r="P685" i="3"/>
  <c r="P711" i="3"/>
  <c r="Q711" i="3"/>
  <c r="R711" i="3" s="1"/>
  <c r="P741" i="3"/>
  <c r="P775" i="3"/>
  <c r="P783" i="3"/>
  <c r="P792" i="3"/>
  <c r="P796" i="3"/>
  <c r="P844" i="3"/>
  <c r="Q932" i="3"/>
  <c r="R932" i="3" s="1"/>
  <c r="P932" i="3"/>
  <c r="P1025" i="3"/>
  <c r="Q1025" i="3"/>
  <c r="R1025" i="3" s="1"/>
  <c r="Q1197" i="3"/>
  <c r="R1197" i="3" s="1"/>
  <c r="P1197" i="3"/>
  <c r="Q1248" i="3"/>
  <c r="R1248" i="3" s="1"/>
  <c r="P1248" i="3"/>
  <c r="Q1257" i="3"/>
  <c r="R1257" i="3" s="1"/>
  <c r="P1257" i="3"/>
  <c r="Q1378" i="3"/>
  <c r="R1378" i="3" s="1"/>
  <c r="P1378" i="3"/>
  <c r="P1430" i="3"/>
  <c r="Q1430" i="3"/>
  <c r="R1430" i="3" s="1"/>
  <c r="P1649" i="3"/>
  <c r="Q1649" i="3"/>
  <c r="R1649" i="3" s="1"/>
  <c r="Q1715" i="3"/>
  <c r="R1715" i="3" s="1"/>
  <c r="P1715" i="3"/>
  <c r="P1803" i="3"/>
  <c r="Q1803" i="3"/>
  <c r="R1803" i="3" s="1"/>
  <c r="P676" i="3"/>
  <c r="P690" i="3"/>
  <c r="P694" i="3"/>
  <c r="Q706" i="3"/>
  <c r="R706" i="3" s="1"/>
  <c r="P706" i="3"/>
  <c r="P716" i="3"/>
  <c r="Q763" i="3"/>
  <c r="R763" i="3" s="1"/>
  <c r="P767" i="3"/>
  <c r="P836" i="3"/>
  <c r="Q836" i="3"/>
  <c r="R836" i="3" s="1"/>
  <c r="P858" i="3"/>
  <c r="P897" i="3"/>
  <c r="P928" i="3"/>
  <c r="P933" i="3"/>
  <c r="P943" i="3"/>
  <c r="Q948" i="3"/>
  <c r="R948" i="3" s="1"/>
  <c r="Q984" i="3"/>
  <c r="R984" i="3" s="1"/>
  <c r="P990" i="3"/>
  <c r="P1016" i="3"/>
  <c r="P1026" i="3"/>
  <c r="P1044" i="3"/>
  <c r="P1050" i="3"/>
  <c r="Q1085" i="3"/>
  <c r="R1085" i="3" s="1"/>
  <c r="Q1098" i="3"/>
  <c r="R1098" i="3" s="1"/>
  <c r="P1098" i="3"/>
  <c r="P1159" i="3"/>
  <c r="Q1198" i="3"/>
  <c r="R1198" i="3" s="1"/>
  <c r="P1198" i="3"/>
  <c r="Q1213" i="3"/>
  <c r="R1213" i="3" s="1"/>
  <c r="P1213" i="3"/>
  <c r="Q1238" i="3"/>
  <c r="R1238" i="3" s="1"/>
  <c r="P1238" i="3"/>
  <c r="Q1244" i="3"/>
  <c r="R1244" i="3" s="1"/>
  <c r="P1244" i="3"/>
  <c r="Q1269" i="3"/>
  <c r="R1269" i="3" s="1"/>
  <c r="Q1327" i="3"/>
  <c r="R1327" i="3" s="1"/>
  <c r="Q1373" i="3"/>
  <c r="R1373" i="3" s="1"/>
  <c r="P1373" i="3"/>
  <c r="Q1510" i="3"/>
  <c r="R1510" i="3" s="1"/>
  <c r="P1510" i="3"/>
  <c r="Q1757" i="3"/>
  <c r="R1757" i="3" s="1"/>
  <c r="P1757" i="3"/>
  <c r="Q2280" i="3"/>
  <c r="R2280" i="3" s="1"/>
  <c r="P2280" i="3"/>
  <c r="Q698" i="3"/>
  <c r="R698" i="3" s="1"/>
  <c r="P737" i="3"/>
  <c r="P809" i="3"/>
  <c r="P893" i="3"/>
  <c r="Q908" i="3"/>
  <c r="R908" i="3" s="1"/>
  <c r="P908" i="3"/>
  <c r="P918" i="3"/>
  <c r="Q969" i="3"/>
  <c r="R969" i="3" s="1"/>
  <c r="P1006" i="3"/>
  <c r="Q1039" i="3"/>
  <c r="R1039" i="3" s="1"/>
  <c r="P1039" i="3"/>
  <c r="Q1104" i="3"/>
  <c r="R1104" i="3" s="1"/>
  <c r="P1115" i="3"/>
  <c r="Q1137" i="3"/>
  <c r="R1137" i="3" s="1"/>
  <c r="Q1169" i="3"/>
  <c r="R1169" i="3" s="1"/>
  <c r="P1169" i="3"/>
  <c r="P1183" i="3"/>
  <c r="Q1183" i="3"/>
  <c r="R1183" i="3" s="1"/>
  <c r="Q1203" i="3"/>
  <c r="R1203" i="3" s="1"/>
  <c r="P1203" i="3"/>
  <c r="Q1214" i="3"/>
  <c r="R1214" i="3" s="1"/>
  <c r="P1214" i="3"/>
  <c r="P1234" i="3"/>
  <c r="Q1234" i="3"/>
  <c r="R1234" i="3" s="1"/>
  <c r="Q1254" i="3"/>
  <c r="R1254" i="3" s="1"/>
  <c r="Q1278" i="3"/>
  <c r="R1278" i="3" s="1"/>
  <c r="P1278" i="3"/>
  <c r="Q1302" i="3"/>
  <c r="R1302" i="3" s="1"/>
  <c r="P1302" i="3"/>
  <c r="P1333" i="3"/>
  <c r="Q1333" i="3"/>
  <c r="R1333" i="3" s="1"/>
  <c r="P1468" i="3"/>
  <c r="Q1468" i="3"/>
  <c r="R1468" i="3" s="1"/>
  <c r="Q1485" i="3"/>
  <c r="R1485" i="3" s="1"/>
  <c r="P1485" i="3"/>
  <c r="Q1545" i="3"/>
  <c r="R1545" i="3" s="1"/>
  <c r="P1545" i="3"/>
  <c r="Q1594" i="3"/>
  <c r="R1594" i="3" s="1"/>
  <c r="P1594" i="3"/>
  <c r="P1627" i="3"/>
  <c r="Q1627" i="3"/>
  <c r="R1627" i="3" s="1"/>
  <c r="Q1707" i="3"/>
  <c r="R1707" i="3" s="1"/>
  <c r="P1707" i="3"/>
  <c r="Q1733" i="3"/>
  <c r="R1733" i="3" s="1"/>
  <c r="P1733" i="3"/>
  <c r="Q832" i="3"/>
  <c r="R832" i="3" s="1"/>
  <c r="P832" i="3"/>
  <c r="Q980" i="3"/>
  <c r="R980" i="3" s="1"/>
  <c r="P980" i="3"/>
  <c r="Q1133" i="3"/>
  <c r="R1133" i="3" s="1"/>
  <c r="P1133" i="3"/>
  <c r="Q1179" i="3"/>
  <c r="R1179" i="3" s="1"/>
  <c r="P1179" i="3"/>
  <c r="Q1188" i="3"/>
  <c r="R1188" i="3" s="1"/>
  <c r="P1188" i="3"/>
  <c r="Q1328" i="3"/>
  <c r="R1328" i="3" s="1"/>
  <c r="P1328" i="3"/>
  <c r="P1604" i="3"/>
  <c r="Q1604" i="3"/>
  <c r="R1604" i="3" s="1"/>
  <c r="Q1686" i="3"/>
  <c r="R1686" i="3" s="1"/>
  <c r="P1686" i="3"/>
  <c r="P1783" i="3"/>
  <c r="Q1783" i="3"/>
  <c r="R1783" i="3" s="1"/>
  <c r="Q1790" i="3"/>
  <c r="R1790" i="3" s="1"/>
  <c r="Q2034" i="3"/>
  <c r="R2034" i="3" s="1"/>
  <c r="P2034" i="3"/>
  <c r="P2206" i="3"/>
  <c r="Q2206" i="3"/>
  <c r="R2206" i="3" s="1"/>
  <c r="Q2219" i="3"/>
  <c r="R2219" i="3" s="1"/>
  <c r="P2219" i="3"/>
  <c r="P898" i="3"/>
  <c r="P929" i="3"/>
  <c r="Q1062" i="3"/>
  <c r="R1062" i="3" s="1"/>
  <c r="P1062" i="3"/>
  <c r="Q1116" i="3"/>
  <c r="R1116" i="3" s="1"/>
  <c r="P1116" i="3"/>
  <c r="Q1329" i="3"/>
  <c r="R1329" i="3" s="1"/>
  <c r="P1329" i="3"/>
  <c r="Q1356" i="3"/>
  <c r="R1356" i="3" s="1"/>
  <c r="P1356" i="3"/>
  <c r="Q1362" i="3"/>
  <c r="R1362" i="3" s="1"/>
  <c r="P1362" i="3"/>
  <c r="Q1453" i="3"/>
  <c r="R1453" i="3" s="1"/>
  <c r="P1453" i="3"/>
  <c r="Q1528" i="3"/>
  <c r="R1528" i="3" s="1"/>
  <c r="P1528" i="3"/>
  <c r="Q1891" i="3"/>
  <c r="R1891" i="3" s="1"/>
  <c r="P1891" i="3"/>
  <c r="Q914" i="3"/>
  <c r="R914" i="3" s="1"/>
  <c r="P914" i="3"/>
  <c r="Q1002" i="3"/>
  <c r="R1002" i="3" s="1"/>
  <c r="P1002" i="3"/>
  <c r="Q1155" i="3"/>
  <c r="R1155" i="3" s="1"/>
  <c r="P1155" i="3"/>
  <c r="P1165" i="3"/>
  <c r="Q1165" i="3"/>
  <c r="R1165" i="3" s="1"/>
  <c r="Q1298" i="3"/>
  <c r="R1298" i="3" s="1"/>
  <c r="P1298" i="3"/>
  <c r="P1340" i="3"/>
  <c r="Q1340" i="3"/>
  <c r="R1340" i="3" s="1"/>
  <c r="Q1345" i="3"/>
  <c r="R1345" i="3" s="1"/>
  <c r="P1345" i="3"/>
  <c r="Q1369" i="3"/>
  <c r="R1369" i="3" s="1"/>
  <c r="P1369" i="3"/>
  <c r="Q1404" i="3"/>
  <c r="R1404" i="3" s="1"/>
  <c r="P1404" i="3"/>
  <c r="Q1411" i="3"/>
  <c r="R1411" i="3" s="1"/>
  <c r="P1411" i="3"/>
  <c r="Q1645" i="3"/>
  <c r="R1645" i="3" s="1"/>
  <c r="P1645" i="3"/>
  <c r="Q1728" i="3"/>
  <c r="R1728" i="3" s="1"/>
  <c r="P1728" i="3"/>
  <c r="Q1852" i="3"/>
  <c r="R1852" i="3" s="1"/>
  <c r="P1852" i="3"/>
  <c r="Q1860" i="3"/>
  <c r="R1860" i="3" s="1"/>
  <c r="P1860" i="3"/>
  <c r="Q2008" i="3"/>
  <c r="R2008" i="3" s="1"/>
  <c r="P2008" i="3"/>
  <c r="Q2016" i="3"/>
  <c r="R2016" i="3" s="1"/>
  <c r="P2016" i="3"/>
  <c r="P993" i="3"/>
  <c r="Q993" i="3"/>
  <c r="R993" i="3" s="1"/>
  <c r="P1112" i="3"/>
  <c r="Q1112" i="3"/>
  <c r="R1112" i="3" s="1"/>
  <c r="Q1222" i="3"/>
  <c r="R1222" i="3" s="1"/>
  <c r="P1222" i="3"/>
  <c r="Q1310" i="3"/>
  <c r="R1310" i="3" s="1"/>
  <c r="P1310" i="3"/>
  <c r="Q1352" i="3"/>
  <c r="R1352" i="3" s="1"/>
  <c r="P1352" i="3"/>
  <c r="Q1438" i="3"/>
  <c r="R1438" i="3" s="1"/>
  <c r="P1438" i="3"/>
  <c r="Q1449" i="3"/>
  <c r="R1449" i="3" s="1"/>
  <c r="P1449" i="3"/>
  <c r="Q1471" i="3"/>
  <c r="R1471" i="3" s="1"/>
  <c r="P1471" i="3"/>
  <c r="P1513" i="3"/>
  <c r="Q1513" i="3"/>
  <c r="R1513" i="3" s="1"/>
  <c r="P1612" i="3"/>
  <c r="Q1612" i="3"/>
  <c r="R1612" i="3" s="1"/>
  <c r="P663" i="3"/>
  <c r="P667" i="3"/>
  <c r="P675" i="3"/>
  <c r="P693" i="3"/>
  <c r="P835" i="3"/>
  <c r="Q1078" i="3"/>
  <c r="R1078" i="3" s="1"/>
  <c r="P1078" i="3"/>
  <c r="P1126" i="3"/>
  <c r="Q1126" i="3"/>
  <c r="R1126" i="3" s="1"/>
  <c r="Q1157" i="3"/>
  <c r="R1157" i="3" s="1"/>
  <c r="P1157" i="3"/>
  <c r="Q1267" i="3"/>
  <c r="R1267" i="3" s="1"/>
  <c r="P1267" i="3"/>
  <c r="Q1331" i="3"/>
  <c r="R1331" i="3" s="1"/>
  <c r="P1331" i="3"/>
  <c r="P1413" i="3"/>
  <c r="Q1413" i="3"/>
  <c r="R1413" i="3" s="1"/>
  <c r="P1557" i="3"/>
  <c r="Q1557" i="3"/>
  <c r="R1557" i="3" s="1"/>
  <c r="P1618" i="3"/>
  <c r="Q1618" i="3"/>
  <c r="R1618" i="3" s="1"/>
  <c r="Q715" i="3"/>
  <c r="R715" i="3" s="1"/>
  <c r="Q901" i="3"/>
  <c r="R901" i="3" s="1"/>
  <c r="Q962" i="3"/>
  <c r="R962" i="3" s="1"/>
  <c r="P962" i="3"/>
  <c r="Q1084" i="3"/>
  <c r="R1084" i="3" s="1"/>
  <c r="Q1102" i="3"/>
  <c r="R1102" i="3" s="1"/>
  <c r="P1102" i="3"/>
  <c r="Q1122" i="3"/>
  <c r="R1122" i="3" s="1"/>
  <c r="P1122" i="3"/>
  <c r="Q1131" i="3"/>
  <c r="R1131" i="3" s="1"/>
  <c r="P1131" i="3"/>
  <c r="Q1144" i="3"/>
  <c r="R1144" i="3" s="1"/>
  <c r="P1144" i="3"/>
  <c r="Q1173" i="3"/>
  <c r="R1173" i="3" s="1"/>
  <c r="P1173" i="3"/>
  <c r="Q1207" i="3"/>
  <c r="R1207" i="3" s="1"/>
  <c r="P1207" i="3"/>
  <c r="Q1276" i="3"/>
  <c r="R1276" i="3" s="1"/>
  <c r="P1276" i="3"/>
  <c r="Q1282" i="3"/>
  <c r="R1282" i="3" s="1"/>
  <c r="P1282" i="3"/>
  <c r="P1300" i="3"/>
  <c r="Q1300" i="3"/>
  <c r="R1300" i="3" s="1"/>
  <c r="Q1424" i="3"/>
  <c r="R1424" i="3" s="1"/>
  <c r="P1424" i="3"/>
  <c r="Q1563" i="3"/>
  <c r="R1563" i="3" s="1"/>
  <c r="P1563" i="3"/>
  <c r="P1653" i="3"/>
  <c r="Q1653" i="3"/>
  <c r="R1653" i="3" s="1"/>
  <c r="Q1674" i="3"/>
  <c r="R1674" i="3" s="1"/>
  <c r="P1674" i="3"/>
  <c r="P2038" i="3"/>
  <c r="Q2038" i="3"/>
  <c r="R2038" i="3" s="1"/>
  <c r="Q2780" i="3"/>
  <c r="R2780" i="3" s="1"/>
  <c r="P2780" i="3"/>
  <c r="Q2802" i="3"/>
  <c r="R2802" i="3" s="1"/>
  <c r="P2802" i="3"/>
  <c r="Q1354" i="3"/>
  <c r="R1354" i="3" s="1"/>
  <c r="P1354" i="3"/>
  <c r="P1526" i="3"/>
  <c r="Q1526" i="3"/>
  <c r="R1526" i="3" s="1"/>
  <c r="Q1665" i="3"/>
  <c r="R1665" i="3" s="1"/>
  <c r="P1665" i="3"/>
  <c r="Q1725" i="3"/>
  <c r="R1725" i="3" s="1"/>
  <c r="P1725" i="3"/>
  <c r="P1918" i="3"/>
  <c r="Q1918" i="3"/>
  <c r="R1918" i="3" s="1"/>
  <c r="Q1936" i="3"/>
  <c r="R1936" i="3" s="1"/>
  <c r="P1936" i="3"/>
  <c r="Q2352" i="3"/>
  <c r="R2352" i="3" s="1"/>
  <c r="P2352" i="3"/>
  <c r="Q2989" i="3"/>
  <c r="R2989" i="3" s="1"/>
  <c r="P2989" i="3"/>
  <c r="Q3195" i="3"/>
  <c r="R3195" i="3" s="1"/>
  <c r="P3195" i="3"/>
  <c r="Q1305" i="3"/>
  <c r="R1305" i="3" s="1"/>
  <c r="P1305" i="3"/>
  <c r="Q1363" i="3"/>
  <c r="R1363" i="3" s="1"/>
  <c r="P1363" i="3"/>
  <c r="Q1385" i="3"/>
  <c r="R1385" i="3" s="1"/>
  <c r="P1385" i="3"/>
  <c r="Q1409" i="3"/>
  <c r="R1409" i="3" s="1"/>
  <c r="P1409" i="3"/>
  <c r="Q1414" i="3"/>
  <c r="R1414" i="3" s="1"/>
  <c r="P1414" i="3"/>
  <c r="Q1483" i="3"/>
  <c r="R1483" i="3" s="1"/>
  <c r="P1483" i="3"/>
  <c r="Q1585" i="3"/>
  <c r="R1585" i="3" s="1"/>
  <c r="P1585" i="3"/>
  <c r="P1793" i="3"/>
  <c r="Q1793" i="3"/>
  <c r="R1793" i="3" s="1"/>
  <c r="Q1868" i="3"/>
  <c r="R1868" i="3" s="1"/>
  <c r="P1868" i="3"/>
  <c r="Q1881" i="3"/>
  <c r="R1881" i="3" s="1"/>
  <c r="P1881" i="3"/>
  <c r="Q1914" i="3"/>
  <c r="R1914" i="3" s="1"/>
  <c r="P1914" i="3"/>
  <c r="Q1930" i="3"/>
  <c r="R1930" i="3" s="1"/>
  <c r="P1930" i="3"/>
  <c r="Q1969" i="3"/>
  <c r="R1969" i="3" s="1"/>
  <c r="P1969" i="3"/>
  <c r="P2554" i="3"/>
  <c r="Q2554" i="3"/>
  <c r="R2554" i="3" s="1"/>
  <c r="Q2777" i="3"/>
  <c r="R2777" i="3" s="1"/>
  <c r="P2777" i="3"/>
  <c r="Q2825" i="3"/>
  <c r="R2825" i="3" s="1"/>
  <c r="P2825" i="3"/>
  <c r="P1266" i="3"/>
  <c r="Q1281" i="3"/>
  <c r="R1281" i="3" s="1"/>
  <c r="P1281" i="3"/>
  <c r="P1288" i="3"/>
  <c r="Q1288" i="3"/>
  <c r="R1288" i="3" s="1"/>
  <c r="Q1351" i="3"/>
  <c r="R1351" i="3" s="1"/>
  <c r="Q1364" i="3"/>
  <c r="R1364" i="3" s="1"/>
  <c r="P1364" i="3"/>
  <c r="Q1410" i="3"/>
  <c r="R1410" i="3" s="1"/>
  <c r="P1410" i="3"/>
  <c r="Q1461" i="3"/>
  <c r="R1461" i="3" s="1"/>
  <c r="Q1479" i="3"/>
  <c r="R1479" i="3" s="1"/>
  <c r="P1479" i="3"/>
  <c r="Q1484" i="3"/>
  <c r="R1484" i="3" s="1"/>
  <c r="P1522" i="3"/>
  <c r="Q1522" i="3"/>
  <c r="R1522" i="3" s="1"/>
  <c r="Q1531" i="3"/>
  <c r="R1531" i="3" s="1"/>
  <c r="P1531" i="3"/>
  <c r="P1576" i="3"/>
  <c r="Q1576" i="3"/>
  <c r="R1576" i="3" s="1"/>
  <c r="Q1586" i="3"/>
  <c r="R1586" i="3" s="1"/>
  <c r="P1586" i="3"/>
  <c r="Q1661" i="3"/>
  <c r="R1661" i="3" s="1"/>
  <c r="P1661" i="3"/>
  <c r="Q1689" i="3"/>
  <c r="R1689" i="3" s="1"/>
  <c r="P1689" i="3"/>
  <c r="Q1742" i="3"/>
  <c r="R1742" i="3" s="1"/>
  <c r="P1828" i="3"/>
  <c r="Q1828" i="3"/>
  <c r="R1828" i="3" s="1"/>
  <c r="Q1839" i="3"/>
  <c r="R1839" i="3" s="1"/>
  <c r="Q2049" i="3"/>
  <c r="R2049" i="3" s="1"/>
  <c r="P2049" i="3"/>
  <c r="Q2086" i="3"/>
  <c r="R2086" i="3" s="1"/>
  <c r="P2086" i="3"/>
  <c r="Q2269" i="3"/>
  <c r="R2269" i="3" s="1"/>
  <c r="P2269" i="3"/>
  <c r="P2528" i="3"/>
  <c r="Q2528" i="3"/>
  <c r="R2528" i="3" s="1"/>
  <c r="Q1448" i="3"/>
  <c r="R1448" i="3" s="1"/>
  <c r="P1448" i="3"/>
  <c r="Q1493" i="3"/>
  <c r="R1493" i="3" s="1"/>
  <c r="P1493" i="3"/>
  <c r="Q1517" i="3"/>
  <c r="R1517" i="3" s="1"/>
  <c r="P1517" i="3"/>
  <c r="Q1606" i="3"/>
  <c r="R1606" i="3" s="1"/>
  <c r="Q1620" i="3"/>
  <c r="R1620" i="3" s="1"/>
  <c r="P1620" i="3"/>
  <c r="Q1671" i="3"/>
  <c r="R1671" i="3" s="1"/>
  <c r="P1671" i="3"/>
  <c r="P1717" i="3"/>
  <c r="Q1717" i="3"/>
  <c r="R1717" i="3" s="1"/>
  <c r="P1754" i="3"/>
  <c r="Q1754" i="3"/>
  <c r="R1754" i="3" s="1"/>
  <c r="Q1771" i="3"/>
  <c r="R1771" i="3" s="1"/>
  <c r="P1771" i="3"/>
  <c r="Q1875" i="3"/>
  <c r="R1875" i="3" s="1"/>
  <c r="P1875" i="3"/>
  <c r="Q2036" i="3"/>
  <c r="R2036" i="3" s="1"/>
  <c r="P2036" i="3"/>
  <c r="Q2146" i="3"/>
  <c r="R2146" i="3" s="1"/>
  <c r="P2146" i="3"/>
  <c r="Q2439" i="3"/>
  <c r="R2439" i="3" s="1"/>
  <c r="P2439" i="3"/>
  <c r="Q1106" i="3"/>
  <c r="R1106" i="3" s="1"/>
  <c r="Q1167" i="3"/>
  <c r="R1167" i="3" s="1"/>
  <c r="Q1259" i="3"/>
  <c r="R1259" i="3" s="1"/>
  <c r="P1335" i="3"/>
  <c r="P1475" i="3"/>
  <c r="Q1475" i="3"/>
  <c r="R1475" i="3" s="1"/>
  <c r="P1494" i="3"/>
  <c r="Q1518" i="3"/>
  <c r="R1518" i="3" s="1"/>
  <c r="Q1537" i="3"/>
  <c r="R1537" i="3" s="1"/>
  <c r="Q1572" i="3"/>
  <c r="R1572" i="3" s="1"/>
  <c r="Q1727" i="3"/>
  <c r="R1727" i="3" s="1"/>
  <c r="P1727" i="3"/>
  <c r="Q1732" i="3"/>
  <c r="R1732" i="3" s="1"/>
  <c r="P1732" i="3"/>
  <c r="Q1760" i="3"/>
  <c r="R1760" i="3" s="1"/>
  <c r="P1760" i="3"/>
  <c r="P1876" i="3"/>
  <c r="Q1876" i="3"/>
  <c r="R1876" i="3" s="1"/>
  <c r="P1897" i="3"/>
  <c r="Q1897" i="3"/>
  <c r="R1897" i="3" s="1"/>
  <c r="Q2056" i="3"/>
  <c r="R2056" i="3" s="1"/>
  <c r="Q2133" i="3"/>
  <c r="R2133" i="3" s="1"/>
  <c r="P2133" i="3"/>
  <c r="Q2192" i="3"/>
  <c r="R2192" i="3" s="1"/>
  <c r="P2192" i="3"/>
  <c r="Q2433" i="3"/>
  <c r="R2433" i="3" s="1"/>
  <c r="P2433" i="3"/>
  <c r="Q1402" i="3"/>
  <c r="R1402" i="3" s="1"/>
  <c r="P1402" i="3"/>
  <c r="P1406" i="3"/>
  <c r="Q1406" i="3"/>
  <c r="R1406" i="3" s="1"/>
  <c r="P1657" i="3"/>
  <c r="Q1657" i="3"/>
  <c r="R1657" i="3" s="1"/>
  <c r="Q1846" i="3"/>
  <c r="R1846" i="3" s="1"/>
  <c r="P1846" i="3"/>
  <c r="Q1904" i="3"/>
  <c r="R1904" i="3" s="1"/>
  <c r="P1904" i="3"/>
  <c r="P2012" i="3"/>
  <c r="Q2012" i="3"/>
  <c r="R2012" i="3" s="1"/>
  <c r="Q2134" i="3"/>
  <c r="R2134" i="3" s="1"/>
  <c r="P2134" i="3"/>
  <c r="Q2141" i="3"/>
  <c r="R2141" i="3" s="1"/>
  <c r="P2141" i="3"/>
  <c r="Q2356" i="3"/>
  <c r="R2356" i="3" s="1"/>
  <c r="P2356" i="3"/>
  <c r="Q2388" i="3"/>
  <c r="R2388" i="3" s="1"/>
  <c r="P2388" i="3"/>
  <c r="Q1383" i="3"/>
  <c r="R1383" i="3" s="1"/>
  <c r="P1383" i="3"/>
  <c r="Q1454" i="3"/>
  <c r="R1454" i="3" s="1"/>
  <c r="P1454" i="3"/>
  <c r="P1499" i="3"/>
  <c r="Q1499" i="3"/>
  <c r="R1499" i="3" s="1"/>
  <c r="P1682" i="3"/>
  <c r="Q1682" i="3"/>
  <c r="R1682" i="3" s="1"/>
  <c r="Q1785" i="3"/>
  <c r="R1785" i="3" s="1"/>
  <c r="P1785" i="3"/>
  <c r="Q1871" i="3"/>
  <c r="R1871" i="3" s="1"/>
  <c r="P1871" i="3"/>
  <c r="Q1957" i="3"/>
  <c r="R1957" i="3" s="1"/>
  <c r="P1957" i="3"/>
  <c r="Q2195" i="3"/>
  <c r="R2195" i="3" s="1"/>
  <c r="P2195" i="3"/>
  <c r="P2305" i="3"/>
  <c r="Q2305" i="3"/>
  <c r="R2305" i="3" s="1"/>
  <c r="P1384" i="3"/>
  <c r="P1396" i="3"/>
  <c r="P1408" i="3"/>
  <c r="Q1421" i="3"/>
  <c r="R1421" i="3" s="1"/>
  <c r="P1421" i="3"/>
  <c r="Q1459" i="3"/>
  <c r="R1459" i="3" s="1"/>
  <c r="P1459" i="3"/>
  <c r="Q1500" i="3"/>
  <c r="R1500" i="3" s="1"/>
  <c r="P1500" i="3"/>
  <c r="P1539" i="3"/>
  <c r="Q1539" i="3"/>
  <c r="R1539" i="3" s="1"/>
  <c r="P1608" i="3"/>
  <c r="Q1608" i="3"/>
  <c r="R1608" i="3" s="1"/>
  <c r="Q1678" i="3"/>
  <c r="R1678" i="3" s="1"/>
  <c r="P1678" i="3"/>
  <c r="Q1706" i="3"/>
  <c r="R1706" i="3" s="1"/>
  <c r="P1706" i="3"/>
  <c r="P1735" i="3"/>
  <c r="Q1735" i="3"/>
  <c r="R1735" i="3" s="1"/>
  <c r="Q2252" i="3"/>
  <c r="R2252" i="3" s="1"/>
  <c r="P2252" i="3"/>
  <c r="P1043" i="3"/>
  <c r="Q1043" i="3"/>
  <c r="R1043" i="3" s="1"/>
  <c r="Q1312" i="3"/>
  <c r="R1312" i="3" s="1"/>
  <c r="P1312" i="3"/>
  <c r="P1375" i="3"/>
  <c r="Q1375" i="3"/>
  <c r="R1375" i="3" s="1"/>
  <c r="Q1464" i="3"/>
  <c r="R1464" i="3" s="1"/>
  <c r="P1464" i="3"/>
  <c r="Q1501" i="3"/>
  <c r="R1501" i="3" s="1"/>
  <c r="P1629" i="3"/>
  <c r="Q1629" i="3"/>
  <c r="R1629" i="3" s="1"/>
  <c r="Q1693" i="3"/>
  <c r="R1693" i="3" s="1"/>
  <c r="Q1825" i="3"/>
  <c r="R1825" i="3" s="1"/>
  <c r="P1825" i="3"/>
  <c r="Q2015" i="3"/>
  <c r="R2015" i="3" s="1"/>
  <c r="P2015" i="3"/>
  <c r="Q2040" i="3"/>
  <c r="R2040" i="3" s="1"/>
  <c r="P2040" i="3"/>
  <c r="Q2169" i="3"/>
  <c r="R2169" i="3" s="1"/>
  <c r="P2169" i="3"/>
  <c r="Q2176" i="3"/>
  <c r="R2176" i="3" s="1"/>
  <c r="P2176" i="3"/>
  <c r="Q1894" i="3"/>
  <c r="R1894" i="3" s="1"/>
  <c r="P1894" i="3"/>
  <c r="Q1939" i="3"/>
  <c r="R1939" i="3" s="1"/>
  <c r="P1939" i="3"/>
  <c r="Q1950" i="3"/>
  <c r="R1950" i="3" s="1"/>
  <c r="P1950" i="3"/>
  <c r="Q1987" i="3"/>
  <c r="R1987" i="3" s="1"/>
  <c r="P1987" i="3"/>
  <c r="Q2092" i="3"/>
  <c r="R2092" i="3" s="1"/>
  <c r="P2092" i="3"/>
  <c r="P2123" i="3"/>
  <c r="Q2123" i="3"/>
  <c r="R2123" i="3" s="1"/>
  <c r="Q2586" i="3"/>
  <c r="R2586" i="3" s="1"/>
  <c r="P2586" i="3"/>
  <c r="Q2247" i="3"/>
  <c r="R2247" i="3" s="1"/>
  <c r="P2247" i="3"/>
  <c r="P2359" i="3"/>
  <c r="Q2359" i="3"/>
  <c r="R2359" i="3" s="1"/>
  <c r="P2708" i="3"/>
  <c r="Q2708" i="3"/>
  <c r="R2708" i="3" s="1"/>
  <c r="P2254" i="3"/>
  <c r="Q2254" i="3"/>
  <c r="R2254" i="3" s="1"/>
  <c r="Q2275" i="3"/>
  <c r="R2275" i="3" s="1"/>
  <c r="P2275" i="3"/>
  <c r="Q2466" i="3"/>
  <c r="R2466" i="3" s="1"/>
  <c r="P2466" i="3"/>
  <c r="Q2473" i="3"/>
  <c r="R2473" i="3" s="1"/>
  <c r="P2473" i="3"/>
  <c r="P2696" i="3"/>
  <c r="Q2696" i="3"/>
  <c r="R2696" i="3" s="1"/>
  <c r="Q2179" i="3"/>
  <c r="R2179" i="3" s="1"/>
  <c r="P2179" i="3"/>
  <c r="Q2203" i="3"/>
  <c r="R2203" i="3" s="1"/>
  <c r="P2203" i="3"/>
  <c r="P2222" i="3"/>
  <c r="Q2222" i="3"/>
  <c r="R2222" i="3" s="1"/>
  <c r="Q2282" i="3"/>
  <c r="R2282" i="3" s="1"/>
  <c r="P2282" i="3"/>
  <c r="Q2456" i="3"/>
  <c r="R2456" i="3" s="1"/>
  <c r="P2456" i="3"/>
  <c r="Q2680" i="3"/>
  <c r="R2680" i="3" s="1"/>
  <c r="P2680" i="3"/>
  <c r="P3024" i="3"/>
  <c r="Q3024" i="3"/>
  <c r="R3024" i="3" s="1"/>
  <c r="Q1885" i="3"/>
  <c r="R1885" i="3" s="1"/>
  <c r="P1885" i="3"/>
  <c r="P2065" i="3"/>
  <c r="Q2065" i="3"/>
  <c r="R2065" i="3" s="1"/>
  <c r="Q2160" i="3"/>
  <c r="R2160" i="3" s="1"/>
  <c r="P2160" i="3"/>
  <c r="P2243" i="3"/>
  <c r="Q2243" i="3"/>
  <c r="R2243" i="3" s="1"/>
  <c r="Q2517" i="3"/>
  <c r="R2517" i="3" s="1"/>
  <c r="P2517" i="3"/>
  <c r="Q1319" i="3"/>
  <c r="R1319" i="3" s="1"/>
  <c r="P1319" i="3"/>
  <c r="Q1347" i="3"/>
  <c r="R1347" i="3" s="1"/>
  <c r="P1347" i="3"/>
  <c r="Q1590" i="3"/>
  <c r="R1590" i="3" s="1"/>
  <c r="P1590" i="3"/>
  <c r="Q1621" i="3"/>
  <c r="R1621" i="3" s="1"/>
  <c r="P1621" i="3"/>
  <c r="Q1699" i="3"/>
  <c r="R1699" i="3" s="1"/>
  <c r="P1699" i="3"/>
  <c r="Q1795" i="3"/>
  <c r="R1795" i="3" s="1"/>
  <c r="P1795" i="3"/>
  <c r="Q1807" i="3"/>
  <c r="R1807" i="3" s="1"/>
  <c r="P1807" i="3"/>
  <c r="Q1855" i="3"/>
  <c r="R1855" i="3" s="1"/>
  <c r="P1855" i="3"/>
  <c r="P1900" i="3"/>
  <c r="Q1900" i="3"/>
  <c r="R1900" i="3" s="1"/>
  <c r="Q1927" i="3"/>
  <c r="R1927" i="3" s="1"/>
  <c r="P1955" i="3"/>
  <c r="Q1955" i="3"/>
  <c r="R1955" i="3" s="1"/>
  <c r="P2024" i="3"/>
  <c r="Q2024" i="3"/>
  <c r="R2024" i="3" s="1"/>
  <c r="Q2244" i="3"/>
  <c r="R2244" i="3" s="1"/>
  <c r="P2244" i="3"/>
  <c r="Q2315" i="3"/>
  <c r="R2315" i="3" s="1"/>
  <c r="P2315" i="3"/>
  <c r="P2368" i="3"/>
  <c r="Q2368" i="3"/>
  <c r="R2368" i="3" s="1"/>
  <c r="Q2395" i="3"/>
  <c r="R2395" i="3" s="1"/>
  <c r="P2395" i="3"/>
  <c r="Q2740" i="3"/>
  <c r="R2740" i="3" s="1"/>
  <c r="P2740" i="3"/>
  <c r="Q1371" i="3"/>
  <c r="R1371" i="3" s="1"/>
  <c r="P1371" i="3"/>
  <c r="P1508" i="3"/>
  <c r="Q1508" i="3"/>
  <c r="R1508" i="3" s="1"/>
  <c r="Q1567" i="3"/>
  <c r="R1567" i="3" s="1"/>
  <c r="P1567" i="3"/>
  <c r="Q1622" i="3"/>
  <c r="R1622" i="3" s="1"/>
  <c r="P1622" i="3"/>
  <c r="Q1796" i="3"/>
  <c r="R1796" i="3" s="1"/>
  <c r="P1796" i="3"/>
  <c r="Q1907" i="3"/>
  <c r="R1907" i="3" s="1"/>
  <c r="P1907" i="3"/>
  <c r="Q1923" i="3"/>
  <c r="R1923" i="3" s="1"/>
  <c r="Q2048" i="3"/>
  <c r="R2048" i="3" s="1"/>
  <c r="P2048" i="3"/>
  <c r="Q2225" i="3"/>
  <c r="R2225" i="3" s="1"/>
  <c r="P2225" i="3"/>
  <c r="Q2380" i="3"/>
  <c r="R2380" i="3" s="1"/>
  <c r="P2380" i="3"/>
  <c r="Q2459" i="3"/>
  <c r="R2459" i="3" s="1"/>
  <c r="P2110" i="3"/>
  <c r="Q2110" i="3"/>
  <c r="R2110" i="3" s="1"/>
  <c r="Q2267" i="3"/>
  <c r="R2267" i="3" s="1"/>
  <c r="P2267" i="3"/>
  <c r="Q2283" i="3"/>
  <c r="R2283" i="3" s="1"/>
  <c r="P2283" i="3"/>
  <c r="P2353" i="3"/>
  <c r="Q2353" i="3"/>
  <c r="R2353" i="3" s="1"/>
  <c r="Q2397" i="3"/>
  <c r="R2397" i="3" s="1"/>
  <c r="P2397" i="3"/>
  <c r="P2636" i="3"/>
  <c r="Q2636" i="3"/>
  <c r="R2636" i="3" s="1"/>
  <c r="P2713" i="3"/>
  <c r="Q2713" i="3"/>
  <c r="R2713" i="3" s="1"/>
  <c r="P2837" i="3"/>
  <c r="Q2837" i="3"/>
  <c r="R2837" i="3" s="1"/>
  <c r="P2959" i="3"/>
  <c r="Q2959" i="3"/>
  <c r="R2959" i="3" s="1"/>
  <c r="Q1880" i="3"/>
  <c r="R1880" i="3" s="1"/>
  <c r="P1890" i="3"/>
  <c r="P2002" i="3"/>
  <c r="Q2002" i="3"/>
  <c r="R2002" i="3" s="1"/>
  <c r="Q2066" i="3"/>
  <c r="R2066" i="3" s="1"/>
  <c r="Q2138" i="3"/>
  <c r="R2138" i="3" s="1"/>
  <c r="Q2158" i="3"/>
  <c r="R2158" i="3" s="1"/>
  <c r="Q2238" i="3"/>
  <c r="R2238" i="3" s="1"/>
  <c r="P2238" i="3"/>
  <c r="P2273" i="3"/>
  <c r="Q2273" i="3"/>
  <c r="R2273" i="3" s="1"/>
  <c r="P2521" i="3"/>
  <c r="Q2521" i="3"/>
  <c r="R2521" i="3" s="1"/>
  <c r="Q1965" i="3"/>
  <c r="R1965" i="3" s="1"/>
  <c r="P1965" i="3"/>
  <c r="Q1996" i="3"/>
  <c r="R1996" i="3" s="1"/>
  <c r="P1996" i="3"/>
  <c r="P2030" i="3"/>
  <c r="Q2030" i="3"/>
  <c r="R2030" i="3" s="1"/>
  <c r="Q2060" i="3"/>
  <c r="R2060" i="3" s="1"/>
  <c r="P2060" i="3"/>
  <c r="Q2171" i="3"/>
  <c r="R2171" i="3" s="1"/>
  <c r="P2171" i="3"/>
  <c r="Q2256" i="3"/>
  <c r="R2256" i="3" s="1"/>
  <c r="P2256" i="3"/>
  <c r="P2354" i="3"/>
  <c r="Q2354" i="3"/>
  <c r="R2354" i="3" s="1"/>
  <c r="Q2481" i="3"/>
  <c r="R2481" i="3" s="1"/>
  <c r="P2481" i="3"/>
  <c r="P2537" i="3"/>
  <c r="Q2537" i="3"/>
  <c r="R2537" i="3" s="1"/>
  <c r="Q2646" i="3"/>
  <c r="R2646" i="3" s="1"/>
  <c r="P2646" i="3"/>
  <c r="P2686" i="3"/>
  <c r="Q2686" i="3"/>
  <c r="R2686" i="3" s="1"/>
  <c r="P3182" i="3"/>
  <c r="Q3182" i="3"/>
  <c r="R3182" i="3" s="1"/>
  <c r="Q1792" i="3"/>
  <c r="R1792" i="3" s="1"/>
  <c r="P1792" i="3"/>
  <c r="Q1960" i="3"/>
  <c r="R1960" i="3" s="1"/>
  <c r="P1960" i="3"/>
  <c r="P2221" i="3"/>
  <c r="Q2221" i="3"/>
  <c r="R2221" i="3" s="1"/>
  <c r="Q2257" i="3"/>
  <c r="R2257" i="3" s="1"/>
  <c r="P2257" i="3"/>
  <c r="Q2263" i="3"/>
  <c r="R2263" i="3" s="1"/>
  <c r="P2263" i="3"/>
  <c r="Q2367" i="3"/>
  <c r="R2367" i="3" s="1"/>
  <c r="P2367" i="3"/>
  <c r="P2390" i="3"/>
  <c r="Q2390" i="3"/>
  <c r="R2390" i="3" s="1"/>
  <c r="Q2416" i="3"/>
  <c r="R2416" i="3" s="1"/>
  <c r="P2416" i="3"/>
  <c r="Q2444" i="3"/>
  <c r="R2444" i="3" s="1"/>
  <c r="P2444" i="3"/>
  <c r="P2450" i="3"/>
  <c r="Q2450" i="3"/>
  <c r="R2450" i="3" s="1"/>
  <c r="Q2572" i="3"/>
  <c r="R2572" i="3" s="1"/>
  <c r="P2572" i="3"/>
  <c r="Q2804" i="3"/>
  <c r="R2804" i="3" s="1"/>
  <c r="P2804" i="3"/>
  <c r="Q3100" i="3"/>
  <c r="R3100" i="3" s="1"/>
  <c r="P3100" i="3"/>
  <c r="Q1675" i="3"/>
  <c r="R1675" i="3" s="1"/>
  <c r="P1675" i="3"/>
  <c r="Q2083" i="3"/>
  <c r="R2083" i="3" s="1"/>
  <c r="P2083" i="3"/>
  <c r="P2095" i="3"/>
  <c r="Q2095" i="3"/>
  <c r="R2095" i="3" s="1"/>
  <c r="P2330" i="3"/>
  <c r="Q2330" i="3"/>
  <c r="R2330" i="3" s="1"/>
  <c r="Q2598" i="3"/>
  <c r="R2598" i="3" s="1"/>
  <c r="P2598" i="3"/>
  <c r="Q2655" i="3"/>
  <c r="R2655" i="3" s="1"/>
  <c r="P2655" i="3"/>
  <c r="Q2922" i="3"/>
  <c r="R2922" i="3" s="1"/>
  <c r="P2922" i="3"/>
  <c r="Q1845" i="3"/>
  <c r="R1845" i="3" s="1"/>
  <c r="P1845" i="3"/>
  <c r="Q2057" i="3"/>
  <c r="R2057" i="3" s="1"/>
  <c r="P2057" i="3"/>
  <c r="Q2292" i="3"/>
  <c r="R2292" i="3" s="1"/>
  <c r="P2292" i="3"/>
  <c r="P2525" i="3"/>
  <c r="Q2525" i="3"/>
  <c r="R2525" i="3" s="1"/>
  <c r="Q2682" i="3"/>
  <c r="R2682" i="3" s="1"/>
  <c r="P2682" i="3"/>
  <c r="Q2862" i="3"/>
  <c r="R2862" i="3" s="1"/>
  <c r="P2862" i="3"/>
  <c r="Q1617" i="3"/>
  <c r="R1617" i="3" s="1"/>
  <c r="P1617" i="3"/>
  <c r="Q1648" i="3"/>
  <c r="R1648" i="3" s="1"/>
  <c r="P1648" i="3"/>
  <c r="P1863" i="3"/>
  <c r="Q1863" i="3"/>
  <c r="R1863" i="3" s="1"/>
  <c r="Q2129" i="3"/>
  <c r="R2129" i="3" s="1"/>
  <c r="P2129" i="3"/>
  <c r="Q2718" i="3"/>
  <c r="R2718" i="3" s="1"/>
  <c r="P2718" i="3"/>
  <c r="Q2731" i="3"/>
  <c r="R2731" i="3" s="1"/>
  <c r="P2731" i="3"/>
  <c r="P3068" i="3"/>
  <c r="Q3068" i="3"/>
  <c r="R3068" i="3" s="1"/>
  <c r="Q1644" i="3"/>
  <c r="R1644" i="3" s="1"/>
  <c r="P1644" i="3"/>
  <c r="Q1720" i="3"/>
  <c r="R1720" i="3" s="1"/>
  <c r="P1720" i="3"/>
  <c r="Q1841" i="3"/>
  <c r="R1841" i="3" s="1"/>
  <c r="P1841" i="3"/>
  <c r="Q2069" i="3"/>
  <c r="R2069" i="3" s="1"/>
  <c r="P2069" i="3"/>
  <c r="P2168" i="3"/>
  <c r="Q2168" i="3"/>
  <c r="R2168" i="3" s="1"/>
  <c r="Q2242" i="3"/>
  <c r="R2242" i="3" s="1"/>
  <c r="P2242" i="3"/>
  <c r="Q2560" i="3"/>
  <c r="R2560" i="3" s="1"/>
  <c r="P2560" i="3"/>
  <c r="Q2650" i="3"/>
  <c r="R2650" i="3" s="1"/>
  <c r="P2650" i="3"/>
  <c r="Q2719" i="3"/>
  <c r="R2719" i="3" s="1"/>
  <c r="P2719" i="3"/>
  <c r="Q2752" i="3"/>
  <c r="R2752" i="3" s="1"/>
  <c r="P2752" i="3"/>
  <c r="Q2932" i="3"/>
  <c r="R2932" i="3" s="1"/>
  <c r="P2932" i="3"/>
  <c r="Q2541" i="3"/>
  <c r="R2541" i="3" s="1"/>
  <c r="P2541" i="3"/>
  <c r="Q2619" i="3"/>
  <c r="R2619" i="3" s="1"/>
  <c r="P2619" i="3"/>
  <c r="Q2643" i="3"/>
  <c r="R2643" i="3" s="1"/>
  <c r="P2643" i="3"/>
  <c r="Q2679" i="3"/>
  <c r="R2679" i="3" s="1"/>
  <c r="P2679" i="3"/>
  <c r="Q2763" i="3"/>
  <c r="R2763" i="3" s="1"/>
  <c r="P2763" i="3"/>
  <c r="Q2786" i="3"/>
  <c r="R2786" i="3" s="1"/>
  <c r="P2786" i="3"/>
  <c r="P2807" i="3"/>
  <c r="Q2807" i="3"/>
  <c r="R2807" i="3" s="1"/>
  <c r="P2962" i="3"/>
  <c r="Q2962" i="3"/>
  <c r="R2962" i="3" s="1"/>
  <c r="P3010" i="3"/>
  <c r="Q3010" i="3"/>
  <c r="R3010" i="3" s="1"/>
  <c r="Q3172" i="3"/>
  <c r="R3172" i="3" s="1"/>
  <c r="P3172" i="3"/>
  <c r="Q2193" i="3"/>
  <c r="R2193" i="3" s="1"/>
  <c r="P2193" i="3"/>
  <c r="Q2253" i="3"/>
  <c r="R2253" i="3" s="1"/>
  <c r="P2253" i="3"/>
  <c r="P2258" i="3"/>
  <c r="Q2258" i="3"/>
  <c r="R2258" i="3" s="1"/>
  <c r="Q2457" i="3"/>
  <c r="R2457" i="3" s="1"/>
  <c r="P2457" i="3"/>
  <c r="P2566" i="3"/>
  <c r="Q2637" i="3"/>
  <c r="R2637" i="3" s="1"/>
  <c r="P2637" i="3"/>
  <c r="Q2674" i="3"/>
  <c r="R2674" i="3" s="1"/>
  <c r="Q2681" i="3"/>
  <c r="R2681" i="3" s="1"/>
  <c r="P2681" i="3"/>
  <c r="Q2788" i="3"/>
  <c r="R2788" i="3" s="1"/>
  <c r="P2801" i="3"/>
  <c r="P2826" i="3"/>
  <c r="P2873" i="3"/>
  <c r="Q2933" i="3"/>
  <c r="R2933" i="3" s="1"/>
  <c r="P2933" i="3"/>
  <c r="Q2946" i="3"/>
  <c r="R2946" i="3" s="1"/>
  <c r="P2946" i="3"/>
  <c r="P3004" i="3"/>
  <c r="Q3028" i="3"/>
  <c r="R3028" i="3" s="1"/>
  <c r="P3028" i="3"/>
  <c r="P3041" i="3"/>
  <c r="Q3041" i="3"/>
  <c r="R3041" i="3" s="1"/>
  <c r="P3048" i="3"/>
  <c r="P3112" i="3"/>
  <c r="Q3112" i="3"/>
  <c r="R3112" i="3" s="1"/>
  <c r="P3119" i="3"/>
  <c r="Q3119" i="3"/>
  <c r="R3119" i="3" s="1"/>
  <c r="P3141" i="3"/>
  <c r="P2467" i="3"/>
  <c r="Q2467" i="3"/>
  <c r="R2467" i="3" s="1"/>
  <c r="Q2486" i="3"/>
  <c r="R2486" i="3" s="1"/>
  <c r="P2486" i="3"/>
  <c r="Q2601" i="3"/>
  <c r="R2601" i="3" s="1"/>
  <c r="P2601" i="3"/>
  <c r="P2645" i="3"/>
  <c r="Q2645" i="3"/>
  <c r="R2645" i="3" s="1"/>
  <c r="Q2965" i="3"/>
  <c r="R2965" i="3" s="1"/>
  <c r="P2965" i="3"/>
  <c r="P3086" i="3"/>
  <c r="Q3086" i="3"/>
  <c r="R3086" i="3" s="1"/>
  <c r="Q2886" i="3"/>
  <c r="R2886" i="3" s="1"/>
  <c r="P2886" i="3"/>
  <c r="P3050" i="3"/>
  <c r="Q3050" i="3"/>
  <c r="R3050" i="3" s="1"/>
  <c r="Q3183" i="3"/>
  <c r="R3183" i="3" s="1"/>
  <c r="P3183" i="3"/>
  <c r="P2488" i="3"/>
  <c r="Q2488" i="3"/>
  <c r="R2488" i="3" s="1"/>
  <c r="Q2670" i="3"/>
  <c r="R2670" i="3" s="1"/>
  <c r="P2670" i="3"/>
  <c r="P3022" i="3"/>
  <c r="Q3022" i="3"/>
  <c r="R3022" i="3" s="1"/>
  <c r="P3051" i="3"/>
  <c r="Q3051" i="3"/>
  <c r="R3051" i="3" s="1"/>
  <c r="P3168" i="3"/>
  <c r="Q3168" i="3"/>
  <c r="R3168" i="3" s="1"/>
  <c r="Q2587" i="3"/>
  <c r="R2587" i="3" s="1"/>
  <c r="P2587" i="3"/>
  <c r="P2623" i="3"/>
  <c r="Q2623" i="3"/>
  <c r="R2623" i="3" s="1"/>
  <c r="P2629" i="3"/>
  <c r="Q2629" i="3"/>
  <c r="R2629" i="3" s="1"/>
  <c r="P2648" i="3"/>
  <c r="Q2648" i="3"/>
  <c r="R2648" i="3" s="1"/>
  <c r="Q2778" i="3"/>
  <c r="R2778" i="3" s="1"/>
  <c r="P2778" i="3"/>
  <c r="P2792" i="3"/>
  <c r="Q2792" i="3"/>
  <c r="R2792" i="3" s="1"/>
  <c r="Q2811" i="3"/>
  <c r="R2811" i="3" s="1"/>
  <c r="P2811" i="3"/>
  <c r="Q2838" i="3"/>
  <c r="R2838" i="3" s="1"/>
  <c r="P2838" i="3"/>
  <c r="Q2882" i="3"/>
  <c r="R2882" i="3" s="1"/>
  <c r="P2882" i="3"/>
  <c r="P2924" i="3"/>
  <c r="Q2924" i="3"/>
  <c r="R2924" i="3" s="1"/>
  <c r="P3076" i="3"/>
  <c r="Q3076" i="3"/>
  <c r="R3076" i="3" s="1"/>
  <c r="Q3178" i="3"/>
  <c r="R3178" i="3" s="1"/>
  <c r="P3178" i="3"/>
  <c r="Q2094" i="3"/>
  <c r="R2094" i="3" s="1"/>
  <c r="P2094" i="3"/>
  <c r="Q2181" i="3"/>
  <c r="R2181" i="3" s="1"/>
  <c r="P2181" i="3"/>
  <c r="Q2340" i="3"/>
  <c r="R2340" i="3" s="1"/>
  <c r="P2340" i="3"/>
  <c r="P2410" i="3"/>
  <c r="Q2414" i="3"/>
  <c r="R2414" i="3" s="1"/>
  <c r="P2435" i="3"/>
  <c r="Q2435" i="3"/>
  <c r="R2435" i="3" s="1"/>
  <c r="Q2455" i="3"/>
  <c r="R2455" i="3" s="1"/>
  <c r="Q2491" i="3"/>
  <c r="R2491" i="3" s="1"/>
  <c r="Q2502" i="3"/>
  <c r="R2502" i="3" s="1"/>
  <c r="P2502" i="3"/>
  <c r="Q2520" i="3"/>
  <c r="R2520" i="3" s="1"/>
  <c r="P2520" i="3"/>
  <c r="P2588" i="3"/>
  <c r="P2594" i="3"/>
  <c r="P2624" i="3"/>
  <c r="P2630" i="3"/>
  <c r="P2656" i="3"/>
  <c r="Q2656" i="3"/>
  <c r="R2656" i="3" s="1"/>
  <c r="Q2692" i="3"/>
  <c r="R2692" i="3" s="1"/>
  <c r="Q2754" i="3"/>
  <c r="R2754" i="3" s="1"/>
  <c r="P2754" i="3"/>
  <c r="Q2761" i="3"/>
  <c r="R2761" i="3" s="1"/>
  <c r="P2761" i="3"/>
  <c r="Q2773" i="3"/>
  <c r="R2773" i="3" s="1"/>
  <c r="P2773" i="3"/>
  <c r="Q2895" i="3"/>
  <c r="R2895" i="3" s="1"/>
  <c r="P2895" i="3"/>
  <c r="P2951" i="3"/>
  <c r="Q2951" i="3"/>
  <c r="R2951" i="3" s="1"/>
  <c r="P2977" i="3"/>
  <c r="Q2977" i="3"/>
  <c r="R2977" i="3" s="1"/>
  <c r="Q3016" i="3"/>
  <c r="R3016" i="3" s="1"/>
  <c r="P3016" i="3"/>
  <c r="P3138" i="3"/>
  <c r="Q3138" i="3"/>
  <c r="R3138" i="3" s="1"/>
  <c r="P3162" i="3"/>
  <c r="Q3162" i="3"/>
  <c r="R3162" i="3" s="1"/>
  <c r="P3207" i="3"/>
  <c r="Q3207" i="3"/>
  <c r="R3207" i="3" s="1"/>
  <c r="P3231" i="3"/>
  <c r="Q3231" i="3"/>
  <c r="R3231" i="3" s="1"/>
  <c r="P2159" i="3"/>
  <c r="Q2159" i="3"/>
  <c r="R2159" i="3" s="1"/>
  <c r="Q2392" i="3"/>
  <c r="R2392" i="3" s="1"/>
  <c r="Q2535" i="3"/>
  <c r="R2535" i="3" s="1"/>
  <c r="P2535" i="3"/>
  <c r="Q2564" i="3"/>
  <c r="R2564" i="3" s="1"/>
  <c r="P2564" i="3"/>
  <c r="P2611" i="3"/>
  <c r="P2729" i="3"/>
  <c r="P2747" i="3"/>
  <c r="Q2747" i="3"/>
  <c r="R2747" i="3" s="1"/>
  <c r="P2755" i="3"/>
  <c r="Q2755" i="3"/>
  <c r="R2755" i="3" s="1"/>
  <c r="Q2806" i="3"/>
  <c r="R2806" i="3" s="1"/>
  <c r="P2806" i="3"/>
  <c r="P2824" i="3"/>
  <c r="Q2824" i="3"/>
  <c r="R2824" i="3" s="1"/>
  <c r="P2851" i="3"/>
  <c r="Q2851" i="3"/>
  <c r="R2851" i="3" s="1"/>
  <c r="Q2938" i="3"/>
  <c r="R2938" i="3" s="1"/>
  <c r="P3002" i="3"/>
  <c r="Q3002" i="3"/>
  <c r="R3002" i="3" s="1"/>
  <c r="P3063" i="3"/>
  <c r="Q3063" i="3"/>
  <c r="R3063" i="3" s="1"/>
  <c r="Q3091" i="3"/>
  <c r="R3091" i="3" s="1"/>
  <c r="P3091" i="3"/>
  <c r="P3147" i="3"/>
  <c r="Q3147" i="3"/>
  <c r="R3147" i="3" s="1"/>
  <c r="Q2398" i="3"/>
  <c r="R2398" i="3" s="1"/>
  <c r="P2403" i="3"/>
  <c r="P2412" i="3"/>
  <c r="P2422" i="3"/>
  <c r="Q2482" i="3"/>
  <c r="R2482" i="3" s="1"/>
  <c r="P2504" i="3"/>
  <c r="Q2504" i="3"/>
  <c r="R2504" i="3" s="1"/>
  <c r="Q2617" i="3"/>
  <c r="R2617" i="3" s="1"/>
  <c r="P2684" i="3"/>
  <c r="Q2684" i="3"/>
  <c r="R2684" i="3" s="1"/>
  <c r="Q2701" i="3"/>
  <c r="R2701" i="3" s="1"/>
  <c r="P2706" i="3"/>
  <c r="Q2721" i="3"/>
  <c r="R2721" i="3" s="1"/>
  <c r="P2721" i="3"/>
  <c r="Q2737" i="3"/>
  <c r="R2737" i="3" s="1"/>
  <c r="P2828" i="3"/>
  <c r="Q2828" i="3"/>
  <c r="R2828" i="3" s="1"/>
  <c r="Q2839" i="3"/>
  <c r="R2839" i="3" s="1"/>
  <c r="Q2887" i="3"/>
  <c r="R2887" i="3" s="1"/>
  <c r="P2985" i="3"/>
  <c r="P3020" i="3"/>
  <c r="Q3020" i="3"/>
  <c r="R3020" i="3" s="1"/>
  <c r="P3027" i="3"/>
  <c r="Q3027" i="3"/>
  <c r="R3027" i="3" s="1"/>
  <c r="P3062" i="3"/>
  <c r="Q3062" i="3"/>
  <c r="R3062" i="3" s="1"/>
  <c r="Q2349" i="3"/>
  <c r="R2349" i="3" s="1"/>
  <c r="P2349" i="3"/>
  <c r="Q2823" i="3"/>
  <c r="R2823" i="3" s="1"/>
  <c r="P2823" i="3"/>
  <c r="P2835" i="3"/>
  <c r="Q2850" i="3"/>
  <c r="R2850" i="3" s="1"/>
  <c r="P2850" i="3"/>
  <c r="Q2978" i="3"/>
  <c r="R2978" i="3" s="1"/>
  <c r="P3007" i="3"/>
  <c r="Q3007" i="3"/>
  <c r="R3007" i="3" s="1"/>
  <c r="Q3029" i="3"/>
  <c r="R3029" i="3" s="1"/>
  <c r="P2749" i="3"/>
  <c r="Q2749" i="3"/>
  <c r="R2749" i="3" s="1"/>
  <c r="Q2898" i="3"/>
  <c r="R2898" i="3" s="1"/>
  <c r="P2898" i="3"/>
  <c r="P2936" i="3"/>
  <c r="Q2936" i="3"/>
  <c r="R2936" i="3" s="1"/>
  <c r="P3047" i="3"/>
  <c r="Q3047" i="3"/>
  <c r="R3047" i="3" s="1"/>
  <c r="P3159" i="3"/>
  <c r="Q3159" i="3"/>
  <c r="R3159" i="3" s="1"/>
  <c r="P3227" i="3"/>
  <c r="Q3227" i="3"/>
  <c r="R3227" i="3" s="1"/>
  <c r="P3236" i="3"/>
  <c r="Q3236" i="3"/>
  <c r="R3236" i="3" s="1"/>
  <c r="P2950" i="3"/>
  <c r="Q2950" i="3"/>
  <c r="R2950" i="3" s="1"/>
  <c r="Q2980" i="3"/>
  <c r="R2980" i="3" s="1"/>
  <c r="P2980" i="3"/>
  <c r="Q3049" i="3"/>
  <c r="R3049" i="3" s="1"/>
  <c r="P3049" i="3"/>
  <c r="P3184" i="3"/>
  <c r="Q3184" i="3"/>
  <c r="R3184" i="3" s="1"/>
  <c r="Q2010" i="3"/>
  <c r="R2010" i="3" s="1"/>
  <c r="P2010" i="3"/>
  <c r="Q2148" i="3"/>
  <c r="R2148" i="3" s="1"/>
  <c r="P2148" i="3"/>
  <c r="Q2694" i="3"/>
  <c r="R2694" i="3" s="1"/>
  <c r="P2694" i="3"/>
  <c r="P2699" i="3"/>
  <c r="Q2699" i="3"/>
  <c r="R2699" i="3" s="1"/>
  <c r="Q2790" i="3"/>
  <c r="R2790" i="3" s="1"/>
  <c r="P2790" i="3"/>
  <c r="Q2961" i="3"/>
  <c r="R2961" i="3" s="1"/>
  <c r="P2961" i="3"/>
  <c r="P2983" i="3"/>
  <c r="Q2983" i="3"/>
  <c r="R2983" i="3" s="1"/>
  <c r="Q2997" i="3"/>
  <c r="R2997" i="3" s="1"/>
  <c r="P2997" i="3"/>
  <c r="P3127" i="3"/>
  <c r="Q3127" i="3"/>
  <c r="R3127" i="3" s="1"/>
  <c r="P3215" i="3"/>
  <c r="Q3215" i="3"/>
  <c r="R3215" i="3" s="1"/>
  <c r="P2294" i="3"/>
  <c r="Q2294" i="3"/>
  <c r="R2294" i="3" s="1"/>
  <c r="P2300" i="3"/>
  <c r="Q2300" i="3"/>
  <c r="R2300" i="3" s="1"/>
  <c r="Q2357" i="3"/>
  <c r="R2357" i="3" s="1"/>
  <c r="P2436" i="3"/>
  <c r="P2493" i="3"/>
  <c r="P2515" i="3"/>
  <c r="P2558" i="3"/>
  <c r="Q2632" i="3"/>
  <c r="R2632" i="3" s="1"/>
  <c r="P2695" i="3"/>
  <c r="Q2695" i="3"/>
  <c r="R2695" i="3" s="1"/>
  <c r="P2827" i="3"/>
  <c r="Q2827" i="3"/>
  <c r="R2827" i="3" s="1"/>
  <c r="P2871" i="3"/>
  <c r="Q2947" i="3"/>
  <c r="R2947" i="3" s="1"/>
  <c r="P2947" i="3"/>
  <c r="P2963" i="3"/>
  <c r="Q2963" i="3"/>
  <c r="R2963" i="3" s="1"/>
  <c r="P3053" i="3"/>
  <c r="Q3053" i="3"/>
  <c r="R3053" i="3" s="1"/>
  <c r="Q3114" i="3"/>
  <c r="R3114" i="3" s="1"/>
  <c r="P3114" i="3"/>
  <c r="Q2758" i="3"/>
  <c r="R2758" i="3" s="1"/>
  <c r="Q2764" i="3"/>
  <c r="R2764" i="3" s="1"/>
  <c r="Q2854" i="3"/>
  <c r="R2854" i="3" s="1"/>
  <c r="P2988" i="3"/>
  <c r="Q2988" i="3"/>
  <c r="R2988" i="3" s="1"/>
  <c r="P3006" i="3"/>
  <c r="Q3006" i="3"/>
  <c r="R3006" i="3" s="1"/>
  <c r="P3058" i="3"/>
  <c r="Q3058" i="3"/>
  <c r="R3058" i="3" s="1"/>
  <c r="P3095" i="3"/>
  <c r="Q3095" i="3"/>
  <c r="R3095" i="3" s="1"/>
  <c r="P3122" i="3"/>
  <c r="Q3122" i="3"/>
  <c r="R3122" i="3" s="1"/>
  <c r="Q3157" i="3"/>
  <c r="R3157" i="3" s="1"/>
  <c r="P3157" i="3"/>
  <c r="P3165" i="3"/>
  <c r="Q3165" i="3"/>
  <c r="R3165" i="3" s="1"/>
  <c r="Q2894" i="3"/>
  <c r="R2894" i="3" s="1"/>
  <c r="P2894" i="3"/>
  <c r="Q2919" i="3"/>
  <c r="R2919" i="3" s="1"/>
  <c r="P2919" i="3"/>
  <c r="P2981" i="3"/>
  <c r="Q2981" i="3"/>
  <c r="R2981" i="3" s="1"/>
  <c r="Q3109" i="3"/>
  <c r="R3109" i="3" s="1"/>
  <c r="P3109" i="3"/>
  <c r="P3210" i="3"/>
  <c r="Q3210" i="3"/>
  <c r="R3210" i="3" s="1"/>
  <c r="P2613" i="3"/>
  <c r="P2649" i="3"/>
  <c r="P2846" i="3"/>
  <c r="P2923" i="3"/>
  <c r="Q2923" i="3"/>
  <c r="R2923" i="3" s="1"/>
  <c r="Q2967" i="3"/>
  <c r="R2967" i="3" s="1"/>
  <c r="P2967" i="3"/>
  <c r="Q2973" i="3"/>
  <c r="R2973" i="3" s="1"/>
  <c r="P2987" i="3"/>
  <c r="Q2987" i="3"/>
  <c r="R2987" i="3" s="1"/>
  <c r="P3013" i="3"/>
  <c r="Q3129" i="3"/>
  <c r="R3129" i="3" s="1"/>
  <c r="P3129" i="3"/>
  <c r="P3150" i="3"/>
  <c r="Q3150" i="3"/>
  <c r="R3150" i="3" s="1"/>
  <c r="P3217" i="3"/>
  <c r="Q3217" i="3"/>
  <c r="R3217" i="3" s="1"/>
  <c r="Q3285" i="3"/>
  <c r="R3285" i="3" s="1"/>
  <c r="Q3289" i="3"/>
  <c r="R3289" i="3" s="1"/>
  <c r="Q3302" i="3"/>
  <c r="R3302" i="3" s="1"/>
  <c r="Q3161" i="3"/>
  <c r="R3161" i="3" s="1"/>
  <c r="P3166" i="3"/>
  <c r="P3223" i="3"/>
  <c r="P3228" i="3"/>
  <c r="P3232" i="3"/>
  <c r="P3247" i="3"/>
  <c r="P3277" i="3"/>
  <c r="P3286" i="3"/>
  <c r="Q3290" i="3"/>
  <c r="R3290" i="3" s="1"/>
  <c r="P3303" i="3"/>
  <c r="P3307" i="3"/>
  <c r="Q3074" i="3"/>
  <c r="R3074" i="3" s="1"/>
  <c r="P3099" i="3"/>
  <c r="P3118" i="3"/>
  <c r="Q3146" i="3"/>
  <c r="R3146" i="3" s="1"/>
  <c r="Q3176" i="3"/>
  <c r="R3176" i="3" s="1"/>
  <c r="Q3194" i="3"/>
  <c r="R3194" i="3" s="1"/>
  <c r="Q3199" i="3"/>
  <c r="R3199" i="3" s="1"/>
  <c r="P3204" i="3"/>
  <c r="P3214" i="3"/>
  <c r="Q3242" i="3"/>
  <c r="R3242" i="3" s="1"/>
  <c r="P3252" i="3"/>
  <c r="P3256" i="3"/>
  <c r="P3261" i="3"/>
  <c r="Q3282" i="3"/>
  <c r="R3282" i="3" s="1"/>
  <c r="Q3299" i="3"/>
  <c r="R3299" i="3" s="1"/>
  <c r="Q3134" i="3"/>
  <c r="R3134" i="3" s="1"/>
  <c r="Q3152" i="3"/>
  <c r="R3152" i="3" s="1"/>
  <c r="Q3181" i="3"/>
  <c r="R3181" i="3" s="1"/>
  <c r="P3190" i="3"/>
  <c r="P3219" i="3"/>
  <c r="P3238" i="3"/>
  <c r="P3265" i="3"/>
  <c r="Q3269" i="3"/>
  <c r="R3269" i="3" s="1"/>
  <c r="P3295" i="3"/>
  <c r="Q3186" i="3"/>
  <c r="R3186" i="3" s="1"/>
  <c r="Q3200" i="3"/>
  <c r="R3200" i="3" s="1"/>
  <c r="Q3233" i="3"/>
  <c r="R3233" i="3" s="1"/>
  <c r="Q3248" i="3"/>
  <c r="R3248" i="3" s="1"/>
  <c r="P3274" i="3"/>
  <c r="Q3278" i="3"/>
  <c r="R3278" i="3" s="1"/>
  <c r="Q3257" i="3"/>
  <c r="R3257" i="3" s="1"/>
  <c r="Q3270" i="3"/>
  <c r="R3270" i="3" s="1"/>
  <c r="P3309" i="3"/>
  <c r="P3313" i="3"/>
  <c r="P3211" i="3"/>
  <c r="P3216" i="3"/>
  <c r="Q3258" i="3"/>
  <c r="R3258" i="3" s="1"/>
  <c r="P3271" i="3"/>
  <c r="Q3275" i="3"/>
  <c r="R3275" i="3" s="1"/>
  <c r="P3292" i="3"/>
  <c r="P3021" i="3"/>
  <c r="Q3026" i="3"/>
  <c r="R3026" i="3" s="1"/>
  <c r="Q3042" i="3"/>
  <c r="R3042" i="3" s="1"/>
  <c r="Q3107" i="3"/>
  <c r="R3107" i="3" s="1"/>
  <c r="Q3206" i="3"/>
  <c r="R3206" i="3" s="1"/>
  <c r="Q3230" i="3"/>
  <c r="R3230" i="3" s="1"/>
  <c r="P3235" i="3"/>
  <c r="P3240" i="3"/>
  <c r="P3244" i="3"/>
  <c r="Q3254" i="3"/>
  <c r="R3254" i="3" s="1"/>
  <c r="Q3284" i="3"/>
  <c r="R3284" i="3" s="1"/>
  <c r="P3297" i="3"/>
  <c r="P3301" i="3"/>
  <c r="Q3305" i="3"/>
  <c r="R3305" i="3" s="1"/>
  <c r="Q3263" i="3"/>
  <c r="R3263" i="3" s="1"/>
  <c r="P3276" i="3"/>
  <c r="C55" i="5"/>
  <c r="D76" i="5"/>
  <c r="D114" i="5"/>
  <c r="V32" i="1"/>
  <c r="V94" i="1"/>
  <c r="D17" i="5"/>
  <c r="C40" i="5"/>
  <c r="E55" i="5"/>
  <c r="C70" i="5"/>
  <c r="V22" i="1"/>
  <c r="V75" i="1"/>
  <c r="V95" i="1"/>
  <c r="V126" i="1"/>
  <c r="V147" i="1"/>
  <c r="V194" i="1"/>
  <c r="C76" i="5"/>
  <c r="D33" i="5"/>
  <c r="E17" i="5"/>
  <c r="C27" i="5"/>
  <c r="E61" i="5"/>
  <c r="E94" i="5"/>
  <c r="C105" i="5"/>
  <c r="V13" i="1"/>
  <c r="V33" i="1"/>
  <c r="V64" i="1"/>
  <c r="V106" i="1"/>
  <c r="V127" i="1"/>
  <c r="V148" i="1"/>
  <c r="V160" i="1"/>
  <c r="V172" i="1"/>
  <c r="V217" i="1"/>
  <c r="K12" i="2"/>
  <c r="J12" i="2"/>
  <c r="I12" i="2"/>
  <c r="H12" i="2"/>
  <c r="G12" i="2"/>
  <c r="J110" i="2"/>
  <c r="H110" i="2"/>
  <c r="G110" i="2"/>
  <c r="K110" i="2"/>
  <c r="I110" i="2"/>
  <c r="D27" i="5"/>
  <c r="C37" i="5"/>
  <c r="D5" i="5"/>
  <c r="C14" i="5"/>
  <c r="C52" i="5"/>
  <c r="V55" i="1"/>
  <c r="V86" i="1"/>
  <c r="V118" i="1"/>
  <c r="V128" i="1"/>
  <c r="V161" i="1"/>
  <c r="V185" i="1"/>
  <c r="V196" i="1"/>
  <c r="V207" i="1"/>
  <c r="E5" i="5"/>
  <c r="C8" i="5"/>
  <c r="C11" i="5"/>
  <c r="C34" i="5"/>
  <c r="E52" i="5"/>
  <c r="C96" i="5"/>
  <c r="C107" i="5"/>
  <c r="E118" i="5"/>
  <c r="V25" i="1"/>
  <c r="V46" i="1"/>
  <c r="V77" i="1"/>
  <c r="V98" i="1"/>
  <c r="V119" i="1"/>
  <c r="V150" i="1"/>
  <c r="V221" i="1"/>
  <c r="H31" i="2"/>
  <c r="G31" i="2"/>
  <c r="D20" i="5" s="1"/>
  <c r="J31" i="2"/>
  <c r="I31" i="2"/>
  <c r="K31" i="2"/>
  <c r="E40" i="5"/>
  <c r="V45" i="1"/>
  <c r="D24" i="5"/>
  <c r="V35" i="1"/>
  <c r="E11" i="5"/>
  <c r="C31" i="5"/>
  <c r="E34" i="5"/>
  <c r="C45" i="5"/>
  <c r="D53" i="5"/>
  <c r="V15" i="1"/>
  <c r="V26" i="1"/>
  <c r="V67" i="1"/>
  <c r="V88" i="1"/>
  <c r="V99" i="1"/>
  <c r="V109" i="1"/>
  <c r="V140" i="1"/>
  <c r="V163" i="1"/>
  <c r="V175" i="1"/>
  <c r="V187" i="1"/>
  <c r="V209" i="1"/>
  <c r="J2" i="2"/>
  <c r="I2" i="2"/>
  <c r="K2" i="2"/>
  <c r="H2" i="2"/>
  <c r="G2" i="2"/>
  <c r="C126" i="5"/>
  <c r="C120" i="5"/>
  <c r="E116" i="5"/>
  <c r="C114" i="5"/>
  <c r="D112" i="5"/>
  <c r="D94" i="5"/>
  <c r="I94" i="5" s="1"/>
  <c r="J94" i="5" s="1"/>
  <c r="C78" i="5"/>
  <c r="D73" i="5"/>
  <c r="C65" i="5"/>
  <c r="C60" i="5"/>
  <c r="D55" i="5"/>
  <c r="C47" i="5"/>
  <c r="C42" i="5"/>
  <c r="E32" i="5"/>
  <c r="C29" i="5"/>
  <c r="C24" i="5"/>
  <c r="E14" i="5"/>
  <c r="C103" i="5"/>
  <c r="E101" i="5"/>
  <c r="C94" i="5"/>
  <c r="C85" i="5"/>
  <c r="E83" i="5"/>
  <c r="E76" i="5"/>
  <c r="C73" i="5"/>
  <c r="B6" i="2"/>
  <c r="C110" i="5"/>
  <c r="C108" i="5"/>
  <c r="C101" i="5"/>
  <c r="C99" i="5"/>
  <c r="C92" i="5"/>
  <c r="C90" i="5"/>
  <c r="E88" i="5"/>
  <c r="E125" i="5"/>
  <c r="E123" i="5"/>
  <c r="E117" i="5"/>
  <c r="D79" i="5"/>
  <c r="E74" i="5"/>
  <c r="C71" i="5"/>
  <c r="C66" i="5"/>
  <c r="E56" i="5"/>
  <c r="C53" i="5"/>
  <c r="C48" i="5"/>
  <c r="C35" i="5"/>
  <c r="C30" i="5"/>
  <c r="D25" i="5"/>
  <c r="C17" i="5"/>
  <c r="C7" i="5"/>
  <c r="D123" i="5"/>
  <c r="E115" i="5"/>
  <c r="C106" i="5"/>
  <c r="E104" i="5"/>
  <c r="C97" i="5"/>
  <c r="E95" i="5"/>
  <c r="C88" i="5"/>
  <c r="E86" i="5"/>
  <c r="C79" i="5"/>
  <c r="D74" i="5"/>
  <c r="C61" i="5"/>
  <c r="D51" i="5"/>
  <c r="E46" i="5"/>
  <c r="C43" i="5"/>
  <c r="C123" i="5"/>
  <c r="D121" i="5"/>
  <c r="C117" i="5"/>
  <c r="E113" i="5"/>
  <c r="D95" i="5"/>
  <c r="D86" i="5"/>
  <c r="E77" i="5"/>
  <c r="C74" i="5"/>
  <c r="C69" i="5"/>
  <c r="C56" i="5"/>
  <c r="C51" i="5"/>
  <c r="E41" i="5"/>
  <c r="C38" i="5"/>
  <c r="C33" i="5"/>
  <c r="C20" i="5"/>
  <c r="C15" i="5"/>
  <c r="E13" i="5"/>
  <c r="C10" i="5"/>
  <c r="C95" i="5"/>
  <c r="C93" i="5"/>
  <c r="E91" i="5"/>
  <c r="C86" i="5"/>
  <c r="C84" i="5"/>
  <c r="E82" i="5"/>
  <c r="D77" i="5"/>
  <c r="D72" i="5"/>
  <c r="E67" i="5"/>
  <c r="C64" i="5"/>
  <c r="C46" i="5"/>
  <c r="C28" i="5"/>
  <c r="D18" i="5"/>
  <c r="C77" i="5"/>
  <c r="C72" i="5"/>
  <c r="D67" i="5"/>
  <c r="E62" i="5"/>
  <c r="C59" i="5"/>
  <c r="C54" i="5"/>
  <c r="C41" i="5"/>
  <c r="C36" i="5"/>
  <c r="E26" i="5"/>
  <c r="C23" i="5"/>
  <c r="C13" i="5"/>
  <c r="C18" i="5"/>
  <c r="C109" i="5"/>
  <c r="E107" i="5"/>
  <c r="C100" i="5"/>
  <c r="C91" i="5"/>
  <c r="E89" i="5"/>
  <c r="C82" i="5"/>
  <c r="D75" i="5"/>
  <c r="E70" i="5"/>
  <c r="C67" i="5"/>
  <c r="D57" i="5"/>
  <c r="E126" i="5"/>
  <c r="E122" i="5"/>
  <c r="E120" i="5"/>
  <c r="D107" i="5"/>
  <c r="C75" i="5"/>
  <c r="E65" i="5"/>
  <c r="C62" i="5"/>
  <c r="C57" i="5"/>
  <c r="D52" i="5"/>
  <c r="E47" i="5"/>
  <c r="C44" i="5"/>
  <c r="C39" i="5"/>
  <c r="C26" i="5"/>
  <c r="C21" i="5"/>
  <c r="D15" i="5"/>
  <c r="I15" i="5" s="1"/>
  <c r="J15" i="5" s="1"/>
  <c r="C25" i="5"/>
  <c r="C49" i="5"/>
  <c r="E53" i="5"/>
  <c r="C58" i="5"/>
  <c r="C87" i="5"/>
  <c r="C98" i="5"/>
  <c r="D120" i="5"/>
  <c r="V27" i="1"/>
  <c r="V47" i="1"/>
  <c r="V57" i="1"/>
  <c r="V68" i="1"/>
  <c r="V141" i="1"/>
  <c r="C22" i="5"/>
  <c r="E25" i="5"/>
  <c r="D35" i="5"/>
  <c r="D58" i="5"/>
  <c r="C63" i="5"/>
  <c r="C68" i="5"/>
  <c r="E73" i="5"/>
  <c r="C80" i="5"/>
  <c r="E16" i="5"/>
  <c r="D26" i="5"/>
  <c r="C12" i="5"/>
  <c r="D110" i="5"/>
  <c r="V38" i="1"/>
  <c r="V79" i="1"/>
  <c r="V111" i="1"/>
  <c r="V121" i="1"/>
  <c r="V153" i="1"/>
  <c r="V165" i="1"/>
  <c r="V177" i="1"/>
  <c r="V200" i="1"/>
  <c r="I19" i="2"/>
  <c r="K19" i="2"/>
  <c r="J19" i="2"/>
  <c r="H19" i="2"/>
  <c r="E106" i="5" s="1"/>
  <c r="G19" i="2"/>
  <c r="D106" i="5" s="1"/>
  <c r="E12" i="5"/>
  <c r="C32" i="5"/>
  <c r="E35" i="5"/>
  <c r="C50" i="5"/>
  <c r="E58" i="5"/>
  <c r="C81" i="5"/>
  <c r="C89" i="5"/>
  <c r="V18" i="1"/>
  <c r="V39" i="1"/>
  <c r="V59" i="1"/>
  <c r="V101" i="1"/>
  <c r="V112" i="1"/>
  <c r="V142" i="1"/>
  <c r="V154" i="1"/>
  <c r="V190" i="1"/>
  <c r="V211" i="1"/>
  <c r="V157" i="1"/>
  <c r="G9" i="2"/>
  <c r="K9" i="2"/>
  <c r="J9" i="2"/>
  <c r="I9" i="2"/>
  <c r="H9" i="2"/>
  <c r="I89" i="2"/>
  <c r="K89" i="2"/>
  <c r="J89" i="2"/>
  <c r="H89" i="2"/>
  <c r="G89" i="2"/>
  <c r="D4" i="5" s="1"/>
  <c r="K102" i="2"/>
  <c r="G102" i="2"/>
  <c r="I102" i="2"/>
  <c r="H102" i="2"/>
  <c r="E9" i="5" s="1"/>
  <c r="J102" i="2"/>
  <c r="C9" i="5"/>
  <c r="C19" i="5"/>
  <c r="V9" i="1"/>
  <c r="V19" i="1"/>
  <c r="V60" i="1"/>
  <c r="V81" i="1"/>
  <c r="V133" i="1"/>
  <c r="V155" i="1"/>
  <c r="V167" i="1"/>
  <c r="V179" i="1"/>
  <c r="V201" i="1"/>
  <c r="C83" i="5"/>
  <c r="D92" i="5"/>
  <c r="D47" i="5"/>
  <c r="E103" i="5"/>
  <c r="V53" i="1"/>
  <c r="V74" i="1"/>
  <c r="V125" i="1"/>
  <c r="V135" i="1"/>
  <c r="V146" i="1"/>
  <c r="V170" i="1"/>
  <c r="K69" i="2"/>
  <c r="J69" i="2"/>
  <c r="I69" i="2"/>
  <c r="H69" i="2"/>
  <c r="E50" i="5" s="1"/>
  <c r="G69" i="2"/>
  <c r="D50" i="5" s="1"/>
  <c r="J63" i="2"/>
  <c r="I63" i="2"/>
  <c r="D46" i="5" s="1"/>
  <c r="K93" i="2"/>
  <c r="J93" i="2"/>
  <c r="P707" i="3"/>
  <c r="Q707" i="3"/>
  <c r="R707" i="3" s="1"/>
  <c r="V6" i="1"/>
  <c r="V34" i="1"/>
  <c r="V41" i="1"/>
  <c r="V48" i="1"/>
  <c r="V70" i="1"/>
  <c r="V85" i="1"/>
  <c r="V107" i="1"/>
  <c r="V114" i="1"/>
  <c r="V136" i="1"/>
  <c r="V143" i="1"/>
  <c r="V158" i="1"/>
  <c r="V166" i="1"/>
  <c r="V173" i="1"/>
  <c r="V181" i="1"/>
  <c r="V188" i="1"/>
  <c r="V195" i="1"/>
  <c r="V202" i="1"/>
  <c r="G30" i="2"/>
  <c r="D21" i="5" s="1"/>
  <c r="G40" i="2"/>
  <c r="D28" i="5" s="1"/>
  <c r="J40" i="2"/>
  <c r="I40" i="2"/>
  <c r="I59" i="2"/>
  <c r="J59" i="2"/>
  <c r="G63" i="2"/>
  <c r="G93" i="2"/>
  <c r="D31" i="5" s="1"/>
  <c r="G98" i="2"/>
  <c r="D66" i="5" s="1"/>
  <c r="G112" i="2"/>
  <c r="D63" i="5" s="1"/>
  <c r="K112" i="2"/>
  <c r="J112" i="2"/>
  <c r="I112" i="2"/>
  <c r="H112" i="2"/>
  <c r="J226" i="2"/>
  <c r="K226" i="2"/>
  <c r="I226" i="2"/>
  <c r="H226" i="2"/>
  <c r="G226" i="2"/>
  <c r="D69" i="5" s="1"/>
  <c r="V7" i="1"/>
  <c r="V14" i="1"/>
  <c r="V21" i="1"/>
  <c r="V28" i="1"/>
  <c r="V49" i="1"/>
  <c r="V63" i="1"/>
  <c r="V78" i="1"/>
  <c r="V93" i="1"/>
  <c r="V100" i="1"/>
  <c r="V115" i="1"/>
  <c r="V122" i="1"/>
  <c r="V129" i="1"/>
  <c r="V152" i="1"/>
  <c r="V159" i="1"/>
  <c r="V203" i="1"/>
  <c r="V210" i="1"/>
  <c r="V218" i="1"/>
  <c r="I5" i="2"/>
  <c r="J5" i="2"/>
  <c r="H30" i="2"/>
  <c r="H33" i="2"/>
  <c r="E23" i="5" s="1"/>
  <c r="K36" i="2"/>
  <c r="J36" i="2"/>
  <c r="I36" i="2"/>
  <c r="H40" i="2"/>
  <c r="J50" i="2"/>
  <c r="I53" i="2"/>
  <c r="J53" i="2"/>
  <c r="K53" i="2"/>
  <c r="H53" i="2"/>
  <c r="G59" i="2"/>
  <c r="H63" i="2"/>
  <c r="I77" i="2"/>
  <c r="J77" i="2"/>
  <c r="K77" i="2"/>
  <c r="H77" i="2"/>
  <c r="G77" i="2"/>
  <c r="D54" i="5" s="1"/>
  <c r="H93" i="2"/>
  <c r="E31" i="5" s="1"/>
  <c r="I98" i="2"/>
  <c r="D82" i="5"/>
  <c r="D109" i="5"/>
  <c r="V42" i="1"/>
  <c r="V71" i="1"/>
  <c r="V108" i="1"/>
  <c r="V145" i="1"/>
  <c r="V174" i="1"/>
  <c r="V189" i="1"/>
  <c r="G5" i="2"/>
  <c r="D6" i="5" s="1"/>
  <c r="G8" i="2"/>
  <c r="D9" i="5" s="1"/>
  <c r="J15" i="2"/>
  <c r="K15" i="2"/>
  <c r="I15" i="2"/>
  <c r="I30" i="2"/>
  <c r="I33" i="2"/>
  <c r="D23" i="5" s="1"/>
  <c r="G36" i="2"/>
  <c r="K40" i="2"/>
  <c r="G46" i="2"/>
  <c r="D34" i="5" s="1"/>
  <c r="I46" i="2"/>
  <c r="K50" i="2"/>
  <c r="G53" i="2"/>
  <c r="D41" i="5" s="1"/>
  <c r="H59" i="2"/>
  <c r="K63" i="2"/>
  <c r="I93" i="2"/>
  <c r="J98" i="2"/>
  <c r="G106" i="2"/>
  <c r="J106" i="2"/>
  <c r="H106" i="2"/>
  <c r="E38" i="5" s="1"/>
  <c r="C102" i="5"/>
  <c r="C104" i="5"/>
  <c r="E109" i="5"/>
  <c r="C111" i="5"/>
  <c r="C115" i="5"/>
  <c r="V29" i="1"/>
  <c r="V50" i="1"/>
  <c r="V72" i="1"/>
  <c r="V116" i="1"/>
  <c r="V123" i="1"/>
  <c r="V138" i="1"/>
  <c r="V204" i="1"/>
  <c r="V97" i="1"/>
  <c r="V219" i="1"/>
  <c r="V212" i="1"/>
  <c r="V178" i="1"/>
  <c r="V171" i="1"/>
  <c r="V151" i="1"/>
  <c r="V137" i="1"/>
  <c r="V110" i="1"/>
  <c r="V103" i="1"/>
  <c r="V89" i="1"/>
  <c r="V76" i="1"/>
  <c r="V69" i="1"/>
  <c r="V56" i="1"/>
  <c r="V43" i="1"/>
  <c r="V23" i="1"/>
  <c r="V10" i="1"/>
  <c r="H5" i="2"/>
  <c r="E6" i="5" s="1"/>
  <c r="I11" i="2"/>
  <c r="K11" i="2"/>
  <c r="I29" i="2"/>
  <c r="J29" i="2"/>
  <c r="J30" i="2"/>
  <c r="J33" i="2"/>
  <c r="H36" i="2"/>
  <c r="E20" i="5" s="1"/>
  <c r="K59" i="2"/>
  <c r="D43" i="5" s="1"/>
  <c r="J62" i="2"/>
  <c r="H62" i="2"/>
  <c r="E45" i="5" s="1"/>
  <c r="K73" i="2"/>
  <c r="J73" i="2"/>
  <c r="I73" i="2"/>
  <c r="K98" i="2"/>
  <c r="I101" i="2"/>
  <c r="J101" i="2"/>
  <c r="K101" i="2"/>
  <c r="H101" i="2"/>
  <c r="I106" i="2"/>
  <c r="D38" i="5" s="1"/>
  <c r="V44" i="1"/>
  <c r="V51" i="1"/>
  <c r="V58" i="1"/>
  <c r="V65" i="1"/>
  <c r="V73" i="1"/>
  <c r="V80" i="1"/>
  <c r="V87" i="1"/>
  <c r="V131" i="1"/>
  <c r="V139" i="1"/>
  <c r="V168" i="1"/>
  <c r="V183" i="1"/>
  <c r="V197" i="1"/>
  <c r="V205" i="1"/>
  <c r="V220" i="1"/>
  <c r="J32" i="2"/>
  <c r="I32" i="2"/>
  <c r="G58" i="2"/>
  <c r="J58" i="2"/>
  <c r="I65" i="2"/>
  <c r="K65" i="2"/>
  <c r="J65" i="2"/>
  <c r="H65" i="2"/>
  <c r="E37" i="5" s="1"/>
  <c r="K97" i="2"/>
  <c r="J97" i="2"/>
  <c r="K106" i="2"/>
  <c r="V16" i="1"/>
  <c r="V37" i="1"/>
  <c r="V102" i="1"/>
  <c r="V124" i="1"/>
  <c r="V132" i="1"/>
  <c r="V169" i="1"/>
  <c r="V176" i="1"/>
  <c r="V191" i="1"/>
  <c r="G7" i="2"/>
  <c r="G32" i="2"/>
  <c r="D22" i="5" s="1"/>
  <c r="H58" i="2"/>
  <c r="E43" i="5" s="1"/>
  <c r="G65" i="2"/>
  <c r="D37" i="5" s="1"/>
  <c r="G97" i="2"/>
  <c r="D65" i="5" s="1"/>
  <c r="K161" i="2"/>
  <c r="H161" i="2"/>
  <c r="E85" i="5" s="1"/>
  <c r="G161" i="2"/>
  <c r="D85" i="5" s="1"/>
  <c r="J161" i="2"/>
  <c r="I161" i="2"/>
  <c r="V24" i="1"/>
  <c r="V66" i="1"/>
  <c r="V184" i="1"/>
  <c r="V206" i="1"/>
  <c r="H7" i="2"/>
  <c r="E8" i="5" s="1"/>
  <c r="H32" i="2"/>
  <c r="E22" i="5" s="1"/>
  <c r="K67" i="2"/>
  <c r="I67" i="2"/>
  <c r="D48" i="5" s="1"/>
  <c r="J67" i="2"/>
  <c r="K92" i="2"/>
  <c r="J92" i="2"/>
  <c r="I92" i="2"/>
  <c r="H92" i="2"/>
  <c r="G92" i="2"/>
  <c r="K108" i="2"/>
  <c r="J108" i="2"/>
  <c r="I108" i="2"/>
  <c r="H108" i="2"/>
  <c r="E68" i="5" s="1"/>
  <c r="G108" i="2"/>
  <c r="D68" i="5" s="1"/>
  <c r="J196" i="2"/>
  <c r="K196" i="2"/>
  <c r="I196" i="2"/>
  <c r="H196" i="2"/>
  <c r="G196" i="2"/>
  <c r="V104" i="1"/>
  <c r="V162" i="1"/>
  <c r="V199" i="1"/>
  <c r="K24" i="2"/>
  <c r="I24" i="2"/>
  <c r="K48" i="2"/>
  <c r="I48" i="2"/>
  <c r="H48" i="2"/>
  <c r="E36" i="5" s="1"/>
  <c r="G48" i="2"/>
  <c r="K54" i="2"/>
  <c r="G54" i="2"/>
  <c r="D29" i="5" s="1"/>
  <c r="G94" i="2"/>
  <c r="H94" i="2"/>
  <c r="J179" i="2"/>
  <c r="I179" i="2"/>
  <c r="H179" i="2"/>
  <c r="G179" i="2"/>
  <c r="D90" i="5" s="1"/>
  <c r="K179" i="2"/>
  <c r="E110" i="5"/>
  <c r="C112" i="5"/>
  <c r="C118" i="5"/>
  <c r="V4" i="1"/>
  <c r="V90" i="1"/>
  <c r="V149" i="1"/>
  <c r="V164" i="1"/>
  <c r="V186" i="1"/>
  <c r="V208" i="1"/>
  <c r="V215" i="1"/>
  <c r="H3" i="2"/>
  <c r="E4" i="5" s="1"/>
  <c r="K6" i="2"/>
  <c r="I6" i="2"/>
  <c r="D7" i="5" s="1"/>
  <c r="H6" i="2"/>
  <c r="E7" i="5" s="1"/>
  <c r="K17" i="2"/>
  <c r="I20" i="2"/>
  <c r="H24" i="2"/>
  <c r="G34" i="2"/>
  <c r="J34" i="2"/>
  <c r="J38" i="2"/>
  <c r="H41" i="2"/>
  <c r="E29" i="5" s="1"/>
  <c r="H51" i="2"/>
  <c r="E39" i="5" s="1"/>
  <c r="I54" i="2"/>
  <c r="G57" i="2"/>
  <c r="D36" i="5" s="1"/>
  <c r="I57" i="2"/>
  <c r="H57" i="2"/>
  <c r="I81" i="2"/>
  <c r="G81" i="2"/>
  <c r="D56" i="5" s="1"/>
  <c r="K81" i="2"/>
  <c r="J81" i="2"/>
  <c r="H81" i="2"/>
  <c r="J94" i="2"/>
  <c r="I105" i="2"/>
  <c r="G105" i="2"/>
  <c r="D44" i="5" s="1"/>
  <c r="K105" i="2"/>
  <c r="J105" i="2"/>
  <c r="I169" i="2"/>
  <c r="H169" i="2"/>
  <c r="E80" i="5" s="1"/>
  <c r="G169" i="2"/>
  <c r="D80" i="5" s="1"/>
  <c r="K169" i="2"/>
  <c r="V12" i="1"/>
  <c r="V54" i="1"/>
  <c r="V83" i="1"/>
  <c r="V91" i="1"/>
  <c r="V120" i="1"/>
  <c r="V216" i="1"/>
  <c r="D14" i="5"/>
  <c r="C125" i="5"/>
  <c r="C122" i="5"/>
  <c r="C119" i="5"/>
  <c r="C116" i="5"/>
  <c r="C113" i="5"/>
  <c r="E124" i="5"/>
  <c r="C121" i="5"/>
  <c r="E111" i="5"/>
  <c r="E108" i="5"/>
  <c r="E105" i="5"/>
  <c r="E102" i="5"/>
  <c r="E99" i="5"/>
  <c r="E96" i="5"/>
  <c r="E93" i="5"/>
  <c r="E90" i="5"/>
  <c r="E84" i="5"/>
  <c r="E81" i="5"/>
  <c r="E75" i="5"/>
  <c r="E72" i="5"/>
  <c r="E69" i="5"/>
  <c r="E66" i="5"/>
  <c r="E63" i="5"/>
  <c r="E60" i="5"/>
  <c r="E57" i="5"/>
  <c r="E54" i="5"/>
  <c r="E51" i="5"/>
  <c r="E48" i="5"/>
  <c r="E42" i="5"/>
  <c r="E33" i="5"/>
  <c r="E30" i="5"/>
  <c r="E27" i="5"/>
  <c r="E24" i="5"/>
  <c r="E21" i="5"/>
  <c r="E18" i="5"/>
  <c r="E15" i="5"/>
  <c r="D12" i="5"/>
  <c r="E114" i="5"/>
  <c r="D111" i="5"/>
  <c r="D108" i="5"/>
  <c r="D102" i="5"/>
  <c r="D99" i="5"/>
  <c r="D96" i="5"/>
  <c r="D93" i="5"/>
  <c r="D84" i="5"/>
  <c r="D81" i="5"/>
  <c r="D124" i="5"/>
  <c r="I3" i="2"/>
  <c r="J20" i="2"/>
  <c r="D16" i="5" s="1"/>
  <c r="J24" i="2"/>
  <c r="H27" i="2"/>
  <c r="G27" i="2"/>
  <c r="K38" i="2"/>
  <c r="J41" i="2"/>
  <c r="K44" i="2"/>
  <c r="I44" i="2"/>
  <c r="H44" i="2"/>
  <c r="I51" i="2"/>
  <c r="D39" i="5" s="1"/>
  <c r="J54" i="2"/>
  <c r="K94" i="2"/>
  <c r="D62" i="5" s="1"/>
  <c r="H105" i="2"/>
  <c r="E44" i="5" s="1"/>
  <c r="J169" i="2"/>
  <c r="G82" i="2"/>
  <c r="D115" i="5" s="1"/>
  <c r="J82" i="2"/>
  <c r="J86" i="2"/>
  <c r="H86" i="2"/>
  <c r="J103" i="2"/>
  <c r="J166" i="2"/>
  <c r="H166" i="2"/>
  <c r="G166" i="2"/>
  <c r="H171" i="2"/>
  <c r="I171" i="2"/>
  <c r="G171" i="2"/>
  <c r="D45" i="5" s="1"/>
  <c r="K217" i="2"/>
  <c r="J217" i="2"/>
  <c r="I217" i="2"/>
  <c r="K234" i="2"/>
  <c r="J234" i="2"/>
  <c r="I234" i="2"/>
  <c r="H234" i="2"/>
  <c r="G234" i="2"/>
  <c r="I209" i="2"/>
  <c r="K209" i="2"/>
  <c r="J209" i="2"/>
  <c r="V36" i="1"/>
  <c r="V96" i="1"/>
  <c r="V130" i="1"/>
  <c r="V144" i="1"/>
  <c r="V198" i="1"/>
  <c r="G10" i="2"/>
  <c r="D10" i="5" s="1"/>
  <c r="J10" i="2"/>
  <c r="K96" i="2"/>
  <c r="I96" i="2"/>
  <c r="K113" i="2"/>
  <c r="D70" i="5" s="1"/>
  <c r="K117" i="2"/>
  <c r="D42" i="5" s="1"/>
  <c r="J157" i="2"/>
  <c r="I157" i="2"/>
  <c r="G157" i="2"/>
  <c r="D83" i="5" s="1"/>
  <c r="J160" i="2"/>
  <c r="K160" i="2"/>
  <c r="I160" i="2"/>
  <c r="H160" i="2"/>
  <c r="K171" i="2"/>
  <c r="G209" i="2"/>
  <c r="D3" i="5" s="1"/>
  <c r="H217" i="2"/>
  <c r="V30" i="1"/>
  <c r="V117" i="1"/>
  <c r="V192" i="1"/>
  <c r="H10" i="2"/>
  <c r="E10" i="5" s="1"/>
  <c r="G14" i="2"/>
  <c r="D13" i="5" s="1"/>
  <c r="G35" i="2"/>
  <c r="D126" i="5" s="1"/>
  <c r="G68" i="2"/>
  <c r="D49" i="5" s="1"/>
  <c r="K72" i="2"/>
  <c r="I72" i="2"/>
  <c r="D40" i="5" s="1"/>
  <c r="G84" i="2"/>
  <c r="H88" i="2"/>
  <c r="E59" i="5" s="1"/>
  <c r="G96" i="2"/>
  <c r="H157" i="2"/>
  <c r="G160" i="2"/>
  <c r="J162" i="2"/>
  <c r="I162" i="2"/>
  <c r="G162" i="2"/>
  <c r="H209" i="2"/>
  <c r="H68" i="2"/>
  <c r="E49" i="5" s="1"/>
  <c r="H84" i="2"/>
  <c r="I88" i="2"/>
  <c r="H96" i="2"/>
  <c r="K119" i="2"/>
  <c r="I119" i="2"/>
  <c r="D30" i="5" s="1"/>
  <c r="K157" i="2"/>
  <c r="H162" i="2"/>
  <c r="H165" i="2"/>
  <c r="K165" i="2"/>
  <c r="J165" i="2"/>
  <c r="I165" i="2"/>
  <c r="K167" i="2"/>
  <c r="J167" i="2"/>
  <c r="H167" i="2"/>
  <c r="E87" i="5" s="1"/>
  <c r="I84" i="2"/>
  <c r="J88" i="2"/>
  <c r="K91" i="2"/>
  <c r="I91" i="2"/>
  <c r="D61" i="5" s="1"/>
  <c r="J96" i="2"/>
  <c r="K162" i="2"/>
  <c r="G165" i="2"/>
  <c r="G167" i="2"/>
  <c r="D87" i="5" s="1"/>
  <c r="I87" i="5" s="1"/>
  <c r="J87" i="5" s="1"/>
  <c r="K191" i="2"/>
  <c r="J191" i="2"/>
  <c r="I191" i="2"/>
  <c r="D104" i="5" s="1"/>
  <c r="H191" i="2"/>
  <c r="K221" i="2"/>
  <c r="J221" i="2"/>
  <c r="I221" i="2"/>
  <c r="H221" i="2"/>
  <c r="E19" i="5" s="1"/>
  <c r="G221" i="2"/>
  <c r="D19" i="5" s="1"/>
  <c r="J147" i="2"/>
  <c r="I147" i="2"/>
  <c r="H147" i="2"/>
  <c r="E64" i="5" s="1"/>
  <c r="J172" i="2"/>
  <c r="K172" i="2"/>
  <c r="H172" i="2"/>
  <c r="K186" i="2"/>
  <c r="J186" i="2"/>
  <c r="I186" i="2"/>
  <c r="H186" i="2"/>
  <c r="G186" i="2"/>
  <c r="J238" i="2"/>
  <c r="I238" i="2"/>
  <c r="K238" i="2"/>
  <c r="H238" i="2"/>
  <c r="E28" i="5" s="1"/>
  <c r="G238" i="2"/>
  <c r="Q782" i="3"/>
  <c r="R782" i="3" s="1"/>
  <c r="P782" i="3"/>
  <c r="H177" i="2"/>
  <c r="E71" i="5" s="1"/>
  <c r="K177" i="2"/>
  <c r="J177" i="2"/>
  <c r="I177" i="2"/>
  <c r="D71" i="5" s="1"/>
  <c r="K181" i="2"/>
  <c r="J181" i="2"/>
  <c r="I181" i="2"/>
  <c r="H181" i="2"/>
  <c r="E98" i="5" s="1"/>
  <c r="G181" i="2"/>
  <c r="D98" i="5" s="1"/>
  <c r="H243" i="2"/>
  <c r="E97" i="5" s="1"/>
  <c r="J243" i="2"/>
  <c r="G243" i="2"/>
  <c r="D97" i="5" s="1"/>
  <c r="Q674" i="3"/>
  <c r="R674" i="3" s="1"/>
  <c r="P674" i="3"/>
  <c r="K243" i="2"/>
  <c r="I259" i="2"/>
  <c r="K173" i="2"/>
  <c r="G246" i="2"/>
  <c r="D117" i="5" s="1"/>
  <c r="G250" i="2"/>
  <c r="D119" i="5" s="1"/>
  <c r="J259" i="2"/>
  <c r="Q638" i="3"/>
  <c r="R638" i="3" s="1"/>
  <c r="P638" i="3"/>
  <c r="Q671" i="3"/>
  <c r="R671" i="3" s="1"/>
  <c r="Q854" i="3"/>
  <c r="R854" i="3" s="1"/>
  <c r="P854" i="3"/>
  <c r="Q989" i="3"/>
  <c r="R989" i="3" s="1"/>
  <c r="H195" i="2"/>
  <c r="J195" i="2"/>
  <c r="D88" i="5" s="1"/>
  <c r="H246" i="2"/>
  <c r="H250" i="2"/>
  <c r="E119" i="5" s="1"/>
  <c r="K253" i="2"/>
  <c r="D122" i="5" s="1"/>
  <c r="J253" i="2"/>
  <c r="K259" i="2"/>
  <c r="D116" i="5" s="1"/>
  <c r="P701" i="3"/>
  <c r="Q779" i="3"/>
  <c r="R779" i="3" s="1"/>
  <c r="I246" i="2"/>
  <c r="I250" i="2"/>
  <c r="G211" i="2"/>
  <c r="G215" i="2"/>
  <c r="J246" i="2"/>
  <c r="G249" i="2"/>
  <c r="D118" i="5" s="1"/>
  <c r="K250" i="2"/>
  <c r="Q635" i="3"/>
  <c r="R635" i="3" s="1"/>
  <c r="Q746" i="3"/>
  <c r="R746" i="3" s="1"/>
  <c r="P746" i="3"/>
  <c r="Q851" i="3"/>
  <c r="R851" i="3" s="1"/>
  <c r="Q899" i="3"/>
  <c r="R899" i="3" s="1"/>
  <c r="Q953" i="3"/>
  <c r="R953" i="3" s="1"/>
  <c r="K258" i="2"/>
  <c r="J258" i="2"/>
  <c r="I258" i="2"/>
  <c r="H258" i="2"/>
  <c r="I175" i="2"/>
  <c r="I180" i="2"/>
  <c r="D91" i="5" s="1"/>
  <c r="G184" i="2"/>
  <c r="D100" i="5" s="1"/>
  <c r="J185" i="2"/>
  <c r="D101" i="5" s="1"/>
  <c r="G189" i="2"/>
  <c r="D64" i="5" s="1"/>
  <c r="K190" i="2"/>
  <c r="D103" i="5" s="1"/>
  <c r="G198" i="2"/>
  <c r="K199" i="2"/>
  <c r="I207" i="2"/>
  <c r="I211" i="2"/>
  <c r="I215" i="2"/>
  <c r="H219" i="2"/>
  <c r="J219" i="2"/>
  <c r="G228" i="2"/>
  <c r="G240" i="2"/>
  <c r="D78" i="5" s="1"/>
  <c r="G244" i="2"/>
  <c r="J249" i="2"/>
  <c r="G258" i="2"/>
  <c r="D125" i="5" s="1"/>
  <c r="Q818" i="3"/>
  <c r="R818" i="3" s="1"/>
  <c r="P818" i="3"/>
  <c r="Q1007" i="3"/>
  <c r="R1007" i="3" s="1"/>
  <c r="V84" i="1"/>
  <c r="V156" i="1"/>
  <c r="G174" i="2"/>
  <c r="J175" i="2"/>
  <c r="J180" i="2"/>
  <c r="H184" i="2"/>
  <c r="E100" i="5" s="1"/>
  <c r="I189" i="2"/>
  <c r="G193" i="2"/>
  <c r="D105" i="5" s="1"/>
  <c r="H198" i="2"/>
  <c r="E92" i="5" s="1"/>
  <c r="G202" i="2"/>
  <c r="D11" i="5" s="1"/>
  <c r="J207" i="2"/>
  <c r="J211" i="2"/>
  <c r="J214" i="2"/>
  <c r="I214" i="2"/>
  <c r="J215" i="2"/>
  <c r="G219" i="2"/>
  <c r="G223" i="2"/>
  <c r="D59" i="5" s="1"/>
  <c r="I228" i="2"/>
  <c r="H240" i="2"/>
  <c r="E78" i="5" s="1"/>
  <c r="H244" i="2"/>
  <c r="K249" i="2"/>
  <c r="H252" i="2"/>
  <c r="E121" i="5" s="1"/>
  <c r="I252" i="2"/>
  <c r="Q710" i="3"/>
  <c r="R710" i="3" s="1"/>
  <c r="P710" i="3"/>
  <c r="I184" i="2"/>
  <c r="J189" i="2"/>
  <c r="I198" i="2"/>
  <c r="K207" i="2"/>
  <c r="I219" i="2"/>
  <c r="D8" i="5" s="1"/>
  <c r="J228" i="2"/>
  <c r="I240" i="2"/>
  <c r="I244" i="2"/>
  <c r="G159" i="2"/>
  <c r="D113" i="5" s="1"/>
  <c r="G178" i="2"/>
  <c r="D89" i="5" s="1"/>
  <c r="I89" i="5" s="1"/>
  <c r="J89" i="5" s="1"/>
  <c r="G183" i="2"/>
  <c r="K184" i="2"/>
  <c r="K189" i="2"/>
  <c r="I202" i="2"/>
  <c r="H210" i="2"/>
  <c r="H214" i="2"/>
  <c r="K219" i="2"/>
  <c r="J223" i="2"/>
  <c r="K228" i="2"/>
  <c r="G231" i="2"/>
  <c r="D60" i="5" s="1"/>
  <c r="K244" i="2"/>
  <c r="H247" i="2"/>
  <c r="G247" i="2"/>
  <c r="D32" i="5" s="1"/>
  <c r="Q815" i="3"/>
  <c r="R815" i="3" s="1"/>
  <c r="Q1061" i="3"/>
  <c r="R1061" i="3" s="1"/>
  <c r="P650" i="3"/>
  <c r="P686" i="3"/>
  <c r="P722" i="3"/>
  <c r="P758" i="3"/>
  <c r="P794" i="3"/>
  <c r="P830" i="3"/>
  <c r="P866" i="3"/>
  <c r="P647" i="3"/>
  <c r="P683" i="3"/>
  <c r="P719" i="3"/>
  <c r="P755" i="3"/>
  <c r="P791" i="3"/>
  <c r="P827" i="3"/>
  <c r="P863" i="3"/>
  <c r="P887" i="3"/>
  <c r="P905" i="3"/>
  <c r="P923" i="3"/>
  <c r="P941" i="3"/>
  <c r="P959" i="3"/>
  <c r="P977" i="3"/>
  <c r="P995" i="3"/>
  <c r="P1013" i="3"/>
  <c r="P1031" i="3"/>
  <c r="P1049" i="3"/>
  <c r="P749" i="3"/>
  <c r="P785" i="3"/>
  <c r="P821" i="3"/>
  <c r="P857" i="3"/>
  <c r="P884" i="3"/>
  <c r="P902" i="3"/>
  <c r="P920" i="3"/>
  <c r="P938" i="3"/>
  <c r="P956" i="3"/>
  <c r="P974" i="3"/>
  <c r="P992" i="3"/>
  <c r="P1010" i="3"/>
  <c r="P1028" i="3"/>
  <c r="P1046" i="3"/>
  <c r="P1064" i="3"/>
  <c r="P1082" i="3"/>
  <c r="H255" i="2"/>
  <c r="J255" i="2"/>
  <c r="Q1902" i="3"/>
  <c r="R1902" i="3" s="1"/>
  <c r="P1902" i="3"/>
  <c r="Q1968" i="3"/>
  <c r="R1968" i="3" s="1"/>
  <c r="P1968" i="3"/>
  <c r="Q1794" i="3"/>
  <c r="R1794" i="3" s="1"/>
  <c r="P1794" i="3"/>
  <c r="P1820" i="3"/>
  <c r="Q1820" i="3"/>
  <c r="R1820" i="3" s="1"/>
  <c r="P1748" i="3"/>
  <c r="Q1748" i="3"/>
  <c r="R1748" i="3" s="1"/>
  <c r="Q1830" i="3"/>
  <c r="R1830" i="3" s="1"/>
  <c r="P1830" i="3"/>
  <c r="P1856" i="3"/>
  <c r="Q1856" i="3"/>
  <c r="R1856" i="3" s="1"/>
  <c r="Q1980" i="3"/>
  <c r="R1980" i="3" s="1"/>
  <c r="P1980" i="3"/>
  <c r="Q1758" i="3"/>
  <c r="R1758" i="3" s="1"/>
  <c r="P1758" i="3"/>
  <c r="Q1866" i="3"/>
  <c r="R1866" i="3" s="1"/>
  <c r="P1866" i="3"/>
  <c r="P1892" i="3"/>
  <c r="Q1892" i="3"/>
  <c r="R1892" i="3" s="1"/>
  <c r="P1784" i="3"/>
  <c r="Q1784" i="3"/>
  <c r="R1784" i="3" s="1"/>
  <c r="Q2018" i="3"/>
  <c r="R2018" i="3" s="1"/>
  <c r="P2018" i="3"/>
  <c r="I257" i="2"/>
  <c r="G257" i="2"/>
  <c r="J257" i="2"/>
  <c r="Q1949" i="3"/>
  <c r="R1949" i="3" s="1"/>
  <c r="P1949" i="3"/>
  <c r="P1745" i="3"/>
  <c r="Q1761" i="3"/>
  <c r="R1761" i="3" s="1"/>
  <c r="P1781" i="3"/>
  <c r="Q1797" i="3"/>
  <c r="R1797" i="3" s="1"/>
  <c r="P1817" i="3"/>
  <c r="Q1833" i="3"/>
  <c r="R1833" i="3" s="1"/>
  <c r="P1853" i="3"/>
  <c r="Q1869" i="3"/>
  <c r="R1869" i="3" s="1"/>
  <c r="P1889" i="3"/>
  <c r="Q1905" i="3"/>
  <c r="R1905" i="3" s="1"/>
  <c r="P1935" i="3"/>
  <c r="Q2001" i="3"/>
  <c r="R2001" i="3" s="1"/>
  <c r="P2001" i="3"/>
  <c r="Q2009" i="3"/>
  <c r="R2009" i="3" s="1"/>
  <c r="P2078" i="3"/>
  <c r="Q2078" i="3"/>
  <c r="R2078" i="3" s="1"/>
  <c r="P1953" i="3"/>
  <c r="Q1932" i="3"/>
  <c r="R1932" i="3" s="1"/>
  <c r="P1932" i="3"/>
  <c r="Q2019" i="3"/>
  <c r="R2019" i="3" s="1"/>
  <c r="P2019" i="3"/>
  <c r="P1766" i="3"/>
  <c r="P1802" i="3"/>
  <c r="P1838" i="3"/>
  <c r="P1874" i="3"/>
  <c r="P1940" i="3"/>
  <c r="P1962" i="3"/>
  <c r="Q1973" i="3"/>
  <c r="R1973" i="3" s="1"/>
  <c r="P1998" i="3"/>
  <c r="Q2063" i="3"/>
  <c r="R2063" i="3" s="1"/>
  <c r="P2063" i="3"/>
  <c r="P1740" i="3"/>
  <c r="P1776" i="3"/>
  <c r="P1812" i="3"/>
  <c r="P1848" i="3"/>
  <c r="P1884" i="3"/>
  <c r="P1920" i="3"/>
  <c r="P1958" i="3"/>
  <c r="P1974" i="3"/>
  <c r="Q1982" i="3"/>
  <c r="R1982" i="3" s="1"/>
  <c r="Q2064" i="3"/>
  <c r="R2064" i="3" s="1"/>
  <c r="P2064" i="3"/>
  <c r="Q2082" i="3"/>
  <c r="R2082" i="3" s="1"/>
  <c r="P2082" i="3"/>
  <c r="P1826" i="3"/>
  <c r="P1862" i="3"/>
  <c r="P1898" i="3"/>
  <c r="P1941" i="3"/>
  <c r="Q1983" i="3"/>
  <c r="R1983" i="3" s="1"/>
  <c r="P1983" i="3"/>
  <c r="Q1991" i="3"/>
  <c r="R1991" i="3" s="1"/>
  <c r="P2045" i="3"/>
  <c r="P1751" i="3"/>
  <c r="P1787" i="3"/>
  <c r="P1823" i="3"/>
  <c r="P1836" i="3"/>
  <c r="P1859" i="3"/>
  <c r="P1872" i="3"/>
  <c r="P1895" i="3"/>
  <c r="P1908" i="3"/>
  <c r="P1931" i="3"/>
  <c r="P1952" i="3"/>
  <c r="Q1959" i="3"/>
  <c r="R1959" i="3" s="1"/>
  <c r="P1959" i="3"/>
  <c r="P1967" i="3"/>
  <c r="P1971" i="3"/>
  <c r="P1992" i="3"/>
  <c r="Q2000" i="3"/>
  <c r="R2000" i="3" s="1"/>
  <c r="P2000" i="3"/>
  <c r="P2013" i="3"/>
  <c r="Q2022" i="3"/>
  <c r="R2022" i="3" s="1"/>
  <c r="P2022" i="3"/>
  <c r="P2046" i="3"/>
  <c r="Q2109" i="3"/>
  <c r="R2109" i="3" s="1"/>
  <c r="P2109" i="3"/>
  <c r="P2162" i="3"/>
  <c r="Q2174" i="3"/>
  <c r="R2174" i="3" s="1"/>
  <c r="P2597" i="3"/>
  <c r="Q2597" i="3"/>
  <c r="R2597" i="3" s="1"/>
  <c r="P2108" i="3"/>
  <c r="Q2127" i="3"/>
  <c r="R2127" i="3" s="1"/>
  <c r="P2127" i="3"/>
  <c r="Q2199" i="3"/>
  <c r="R2199" i="3" s="1"/>
  <c r="P2199" i="3"/>
  <c r="Q2216" i="3"/>
  <c r="R2216" i="3" s="1"/>
  <c r="P2216" i="3"/>
  <c r="Q2259" i="3"/>
  <c r="R2259" i="3" s="1"/>
  <c r="P2259" i="3"/>
  <c r="Q2709" i="3"/>
  <c r="R2709" i="3" s="1"/>
  <c r="P2709" i="3"/>
  <c r="Q2100" i="3"/>
  <c r="R2100" i="3" s="1"/>
  <c r="P2100" i="3"/>
  <c r="P2112" i="3"/>
  <c r="Q2120" i="3"/>
  <c r="R2120" i="3" s="1"/>
  <c r="P2135" i="3"/>
  <c r="Q2163" i="3"/>
  <c r="R2163" i="3" s="1"/>
  <c r="P2163" i="3"/>
  <c r="Q2183" i="3"/>
  <c r="R2183" i="3" s="1"/>
  <c r="P2183" i="3"/>
  <c r="Q2580" i="3"/>
  <c r="R2580" i="3" s="1"/>
  <c r="P2580" i="3"/>
  <c r="P2705" i="3"/>
  <c r="Q2705" i="3"/>
  <c r="R2705" i="3" s="1"/>
  <c r="Q2937" i="3"/>
  <c r="R2937" i="3" s="1"/>
  <c r="P2937" i="3"/>
  <c r="Q2175" i="3"/>
  <c r="R2175" i="3" s="1"/>
  <c r="P2175" i="3"/>
  <c r="Q2184" i="3"/>
  <c r="R2184" i="3" s="1"/>
  <c r="P2184" i="3"/>
  <c r="Q2208" i="3"/>
  <c r="R2208" i="3" s="1"/>
  <c r="P2208" i="3"/>
  <c r="Q2394" i="3"/>
  <c r="R2394" i="3" s="1"/>
  <c r="P2394" i="3"/>
  <c r="Q2468" i="3"/>
  <c r="R2468" i="3" s="1"/>
  <c r="P2468" i="3"/>
  <c r="Q3052" i="3"/>
  <c r="R3052" i="3" s="1"/>
  <c r="P3052" i="3"/>
  <c r="Q2226" i="3"/>
  <c r="R2226" i="3" s="1"/>
  <c r="P2226" i="3"/>
  <c r="Q2316" i="3"/>
  <c r="R2316" i="3" s="1"/>
  <c r="P2316" i="3"/>
  <c r="Q2505" i="3"/>
  <c r="R2505" i="3" s="1"/>
  <c r="P2505" i="3"/>
  <c r="Q2136" i="3"/>
  <c r="R2136" i="3" s="1"/>
  <c r="P2136" i="3"/>
  <c r="Q2234" i="3"/>
  <c r="R2234" i="3" s="1"/>
  <c r="P2234" i="3"/>
  <c r="Q2360" i="3"/>
  <c r="R2360" i="3" s="1"/>
  <c r="P2360" i="3"/>
  <c r="Q2079" i="3"/>
  <c r="R2079" i="3" s="1"/>
  <c r="P2079" i="3"/>
  <c r="P2189" i="3"/>
  <c r="Q2028" i="3"/>
  <c r="R2028" i="3" s="1"/>
  <c r="P2028" i="3"/>
  <c r="Q2214" i="3"/>
  <c r="R2214" i="3" s="1"/>
  <c r="P2214" i="3"/>
  <c r="Q2240" i="3"/>
  <c r="R2240" i="3" s="1"/>
  <c r="P2240" i="3"/>
  <c r="Q2274" i="3"/>
  <c r="R2274" i="3" s="1"/>
  <c r="P2274" i="3"/>
  <c r="Q2043" i="3"/>
  <c r="R2043" i="3" s="1"/>
  <c r="P2043" i="3"/>
  <c r="P2073" i="3"/>
  <c r="P2084" i="3"/>
  <c r="Q2114" i="3"/>
  <c r="R2114" i="3" s="1"/>
  <c r="Q2145" i="3"/>
  <c r="R2145" i="3" s="1"/>
  <c r="P2145" i="3"/>
  <c r="P2153" i="3"/>
  <c r="Q2177" i="3"/>
  <c r="R2177" i="3" s="1"/>
  <c r="Q2210" i="3"/>
  <c r="R2210" i="3" s="1"/>
  <c r="Q2223" i="3"/>
  <c r="R2223" i="3" s="1"/>
  <c r="P2223" i="3"/>
  <c r="Q2405" i="3"/>
  <c r="R2405" i="3" s="1"/>
  <c r="P2405" i="3"/>
  <c r="Q2091" i="3"/>
  <c r="R2091" i="3" s="1"/>
  <c r="P2091" i="3"/>
  <c r="P2130" i="3"/>
  <c r="Q2618" i="3"/>
  <c r="R2618" i="3" s="1"/>
  <c r="P2618" i="3"/>
  <c r="P2249" i="3"/>
  <c r="Q2249" i="3"/>
  <c r="R2249" i="3" s="1"/>
  <c r="Q2270" i="3"/>
  <c r="R2270" i="3" s="1"/>
  <c r="P2270" i="3"/>
  <c r="Q2279" i="3"/>
  <c r="R2279" i="3" s="1"/>
  <c r="P2279" i="3"/>
  <c r="Q2327" i="3"/>
  <c r="R2327" i="3" s="1"/>
  <c r="P2327" i="3"/>
  <c r="Q2534" i="3"/>
  <c r="R2534" i="3" s="1"/>
  <c r="P2534" i="3"/>
  <c r="Q2055" i="3"/>
  <c r="R2055" i="3" s="1"/>
  <c r="P2055" i="3"/>
  <c r="P2081" i="3"/>
  <c r="Q2150" i="3"/>
  <c r="R2150" i="3" s="1"/>
  <c r="P2154" i="3"/>
  <c r="Q2166" i="3"/>
  <c r="R2166" i="3" s="1"/>
  <c r="P2166" i="3"/>
  <c r="Q2262" i="3"/>
  <c r="R2262" i="3" s="1"/>
  <c r="P2262" i="3"/>
  <c r="Q2343" i="3"/>
  <c r="R2343" i="3" s="1"/>
  <c r="P2343" i="3"/>
  <c r="Q2391" i="3"/>
  <c r="R2391" i="3" s="1"/>
  <c r="P2391" i="3"/>
  <c r="Q2430" i="3"/>
  <c r="R2430" i="3" s="1"/>
  <c r="P2430" i="3"/>
  <c r="Q2498" i="3"/>
  <c r="R2498" i="3" s="1"/>
  <c r="P2498" i="3"/>
  <c r="Q2577" i="3"/>
  <c r="R2577" i="3" s="1"/>
  <c r="P2577" i="3"/>
  <c r="Q2615" i="3"/>
  <c r="R2615" i="3" s="1"/>
  <c r="P2615" i="3"/>
  <c r="Q2795" i="3"/>
  <c r="R2795" i="3" s="1"/>
  <c r="P2795" i="3"/>
  <c r="P3098" i="3"/>
  <c r="Q3098" i="3"/>
  <c r="R3098" i="3" s="1"/>
  <c r="P2202" i="3"/>
  <c r="Q2358" i="3"/>
  <c r="R2358" i="3" s="1"/>
  <c r="P2358" i="3"/>
  <c r="P2396" i="3"/>
  <c r="Q2442" i="3"/>
  <c r="R2442" i="3" s="1"/>
  <c r="P2442" i="3"/>
  <c r="Q2499" i="3"/>
  <c r="R2499" i="3" s="1"/>
  <c r="P2499" i="3"/>
  <c r="Q2553" i="3"/>
  <c r="R2553" i="3" s="1"/>
  <c r="P2553" i="3"/>
  <c r="Q2669" i="3"/>
  <c r="R2669" i="3" s="1"/>
  <c r="P2669" i="3"/>
  <c r="Q2685" i="3"/>
  <c r="R2685" i="3" s="1"/>
  <c r="P2685" i="3"/>
  <c r="Q2745" i="3"/>
  <c r="R2745" i="3" s="1"/>
  <c r="P2745" i="3"/>
  <c r="P2813" i="3"/>
  <c r="Q2834" i="3"/>
  <c r="R2834" i="3" s="1"/>
  <c r="P2834" i="3"/>
  <c r="P2859" i="3"/>
  <c r="Q2913" i="3"/>
  <c r="R2913" i="3" s="1"/>
  <c r="P2913" i="3"/>
  <c r="Q3144" i="3"/>
  <c r="R3144" i="3" s="1"/>
  <c r="P3144" i="3"/>
  <c r="P2333" i="3"/>
  <c r="P2337" i="3"/>
  <c r="P2348" i="3"/>
  <c r="P2355" i="3"/>
  <c r="Q2381" i="3"/>
  <c r="R2381" i="3" s="1"/>
  <c r="Q2507" i="3"/>
  <c r="R2507" i="3" s="1"/>
  <c r="P2507" i="3"/>
  <c r="Q2532" i="3"/>
  <c r="R2532" i="3" s="1"/>
  <c r="P2532" i="3"/>
  <c r="Q2591" i="3"/>
  <c r="R2591" i="3" s="1"/>
  <c r="P2691" i="3"/>
  <c r="Q2724" i="3"/>
  <c r="R2724" i="3" s="1"/>
  <c r="P2724" i="3"/>
  <c r="Q2750" i="3"/>
  <c r="R2750" i="3" s="1"/>
  <c r="P2750" i="3"/>
  <c r="P2783" i="3"/>
  <c r="Q2783" i="3"/>
  <c r="R2783" i="3" s="1"/>
  <c r="P2817" i="3"/>
  <c r="Q2885" i="3"/>
  <c r="R2885" i="3" s="1"/>
  <c r="Q2939" i="3"/>
  <c r="R2939" i="3" s="1"/>
  <c r="P2939" i="3"/>
  <c r="Q3056" i="3"/>
  <c r="R3056" i="3" s="1"/>
  <c r="Q3070" i="3"/>
  <c r="R3070" i="3" s="1"/>
  <c r="P3070" i="3"/>
  <c r="Q2307" i="3"/>
  <c r="R2307" i="3" s="1"/>
  <c r="P2307" i="3"/>
  <c r="Q2370" i="3"/>
  <c r="R2370" i="3" s="1"/>
  <c r="P2370" i="3"/>
  <c r="Q2415" i="3"/>
  <c r="R2415" i="3" s="1"/>
  <c r="P2415" i="3"/>
  <c r="Q2463" i="3"/>
  <c r="R2463" i="3" s="1"/>
  <c r="P2463" i="3"/>
  <c r="Q2474" i="3"/>
  <c r="R2474" i="3" s="1"/>
  <c r="P2474" i="3"/>
  <c r="Q2570" i="3"/>
  <c r="R2570" i="3" s="1"/>
  <c r="P2570" i="3"/>
  <c r="Q2583" i="3"/>
  <c r="R2583" i="3" s="1"/>
  <c r="P2583" i="3"/>
  <c r="Q2738" i="3"/>
  <c r="R2738" i="3" s="1"/>
  <c r="P2738" i="3"/>
  <c r="Q2805" i="3"/>
  <c r="R2805" i="3" s="1"/>
  <c r="P2805" i="3"/>
  <c r="P2843" i="3"/>
  <c r="Q2843" i="3"/>
  <c r="R2843" i="3" s="1"/>
  <c r="P3037" i="3"/>
  <c r="Q3037" i="3"/>
  <c r="R3037" i="3" s="1"/>
  <c r="P3075" i="3"/>
  <c r="Q3075" i="3"/>
  <c r="R3075" i="3" s="1"/>
  <c r="Q3105" i="3"/>
  <c r="R3105" i="3" s="1"/>
  <c r="P3105" i="3"/>
  <c r="Q2322" i="3"/>
  <c r="R2322" i="3" s="1"/>
  <c r="P2322" i="3"/>
  <c r="Q2427" i="3"/>
  <c r="R2427" i="3" s="1"/>
  <c r="P2427" i="3"/>
  <c r="Q2451" i="3"/>
  <c r="R2451" i="3" s="1"/>
  <c r="P2451" i="3"/>
  <c r="Q2592" i="3"/>
  <c r="R2592" i="3" s="1"/>
  <c r="P2592" i="3"/>
  <c r="Q2712" i="3"/>
  <c r="R2712" i="3" s="1"/>
  <c r="P2712" i="3"/>
  <c r="Q2759" i="3"/>
  <c r="R2759" i="3" s="1"/>
  <c r="P2759" i="3"/>
  <c r="Q2822" i="3"/>
  <c r="R2822" i="3" s="1"/>
  <c r="P2822" i="3"/>
  <c r="Q2844" i="3"/>
  <c r="R2844" i="3" s="1"/>
  <c r="P2844" i="3"/>
  <c r="Q2901" i="3"/>
  <c r="R2901" i="3" s="1"/>
  <c r="P2901" i="3"/>
  <c r="P2927" i="3"/>
  <c r="Q2927" i="3"/>
  <c r="R2927" i="3" s="1"/>
  <c r="Q2970" i="3"/>
  <c r="R2970" i="3" s="1"/>
  <c r="P2970" i="3"/>
  <c r="P2115" i="3"/>
  <c r="P2151" i="3"/>
  <c r="P2178" i="3"/>
  <c r="P2217" i="3"/>
  <c r="P2297" i="3"/>
  <c r="P2301" i="3"/>
  <c r="P2312" i="3"/>
  <c r="P2319" i="3"/>
  <c r="Q2345" i="3"/>
  <c r="R2345" i="3" s="1"/>
  <c r="P2382" i="3"/>
  <c r="Q2393" i="3"/>
  <c r="R2393" i="3" s="1"/>
  <c r="P2432" i="3"/>
  <c r="Q2475" i="3"/>
  <c r="R2475" i="3" s="1"/>
  <c r="P2475" i="3"/>
  <c r="P2483" i="3"/>
  <c r="Q2483" i="3"/>
  <c r="R2483" i="3" s="1"/>
  <c r="Q2604" i="3"/>
  <c r="R2604" i="3" s="1"/>
  <c r="P2604" i="3"/>
  <c r="Q2700" i="3"/>
  <c r="R2700" i="3" s="1"/>
  <c r="P2700" i="3"/>
  <c r="Q2717" i="3"/>
  <c r="R2717" i="3" s="1"/>
  <c r="P2793" i="3"/>
  <c r="Q2877" i="3"/>
  <c r="R2877" i="3" s="1"/>
  <c r="P2877" i="3"/>
  <c r="P2907" i="3"/>
  <c r="Q2949" i="3"/>
  <c r="R2949" i="3" s="1"/>
  <c r="P2949" i="3"/>
  <c r="P2986" i="3"/>
  <c r="Q2986" i="3"/>
  <c r="R2986" i="3" s="1"/>
  <c r="Q2235" i="3"/>
  <c r="R2235" i="3" s="1"/>
  <c r="P2235" i="3"/>
  <c r="Q2271" i="3"/>
  <c r="R2271" i="3" s="1"/>
  <c r="P2271" i="3"/>
  <c r="Q2334" i="3"/>
  <c r="R2334" i="3" s="1"/>
  <c r="P2334" i="3"/>
  <c r="Q2484" i="3"/>
  <c r="R2484" i="3" s="1"/>
  <c r="P2484" i="3"/>
  <c r="Q2496" i="3"/>
  <c r="R2496" i="3" s="1"/>
  <c r="P2496" i="3"/>
  <c r="Q2529" i="3"/>
  <c r="R2529" i="3" s="1"/>
  <c r="P2529" i="3"/>
  <c r="Q2609" i="3"/>
  <c r="R2609" i="3" s="1"/>
  <c r="P2609" i="3"/>
  <c r="Q2831" i="3"/>
  <c r="R2831" i="3" s="1"/>
  <c r="P2831" i="3"/>
  <c r="Q2865" i="3"/>
  <c r="R2865" i="3" s="1"/>
  <c r="P2865" i="3"/>
  <c r="Q2966" i="3"/>
  <c r="R2966" i="3" s="1"/>
  <c r="P2966" i="3"/>
  <c r="P3019" i="3"/>
  <c r="Q2286" i="3"/>
  <c r="R2286" i="3" s="1"/>
  <c r="P2286" i="3"/>
  <c r="P2331" i="3"/>
  <c r="P2472" i="3"/>
  <c r="P2567" i="3"/>
  <c r="Q2567" i="3"/>
  <c r="R2567" i="3" s="1"/>
  <c r="Q2642" i="3"/>
  <c r="R2642" i="3" s="1"/>
  <c r="P2642" i="3"/>
  <c r="Q2688" i="3"/>
  <c r="R2688" i="3" s="1"/>
  <c r="P2688" i="3"/>
  <c r="Q2861" i="3"/>
  <c r="R2861" i="3" s="1"/>
  <c r="P2861" i="3"/>
  <c r="P3125" i="3"/>
  <c r="Q3125" i="3"/>
  <c r="R3125" i="3" s="1"/>
  <c r="Q2298" i="3"/>
  <c r="R2298" i="3" s="1"/>
  <c r="P2298" i="3"/>
  <c r="Q2379" i="3"/>
  <c r="R2379" i="3" s="1"/>
  <c r="P2379" i="3"/>
  <c r="Q2417" i="3"/>
  <c r="R2417" i="3" s="1"/>
  <c r="P2417" i="3"/>
  <c r="Q2526" i="3"/>
  <c r="R2526" i="3" s="1"/>
  <c r="P2526" i="3"/>
  <c r="Q2589" i="3"/>
  <c r="R2589" i="3" s="1"/>
  <c r="P2589" i="3"/>
  <c r="P2735" i="3"/>
  <c r="Q2735" i="3"/>
  <c r="R2735" i="3" s="1"/>
  <c r="Q2781" i="3"/>
  <c r="R2781" i="3" s="1"/>
  <c r="P2781" i="3"/>
  <c r="P3011" i="3"/>
  <c r="Q3011" i="3"/>
  <c r="R3011" i="3" s="1"/>
  <c r="P3136" i="3"/>
  <c r="Q3136" i="3"/>
  <c r="R3136" i="3" s="1"/>
  <c r="Q2190" i="3"/>
  <c r="R2190" i="3" s="1"/>
  <c r="P2190" i="3"/>
  <c r="Q2250" i="3"/>
  <c r="R2250" i="3" s="1"/>
  <c r="P2250" i="3"/>
  <c r="P2295" i="3"/>
  <c r="P2399" i="3"/>
  <c r="Q2406" i="3"/>
  <c r="R2406" i="3" s="1"/>
  <c r="P2406" i="3"/>
  <c r="P2418" i="3"/>
  <c r="Q2453" i="3"/>
  <c r="R2453" i="3" s="1"/>
  <c r="P2453" i="3"/>
  <c r="P2477" i="3"/>
  <c r="Q2522" i="3"/>
  <c r="R2522" i="3" s="1"/>
  <c r="P2522" i="3"/>
  <c r="Q2543" i="3"/>
  <c r="R2543" i="3" s="1"/>
  <c r="P2543" i="3"/>
  <c r="P2606" i="3"/>
  <c r="Q2651" i="3"/>
  <c r="R2651" i="3" s="1"/>
  <c r="P2651" i="3"/>
  <c r="Q2664" i="3"/>
  <c r="R2664" i="3" s="1"/>
  <c r="P2664" i="3"/>
  <c r="Q2697" i="3"/>
  <c r="R2697" i="3" s="1"/>
  <c r="P2697" i="3"/>
  <c r="Q2736" i="3"/>
  <c r="R2736" i="3" s="1"/>
  <c r="P2736" i="3"/>
  <c r="Q2762" i="3"/>
  <c r="R2762" i="3" s="1"/>
  <c r="P2762" i="3"/>
  <c r="Q2774" i="3"/>
  <c r="R2774" i="3" s="1"/>
  <c r="P2774" i="3"/>
  <c r="P2879" i="3"/>
  <c r="Q2879" i="3"/>
  <c r="R2879" i="3" s="1"/>
  <c r="Q2904" i="3"/>
  <c r="R2904" i="3" s="1"/>
  <c r="P2904" i="3"/>
  <c r="P2925" i="3"/>
  <c r="Q3142" i="3"/>
  <c r="R3142" i="3" s="1"/>
  <c r="P3142" i="3"/>
  <c r="P2310" i="3"/>
  <c r="P2373" i="3"/>
  <c r="Q2441" i="3"/>
  <c r="R2441" i="3" s="1"/>
  <c r="P2441" i="3"/>
  <c r="Q2454" i="3"/>
  <c r="R2454" i="3" s="1"/>
  <c r="P2454" i="3"/>
  <c r="Q2490" i="3"/>
  <c r="R2490" i="3" s="1"/>
  <c r="P2490" i="3"/>
  <c r="P2511" i="3"/>
  <c r="P2523" i="3"/>
  <c r="P2561" i="3"/>
  <c r="P2627" i="3"/>
  <c r="Q2627" i="3"/>
  <c r="R2627" i="3" s="1"/>
  <c r="P2639" i="3"/>
  <c r="Q2639" i="3"/>
  <c r="R2639" i="3" s="1"/>
  <c r="Q2652" i="3"/>
  <c r="R2652" i="3" s="1"/>
  <c r="P2652" i="3"/>
  <c r="P2715" i="3"/>
  <c r="Q2867" i="3"/>
  <c r="R2867" i="3" s="1"/>
  <c r="P2867" i="3"/>
  <c r="Q2880" i="3"/>
  <c r="R2880" i="3" s="1"/>
  <c r="P2880" i="3"/>
  <c r="Q2921" i="3"/>
  <c r="R2921" i="3" s="1"/>
  <c r="P2921" i="3"/>
  <c r="Q2733" i="3"/>
  <c r="R2733" i="3" s="1"/>
  <c r="P2733" i="3"/>
  <c r="Q2748" i="3"/>
  <c r="R2748" i="3" s="1"/>
  <c r="P2748" i="3"/>
  <c r="Q2868" i="3"/>
  <c r="R2868" i="3" s="1"/>
  <c r="P2868" i="3"/>
  <c r="P3077" i="3"/>
  <c r="Q3077" i="3"/>
  <c r="R3077" i="3" s="1"/>
  <c r="P2547" i="3"/>
  <c r="Q2687" i="3"/>
  <c r="R2687" i="3" s="1"/>
  <c r="P2687" i="3"/>
  <c r="P2726" i="3"/>
  <c r="Q2760" i="3"/>
  <c r="R2760" i="3" s="1"/>
  <c r="P2760" i="3"/>
  <c r="Q2772" i="3"/>
  <c r="R2772" i="3" s="1"/>
  <c r="P2772" i="3"/>
  <c r="P2787" i="3"/>
  <c r="P2799" i="3"/>
  <c r="Q2841" i="3"/>
  <c r="R2841" i="3" s="1"/>
  <c r="P2841" i="3"/>
  <c r="P2853" i="3"/>
  <c r="Q2903" i="3"/>
  <c r="R2903" i="3" s="1"/>
  <c r="P2903" i="3"/>
  <c r="P2931" i="3"/>
  <c r="P2943" i="3"/>
  <c r="P3001" i="3"/>
  <c r="P3054" i="3"/>
  <c r="Q3054" i="3"/>
  <c r="R3054" i="3" s="1"/>
  <c r="Q3078" i="3"/>
  <c r="R3078" i="3" s="1"/>
  <c r="P3087" i="3"/>
  <c r="P3101" i="3"/>
  <c r="Q3101" i="3"/>
  <c r="R3101" i="3" s="1"/>
  <c r="P3110" i="3"/>
  <c r="Q3110" i="3"/>
  <c r="R3110" i="3" s="1"/>
  <c r="P3155" i="3"/>
  <c r="Q3155" i="3"/>
  <c r="R3155" i="3" s="1"/>
  <c r="Q2661" i="3"/>
  <c r="R2661" i="3" s="1"/>
  <c r="P2661" i="3"/>
  <c r="Q2676" i="3"/>
  <c r="R2676" i="3" s="1"/>
  <c r="P2676" i="3"/>
  <c r="Q2916" i="3"/>
  <c r="R2916" i="3" s="1"/>
  <c r="P2916" i="3"/>
  <c r="Q3055" i="3"/>
  <c r="R3055" i="3" s="1"/>
  <c r="P3055" i="3"/>
  <c r="Q2616" i="3"/>
  <c r="R2616" i="3" s="1"/>
  <c r="P2616" i="3"/>
  <c r="Q2628" i="3"/>
  <c r="R2628" i="3" s="1"/>
  <c r="P2628" i="3"/>
  <c r="Q2769" i="3"/>
  <c r="R2769" i="3" s="1"/>
  <c r="P2769" i="3"/>
  <c r="Q2784" i="3"/>
  <c r="R2784" i="3" s="1"/>
  <c r="P2784" i="3"/>
  <c r="Q2808" i="3"/>
  <c r="R2808" i="3" s="1"/>
  <c r="P2808" i="3"/>
  <c r="Q2952" i="3"/>
  <c r="R2952" i="3" s="1"/>
  <c r="P2952" i="3"/>
  <c r="P3167" i="3"/>
  <c r="Q3167" i="3"/>
  <c r="R3167" i="3" s="1"/>
  <c r="Q2508" i="3"/>
  <c r="R2508" i="3" s="1"/>
  <c r="P2508" i="3"/>
  <c r="Q2544" i="3"/>
  <c r="R2544" i="3" s="1"/>
  <c r="P2544" i="3"/>
  <c r="Q2556" i="3"/>
  <c r="R2556" i="3" s="1"/>
  <c r="P2556" i="3"/>
  <c r="Q2723" i="3"/>
  <c r="R2723" i="3" s="1"/>
  <c r="P2723" i="3"/>
  <c r="Q2796" i="3"/>
  <c r="R2796" i="3" s="1"/>
  <c r="P2796" i="3"/>
  <c r="Q2940" i="3"/>
  <c r="R2940" i="3" s="1"/>
  <c r="P2940" i="3"/>
  <c r="P2990" i="3"/>
  <c r="Q2990" i="3"/>
  <c r="R2990" i="3" s="1"/>
  <c r="Q3034" i="3"/>
  <c r="R3034" i="3" s="1"/>
  <c r="P3034" i="3"/>
  <c r="Q2568" i="3"/>
  <c r="R2568" i="3" s="1"/>
  <c r="P2568" i="3"/>
  <c r="Q2579" i="3"/>
  <c r="R2579" i="3" s="1"/>
  <c r="P2579" i="3"/>
  <c r="Q2625" i="3"/>
  <c r="R2625" i="3" s="1"/>
  <c r="P2625" i="3"/>
  <c r="Q2640" i="3"/>
  <c r="R2640" i="3" s="1"/>
  <c r="P2640" i="3"/>
  <c r="Q2832" i="3"/>
  <c r="R2832" i="3" s="1"/>
  <c r="P2832" i="3"/>
  <c r="P2982" i="3"/>
  <c r="Q2982" i="3"/>
  <c r="R2982" i="3" s="1"/>
  <c r="P3044" i="3"/>
  <c r="Q3044" i="3"/>
  <c r="R3044" i="3" s="1"/>
  <c r="P3067" i="3"/>
  <c r="Q3067" i="3"/>
  <c r="R3067" i="3" s="1"/>
  <c r="Q3085" i="3"/>
  <c r="R3085" i="3" s="1"/>
  <c r="P3085" i="3"/>
  <c r="P3090" i="3"/>
  <c r="Q3090" i="3"/>
  <c r="R3090" i="3" s="1"/>
  <c r="P3132" i="3"/>
  <c r="Q3132" i="3"/>
  <c r="R3132" i="3" s="1"/>
  <c r="P3149" i="3"/>
  <c r="Q3149" i="3"/>
  <c r="R3149" i="3" s="1"/>
  <c r="P3023" i="3"/>
  <c r="Q3023" i="3"/>
  <c r="R3023" i="3" s="1"/>
  <c r="P2972" i="3"/>
  <c r="Q2972" i="3"/>
  <c r="R2972" i="3" s="1"/>
  <c r="P3008" i="3"/>
  <c r="Q3008" i="3"/>
  <c r="R3008" i="3" s="1"/>
  <c r="Q3140" i="3"/>
  <c r="R3140" i="3" s="1"/>
  <c r="P3038" i="3"/>
  <c r="Q3038" i="3"/>
  <c r="R3038" i="3" s="1"/>
  <c r="P2820" i="3"/>
  <c r="P2856" i="3"/>
  <c r="P2892" i="3"/>
  <c r="P2928" i="3"/>
  <c r="P2964" i="3"/>
  <c r="P2975" i="3"/>
  <c r="Q2975" i="3"/>
  <c r="R2975" i="3" s="1"/>
  <c r="P2979" i="3"/>
  <c r="Q2995" i="3"/>
  <c r="R2995" i="3" s="1"/>
  <c r="P3018" i="3"/>
  <c r="Q3018" i="3"/>
  <c r="R3018" i="3" s="1"/>
  <c r="Q3031" i="3"/>
  <c r="R3031" i="3" s="1"/>
  <c r="P3057" i="3"/>
  <c r="P3103" i="3"/>
  <c r="Q3103" i="3"/>
  <c r="R3103" i="3" s="1"/>
  <c r="P3080" i="3"/>
  <c r="Q3080" i="3"/>
  <c r="R3080" i="3" s="1"/>
  <c r="Q3209" i="3"/>
  <c r="R3209" i="3" s="1"/>
  <c r="Q3246" i="3"/>
  <c r="R3246" i="3" s="1"/>
  <c r="Q3224" i="3"/>
  <c r="R3224" i="3" s="1"/>
  <c r="P3113" i="3"/>
  <c r="Q3113" i="3"/>
  <c r="R3113" i="3" s="1"/>
  <c r="F89" i="5" l="1"/>
  <c r="I90" i="5"/>
  <c r="J90" i="5" s="1"/>
  <c r="I84" i="5"/>
  <c r="J84" i="5" s="1"/>
  <c r="I91" i="5"/>
  <c r="J91" i="5" s="1"/>
  <c r="I81" i="5"/>
  <c r="J81" i="5" s="1"/>
  <c r="I95" i="5"/>
  <c r="J95" i="5" s="1"/>
  <c r="I54" i="5"/>
  <c r="J54" i="5" s="1"/>
  <c r="I104" i="5"/>
  <c r="J104" i="5" s="1"/>
  <c r="I113" i="5"/>
  <c r="J113" i="5" s="1"/>
  <c r="I103" i="5"/>
  <c r="J103" i="5" s="1"/>
  <c r="I71" i="5"/>
  <c r="J71" i="5" s="1"/>
  <c r="F107" i="5"/>
  <c r="F119" i="5"/>
  <c r="I58" i="5"/>
  <c r="J58" i="5" s="1"/>
  <c r="I24" i="5"/>
  <c r="J24" i="5" s="1"/>
  <c r="I109" i="5"/>
  <c r="J109" i="5" s="1"/>
  <c r="F114" i="5"/>
  <c r="I93" i="5"/>
  <c r="J93" i="5" s="1"/>
  <c r="I35" i="5"/>
  <c r="J35" i="5" s="1"/>
  <c r="I72" i="5"/>
  <c r="J72" i="5" s="1"/>
  <c r="I96" i="5"/>
  <c r="J96" i="5" s="1"/>
  <c r="F98" i="5"/>
  <c r="I107" i="5"/>
  <c r="J107" i="5" s="1"/>
  <c r="I86" i="5"/>
  <c r="J86" i="5" s="1"/>
  <c r="E3" i="5"/>
  <c r="I99" i="5"/>
  <c r="J99" i="5" s="1"/>
  <c r="I27" i="5"/>
  <c r="J27" i="5" s="1"/>
  <c r="I114" i="5"/>
  <c r="J114" i="5" s="1"/>
  <c r="G126" i="5"/>
  <c r="G123" i="5"/>
  <c r="G120" i="5"/>
  <c r="G117" i="5"/>
  <c r="G114" i="5"/>
  <c r="G122" i="5"/>
  <c r="G71" i="5"/>
  <c r="G53" i="5"/>
  <c r="G35" i="5"/>
  <c r="G17" i="5"/>
  <c r="G12" i="5"/>
  <c r="G7" i="5"/>
  <c r="G99" i="5"/>
  <c r="G97" i="5"/>
  <c r="G90" i="5"/>
  <c r="G88" i="5"/>
  <c r="G81" i="5"/>
  <c r="G79" i="5"/>
  <c r="G108" i="5"/>
  <c r="G106" i="5"/>
  <c r="G121" i="5"/>
  <c r="G115" i="5"/>
  <c r="G104" i="5"/>
  <c r="G95" i="5"/>
  <c r="G86" i="5"/>
  <c r="G119" i="5"/>
  <c r="G113" i="5"/>
  <c r="G77" i="5"/>
  <c r="G59" i="5"/>
  <c r="G41" i="5"/>
  <c r="G23" i="5"/>
  <c r="G13" i="5"/>
  <c r="G111" i="5"/>
  <c r="G109" i="5"/>
  <c r="G102" i="5"/>
  <c r="G100" i="5"/>
  <c r="G93" i="5"/>
  <c r="G91" i="5"/>
  <c r="G84" i="5"/>
  <c r="G82" i="5"/>
  <c r="G72" i="5"/>
  <c r="G67" i="5"/>
  <c r="G54" i="5"/>
  <c r="G49" i="5"/>
  <c r="G62" i="5"/>
  <c r="G44" i="5"/>
  <c r="G26" i="5"/>
  <c r="G107" i="5"/>
  <c r="G98" i="5"/>
  <c r="G89" i="5"/>
  <c r="G80" i="5"/>
  <c r="G75" i="5"/>
  <c r="G70" i="5"/>
  <c r="G57" i="5"/>
  <c r="G52" i="5"/>
  <c r="G39" i="5"/>
  <c r="G34" i="5"/>
  <c r="G21" i="5"/>
  <c r="G16" i="5"/>
  <c r="G11" i="5"/>
  <c r="G65" i="5"/>
  <c r="G47" i="5"/>
  <c r="G29" i="5"/>
  <c r="G6" i="5"/>
  <c r="G124" i="5"/>
  <c r="G118" i="5"/>
  <c r="G112" i="5"/>
  <c r="G105" i="5"/>
  <c r="G103" i="5"/>
  <c r="G96" i="5"/>
  <c r="G94" i="5"/>
  <c r="G87" i="5"/>
  <c r="G85" i="5"/>
  <c r="G78" i="5"/>
  <c r="G73" i="5"/>
  <c r="G60" i="5"/>
  <c r="G55" i="5"/>
  <c r="G116" i="5"/>
  <c r="G68" i="5"/>
  <c r="G50" i="5"/>
  <c r="G32" i="5"/>
  <c r="G14" i="5"/>
  <c r="G9" i="5"/>
  <c r="G4" i="5"/>
  <c r="G92" i="5"/>
  <c r="G69" i="5"/>
  <c r="G42" i="5"/>
  <c r="G74" i="5"/>
  <c r="G63" i="5"/>
  <c r="G58" i="5"/>
  <c r="G46" i="5"/>
  <c r="G25" i="5"/>
  <c r="G28" i="5"/>
  <c r="G110" i="5"/>
  <c r="G38" i="5"/>
  <c r="G45" i="5"/>
  <c r="G3" i="5"/>
  <c r="G15" i="5"/>
  <c r="G31" i="5"/>
  <c r="G18" i="5"/>
  <c r="G8" i="5"/>
  <c r="G56" i="5"/>
  <c r="G125" i="5"/>
  <c r="G37" i="5"/>
  <c r="G24" i="5"/>
  <c r="G5" i="5"/>
  <c r="G61" i="5"/>
  <c r="G40" i="5"/>
  <c r="G30" i="5"/>
  <c r="G66" i="5"/>
  <c r="G48" i="5"/>
  <c r="G27" i="5"/>
  <c r="G22" i="5"/>
  <c r="G20" i="5"/>
  <c r="G10" i="5"/>
  <c r="G19" i="5"/>
  <c r="G101" i="5"/>
  <c r="G83" i="5"/>
  <c r="G76" i="5"/>
  <c r="G43" i="5"/>
  <c r="G33" i="5"/>
  <c r="G51" i="5"/>
  <c r="G36" i="5"/>
  <c r="G64" i="5"/>
  <c r="I92" i="5"/>
  <c r="J92" i="5" s="1"/>
  <c r="F110" i="5"/>
  <c r="F101" i="5"/>
  <c r="F92" i="5"/>
  <c r="F83" i="5"/>
  <c r="F76" i="5"/>
  <c r="F63" i="5"/>
  <c r="F58" i="5"/>
  <c r="F45" i="5"/>
  <c r="F40" i="5"/>
  <c r="F27" i="5"/>
  <c r="F22" i="5"/>
  <c r="F71" i="5"/>
  <c r="F125" i="5"/>
  <c r="F123" i="5"/>
  <c r="H123" i="5" s="1"/>
  <c r="F117" i="5"/>
  <c r="F121" i="5"/>
  <c r="H121" i="5" s="1"/>
  <c r="F115" i="5"/>
  <c r="F104" i="5"/>
  <c r="F95" i="5"/>
  <c r="F86" i="5"/>
  <c r="H86" i="5" s="1"/>
  <c r="F69" i="5"/>
  <c r="H69" i="5" s="1"/>
  <c r="F64" i="5"/>
  <c r="F51" i="5"/>
  <c r="F46" i="5"/>
  <c r="F33" i="5"/>
  <c r="F28" i="5"/>
  <c r="F15" i="5"/>
  <c r="F5" i="5"/>
  <c r="F113" i="5"/>
  <c r="F77" i="5"/>
  <c r="F59" i="5"/>
  <c r="F41" i="5"/>
  <c r="F111" i="5"/>
  <c r="F109" i="5"/>
  <c r="F102" i="5"/>
  <c r="F100" i="5"/>
  <c r="F93" i="5"/>
  <c r="F91" i="5"/>
  <c r="F84" i="5"/>
  <c r="H84" i="5" s="1"/>
  <c r="F82" i="5"/>
  <c r="F72" i="5"/>
  <c r="F67" i="5"/>
  <c r="F54" i="5"/>
  <c r="F49" i="5"/>
  <c r="F36" i="5"/>
  <c r="F31" i="5"/>
  <c r="H31" i="5" s="1"/>
  <c r="F18" i="5"/>
  <c r="H18" i="5" s="1"/>
  <c r="F62" i="5"/>
  <c r="H62" i="5" s="1"/>
  <c r="F44" i="5"/>
  <c r="F26" i="5"/>
  <c r="F3" i="5"/>
  <c r="F75" i="5"/>
  <c r="F70" i="5"/>
  <c r="F57" i="5"/>
  <c r="F52" i="5"/>
  <c r="F39" i="5"/>
  <c r="F34" i="5"/>
  <c r="F21" i="5"/>
  <c r="F11" i="5"/>
  <c r="F80" i="5"/>
  <c r="H80" i="5" s="1"/>
  <c r="F16" i="5"/>
  <c r="F126" i="5"/>
  <c r="F122" i="5"/>
  <c r="F120" i="5"/>
  <c r="F65" i="5"/>
  <c r="F124" i="5"/>
  <c r="F118" i="5"/>
  <c r="F112" i="5"/>
  <c r="F105" i="5"/>
  <c r="F103" i="5"/>
  <c r="F96" i="5"/>
  <c r="F94" i="5"/>
  <c r="F87" i="5"/>
  <c r="H87" i="5" s="1"/>
  <c r="F85" i="5"/>
  <c r="F78" i="5"/>
  <c r="F73" i="5"/>
  <c r="F60" i="5"/>
  <c r="F55" i="5"/>
  <c r="F42" i="5"/>
  <c r="F37" i="5"/>
  <c r="F24" i="5"/>
  <c r="F19" i="5"/>
  <c r="F43" i="5"/>
  <c r="F23" i="5"/>
  <c r="F29" i="5"/>
  <c r="H29" i="5" s="1"/>
  <c r="F90" i="5"/>
  <c r="H90" i="5" s="1"/>
  <c r="F81" i="5"/>
  <c r="F68" i="5"/>
  <c r="F35" i="5"/>
  <c r="H35" i="5" s="1"/>
  <c r="F12" i="5"/>
  <c r="H12" i="5" s="1"/>
  <c r="F6" i="5"/>
  <c r="F74" i="5"/>
  <c r="F25" i="5"/>
  <c r="F99" i="5"/>
  <c r="F88" i="5"/>
  <c r="F38" i="5"/>
  <c r="F53" i="5"/>
  <c r="F79" i="5"/>
  <c r="F108" i="5"/>
  <c r="F97" i="5"/>
  <c r="F8" i="5"/>
  <c r="F14" i="5"/>
  <c r="F66" i="5"/>
  <c r="F106" i="5"/>
  <c r="F48" i="5"/>
  <c r="F50" i="5"/>
  <c r="F61" i="5"/>
  <c r="F17" i="5"/>
  <c r="F116" i="5"/>
  <c r="H116" i="5" s="1"/>
  <c r="F56" i="5"/>
  <c r="F30" i="5"/>
  <c r="F7" i="5"/>
  <c r="F4" i="5"/>
  <c r="F32" i="5"/>
  <c r="H32" i="5" s="1"/>
  <c r="F9" i="5"/>
  <c r="F47" i="5"/>
  <c r="F20" i="5"/>
  <c r="F10" i="5"/>
  <c r="F13" i="5"/>
  <c r="H91" i="5" l="1"/>
  <c r="H97" i="5"/>
  <c r="H47" i="5"/>
  <c r="H115" i="5"/>
  <c r="H14" i="5"/>
  <c r="H108" i="5"/>
  <c r="H78" i="5"/>
  <c r="H15" i="5"/>
  <c r="H51" i="5"/>
  <c r="H66" i="5"/>
  <c r="H120" i="5"/>
  <c r="H89" i="5"/>
  <c r="H46" i="5"/>
  <c r="H71" i="5"/>
  <c r="H125" i="5"/>
  <c r="H23" i="5"/>
  <c r="H112" i="5"/>
  <c r="H7" i="5"/>
  <c r="H103" i="5"/>
  <c r="H104" i="5"/>
  <c r="H3" i="5"/>
  <c r="H117" i="5"/>
  <c r="H92" i="5"/>
  <c r="H30" i="5"/>
  <c r="H85" i="5"/>
  <c r="H126" i="5"/>
  <c r="H93" i="5"/>
  <c r="H99" i="5"/>
  <c r="H77" i="5"/>
  <c r="H74" i="5"/>
  <c r="H60" i="5"/>
  <c r="H65" i="5"/>
  <c r="H81" i="5"/>
  <c r="H55" i="5"/>
  <c r="H124" i="5"/>
  <c r="I63" i="5"/>
  <c r="H8" i="5"/>
  <c r="H70" i="5"/>
  <c r="H72" i="5"/>
  <c r="H113" i="5"/>
  <c r="H122" i="5"/>
  <c r="H56" i="5"/>
  <c r="H79" i="5"/>
  <c r="H28" i="5"/>
  <c r="H101" i="5"/>
  <c r="H41" i="5"/>
  <c r="H57" i="5"/>
  <c r="H67" i="5"/>
  <c r="I102" i="5"/>
  <c r="H26" i="5"/>
  <c r="H110" i="5"/>
  <c r="H76" i="5"/>
  <c r="H16" i="5"/>
  <c r="H94" i="5"/>
  <c r="H44" i="5"/>
  <c r="H21" i="5"/>
  <c r="H38" i="5"/>
  <c r="H61" i="5"/>
  <c r="H96" i="5"/>
  <c r="H10" i="5"/>
  <c r="H109" i="5"/>
  <c r="H20" i="5"/>
  <c r="H48" i="5"/>
  <c r="H24" i="5"/>
  <c r="H34" i="5"/>
  <c r="H36" i="5"/>
  <c r="H111" i="5"/>
  <c r="H88" i="5"/>
  <c r="H102" i="5"/>
  <c r="H17" i="5"/>
  <c r="H9" i="5"/>
  <c r="H6" i="5"/>
  <c r="H42" i="5"/>
  <c r="H118" i="5"/>
  <c r="H52" i="5"/>
  <c r="H54" i="5"/>
  <c r="H59" i="5"/>
  <c r="H58" i="5"/>
  <c r="I98" i="5"/>
  <c r="I34" i="5"/>
  <c r="I80" i="5"/>
  <c r="J80" i="5" s="1"/>
  <c r="H50" i="5"/>
  <c r="H19" i="5"/>
  <c r="H64" i="5"/>
  <c r="H27" i="5"/>
  <c r="I120" i="5"/>
  <c r="J120" i="5" s="1"/>
  <c r="I31" i="5"/>
  <c r="J31" i="5" s="1"/>
  <c r="H25" i="5"/>
  <c r="H105" i="5"/>
  <c r="I40" i="5"/>
  <c r="H39" i="5"/>
  <c r="H49" i="5"/>
  <c r="H37" i="5"/>
  <c r="I112" i="5"/>
  <c r="H63" i="5"/>
  <c r="H13" i="5"/>
  <c r="H106" i="5"/>
  <c r="H4" i="5"/>
  <c r="H68" i="5"/>
  <c r="H73" i="5"/>
  <c r="H75" i="5"/>
  <c r="H82" i="5"/>
  <c r="H5" i="5"/>
  <c r="H83" i="5"/>
  <c r="I3" i="5"/>
  <c r="H119" i="5"/>
  <c r="H53" i="5"/>
  <c r="H33" i="5"/>
  <c r="I8" i="5"/>
  <c r="J8" i="5" s="1"/>
  <c r="H100" i="5"/>
  <c r="I55" i="5"/>
  <c r="I124" i="5"/>
  <c r="I67" i="5"/>
  <c r="H107" i="5"/>
  <c r="I65" i="5"/>
  <c r="I97" i="5"/>
  <c r="I9" i="5"/>
  <c r="I30" i="5"/>
  <c r="I101" i="5"/>
  <c r="H43" i="5"/>
  <c r="H11" i="5"/>
  <c r="H22" i="5"/>
  <c r="I75" i="5"/>
  <c r="I14" i="5"/>
  <c r="I79" i="5"/>
  <c r="I68" i="5"/>
  <c r="I29" i="5"/>
  <c r="J29" i="5" s="1"/>
  <c r="I42" i="5"/>
  <c r="I82" i="5"/>
  <c r="I57" i="5"/>
  <c r="I111" i="5"/>
  <c r="I18" i="5"/>
  <c r="J18" i="5" s="1"/>
  <c r="I25" i="5"/>
  <c r="I7" i="5"/>
  <c r="I125" i="5"/>
  <c r="J125" i="5" s="1"/>
  <c r="I22" i="5"/>
  <c r="I88" i="5"/>
  <c r="I19" i="5"/>
  <c r="H40" i="5"/>
  <c r="I76" i="5"/>
  <c r="I47" i="5"/>
  <c r="J47" i="5" s="1"/>
  <c r="I17" i="5"/>
  <c r="J17" i="5" s="1"/>
  <c r="I106" i="5"/>
  <c r="I115" i="5"/>
  <c r="J115" i="5" s="1"/>
  <c r="I69" i="5"/>
  <c r="J69" i="5" s="1"/>
  <c r="I78" i="5"/>
  <c r="I119" i="5"/>
  <c r="I117" i="5"/>
  <c r="H45" i="5"/>
  <c r="I121" i="5"/>
  <c r="J121" i="5" s="1"/>
  <c r="I53" i="5"/>
  <c r="I12" i="5"/>
  <c r="J12" i="5" s="1"/>
  <c r="I46" i="5"/>
  <c r="I126" i="5"/>
  <c r="I6" i="5"/>
  <c r="I38" i="5"/>
  <c r="I28" i="5"/>
  <c r="I122" i="5"/>
  <c r="H95" i="5"/>
  <c r="I123" i="5"/>
  <c r="J123" i="5" s="1"/>
  <c r="I73" i="5"/>
  <c r="I43" i="5"/>
  <c r="I41" i="5"/>
  <c r="I64" i="5"/>
  <c r="I16" i="5"/>
  <c r="I108" i="5"/>
  <c r="I74" i="5"/>
  <c r="H114" i="5"/>
  <c r="I37" i="5"/>
  <c r="I48" i="5"/>
  <c r="I85" i="5"/>
  <c r="I66" i="5"/>
  <c r="I39" i="5"/>
  <c r="I20" i="5"/>
  <c r="I52" i="5"/>
  <c r="I77" i="5"/>
  <c r="I36" i="5"/>
  <c r="I49" i="5"/>
  <c r="I56" i="5"/>
  <c r="I70" i="5"/>
  <c r="I50" i="5"/>
  <c r="I26" i="5"/>
  <c r="I83" i="5"/>
  <c r="I11" i="5"/>
  <c r="I10" i="5"/>
  <c r="I59" i="5"/>
  <c r="I61" i="5"/>
  <c r="I21" i="5"/>
  <c r="J21" i="5" s="1"/>
  <c r="I33" i="5"/>
  <c r="I5" i="5"/>
  <c r="H98" i="5"/>
  <c r="I51" i="5"/>
  <c r="I13" i="5"/>
  <c r="I32" i="5"/>
  <c r="J32" i="5" s="1"/>
  <c r="I45" i="5"/>
  <c r="I100" i="5"/>
  <c r="I118" i="5"/>
  <c r="I23" i="5"/>
  <c r="I110" i="5"/>
  <c r="I116" i="5"/>
  <c r="J116" i="5" s="1"/>
  <c r="I4" i="5"/>
  <c r="I60" i="5"/>
  <c r="I105" i="5"/>
  <c r="I62" i="5"/>
  <c r="J62" i="5" s="1"/>
  <c r="I44" i="5"/>
  <c r="J97" i="5" l="1"/>
  <c r="J85" i="5"/>
  <c r="J51" i="5"/>
  <c r="J66" i="5"/>
  <c r="J14" i="5"/>
  <c r="J78" i="5"/>
  <c r="J108" i="5"/>
  <c r="J46" i="5"/>
  <c r="J65" i="5"/>
  <c r="J112" i="5"/>
  <c r="J23" i="5"/>
  <c r="J57" i="5"/>
  <c r="J7" i="5"/>
  <c r="J60" i="5"/>
  <c r="J5" i="5"/>
  <c r="J3" i="5"/>
  <c r="J63" i="5"/>
  <c r="J30" i="5"/>
  <c r="J77" i="5"/>
  <c r="J42" i="5"/>
  <c r="J126" i="5"/>
  <c r="J59" i="5"/>
  <c r="J68" i="5"/>
  <c r="J25" i="5"/>
  <c r="J40" i="5"/>
  <c r="J73" i="5"/>
  <c r="J117" i="5"/>
  <c r="J124" i="5"/>
  <c r="J55" i="5"/>
  <c r="J122" i="5"/>
  <c r="J74" i="5"/>
  <c r="J34" i="5"/>
  <c r="J102" i="5"/>
  <c r="J79" i="5"/>
  <c r="J100" i="5"/>
  <c r="J44" i="5"/>
  <c r="J70" i="5"/>
  <c r="J36" i="5"/>
  <c r="J16" i="5"/>
  <c r="J9" i="5"/>
  <c r="J61" i="5"/>
  <c r="J28" i="5"/>
  <c r="J88" i="5"/>
  <c r="J50" i="5"/>
  <c r="J37" i="5"/>
  <c r="J38" i="5"/>
  <c r="J105" i="5"/>
  <c r="J98" i="5"/>
  <c r="J56" i="5"/>
  <c r="J6" i="5"/>
  <c r="J111" i="5"/>
  <c r="J101" i="5"/>
  <c r="J41" i="5"/>
  <c r="J19" i="5"/>
  <c r="J67" i="5"/>
  <c r="J22" i="5"/>
  <c r="J4" i="5"/>
  <c r="J76" i="5"/>
  <c r="J110" i="5"/>
  <c r="J52" i="5"/>
  <c r="J20" i="5"/>
  <c r="J118" i="5"/>
  <c r="J119" i="5"/>
  <c r="J53" i="5"/>
  <c r="J10" i="5"/>
  <c r="J11" i="5"/>
  <c r="J26" i="5"/>
  <c r="J48" i="5"/>
  <c r="J45" i="5"/>
  <c r="J83" i="5"/>
  <c r="J75" i="5"/>
  <c r="J39" i="5"/>
  <c r="J13" i="5"/>
  <c r="J106" i="5"/>
  <c r="J49" i="5"/>
  <c r="J33" i="5"/>
  <c r="J82" i="5"/>
  <c r="J64" i="5"/>
  <c r="J43" i="5"/>
</calcChain>
</file>

<file path=xl/sharedStrings.xml><?xml version="1.0" encoding="utf-8"?>
<sst xmlns="http://schemas.openxmlformats.org/spreadsheetml/2006/main" count="22081" uniqueCount="6844">
  <si>
    <t>NECESIDAD</t>
  </si>
  <si>
    <t>STOCK</t>
  </si>
  <si>
    <t>Familia</t>
  </si>
  <si>
    <t>UM (ultima compra)</t>
  </si>
  <si>
    <t>Esta en necesidad?</t>
  </si>
  <si>
    <t>Moreno</t>
  </si>
  <si>
    <t>Ciudadela</t>
  </si>
  <si>
    <t>Moreno2</t>
  </si>
  <si>
    <t>Ciudadela3</t>
  </si>
  <si>
    <t>Stock total</t>
  </si>
  <si>
    <t>Diferencia</t>
  </si>
  <si>
    <t>Cobertura</t>
  </si>
  <si>
    <t>Estado</t>
  </si>
  <si>
    <t>Ultima OC</t>
  </si>
  <si>
    <t>Proveedor</t>
  </si>
  <si>
    <t>FILM PVC 38</t>
  </si>
  <si>
    <t>SERVILLETA 30X30 S/LOGO</t>
  </si>
  <si>
    <t>CLP</t>
  </si>
  <si>
    <t>AGITADOR</t>
  </si>
  <si>
    <t>ARRANQUE 60X90</t>
  </si>
  <si>
    <t>ARRANQUE 40X60</t>
  </si>
  <si>
    <t>ARRANQUE 20X30</t>
  </si>
  <si>
    <t>GUANTE LATEX M</t>
  </si>
  <si>
    <t>Mollon</t>
  </si>
  <si>
    <t>FOLEX</t>
  </si>
  <si>
    <t>BARBIJO QUIRURGICO</t>
  </si>
  <si>
    <t>ARRANQUE 50X70</t>
  </si>
  <si>
    <t>CAJA PIZZA GRANDE</t>
  </si>
  <si>
    <t>Papelera Colon</t>
  </si>
  <si>
    <t>COFIAS</t>
  </si>
  <si>
    <t>Pendiente turnado 28.04</t>
  </si>
  <si>
    <t>SERVILLETA 24X24 S/ LOGO</t>
  </si>
  <si>
    <t>DELANTAL DESCARTABLE</t>
  </si>
  <si>
    <t>ROLLO PAPEL MANTECA</t>
  </si>
  <si>
    <t>Pack Express</t>
  </si>
  <si>
    <t>ARRANQUE 15X20</t>
  </si>
  <si>
    <t>ESCARBADIENTE</t>
  </si>
  <si>
    <t>ROLLO ALUMINIO 40</t>
  </si>
  <si>
    <t>GUANTE PROPILENO</t>
  </si>
  <si>
    <t>BOLSA PAPEL MADERA</t>
  </si>
  <si>
    <t>VASO PLASTICO 180</t>
  </si>
  <si>
    <t>GUANTE NITRILO L</t>
  </si>
  <si>
    <t>Ingresa lunes 27.04</t>
  </si>
  <si>
    <t>PLATO DESCARTABLE</t>
  </si>
  <si>
    <t>CAMISETA 50X60 REF</t>
  </si>
  <si>
    <t>BANDEJA CARTON N°1</t>
  </si>
  <si>
    <t>Pendiente alta material</t>
  </si>
  <si>
    <t>BANDEJA 101</t>
  </si>
  <si>
    <t>CUCHARA SUNDAE</t>
  </si>
  <si>
    <t>Ingresa 30.04</t>
  </si>
  <si>
    <t>VASO TERMICO 180</t>
  </si>
  <si>
    <t>BANDEJA 103</t>
  </si>
  <si>
    <t>Pranamar</t>
  </si>
  <si>
    <t>CUCHILLO DESCARTABLE</t>
  </si>
  <si>
    <t>Achaplast</t>
  </si>
  <si>
    <t>TAPA 101</t>
  </si>
  <si>
    <t>Pendiente turnado 24.04</t>
  </si>
  <si>
    <t>COLLARIN 8/12 OZ</t>
  </si>
  <si>
    <t>Food Pack</t>
  </si>
  <si>
    <t xml:space="preserve">SORBETE </t>
  </si>
  <si>
    <t>BANDEJA R3</t>
  </si>
  <si>
    <t>BANDEJA 105</t>
  </si>
  <si>
    <t>CAMISETA NEGRA 40X50</t>
  </si>
  <si>
    <t>TENEDOR DESCARTABLE</t>
  </si>
  <si>
    <t>BANDEJA R5</t>
  </si>
  <si>
    <t>CUCHARA SOPERA</t>
  </si>
  <si>
    <t>TAPA VASO TERMICO 240</t>
  </si>
  <si>
    <t>TAPA R3</t>
  </si>
  <si>
    <t>Pack express</t>
  </si>
  <si>
    <t>TAPA 105</t>
  </si>
  <si>
    <t>TAPA VASO TERMICO 300</t>
  </si>
  <si>
    <t>TAPA R5</t>
  </si>
  <si>
    <t>BROCHETTE</t>
  </si>
  <si>
    <t>BANDEJA 102</t>
  </si>
  <si>
    <t>BARBIJO N95</t>
  </si>
  <si>
    <t>TAPA 102</t>
  </si>
  <si>
    <t>VASO TERMICO 300</t>
  </si>
  <si>
    <t>TAPA 103</t>
  </si>
  <si>
    <t>TAPA ENSALADERA CRISTAL</t>
  </si>
  <si>
    <t>POTE 230CC</t>
  </si>
  <si>
    <t>TAPA DEGUSTADOR</t>
  </si>
  <si>
    <t>VASO CRISTAL 325</t>
  </si>
  <si>
    <t>ANTORCHITAS</t>
  </si>
  <si>
    <t>CAJA PIZZA CHICA</t>
  </si>
  <si>
    <t>Pendiente turnado 15.04</t>
  </si>
  <si>
    <t>BOLSA CUBIERTO 10X25</t>
  </si>
  <si>
    <t>INDIVIDUAL NUTRIRE</t>
  </si>
  <si>
    <t>PAPEL HAMBURGUESA</t>
  </si>
  <si>
    <t>TAPA DOMO</t>
  </si>
  <si>
    <t>BASE ENSALADERA CRISTAL</t>
  </si>
  <si>
    <t>SERVILLETA 18x18 BLUE</t>
  </si>
  <si>
    <t>En alta</t>
  </si>
  <si>
    <t>Food Packaging</t>
  </si>
  <si>
    <t>SERVILLETA 18x18 NUTRIRE</t>
  </si>
  <si>
    <t>GUANTE LATEX L</t>
  </si>
  <si>
    <t>BOLSA CUBIERTOS 25X35</t>
  </si>
  <si>
    <t>MANGAS DESCARTABLES</t>
  </si>
  <si>
    <t>FILM PVC 45</t>
  </si>
  <si>
    <t>Transfe reclamada 28.04</t>
  </si>
  <si>
    <t>SERVILLETA 33X33 NUTRIRE</t>
  </si>
  <si>
    <t>CAJA DOBLE BASE 40X30X27 MESA</t>
  </si>
  <si>
    <t>SERVILLETA INTERCALADA ELITE</t>
  </si>
  <si>
    <t>AGITADOR MADERA</t>
  </si>
  <si>
    <t>Biopackaging</t>
  </si>
  <si>
    <t>CAMISETA BLANCA 40X50</t>
  </si>
  <si>
    <t>SERVILLETA BAR</t>
  </si>
  <si>
    <t>INDIVIDUAL CHEF GOURMET</t>
  </si>
  <si>
    <t>BANDEJA 102 BIODEGRADABLE</t>
  </si>
  <si>
    <t>Pendiente liberacion 22.04</t>
  </si>
  <si>
    <t>INDIVIDUAL HEALTH</t>
  </si>
  <si>
    <t>CUCHILLO COMPOSTABLE</t>
  </si>
  <si>
    <t>SERVILLETA SIMIL TELA</t>
  </si>
  <si>
    <t>DL Clean</t>
  </si>
  <si>
    <t>GUANTE ANTIDESLIZANTE</t>
  </si>
  <si>
    <t>INDIVIDUAL KRAFT</t>
  </si>
  <si>
    <t>CUCHARA HELADO BIO</t>
  </si>
  <si>
    <t>SERVILLETA 33X33 CHEF GOURMET</t>
  </si>
  <si>
    <t>VASO TERMICO 240</t>
  </si>
  <si>
    <t>FILM COLOR AZUL</t>
  </si>
  <si>
    <t>BOLSA MICROPERFORADA 60X90</t>
  </si>
  <si>
    <t>DEGUSTADOR</t>
  </si>
  <si>
    <t>CAJA HERRERA</t>
  </si>
  <si>
    <t>CAJA MESA LANUS 1</t>
  </si>
  <si>
    <t>CAJA MESA LANUS 2</t>
  </si>
  <si>
    <t>FILM STRECH</t>
  </si>
  <si>
    <t>INDIVIDUAL SLL</t>
  </si>
  <si>
    <t>BANDEJA P/ SANDWICH</t>
  </si>
  <si>
    <t>VASO 12 OZ</t>
  </si>
  <si>
    <t>INDIVIDUAL GL SUPPORT</t>
  </si>
  <si>
    <t>FILM PVC 30</t>
  </si>
  <si>
    <t>TENEDOR COMPOSTABLE</t>
  </si>
  <si>
    <t>TAPA BOWL COMPOSTABLE 780</t>
  </si>
  <si>
    <t>BOWL COMPOSTABLE 960</t>
  </si>
  <si>
    <t>BANDEJA 105 BIODEGRADABLE</t>
  </si>
  <si>
    <t>Pendiente liberacion 24.04</t>
  </si>
  <si>
    <t>BANDEJA 103 BIODEGRADABLE</t>
  </si>
  <si>
    <t>BOWL COMPOSTABLE 780</t>
  </si>
  <si>
    <t>SORBETE C/ FUNDA</t>
  </si>
  <si>
    <t xml:space="preserve">SERVILLETA 16X21 </t>
  </si>
  <si>
    <t>Feprol</t>
  </si>
  <si>
    <t>CANCELADO</t>
  </si>
  <si>
    <t>ROLLO TERMOSELLADO</t>
  </si>
  <si>
    <t>SERVILLETE 33X33 BIO</t>
  </si>
  <si>
    <t>BANDEJA 105 C/ BISAGRA</t>
  </si>
  <si>
    <t>TAPA BOWL COMPOSTABLE 960</t>
  </si>
  <si>
    <t>VASO 12OZ BLUE</t>
  </si>
  <si>
    <t>Pendiente entrega food packaging</t>
  </si>
  <si>
    <t>VASO 8OZ BLUE</t>
  </si>
  <si>
    <t>Food packaging</t>
  </si>
  <si>
    <t>SERVILLETA C/ LOGO C. GOURMET 33X21.5</t>
  </si>
  <si>
    <t>BANDEJA TELGOPOR 618</t>
  </si>
  <si>
    <t>SERVILLETA C/ LOGO BLUE 33X21.5</t>
  </si>
  <si>
    <t>PAPEL PARAFINADO</t>
  </si>
  <si>
    <t>INDIVIDUAL BLUE ESPECIALIDAD</t>
  </si>
  <si>
    <t>MANGA TERMICA BLUE</t>
  </si>
  <si>
    <t>PORTA VASOS BLUE</t>
  </si>
  <si>
    <t>INDIVIDUAL BLUE PERFECTO</t>
  </si>
  <si>
    <t>BOLSA KRAFT FM8 BLUE</t>
  </si>
  <si>
    <t>TAPA 12 OZ BLUE</t>
  </si>
  <si>
    <t>BOLSA KRAFT FM5 BLUE</t>
  </si>
  <si>
    <t>TAPA 8 OZ BLUE</t>
  </si>
  <si>
    <t>PAPEL PARAFINADO BLUE</t>
  </si>
  <si>
    <t>GUANTE NITRILO M</t>
  </si>
  <si>
    <t>COD SAP</t>
  </si>
  <si>
    <t>CodInternoArti</t>
  </si>
  <si>
    <t>DescripcionArti</t>
  </si>
  <si>
    <t>Nivel_Integracion_3</t>
  </si>
  <si>
    <t>Nivel_Integracion_4</t>
  </si>
  <si>
    <t>Nivel_Integracion_5</t>
  </si>
  <si>
    <t>Ubicacion</t>
  </si>
  <si>
    <t>52</t>
  </si>
  <si>
    <t>53</t>
  </si>
  <si>
    <t>1</t>
  </si>
  <si>
    <t>2</t>
  </si>
  <si>
    <t>55</t>
  </si>
  <si>
    <t>56</t>
  </si>
  <si>
    <t>TOTAL</t>
  </si>
  <si>
    <t>STK CIU</t>
  </si>
  <si>
    <t>STK MOR</t>
  </si>
  <si>
    <t>STK MOR3</t>
  </si>
  <si>
    <t>STATUS</t>
  </si>
  <si>
    <t>DIFERENCIA</t>
  </si>
  <si>
    <t>sem 1+2</t>
  </si>
  <si>
    <t>CATEGORY</t>
  </si>
  <si>
    <t>ESTA CONTEMPLADO?</t>
  </si>
  <si>
    <t>EAN CORREGIDO</t>
  </si>
  <si>
    <t>16204006A</t>
  </si>
  <si>
    <t xml:space="preserve">ROLLO BOLSA ARRANQUE 60 x 90 </t>
  </si>
  <si>
    <t>BOLSAS</t>
  </si>
  <si>
    <t>BOLSAS ARRANQUE</t>
  </si>
  <si>
    <t>COMPRAR</t>
  </si>
  <si>
    <t>GASTON VECCHIO</t>
  </si>
  <si>
    <t>13044000A</t>
  </si>
  <si>
    <t>RESINITE (FILM DE PVC) x ROLLO</t>
  </si>
  <si>
    <t>VARIOS</t>
  </si>
  <si>
    <t>RESINITE</t>
  </si>
  <si>
    <t>RESINITE PVC</t>
  </si>
  <si>
    <t>14004000A</t>
  </si>
  <si>
    <t>BARBIJOS x 25 UNID</t>
  </si>
  <si>
    <t>BARBIJO DESCARTABLE</t>
  </si>
  <si>
    <t>16204003A</t>
  </si>
  <si>
    <t>ROLLO BOLSA ARRANQUE 40 x 60</t>
  </si>
  <si>
    <t>16208001A</t>
  </si>
  <si>
    <t>ROLLO DE BOLSA DE ARRANQUE 20 x 30</t>
  </si>
  <si>
    <t>17030001A</t>
  </si>
  <si>
    <t>GUANTE DE LATEX x 100 UNID</t>
  </si>
  <si>
    <t>DESCARTABLES</t>
  </si>
  <si>
    <t>GUANTE LATEX</t>
  </si>
  <si>
    <t>13069000A</t>
  </si>
  <si>
    <t>AGITADOR x 1000 U</t>
  </si>
  <si>
    <t>13072000A</t>
  </si>
  <si>
    <t>FOLEX 20CMX25XCM XKG</t>
  </si>
  <si>
    <t>PAPEL</t>
  </si>
  <si>
    <t>PAPEL FOLEX</t>
  </si>
  <si>
    <t>14047013A</t>
  </si>
  <si>
    <t>SERVILLE BCA 30X30X1000U S/LOGO</t>
  </si>
  <si>
    <t>SERVILLETAS DESC</t>
  </si>
  <si>
    <t>SERVILLETAS DESC S/LOGO</t>
  </si>
  <si>
    <t>SERVILLETA DESC S/LOGO</t>
  </si>
  <si>
    <t>16204004A</t>
  </si>
  <si>
    <t>ROLLO BOLSA ARRANQUE 45 x 60</t>
  </si>
  <si>
    <t>17018002A</t>
  </si>
  <si>
    <t>COFIAS DESCARTABLES X 100</t>
  </si>
  <si>
    <t>COFIA DESCARTABLE</t>
  </si>
  <si>
    <t>16204005A</t>
  </si>
  <si>
    <t>ROLLO BOLSA ARRANQUE 25X35</t>
  </si>
  <si>
    <t>16032005A</t>
  </si>
  <si>
    <t>CAJA P/PIZZA GRANDE x U</t>
  </si>
  <si>
    <t>CAJAS</t>
  </si>
  <si>
    <t>CAJAS CARTON</t>
  </si>
  <si>
    <t>CAJA P/ PIZZA</t>
  </si>
  <si>
    <t>14047015A</t>
  </si>
  <si>
    <t>SERVILLETA BCA 33X33X1000U GL</t>
  </si>
  <si>
    <t>SERVILLETAS DESC C/LOGO</t>
  </si>
  <si>
    <t>SERVILLETA DESC C/LOGO</t>
  </si>
  <si>
    <t>16204014A</t>
  </si>
  <si>
    <t>ROLLO BOLSA ARRANQUE 15x20</t>
  </si>
  <si>
    <t>14047000A</t>
  </si>
  <si>
    <t>SERVILLE BCA 33X32X1000U S/LOGO</t>
  </si>
  <si>
    <t>16204001A</t>
  </si>
  <si>
    <t>ROLLO BOLSA ARRANQUE 20 x 25</t>
  </si>
  <si>
    <t>EMB000036</t>
  </si>
  <si>
    <t>ROLLO_BOLSA_ARRANQUE_40_x_60</t>
  </si>
  <si>
    <t>LIM000155</t>
  </si>
  <si>
    <t>ROLLO ALUMINIO 45cm x 10mts</t>
  </si>
  <si>
    <t>ROLLO INDUSTRIAL</t>
  </si>
  <si>
    <t>PAPEL ALUMINIO</t>
  </si>
  <si>
    <t>14044013A</t>
  </si>
  <si>
    <t>PAPEL MANTECA</t>
  </si>
  <si>
    <t>14047009A</t>
  </si>
  <si>
    <t>SERVILLETA BCA 24X24 X1000U S/LOGO</t>
  </si>
  <si>
    <t>BAZ000387</t>
  </si>
  <si>
    <t>DELANTALES DESCARTABLES X 100</t>
  </si>
  <si>
    <t>DELANTALES DESCARTABLES</t>
  </si>
  <si>
    <t>EMB000037</t>
  </si>
  <si>
    <t>ROLLO_BOLSA_ARRANQUE_45_x_60</t>
  </si>
  <si>
    <t>17030002A</t>
  </si>
  <si>
    <t>GUANTES DE POLIPROPILENO x100U</t>
  </si>
  <si>
    <t>GUANTES DE POLIPROPILENO</t>
  </si>
  <si>
    <t>GUANTE POLIPROPILENO</t>
  </si>
  <si>
    <t>PLATOS DESCARTABLES X 50 UNID</t>
  </si>
  <si>
    <t>PLATOS</t>
  </si>
  <si>
    <t>PLATOS DESCARTABLES</t>
  </si>
  <si>
    <t>17146007A</t>
  </si>
  <si>
    <t>PAPEL ALUMINIO x 1 KG</t>
  </si>
  <si>
    <t>NO SE ENCUENTRA EAN</t>
  </si>
  <si>
    <t>BAZ000524</t>
  </si>
  <si>
    <t>DEGUSTADOR X 1000 U</t>
  </si>
  <si>
    <t>COCINA</t>
  </si>
  <si>
    <t>BAZAR</t>
  </si>
  <si>
    <t>DEGUSTADORES</t>
  </si>
  <si>
    <t>EMB000035</t>
  </si>
  <si>
    <t>ROLLO_BOLSA_ARRANQUE_35_x_45</t>
  </si>
  <si>
    <t>EMB000034</t>
  </si>
  <si>
    <t>CUCHILLO PLAST DESCARTABLE x 1000 U</t>
  </si>
  <si>
    <t>CUBIERTOS DESC</t>
  </si>
  <si>
    <t>CUCHILLOS</t>
  </si>
  <si>
    <t>TAPA 101 x 100 U</t>
  </si>
  <si>
    <t>TAPAS BAND DESC</t>
  </si>
  <si>
    <t>TAPAS PLASTICAS</t>
  </si>
  <si>
    <t>BAND ALUM R3/F2275 X600U</t>
  </si>
  <si>
    <t>BANDEJAS DESC</t>
  </si>
  <si>
    <t>BANDEJAS ALUMINIO</t>
  </si>
  <si>
    <t>BAND ALUMINIO R3</t>
  </si>
  <si>
    <t>LIM000292</t>
  </si>
  <si>
    <t>GUANTE NITRILO X100U</t>
  </si>
  <si>
    <t>GUANTES</t>
  </si>
  <si>
    <t>GUANTES NITRILO</t>
  </si>
  <si>
    <t>GUANTE NITRILO</t>
  </si>
  <si>
    <t>BANDEJAS PLASTICAS 101 x 100 U RECTANGULAR</t>
  </si>
  <si>
    <t>BANDEJAS PLASTICAS</t>
  </si>
  <si>
    <t>BAND 101</t>
  </si>
  <si>
    <t>VO BOLSA CAMIS NEG 45X60X100UN</t>
  </si>
  <si>
    <t>BOLSAS CAMISETA</t>
  </si>
  <si>
    <t>LIM000324</t>
  </si>
  <si>
    <t>BARBIJOS X 100 U</t>
  </si>
  <si>
    <t>BAND. ALUMINIO R5/F2100x600 U</t>
  </si>
  <si>
    <t>BAND ALUMINIO R5</t>
  </si>
  <si>
    <t>EMB000038</t>
  </si>
  <si>
    <t>ROLLO_BOLSA_ARRANQUE_60_x_90_</t>
  </si>
  <si>
    <t>MANTEL IND 40X30X1000U GL</t>
  </si>
  <si>
    <t>MANTEL LOGO GL</t>
  </si>
  <si>
    <t>TAPA VASO TERM 240 CC x 100 U</t>
  </si>
  <si>
    <t>TAPAS VASOS DESC</t>
  </si>
  <si>
    <t>TAPA VASO TERMICO 240CC</t>
  </si>
  <si>
    <t>TRANSFERIR</t>
  </si>
  <si>
    <t xml:space="preserve">BOLSA CAMISETA NEGRA 40X50X100U     </t>
  </si>
  <si>
    <t>BOLSAS CAMISETA NEGRAS</t>
  </si>
  <si>
    <t>13014007A</t>
  </si>
  <si>
    <t xml:space="preserve">ESCARBADIENTE EN SOBRE x 1000 </t>
  </si>
  <si>
    <t>ESCARBADIENTE DESCARTABLE</t>
  </si>
  <si>
    <t>16208000A</t>
  </si>
  <si>
    <t>ROLLO DE BOLSA DE ARRANQUE 50 x 70</t>
  </si>
  <si>
    <t>CUCHARA PLAST POSTRE x 1000 U</t>
  </si>
  <si>
    <t>CUCHARAS</t>
  </si>
  <si>
    <t>CUCHARA SOPERA DESCARTABLE x  1000 U</t>
  </si>
  <si>
    <t>SERVILLETA S/ LOGO 18X18X1000U</t>
  </si>
  <si>
    <t>BOLSA CAMISETA 50X60 X 100U RE</t>
  </si>
  <si>
    <t>BOLSA CAMISETA REFORZADA</t>
  </si>
  <si>
    <t>VASO PLASTICO X180CC X100U</t>
  </si>
  <si>
    <t>VASOS</t>
  </si>
  <si>
    <t>VASOS PLASTICOS</t>
  </si>
  <si>
    <t>VASO PLASTICO</t>
  </si>
  <si>
    <t>BAND ALUMINIO R5/F2100 x 600 U</t>
  </si>
  <si>
    <t>TAPA 103 x 50 U</t>
  </si>
  <si>
    <t>VASO PLASTICO x 220 CC X 100 U</t>
  </si>
  <si>
    <t>TAPA ALUM R5/F2100x600U</t>
  </si>
  <si>
    <t>TAPAS ALUMINIO</t>
  </si>
  <si>
    <t>TAPA ALUMINIO R5</t>
  </si>
  <si>
    <t>TAPA DE VASO 300 X 100 U</t>
  </si>
  <si>
    <t>TAPA VASO 300CC</t>
  </si>
  <si>
    <t>VASO TERMICO X 240 CC X 25 U</t>
  </si>
  <si>
    <t>VASOS TERMICOS</t>
  </si>
  <si>
    <t>VASO TERMICO</t>
  </si>
  <si>
    <t>BANDEJA 105 CUADRADA x 100 U</t>
  </si>
  <si>
    <t>BANDEJA 105 CUADRADA</t>
  </si>
  <si>
    <t>ENS. CRISTAL TAPA x100U BANDEX</t>
  </si>
  <si>
    <t>TAPA ENSALADERA</t>
  </si>
  <si>
    <t>OK</t>
  </si>
  <si>
    <t>EMB000055</t>
  </si>
  <si>
    <t>ROLLO BOLSA ARRANQUE 40 x 50</t>
  </si>
  <si>
    <t>EMB000042</t>
  </si>
  <si>
    <t>BOLSA_PAPEL_MADERA_15x35x100U</t>
  </si>
  <si>
    <t xml:space="preserve">COLLARIN CARTON 8/12 OZ X 100 </t>
  </si>
  <si>
    <t>COLLARINES</t>
  </si>
  <si>
    <t>COLLARIN CARTON</t>
  </si>
  <si>
    <t>SERVILLE BCA 33X33X1000U BLUE</t>
  </si>
  <si>
    <t>BAND ALUMINIO R3/F275 x 600 U</t>
  </si>
  <si>
    <t>TAPA 105 RECT X 50 U</t>
  </si>
  <si>
    <t>TENEDOR DESCARTABLE x 1000 U</t>
  </si>
  <si>
    <t>TENEDORES</t>
  </si>
  <si>
    <t xml:space="preserve">TENEDOR </t>
  </si>
  <si>
    <t>CUCHARA SUNDAE DESCARTABLE x 1000 U</t>
  </si>
  <si>
    <t>TAPA 102 x 50 U</t>
  </si>
  <si>
    <t>TAPA ALUMINIO R5/F2100 x 400 U</t>
  </si>
  <si>
    <t>LIM000461</t>
  </si>
  <si>
    <t>BARBIJO N95 X 100U</t>
  </si>
  <si>
    <t xml:space="preserve">PALITO BROCHETTE 25CM X80U  </t>
  </si>
  <si>
    <t>PALITO BROCHETE</t>
  </si>
  <si>
    <t xml:space="preserve">TAPA VASO TERMICO 300CC X100U </t>
  </si>
  <si>
    <t>LIM000462</t>
  </si>
  <si>
    <t>BARBIJO QUIRURGICO X 50 U</t>
  </si>
  <si>
    <t>BANDEJAS PLASTICAS 102 x 100 U</t>
  </si>
  <si>
    <t>BAND 102</t>
  </si>
  <si>
    <t>VASO TERMICO x 300 X 25 U</t>
  </si>
  <si>
    <t>TAPA DEGUSTADOR X 2000U</t>
  </si>
  <si>
    <t>TAPA 105 RECT x 100U</t>
  </si>
  <si>
    <t>SERVILLETA 21 x 21 x 2000 U</t>
  </si>
  <si>
    <t>PAPEL HAMBUR ALUMINIO X116U</t>
  </si>
  <si>
    <t>PAPEL ALUMINIO HAMBURGUESA</t>
  </si>
  <si>
    <t>BANDEJA 103 X100U CELPAK</t>
  </si>
  <si>
    <t>BAND 103</t>
  </si>
  <si>
    <t>BAZ000525</t>
  </si>
  <si>
    <t>DEGUSTADOR X 2000U</t>
  </si>
  <si>
    <t>ENS CRISTAL BASE x100U PLASTIV</t>
  </si>
  <si>
    <t>ENSALADERA CRISTAL</t>
  </si>
  <si>
    <t>MANTEL IND 40X30X1000U NUTRIRE</t>
  </si>
  <si>
    <t>MANTEL LOGO NUTRIRE</t>
  </si>
  <si>
    <t xml:space="preserve">ESCARBADIENTES ENSOBRADOS X  1000U </t>
  </si>
  <si>
    <t>VASO PLASTICO X180CCX100U</t>
  </si>
  <si>
    <t>BOLSA POLIPROPILENO 25X35X100U</t>
  </si>
  <si>
    <t>BOLSA PROPILENO</t>
  </si>
  <si>
    <t>GUANTE LATEX XL X 100U MEDIGLOVE</t>
  </si>
  <si>
    <t xml:space="preserve">TAPA 102 X 100U </t>
  </si>
  <si>
    <t>SERVILLETA BCA 18X18X2000U BLUE</t>
  </si>
  <si>
    <t>BOLSA CUBIERTOS 10x 25 x100 U</t>
  </si>
  <si>
    <t>BOLSAS CUBIERTERAS</t>
  </si>
  <si>
    <t>BOLSAS CUBIERTOS</t>
  </si>
  <si>
    <t>VASO CRISTAL X325CCX860U</t>
  </si>
  <si>
    <t>VASO PLAST CRIST 325CC</t>
  </si>
  <si>
    <t>BANDEJA PLASTICA 103 x 100 U</t>
  </si>
  <si>
    <t>BAND PLASTICA 105 X100U COTNYL</t>
  </si>
  <si>
    <t>TAPA ALUMINIO R3/F275 x 600 U</t>
  </si>
  <si>
    <t>TAPA ALUMINIO R3</t>
  </si>
  <si>
    <t>TAPA ALUM R3/F275x1000u W.PLAS</t>
  </si>
  <si>
    <t xml:space="preserve">SERVILLETA BLANCA 33X33X1000U NUTRIRE     </t>
  </si>
  <si>
    <t>PS0241</t>
  </si>
  <si>
    <t>SERVILLETA BAR X 10000U BARMAN</t>
  </si>
  <si>
    <t>ANTORCHITAS X24U</t>
  </si>
  <si>
    <t>ACCESORIOS VARIOS</t>
  </si>
  <si>
    <t>ANTORCHITA</t>
  </si>
  <si>
    <t>SERVILLE BCA 18X18X1000U NUTRIRE</t>
  </si>
  <si>
    <t>TAPA DOMO SORBETE X800U</t>
  </si>
  <si>
    <t>TAPA VASO</t>
  </si>
  <si>
    <t>GL_GUANTE LATEX L X100UN EUROMIX</t>
  </si>
  <si>
    <t>FILM APTO TEMP 38X1000M XU RESIMAX</t>
  </si>
  <si>
    <t>RESINITE APTO TEMPERATURA</t>
  </si>
  <si>
    <t>VASO TERMICO X180CCX 50U</t>
  </si>
  <si>
    <t>VASO CRISTAL 325CCX800U</t>
  </si>
  <si>
    <t>TAPA VASO TERMICO 240CCX50</t>
  </si>
  <si>
    <t>GUANTES LATEX MEDIUM X100U</t>
  </si>
  <si>
    <t>BOLSA CAMISETA 50X60 X100U REF</t>
  </si>
  <si>
    <t>TAPA 103 X100U</t>
  </si>
  <si>
    <t xml:space="preserve">GUANTE LATEX M X100U MEDIGLOVE </t>
  </si>
  <si>
    <t>BAZ000712</t>
  </si>
  <si>
    <t>ROLLO MANGA REPO N5 25*58 X25U RESI</t>
  </si>
  <si>
    <t>UTENSILLOS</t>
  </si>
  <si>
    <t>MANGA DESCARTABLE</t>
  </si>
  <si>
    <t>ENS CRISTAL TAPA x100U PLASTIV</t>
  </si>
  <si>
    <t>SERVILLETA INTERCALADA X250U ELITE</t>
  </si>
  <si>
    <t>SERVILLETA INTERC S/LOGO</t>
  </si>
  <si>
    <t>GUANTES LATEX LARGE X100U</t>
  </si>
  <si>
    <t>MANGAS DESCARTABLES 27X58CM X50U</t>
  </si>
  <si>
    <t>BANDEJA 101 X200U CELPAK</t>
  </si>
  <si>
    <t>BAND 101 NO MICROO</t>
  </si>
  <si>
    <t>TAPA 105 X100U CELPAK</t>
  </si>
  <si>
    <t>TAPA DOMO CUCHARA X800U</t>
  </si>
  <si>
    <t>BANDEJA PLASTICA 101 X100U REC</t>
  </si>
  <si>
    <t>BAZ00012</t>
  </si>
  <si>
    <t>TAPA VASO TERMICO 300CC X50U</t>
  </si>
  <si>
    <t>BOLSA CUBIERTO 10X25X200U</t>
  </si>
  <si>
    <t>PAPEL HAMBURGUESA BLANCO X5KG</t>
  </si>
  <si>
    <t xml:space="preserve">PAPEL PARAFINADO </t>
  </si>
  <si>
    <t>BAZ00011</t>
  </si>
  <si>
    <t>ENS. CRISTAL TAPA X600U BANDEX</t>
  </si>
  <si>
    <t>ENSALADERA CRISTAL X25U PLASTIVAS</t>
  </si>
  <si>
    <t>VASO PLASTICO BCO X220CC X50U</t>
  </si>
  <si>
    <t>ROLLO FILM 45X1000M XU RESIMAX</t>
  </si>
  <si>
    <t>105445B</t>
  </si>
  <si>
    <t xml:space="preserve">ENSALADERA CRISTAL X600U BANDEX  </t>
  </si>
  <si>
    <t>VO TAPA RECTANGULAR 101 X 50UN COTNYL</t>
  </si>
  <si>
    <t>NDIVIDUAL CHEF GOURMET FOOD UN X1000</t>
  </si>
  <si>
    <t>MANTEL LOGO CHEF</t>
  </si>
  <si>
    <t>SERVILLETA BCA 18X18X1000U BLUE</t>
  </si>
  <si>
    <t>GL_BANDEJA 102 BIODEG. X 1400U</t>
  </si>
  <si>
    <t>VO GUANTES LATEX ANTIDESLIZANTE TIBU</t>
  </si>
  <si>
    <t>ROLLO ALUM. 38CM 14MT 20MIC ALUMAX</t>
  </si>
  <si>
    <t>FILM APTO TEMP 38X1000M XU CAC</t>
  </si>
  <si>
    <t>VO BOLSA CAMISETA BCA 40X50X50UN</t>
  </si>
  <si>
    <t>BANDEJA 103 MICROONDAS COTNYL X100U</t>
  </si>
  <si>
    <t>VO BAND PLAST 101 X 50U RECT COTNYL</t>
  </si>
  <si>
    <t xml:space="preserve">ROLLO ALUMINIO 40CM X1KG        </t>
  </si>
  <si>
    <t>BANDEJA 102 LIVI MICROO X100UN</t>
  </si>
  <si>
    <t>VASO 8 OZ POLIP BLUE X100U ETISO</t>
  </si>
  <si>
    <t>BOLSA CAM NEGR REF 50X60X100U EVADEC</t>
  </si>
  <si>
    <t>MANTEL INDIVIDUAL KRAFT LISO X200U</t>
  </si>
  <si>
    <t>MANTEL INDIVIDUAL LISO</t>
  </si>
  <si>
    <t>BANDEJA 102 MICRO COTNYL X100U</t>
  </si>
  <si>
    <t>BOWL COMPOST.17x7 960CC BIO X600UN</t>
  </si>
  <si>
    <t>BOWL DESCARTABLE COMPOST</t>
  </si>
  <si>
    <t>VASO TERMICO 240CC X100U</t>
  </si>
  <si>
    <t>FILM 38CM 500M DISPAFILM</t>
  </si>
  <si>
    <t>EMBALAJES</t>
  </si>
  <si>
    <t>FILM STREECH</t>
  </si>
  <si>
    <t>BANDEJA 105 X200U COTNYL</t>
  </si>
  <si>
    <t>BANDEJA 101 X200U COTNYL</t>
  </si>
  <si>
    <t>BANDEJA 101 X100UN COTNYL</t>
  </si>
  <si>
    <t>BANDEJA 101 PIM MICRO.COTYL X 100 U</t>
  </si>
  <si>
    <t>GL CUCH. COMP.11CM HEL.X100U BIOPAC</t>
  </si>
  <si>
    <t>GL SERVILLETA ECO 33x33 X500 BIOPAC</t>
  </si>
  <si>
    <t>INDIVID. CHEF GOURMET HEALTH X1000U</t>
  </si>
  <si>
    <t>MANTEL LOGO HEALTH</t>
  </si>
  <si>
    <t>GUANTES LATEX TAMAÑO L X100U</t>
  </si>
  <si>
    <t>VASO 12 OZ POLIP BLUE X100U ETISO</t>
  </si>
  <si>
    <t>BANDEJA 105 X100U COTNYL</t>
  </si>
  <si>
    <t>INDIV BLUE ESPECIALIDAD X1000UN</t>
  </si>
  <si>
    <t>GL CUCHILLOS DESCARTABLES X1000</t>
  </si>
  <si>
    <t>GL AGITAD MADE ECO 15CM X500 BIOPAC</t>
  </si>
  <si>
    <t>BOLSA KRAFT FM8 BLUE X100U</t>
  </si>
  <si>
    <t>BOLSA KRAFT</t>
  </si>
  <si>
    <t>CD Moreno 3</t>
  </si>
  <si>
    <t>GL ROLLO ARRANQUE 60x90 X4U 2000GR</t>
  </si>
  <si>
    <t xml:space="preserve">SERVILLETA S/LOGO 30X30X1000U      </t>
  </si>
  <si>
    <t>CUCHARA SUNDAE BCA X1000U OASIS</t>
  </si>
  <si>
    <t>GL CUCHILLO COMPOS.16CM X100 BIOPAC</t>
  </si>
  <si>
    <t>MANGA TERMICA 12 OZ BLUE XUN</t>
  </si>
  <si>
    <t>PORTA VASOSC/MANIJABLUEX100U</t>
  </si>
  <si>
    <t>PORTA VASO DESC</t>
  </si>
  <si>
    <t>ESCARBADIENTES ENSOBRADOS X500</t>
  </si>
  <si>
    <t>GL SERVILLETAS 24x24 X2000U</t>
  </si>
  <si>
    <t>GL BOBINA DE ARRANQ 20X30X12U</t>
  </si>
  <si>
    <t>BANDEJA 103 BIODEG. X 900U MPROPIA</t>
  </si>
  <si>
    <t>GL_SERV FASTFOOD 16X21X8400U ELITE</t>
  </si>
  <si>
    <t>GUANTE LATEX M X 100 EUROMIX</t>
  </si>
  <si>
    <t>INDIVIDUAL BLUE PERFECTO X1000UN</t>
  </si>
  <si>
    <t>GL ROLLO ARRANQUE 20x30 X6U 500GR</t>
  </si>
  <si>
    <t>SERVI SIMIL TELA S/LOGO X2000U</t>
  </si>
  <si>
    <t>GL_FILM PVC 38 CM 3.390KG X1UN</t>
  </si>
  <si>
    <t>BOBINA</t>
  </si>
  <si>
    <t>GUANTES LATEX L X100U ALUMAX </t>
  </si>
  <si>
    <t>TAPA BOWL COMPOS.17x7 960CC BIO X600UN</t>
  </si>
  <si>
    <t>TAPA BOWL ECOLOGICA</t>
  </si>
  <si>
    <t>TAPA 12 0Z BLUE X UN</t>
  </si>
  <si>
    <t>FILM PVC 2.3KG XUN</t>
  </si>
  <si>
    <t>BANDEJA 103 MICRO X100U</t>
  </si>
  <si>
    <t>BOWL COMPOSTABLE 960CC X800U</t>
  </si>
  <si>
    <t>GUANTE ULTRA NITRILO T8 MAPA</t>
  </si>
  <si>
    <t>BOLSA KRAFT FM5 BLUE X 100 U</t>
  </si>
  <si>
    <t>BANDEJA 105 MICRO X100UN COTNYL</t>
  </si>
  <si>
    <t>7798452810027 </t>
  </si>
  <si>
    <t>GUANTES LATEX M X1000U ALUMAX  </t>
  </si>
  <si>
    <t xml:space="preserve">TAPA BOWL COMP 17X7 960C X300U  </t>
  </si>
  <si>
    <t>TAPA 80Z BLUE XUN</t>
  </si>
  <si>
    <t>FILM PVC 30CM</t>
  </si>
  <si>
    <t xml:space="preserve">SERVILLETA S/LOGO 32X33X1000U	</t>
  </si>
  <si>
    <t>TAPA 103 X50U COTNYL</t>
  </si>
  <si>
    <t xml:space="preserve">SERVILLETA 30X40X600U AIRLAD </t>
  </si>
  <si>
    <t>BOLSA CAMISETA NEG 40X50X 60U</t>
  </si>
  <si>
    <t>TAPA VASO TERMICO 240CC X80U</t>
  </si>
  <si>
    <t>BANDEJA 103 X200U CELPAK</t>
  </si>
  <si>
    <t>BARBIJOS TRICAPA PR MARCA PROP X50U</t>
  </si>
  <si>
    <t xml:space="preserve">SERVILLETA S/LOGO BCA 14X14   </t>
  </si>
  <si>
    <t>BANDEJA ALUM R3/F275 X500U</t>
  </si>
  <si>
    <t>GL TENEDOR COMPOST 16CM X100 BIOPAC</t>
  </si>
  <si>
    <t>ESCARBADIENTES X 500 UN</t>
  </si>
  <si>
    <t>TAPA BANDEJA 121 MICR X100U</t>
  </si>
  <si>
    <t>PAPEL PARAFINADO LOGO BLUE X KG</t>
  </si>
  <si>
    <t xml:space="preserve">GL_ROLLO BOLSA ARRANQ 40X60 MPROP </t>
  </si>
  <si>
    <t>BANDEJA 105 BIODEG. X 700UN MPROPIA</t>
  </si>
  <si>
    <t>Esta en "Tablar articulos"?</t>
  </si>
  <si>
    <t>"Necesidad x Familia"?</t>
  </si>
  <si>
    <t>UM</t>
  </si>
  <si>
    <t>CD Moreno 2</t>
  </si>
  <si>
    <t>Operador interior</t>
  </si>
  <si>
    <t>Ean Corregido</t>
  </si>
  <si>
    <t>7790321020346</t>
  </si>
  <si>
    <t>EMB000044</t>
  </si>
  <si>
    <t>ROLLO PAPEL ALUMINIO X 5 M</t>
  </si>
  <si>
    <t>7796613305498</t>
  </si>
  <si>
    <t>7790321020126</t>
  </si>
  <si>
    <t>7790221010601</t>
  </si>
  <si>
    <t>BANDEJA CARTON N° 1</t>
  </si>
  <si>
    <t>7790321020106</t>
  </si>
  <si>
    <t>7790321020176</t>
  </si>
  <si>
    <t>7790321020386</t>
  </si>
  <si>
    <t>VASO TERMICO x 180 CC X 25 U</t>
  </si>
  <si>
    <t>7790321020086</t>
  </si>
  <si>
    <t>7790321020206</t>
  </si>
  <si>
    <t>7790321020256</t>
  </si>
  <si>
    <t>7790321020904</t>
  </si>
  <si>
    <t>7790221010607</t>
  </si>
  <si>
    <t>SORBETES ENSOBRADOS X 1000</t>
  </si>
  <si>
    <t>7790321007512</t>
  </si>
  <si>
    <t>7790321020096</t>
  </si>
  <si>
    <t>7790321020156</t>
  </si>
  <si>
    <t>7790321020336</t>
  </si>
  <si>
    <t>7790321006512</t>
  </si>
  <si>
    <t>7790321020186</t>
  </si>
  <si>
    <t>7790321020196</t>
  </si>
  <si>
    <t>7790321020526</t>
  </si>
  <si>
    <t>7790321020326</t>
  </si>
  <si>
    <t>7790321020056</t>
  </si>
  <si>
    <t>7790321020296</t>
  </si>
  <si>
    <t>7790321009512</t>
  </si>
  <si>
    <t>7790321020286</t>
  </si>
  <si>
    <t>7790321020396</t>
  </si>
  <si>
    <t>7790321020316</t>
  </si>
  <si>
    <t>7790321008512</t>
  </si>
  <si>
    <t>7790321020146</t>
  </si>
  <si>
    <t>7790321020047</t>
  </si>
  <si>
    <t>7790321020116</t>
  </si>
  <si>
    <t>7790321020266</t>
  </si>
  <si>
    <t>7790321020306</t>
  </si>
  <si>
    <t>7790321020406</t>
  </si>
  <si>
    <t>7790321020066</t>
  </si>
  <si>
    <t>7790321020276</t>
  </si>
  <si>
    <t>7790321020356</t>
  </si>
  <si>
    <t>7790321020237</t>
  </si>
  <si>
    <t>7790321000063</t>
  </si>
  <si>
    <t>7790321060978</t>
  </si>
  <si>
    <t>POTE 230 CC X 1000U</t>
  </si>
  <si>
    <t>7790321020905</t>
  </si>
  <si>
    <t>VASO PLAST CRIST 110CC X 100U</t>
  </si>
  <si>
    <t>779032060649</t>
  </si>
  <si>
    <t>PLATO DESCARTABLE 17CM X 1000U</t>
  </si>
  <si>
    <t>7790321020388</t>
  </si>
  <si>
    <t>7790321020529</t>
  </si>
  <si>
    <t>7797390190505</t>
  </si>
  <si>
    <t>7790321020328</t>
  </si>
  <si>
    <t>7790122000219</t>
  </si>
  <si>
    <t>7790321020408</t>
  </si>
  <si>
    <t>EMB000130</t>
  </si>
  <si>
    <t>CAJA DE  PIZZA CHICA  X 100  U</t>
  </si>
  <si>
    <t>7790321020992</t>
  </si>
  <si>
    <t>7790321020535</t>
  </si>
  <si>
    <t>SERVILLETA S/LOGO 32X33X1000U</t>
  </si>
  <si>
    <t>7791165719767</t>
  </si>
  <si>
    <t>7798188651181</t>
  </si>
  <si>
    <t>7790321020291</t>
  </si>
  <si>
    <t>7790321020390</t>
  </si>
  <si>
    <t>7790321020348</t>
  </si>
  <si>
    <t>7790321130874</t>
  </si>
  <si>
    <t>7790321020532</t>
  </si>
  <si>
    <t>7797749103867</t>
  </si>
  <si>
    <t>7790321020996</t>
  </si>
  <si>
    <t>7790629589411</t>
  </si>
  <si>
    <t>ESCARBADIENTE ENSOBRADO X800U LUSTRAMAX</t>
  </si>
  <si>
    <t>7790321020537</t>
  </si>
  <si>
    <t>SERVILLE BCA 24X24X2000U S/LOGO</t>
  </si>
  <si>
    <t>7798188570219</t>
  </si>
  <si>
    <t>7790321020293</t>
  </si>
  <si>
    <t>BANDEJA 101 PET X100U COTNYL</t>
  </si>
  <si>
    <t>7790321020290</t>
  </si>
  <si>
    <t>BANDEJA 102  X100U CELPAK</t>
  </si>
  <si>
    <t>7790321020287</t>
  </si>
  <si>
    <t>7790321020147</t>
  </si>
  <si>
    <t>779032011155</t>
  </si>
  <si>
    <t>7981889753416</t>
  </si>
  <si>
    <t>7798934234564</t>
  </si>
  <si>
    <t>MANGA REPOS X20ROLLOS X25U</t>
  </si>
  <si>
    <t>7790321020533</t>
  </si>
  <si>
    <t>1404700012</t>
  </si>
  <si>
    <t>7791337118101</t>
  </si>
  <si>
    <t>GUANTE LATEX GRANDE X100U NIPRO</t>
  </si>
  <si>
    <t>7790321020393</t>
  </si>
  <si>
    <t>7790321020329</t>
  </si>
  <si>
    <t>9992017100464</t>
  </si>
  <si>
    <t>7790321020387</t>
  </si>
  <si>
    <t>7790430132763</t>
  </si>
  <si>
    <t>7790321020389</t>
  </si>
  <si>
    <t>7905512648244</t>
  </si>
  <si>
    <t>ROLLO BOLSA ARRANQUE 60X70 DISTRIBUCION</t>
  </si>
  <si>
    <t>17790250912825</t>
  </si>
  <si>
    <t>7790430132764</t>
  </si>
  <si>
    <t>7790000000519</t>
  </si>
  <si>
    <t>7790000002198</t>
  </si>
  <si>
    <t>GL BOLSA CAMISETA 40X50 X60U</t>
  </si>
  <si>
    <t>4968420508543</t>
  </si>
  <si>
    <t>GUANTE NITRILO TM X100U NIPRO</t>
  </si>
  <si>
    <t>7798161675702</t>
  </si>
  <si>
    <t>7791101002132</t>
  </si>
  <si>
    <t>VO FOLEX 20CMX25CM XKG MPROPIA</t>
  </si>
  <si>
    <t>7790013877011</t>
  </si>
  <si>
    <t>7798975326413</t>
  </si>
  <si>
    <t>7798068951855</t>
  </si>
  <si>
    <t>7778068951879</t>
  </si>
  <si>
    <t>7898287715983</t>
  </si>
  <si>
    <t xml:space="preserve">GL_FILM PVC 38CM XUN DISPAFILM </t>
  </si>
  <si>
    <t>9992017900507</t>
  </si>
  <si>
    <t>GL ROLLO ALUMINIO 38CM  X1UN</t>
  </si>
  <si>
    <t>7790000000345</t>
  </si>
  <si>
    <t>7790000000236</t>
  </si>
  <si>
    <t>7791156433356</t>
  </si>
  <si>
    <t>VO ROLLO PAP MANTECA 38CM -1KG</t>
  </si>
  <si>
    <t>7790000000379</t>
  </si>
  <si>
    <t>7790000000228</t>
  </si>
  <si>
    <t>7790000000522</t>
  </si>
  <si>
    <t>756058757297</t>
  </si>
  <si>
    <t>7790000000278</t>
  </si>
  <si>
    <t>7798011210039</t>
  </si>
  <si>
    <t>7790000000480</t>
  </si>
  <si>
    <t>7790013877012</t>
  </si>
  <si>
    <t>7792798664287</t>
  </si>
  <si>
    <t>7790991126352</t>
  </si>
  <si>
    <t>7795618001244</t>
  </si>
  <si>
    <t>7798068951879</t>
  </si>
  <si>
    <t>7790000000386</t>
  </si>
  <si>
    <t>7790000000690</t>
  </si>
  <si>
    <t>SERVILLETA SIMIL TELA X1600U 40X40</t>
  </si>
  <si>
    <t>7798011211043</t>
  </si>
  <si>
    <t>BANDEJA 103 X100U MICRO COTNYL</t>
  </si>
  <si>
    <t>7790458657255</t>
  </si>
  <si>
    <t>7790000000043</t>
  </si>
  <si>
    <t>7790000000517</t>
  </si>
  <si>
    <t>7798161675719</t>
  </si>
  <si>
    <t>7790000000410</t>
  </si>
  <si>
    <t>VO SERV BEIGE 33X33X1000U CHEFGOURMET</t>
  </si>
  <si>
    <t>7798662008446</t>
  </si>
  <si>
    <t>7798011210077</t>
  </si>
  <si>
    <t>7790000000498</t>
  </si>
  <si>
    <t>GL_ROLLO FILM STRECH AZUL 50CM</t>
  </si>
  <si>
    <t>7798452810034</t>
  </si>
  <si>
    <t>7798452810027</t>
  </si>
  <si>
    <t>GUANTES LATEX M X100U ALUMAX</t>
  </si>
  <si>
    <t>7790000000472</t>
  </si>
  <si>
    <t>GL_VASO TERM 240CCX1000UN ETISOL</t>
  </si>
  <si>
    <t>LIM000225</t>
  </si>
  <si>
    <t>BOLSA MICROPERFORADA 60x90 x U</t>
  </si>
  <si>
    <t>7790321284500</t>
  </si>
  <si>
    <t>7790321020330</t>
  </si>
  <si>
    <t>7793253004445</t>
  </si>
  <si>
    <t>TAPA VASO TERMICO X300CC X1000U</t>
  </si>
  <si>
    <t>7790126328513</t>
  </si>
  <si>
    <t>7790321626939</t>
  </si>
  <si>
    <t>CAJA  30X26X28  MESA/HURLINGHAM 90 L</t>
  </si>
  <si>
    <t>7790000000150</t>
  </si>
  <si>
    <t>CAJA  300x180x210 LOGO MESA (chica)</t>
  </si>
  <si>
    <t>7790321626938</t>
  </si>
  <si>
    <t>CAJA 300X180X280 XU LOGO MESA (intermedia)</t>
  </si>
  <si>
    <t>7790321626935</t>
  </si>
  <si>
    <t>CAJA  30X26X28  LOGO MESA (grande)</t>
  </si>
  <si>
    <t>7790316030027</t>
  </si>
  <si>
    <t>CAJA  DOBLE BASE 40X30X27 LOGO MESA</t>
  </si>
  <si>
    <t>7790321626929</t>
  </si>
  <si>
    <t>CAJA 300X180X280 90LIB S/LOGO  (Herrera)</t>
  </si>
  <si>
    <t>7790321626838</t>
  </si>
  <si>
    <t xml:space="preserve">CAJA 300X180X280 MESA/LANUS        </t>
  </si>
  <si>
    <t>7798072299620</t>
  </si>
  <si>
    <t xml:space="preserve">CAJA 300X180X280XU LOGO LANUS 2    </t>
  </si>
  <si>
    <t>7790000000523</t>
  </si>
  <si>
    <t>5712455070440</t>
  </si>
  <si>
    <t>VO BARBIJOS N95 X U MPROP</t>
  </si>
  <si>
    <t>7790000000525</t>
  </si>
  <si>
    <t>GL TAPA BOWL COMP 23x16 780CC BIOPAC</t>
  </si>
  <si>
    <t>7790000000218</t>
  </si>
  <si>
    <t>7790000000381</t>
  </si>
  <si>
    <t>7790000000162</t>
  </si>
  <si>
    <t>BARBIJOS N95 MARCA PROPIA 50UN</t>
  </si>
  <si>
    <t>7790000000380</t>
  </si>
  <si>
    <t>736372273444</t>
  </si>
  <si>
    <t>9992016801751</t>
  </si>
  <si>
    <t>SERVILLETA 18X18 X1000U BLUE</t>
  </si>
  <si>
    <t>7790000000526</t>
  </si>
  <si>
    <t>GL BOWL COMP 23x16CM 780CC BIOPAC</t>
  </si>
  <si>
    <t>7790321020391</t>
  </si>
  <si>
    <t>SORBETE CON FUNDA X70U</t>
  </si>
  <si>
    <t>7790321020167</t>
  </si>
  <si>
    <t>140470001</t>
  </si>
  <si>
    <t>LIM000393</t>
  </si>
  <si>
    <t>BARBIJOS X 50 U</t>
  </si>
  <si>
    <t>610000108746</t>
  </si>
  <si>
    <t>7790430132762</t>
  </si>
  <si>
    <t>VASO PLASTICO X180CC X50U PROLIX</t>
  </si>
  <si>
    <t>7790000000657</t>
  </si>
  <si>
    <t>FILM STRETCH 50CMX15KG AUTOMATIC</t>
  </si>
  <si>
    <t>7790000000524</t>
  </si>
  <si>
    <t>640000108776</t>
  </si>
  <si>
    <t>VO TAPA ALUM R3/F275X1000U VASSOI</t>
  </si>
  <si>
    <t>7798044557721</t>
  </si>
  <si>
    <t>ROLLO MANGA REPOS N5 25X28X25U</t>
  </si>
  <si>
    <t>7790000000195</t>
  </si>
  <si>
    <t>7790000000702</t>
  </si>
  <si>
    <t>GUANTES NITRILO X100U ALUMAX</t>
  </si>
  <si>
    <t>798011210077</t>
  </si>
  <si>
    <t>BANDEJA 105 X100U COTNYL MICRO</t>
  </si>
  <si>
    <t>7798011210053</t>
  </si>
  <si>
    <t>7790321020046</t>
  </si>
  <si>
    <t>BANDEJA 105 C/ BISAGRA x 50 U</t>
  </si>
  <si>
    <t>GUANTE NITRILO T.9 X PAR DE PASCALE</t>
  </si>
  <si>
    <t>798011214860</t>
  </si>
  <si>
    <t>BANDEJA 101 X100U COTNYL</t>
  </si>
  <si>
    <t>7790023000196</t>
  </si>
  <si>
    <t>7794459003547</t>
  </si>
  <si>
    <t>GL ROLLO ARRANQUE 40x60 X6U 1500GR</t>
  </si>
  <si>
    <t>7798011210060</t>
  </si>
  <si>
    <t>TAPA BAND 103 MICRO COTNYL X100U</t>
  </si>
  <si>
    <t>7794459003530</t>
  </si>
  <si>
    <t>GL ROLLO ARRANQUE 20x30 X12U 750GR</t>
  </si>
  <si>
    <t>7798188651727</t>
  </si>
  <si>
    <t>648260488628</t>
  </si>
  <si>
    <t>7798011210022</t>
  </si>
  <si>
    <t>7790321020994</t>
  </si>
  <si>
    <t>7790321123456</t>
  </si>
  <si>
    <t>7790321130875</t>
  </si>
  <si>
    <t>7790042181191</t>
  </si>
  <si>
    <t>7790231050180</t>
  </si>
  <si>
    <t>7791388988495</t>
  </si>
  <si>
    <t>7790321020289</t>
  </si>
  <si>
    <t>7790321020283</t>
  </si>
  <si>
    <t>7790321020530</t>
  </si>
  <si>
    <t>7790321020288</t>
  </si>
  <si>
    <t>7790321284502</t>
  </si>
  <si>
    <t>7790321020302</t>
  </si>
  <si>
    <t>4968420500356</t>
  </si>
  <si>
    <t>7798068951862</t>
  </si>
  <si>
    <t>17798047390047</t>
  </si>
  <si>
    <t>BANDEJA TELGOPOR 618 x 600U</t>
  </si>
  <si>
    <t>7790000000272</t>
  </si>
  <si>
    <t>7790430132765</t>
  </si>
  <si>
    <t>7790000000235</t>
  </si>
  <si>
    <t>7790000000713</t>
  </si>
  <si>
    <t>7790000000675</t>
  </si>
  <si>
    <t>7790000000227</t>
  </si>
  <si>
    <t>7790000000833</t>
  </si>
  <si>
    <t>7798188651182</t>
  </si>
  <si>
    <t>CD</t>
  </si>
  <si>
    <t>CtroDistrib</t>
  </si>
  <si>
    <t>Empresa</t>
  </si>
  <si>
    <t>DescrNivelInt5</t>
  </si>
  <si>
    <t>Articulo</t>
  </si>
  <si>
    <t>Cod Sap</t>
  </si>
  <si>
    <t>GrpAbr</t>
  </si>
  <si>
    <t>Fisico</t>
  </si>
  <si>
    <t>PendGuardar</t>
  </si>
  <si>
    <t>NoApto</t>
  </si>
  <si>
    <t>PedSinOP</t>
  </si>
  <si>
    <t>PendPreparar</t>
  </si>
  <si>
    <t>PendImportacion</t>
  </si>
  <si>
    <t>Stock disp</t>
  </si>
  <si>
    <t>FAMILIA</t>
  </si>
  <si>
    <t>UM2</t>
  </si>
  <si>
    <t xml:space="preserve">CDM03 - MORENO 3              </t>
  </si>
  <si>
    <t xml:space="preserve">GRUPO L.                      </t>
  </si>
  <si>
    <t xml:space="preserve">7798102570653       </t>
  </si>
  <si>
    <t xml:space="preserve">PLATO DESCARTABLE 17CM X50UN       </t>
  </si>
  <si>
    <t xml:space="preserve">UNIDAD              </t>
  </si>
  <si>
    <t xml:space="preserve">UNIF000626          </t>
  </si>
  <si>
    <t xml:space="preserve">PANTALON NAUTICO NEG S LOGO T5     </t>
  </si>
  <si>
    <t xml:space="preserve">7891172433719       </t>
  </si>
  <si>
    <t xml:space="preserve">GL JABON ESPUMA X6UN X800ML        </t>
  </si>
  <si>
    <t xml:space="preserve">UNIF000752          </t>
  </si>
  <si>
    <t xml:space="preserve">CHOMBA PIQ GRIS MELANGE BLUECAFÉ M </t>
  </si>
  <si>
    <t xml:space="preserve">CD MORENO                     </t>
  </si>
  <si>
    <t>PAPA PROCESADA</t>
  </si>
  <si>
    <t xml:space="preserve">7790216012641       </t>
  </si>
  <si>
    <t xml:space="preserve">PAPA PROCESADA X KG                </t>
  </si>
  <si>
    <t xml:space="preserve">Kgs                 </t>
  </si>
  <si>
    <t xml:space="preserve">UNIF000623          </t>
  </si>
  <si>
    <t xml:space="preserve">PANTALON NAUTICO NEG S LOGO T2     </t>
  </si>
  <si>
    <t>BALLERINA</t>
  </si>
  <si>
    <t xml:space="preserve">7798349550296       </t>
  </si>
  <si>
    <t xml:space="preserve">BALLERINA AMARILLA X U             </t>
  </si>
  <si>
    <t xml:space="preserve">LIM000438           </t>
  </si>
  <si>
    <t xml:space="preserve">LAVANDINA GRANULADA X 25 G ISOCL   </t>
  </si>
  <si>
    <t>PIMIENTA BLANCA</t>
  </si>
  <si>
    <t xml:space="preserve">7790530340655       </t>
  </si>
  <si>
    <t xml:space="preserve">PIMIENTA BLANCA x 25 G BEDIAL      </t>
  </si>
  <si>
    <t xml:space="preserve">UNIF000468          </t>
  </si>
  <si>
    <t xml:space="preserve">PANTALON GRAF S. LOGO VERD 52      </t>
  </si>
  <si>
    <t xml:space="preserve">CDM02 - MORENO 2              </t>
  </si>
  <si>
    <t>LIMON</t>
  </si>
  <si>
    <t xml:space="preserve">7790216020098       </t>
  </si>
  <si>
    <t xml:space="preserve">LIMON X KG                         </t>
  </si>
  <si>
    <t xml:space="preserve">7790000000251       </t>
  </si>
  <si>
    <t xml:space="preserve">TENEDOR DESC. BLANCO ALUM X1000UN  </t>
  </si>
  <si>
    <t xml:space="preserve">UNIF000737          </t>
  </si>
  <si>
    <t xml:space="preserve">CHAQUETA CHEF BLUE CAFÉ S          </t>
  </si>
  <si>
    <t xml:space="preserve">PALLET              </t>
  </si>
  <si>
    <t>LECHE LV ENTERA</t>
  </si>
  <si>
    <t xml:space="preserve">7798338290103       </t>
  </si>
  <si>
    <t xml:space="preserve">LECHE ENTERA LV X 1 L APOSTOLES    </t>
  </si>
  <si>
    <t>PAPEL HIGIENICO</t>
  </si>
  <si>
    <t xml:space="preserve">7790000000823       </t>
  </si>
  <si>
    <t xml:space="preserve">PAPEL HIG 200MTX8U 1.6KG PEXPRESS  </t>
  </si>
  <si>
    <t xml:space="preserve">BAZ001303           </t>
  </si>
  <si>
    <t xml:space="preserve">SARTEN M/ PLANCHU CHAPA N°40       </t>
  </si>
  <si>
    <t>PAN INTEGRAL x KG</t>
  </si>
  <si>
    <t xml:space="preserve">7790213012196       </t>
  </si>
  <si>
    <t xml:space="preserve">PAN INTEGRAL X KG                  </t>
  </si>
  <si>
    <t xml:space="preserve">MOD21126            </t>
  </si>
  <si>
    <t xml:space="preserve">MOD S/LACTOSA 3DF ABR26            </t>
  </si>
  <si>
    <t>ACEITE GIRASOL</t>
  </si>
  <si>
    <t xml:space="preserve">7798316700808       </t>
  </si>
  <si>
    <t xml:space="preserve">ACEITE GIR STACC X900CC LEGITIMO   </t>
  </si>
  <si>
    <t>SANITIZANTE</t>
  </si>
  <si>
    <t xml:space="preserve">7798332280780       </t>
  </si>
  <si>
    <t xml:space="preserve">DESINF LIQ FRU/HORT X5LT SPARCH    </t>
  </si>
  <si>
    <t>CONDIM P/ARROZ</t>
  </si>
  <si>
    <t xml:space="preserve">7790530110357       </t>
  </si>
  <si>
    <t xml:space="preserve">CONDIMENTO P/ARROZ X 25 G BEDIAL   </t>
  </si>
  <si>
    <t xml:space="preserve">7798287510819       </t>
  </si>
  <si>
    <t xml:space="preserve">ARMAZON P/MOPA 60 CM               </t>
  </si>
  <si>
    <t>MANZANA VERDE</t>
  </si>
  <si>
    <t xml:space="preserve">7790216020076       </t>
  </si>
  <si>
    <t xml:space="preserve">FRUTA MANZANA SMITH X U            </t>
  </si>
  <si>
    <t>GALLE AVENA Y CHIPS CHOC</t>
  </si>
  <si>
    <t xml:space="preserve">7798128000691       </t>
  </si>
  <si>
    <t xml:space="preserve">GALLE AVENA CHIPS X255G CACHAFAZ   </t>
  </si>
  <si>
    <t xml:space="preserve">UNIF000588          </t>
  </si>
  <si>
    <t xml:space="preserve">CHAQUETA CUELLO MAO T3 GL SUP.     </t>
  </si>
  <si>
    <t xml:space="preserve">7790321020266       </t>
  </si>
  <si>
    <t xml:space="preserve">TAPA 102 X 50 U COTNYL             </t>
  </si>
  <si>
    <t xml:space="preserve">7798057861615       </t>
  </si>
  <si>
    <t xml:space="preserve">CERA 8M NEGRA 4X5L DIVERSEY        </t>
  </si>
  <si>
    <t>ARVEJA PARTIDA</t>
  </si>
  <si>
    <t xml:space="preserve">7791476009019       </t>
  </si>
  <si>
    <t xml:space="preserve">ARVEJAS PARTIDAS SECAS 400GR EGR   </t>
  </si>
  <si>
    <t xml:space="preserve">UNIF000059          </t>
  </si>
  <si>
    <t xml:space="preserve">BUZO A. MARINO-FRISA GL SUP- 4XL   </t>
  </si>
  <si>
    <t xml:space="preserve">7793253004440       </t>
  </si>
  <si>
    <t xml:space="preserve">PAPEL HIG BCO PREM 8UX300MTX3.9KG  </t>
  </si>
  <si>
    <t xml:space="preserve">BAZ001192           </t>
  </si>
  <si>
    <t xml:space="preserve">CUCHARON DE ACERO INOX N° 14       </t>
  </si>
  <si>
    <t xml:space="preserve">BAZ001287           </t>
  </si>
  <si>
    <t xml:space="preserve">PINZA GASTRO 23CM PLUS 1.20 MM     </t>
  </si>
  <si>
    <t xml:space="preserve">UNIF000040          </t>
  </si>
  <si>
    <t xml:space="preserve">BUZO AZUL ELEVARE M                </t>
  </si>
  <si>
    <t xml:space="preserve">7796322010898       </t>
  </si>
  <si>
    <t xml:space="preserve">GL BALERINA AZUL XUN               </t>
  </si>
  <si>
    <t>TOMATE TRITURADO GRANEL</t>
  </si>
  <si>
    <t xml:space="preserve">7790500006390       </t>
  </si>
  <si>
    <t xml:space="preserve">TOMATE TRIT S/TACC X4KG SILVIA     </t>
  </si>
  <si>
    <t xml:space="preserve">UNIF000318          </t>
  </si>
  <si>
    <t xml:space="preserve">REM CUE. RED A. MAR. ELEVARE XL    </t>
  </si>
  <si>
    <t xml:space="preserve">UNIF000499          </t>
  </si>
  <si>
    <t xml:space="preserve">CAMI GRIS CAMAR. RET. T56 C GOUR   </t>
  </si>
  <si>
    <t>POSTRE CHOCOLATE</t>
  </si>
  <si>
    <t xml:space="preserve">7790971002402       </t>
  </si>
  <si>
    <t xml:space="preserve">POSTRE CHOCOLATE X 90GR RAVANA     </t>
  </si>
  <si>
    <t xml:space="preserve">BAZ001363           </t>
  </si>
  <si>
    <t xml:space="preserve">CHAIRA UNIVERSAL COCINERO 30 CM    </t>
  </si>
  <si>
    <t xml:space="preserve">UNIF000564          </t>
  </si>
  <si>
    <t xml:space="preserve">REMERA GRIS MANGA CORTA L          </t>
  </si>
  <si>
    <t xml:space="preserve">UNIF000182          </t>
  </si>
  <si>
    <t xml:space="preserve">PANTALON CARGO GRIS 52 GL SUPP.    </t>
  </si>
  <si>
    <t>BOLSAS RESIDUO CRISTAL</t>
  </si>
  <si>
    <t xml:space="preserve">7790321000057       </t>
  </si>
  <si>
    <t xml:space="preserve">BOLSA RESIDUO CRISTAL 60X90 X50U	  </t>
  </si>
  <si>
    <t>CACAO AMARGO</t>
  </si>
  <si>
    <t xml:space="preserve">7790530900200       </t>
  </si>
  <si>
    <t xml:space="preserve">CACAO AMARGO X 1KG BEDIAL          </t>
  </si>
  <si>
    <t>CHOCLO CONGELADO</t>
  </si>
  <si>
    <t xml:space="preserve">7798184272742       </t>
  </si>
  <si>
    <t xml:space="preserve">CHOCLO CONG IQF 500G BIOMAC        </t>
  </si>
  <si>
    <t xml:space="preserve">BAZ001226           </t>
  </si>
  <si>
    <t xml:space="preserve">SARTEN MANG PLAS CHAPAN°40         </t>
  </si>
  <si>
    <t xml:space="preserve">BAZ001262           </t>
  </si>
  <si>
    <t xml:space="preserve">JARRA PLAST C/T 2.15L18.5X23 CM    </t>
  </si>
  <si>
    <t xml:space="preserve">7790530850147       </t>
  </si>
  <si>
    <t xml:space="preserve">POSTRE CHOCOLATE X1KG BEDIAL       </t>
  </si>
  <si>
    <t>ESCOBILLA BAÑO</t>
  </si>
  <si>
    <t xml:space="preserve">LIM000137           </t>
  </si>
  <si>
    <t xml:space="preserve">ESCOBILLA DE WC INYECTADA          </t>
  </si>
  <si>
    <t>PULVERIZADORES C/GATILLO</t>
  </si>
  <si>
    <t xml:space="preserve">LIM000470           </t>
  </si>
  <si>
    <t>PULVERIZADORES C/GATILLO X 500CC TR</t>
  </si>
  <si>
    <t>LENTEJAS SECAS</t>
  </si>
  <si>
    <t xml:space="preserve">7791476034059       </t>
  </si>
  <si>
    <t xml:space="preserve">LENTEJAS EGRAN BSA 5 KG XU         </t>
  </si>
  <si>
    <t xml:space="preserve">BAZ000870           </t>
  </si>
  <si>
    <t xml:space="preserve">CUCHARA DE TE MANGO PLAST ROJO     </t>
  </si>
  <si>
    <t>NUEZ CUARTA</t>
  </si>
  <si>
    <t xml:space="preserve">724751080240        </t>
  </si>
  <si>
    <t xml:space="preserve">NUEZ PELADA CUARTO X1KG P.GOURMET  </t>
  </si>
  <si>
    <t>MANDARINA 90-120</t>
  </si>
  <si>
    <t xml:space="preserve">7790216020016       </t>
  </si>
  <si>
    <t xml:space="preserve">FRUTA MANDARINA 90-120 XU          </t>
  </si>
  <si>
    <t xml:space="preserve">UNIF000433          </t>
  </si>
  <si>
    <t xml:space="preserve">CAMPE. A. MARIN TRUCK PULCR 3XL    </t>
  </si>
  <si>
    <t xml:space="preserve">UNIF000124          </t>
  </si>
  <si>
    <t xml:space="preserve">PANTALON NAUTICO BLANCO 6          </t>
  </si>
  <si>
    <t xml:space="preserve">UNIF000441          </t>
  </si>
  <si>
    <t xml:space="preserve">CAMPE. TRUCK A. MAR GL SUPP 4XL    </t>
  </si>
  <si>
    <t xml:space="preserve">BAZ001175           </t>
  </si>
  <si>
    <t xml:space="preserve">CACEROLA ALUM C/TAPA N°36X18 LTS   </t>
  </si>
  <si>
    <t xml:space="preserve">7790000000707       </t>
  </si>
  <si>
    <t xml:space="preserve">SERVILLETA 33X21.5 HEALTH X1000UN  </t>
  </si>
  <si>
    <t>BOLSAS RESIDUO 30 MICRO ROJAS</t>
  </si>
  <si>
    <t xml:space="preserve">LIM000301           </t>
  </si>
  <si>
    <t xml:space="preserve">BOLSA RESID 45X60X50 ROJA 30MIC    </t>
  </si>
  <si>
    <t>DULCE DE LECHE</t>
  </si>
  <si>
    <t xml:space="preserve">7790787150632       </t>
  </si>
  <si>
    <t xml:space="preserve">DULCE DE LECHE X1KG ILOLAY         </t>
  </si>
  <si>
    <t xml:space="preserve">7798188651727       </t>
  </si>
  <si>
    <t xml:space="preserve">UNIF000053          </t>
  </si>
  <si>
    <t xml:space="preserve">BUZO A. MAR. FRISA GL SUP S        </t>
  </si>
  <si>
    <t xml:space="preserve">UNIF000565          </t>
  </si>
  <si>
    <t xml:space="preserve">REMERA GRIS MANGA CORTA XL         </t>
  </si>
  <si>
    <t>BANANA ECUADOR</t>
  </si>
  <si>
    <t xml:space="preserve">7790216020117       </t>
  </si>
  <si>
    <t xml:space="preserve">FRUTA BANANA ECUADOR XU            </t>
  </si>
  <si>
    <t xml:space="preserve">UNIF000604          </t>
  </si>
  <si>
    <t xml:space="preserve">CHAQ. ESCOTE V GU NUTRICION T2     </t>
  </si>
  <si>
    <t xml:space="preserve">BAZ001165           </t>
  </si>
  <si>
    <t xml:space="preserve">CONTEN PLAST RECT 2.4LT            </t>
  </si>
  <si>
    <t xml:space="preserve">7794459003547       </t>
  </si>
  <si>
    <t xml:space="preserve">ROLLO ARRANQUE 40X60 X6U 1500GR    </t>
  </si>
  <si>
    <t xml:space="preserve">7798186160993       </t>
  </si>
  <si>
    <t xml:space="preserve">PIMIENTA BCA MOL X1KG EL CRIOLLO   </t>
  </si>
  <si>
    <t xml:space="preserve">A1607C25T5          </t>
  </si>
  <si>
    <t xml:space="preserve">ZAPATO SEG. NEG. 38 ATT CHUBUT     </t>
  </si>
  <si>
    <t xml:space="preserve">UNIF000395          </t>
  </si>
  <si>
    <t xml:space="preserve">PANTALON DE VESTIR NEGRO 7         </t>
  </si>
  <si>
    <t xml:space="preserve">BAZ001191           </t>
  </si>
  <si>
    <t xml:space="preserve">CUCHARON DE ACERO INOX. N° 12      </t>
  </si>
  <si>
    <t xml:space="preserve">LIM000465           </t>
  </si>
  <si>
    <t xml:space="preserve">MICROFIBRA DE MANO AMARILLA X U    </t>
  </si>
  <si>
    <t>JAMON COCIDO</t>
  </si>
  <si>
    <t xml:space="preserve">7790212050098       </t>
  </si>
  <si>
    <t xml:space="preserve">JAMON COCIDO X KG                  </t>
  </si>
  <si>
    <t xml:space="preserve">BAZ001283           </t>
  </si>
  <si>
    <t xml:space="preserve">BOTELLA VIDRIO CON PICO VERTED     </t>
  </si>
  <si>
    <t xml:space="preserve">UNIF000484          </t>
  </si>
  <si>
    <t xml:space="preserve">PANTAL. GRAFA S. LOGO BLANCO 48    </t>
  </si>
  <si>
    <t xml:space="preserve">UNIF000403          </t>
  </si>
  <si>
    <t xml:space="preserve">PANTAL NEG GU/MOZO/CAJERO/ADM 1    </t>
  </si>
  <si>
    <t xml:space="preserve">UNIF000162          </t>
  </si>
  <si>
    <t xml:space="preserve">CHAQUETA CHEF 2 C. GOURMET         </t>
  </si>
  <si>
    <t>ESENCIA LIMON</t>
  </si>
  <si>
    <t xml:space="preserve">7791113005411       </t>
  </si>
  <si>
    <t xml:space="preserve">ESENCIA LIMON X 1LT EMETH          </t>
  </si>
  <si>
    <t>QUESO FRESCO</t>
  </si>
  <si>
    <t xml:space="preserve">7798001560267       </t>
  </si>
  <si>
    <t xml:space="preserve">QUESO CREMOSO CREMIGAL KG          </t>
  </si>
  <si>
    <t>LECHE POLVO NUT PRE 2</t>
  </si>
  <si>
    <t xml:space="preserve">7795323001973       </t>
  </si>
  <si>
    <t xml:space="preserve">LECHE POLVO x 400G NUTRI PRE2      </t>
  </si>
  <si>
    <t>ANCO</t>
  </si>
  <si>
    <t xml:space="preserve">7790216010062       </t>
  </si>
  <si>
    <t xml:space="preserve">ZAPALLO ANCO X KG                  </t>
  </si>
  <si>
    <t xml:space="preserve">UNIF000641          </t>
  </si>
  <si>
    <t xml:space="preserve">BUZO A. MAR. FRISA CGOUR M         </t>
  </si>
  <si>
    <t>SECADORES PISO</t>
  </si>
  <si>
    <t xml:space="preserve">7795864000800       </t>
  </si>
  <si>
    <t xml:space="preserve">SECADOR GOMA 80CM ROJO SG	         </t>
  </si>
  <si>
    <t>PAPAS BASTON CONGELADAS</t>
  </si>
  <si>
    <t xml:space="preserve">7797906000526       </t>
  </si>
  <si>
    <t xml:space="preserve">PAPAS FRITAS CORTE TRAD.X2.5KG MC  </t>
  </si>
  <si>
    <t>QUESO UNTABLE INDIV</t>
  </si>
  <si>
    <t xml:space="preserve">17790787960696      </t>
  </si>
  <si>
    <t xml:space="preserve">QUESO UNTABLE IND X108U ILOLAY     </t>
  </si>
  <si>
    <t>HARINA 000</t>
  </si>
  <si>
    <t xml:space="preserve">7790199000013       </t>
  </si>
  <si>
    <t xml:space="preserve">HARINA 000 X 1 KG MORIXE           </t>
  </si>
  <si>
    <t xml:space="preserve">MOD21108            </t>
  </si>
  <si>
    <t xml:space="preserve"> MOD ALIMENT NECOCHEA MAR26        </t>
  </si>
  <si>
    <t xml:space="preserve">UNIF000291          </t>
  </si>
  <si>
    <t xml:space="preserve">CAMP. TRUCK. AZ. CINT. REFRAC XL   </t>
  </si>
  <si>
    <t xml:space="preserve">7798430440667       </t>
  </si>
  <si>
    <t>PAPEL HIGIENI CONO GDE 300MX8U 2.4K</t>
  </si>
  <si>
    <t xml:space="preserve">BAZ000886           </t>
  </si>
  <si>
    <t xml:space="preserve">BATIDOR ACERO INOX X 30CM 8VAR     </t>
  </si>
  <si>
    <t>HARINA INTEGRAL</t>
  </si>
  <si>
    <t xml:space="preserve">7792612000730       </t>
  </si>
  <si>
    <t xml:space="preserve">HARINA INTEGRAL TASSARA X1KG       </t>
  </si>
  <si>
    <t>PAN CONGELADO</t>
  </si>
  <si>
    <t xml:space="preserve">17792180005813      </t>
  </si>
  <si>
    <t xml:space="preserve">MEDIA BAGUETTE CONG X125G CANUELAS </t>
  </si>
  <si>
    <t>CHAUCHA</t>
  </si>
  <si>
    <t xml:space="preserve">7790216012619       </t>
  </si>
  <si>
    <t xml:space="preserve">CHAUCHA X KG                       </t>
  </si>
  <si>
    <t>BOLSAS RESIDUO 30 MICRO VERDES</t>
  </si>
  <si>
    <t xml:space="preserve">7798011320012       </t>
  </si>
  <si>
    <t xml:space="preserve">BOLSA RESIDUO VERDE 45X60 X 50U	   </t>
  </si>
  <si>
    <t xml:space="preserve">BULTOS              </t>
  </si>
  <si>
    <t>ZANAHORIA</t>
  </si>
  <si>
    <t xml:space="preserve">7790216010122       </t>
  </si>
  <si>
    <t xml:space="preserve">ZANAHORIA X KG                     </t>
  </si>
  <si>
    <t xml:space="preserve">BAZ001160           </t>
  </si>
  <si>
    <t xml:space="preserve">TAZ DESAYU PORC.VERBANO TAVOLA     </t>
  </si>
  <si>
    <t xml:space="preserve">UNIF000348          </t>
  </si>
  <si>
    <t xml:space="preserve">CHAQ CUE.MAO AY/CAM/PEON 6 NUTRI   </t>
  </si>
  <si>
    <t>QUESO RALLADO IND</t>
  </si>
  <si>
    <t xml:space="preserve">7798107181601       </t>
  </si>
  <si>
    <t xml:space="preserve">QUESO RALLADO INDIV X100U SNCARL   </t>
  </si>
  <si>
    <t>MERMELADA LIGHT INDIV</t>
  </si>
  <si>
    <t xml:space="preserve">7798011977000       </t>
  </si>
  <si>
    <t xml:space="preserve">MERM IND DIET DUZ X17GX108U AB     </t>
  </si>
  <si>
    <t xml:space="preserve">UNIF000501          </t>
  </si>
  <si>
    <t xml:space="preserve">CAMPERA POLAR NEGRA XS C. GOUR     </t>
  </si>
  <si>
    <t>JUGO INDIVIDUAL NARANJA</t>
  </si>
  <si>
    <t xml:space="preserve">7798290580052       </t>
  </si>
  <si>
    <t xml:space="preserve">JUGO NARANJA X200CC TUTTI          </t>
  </si>
  <si>
    <t xml:space="preserve">FIBRA ESPONJA  </t>
  </si>
  <si>
    <t xml:space="preserve">7798377480015       </t>
  </si>
  <si>
    <t xml:space="preserve">ESPONJA FIBRA DOBLE GALERA XUN     </t>
  </si>
  <si>
    <t xml:space="preserve">807174532708        </t>
  </si>
  <si>
    <t xml:space="preserve">LIMP.ACE.INOXGLOSS X12 DIVERSEY    </t>
  </si>
  <si>
    <t xml:space="preserve">7798012211417       </t>
  </si>
  <si>
    <t xml:space="preserve">ESCOBILLA DE INYECTADA CALA        </t>
  </si>
  <si>
    <t>JABON LIQUIDO</t>
  </si>
  <si>
    <t xml:space="preserve">7798188650737       </t>
  </si>
  <si>
    <t xml:space="preserve">JABON LIQ.CLEANER MANZANA X5L      </t>
  </si>
  <si>
    <t>DULCE DE LECHE REPOST</t>
  </si>
  <si>
    <t xml:space="preserve">7790398000326       </t>
  </si>
  <si>
    <t>DULCE LECHE REPOSTERO X 1 KG PAULIN</t>
  </si>
  <si>
    <t>DURAZNO MITAD LATA</t>
  </si>
  <si>
    <t xml:space="preserve">7798132920626       </t>
  </si>
  <si>
    <t xml:space="preserve">DURAZNOS MITADES 820GR PUNTERO     </t>
  </si>
  <si>
    <t>ROLLO DE PAPEL PARA DISPENSER</t>
  </si>
  <si>
    <t xml:space="preserve">76625238104         </t>
  </si>
  <si>
    <t xml:space="preserve">BOBINA INDUST HS  400M X2UN        </t>
  </si>
  <si>
    <t xml:space="preserve">7798188650058       </t>
  </si>
  <si>
    <t xml:space="preserve">STEEL SHINE LIMP ACERO INOX XUN    </t>
  </si>
  <si>
    <t>ALBAHACA SECA</t>
  </si>
  <si>
    <t xml:space="preserve">7793875321549       </t>
  </si>
  <si>
    <t xml:space="preserve">ALBAHACA X 500G AROMAS Y SABORES   </t>
  </si>
  <si>
    <t>CAJA NAVIDEÑA</t>
  </si>
  <si>
    <t xml:space="preserve">REG000007           </t>
  </si>
  <si>
    <t xml:space="preserve">CAJA NAVIDADEÑA XUN                </t>
  </si>
  <si>
    <t xml:space="preserve">UNIF000362          </t>
  </si>
  <si>
    <t xml:space="preserve">GORRO COCINERO NGO BAJO NUTRIRE    </t>
  </si>
  <si>
    <t xml:space="preserve">UNIF000622          </t>
  </si>
  <si>
    <t xml:space="preserve">PANTALON NAUTICO NEG S LOGO T1     </t>
  </si>
  <si>
    <t xml:space="preserve">UNIF000617          </t>
  </si>
  <si>
    <t xml:space="preserve">BANDANA NEGRA C VIVO AMARILLO      </t>
  </si>
  <si>
    <t>SUPREMA REFRIGERADA</t>
  </si>
  <si>
    <t xml:space="preserve">7798172641284       </t>
  </si>
  <si>
    <t xml:space="preserve">SUPREMA REFRI X5KG SOYCH           </t>
  </si>
  <si>
    <t xml:space="preserve">BAZ001149           </t>
  </si>
  <si>
    <t xml:space="preserve">CACEROLA ALUM C/TAPAN°45X36 LTS    </t>
  </si>
  <si>
    <t>CUCHILLOS COMPSTABLE</t>
  </si>
  <si>
    <t xml:space="preserve">7790900031701       </t>
  </si>
  <si>
    <t xml:space="preserve"> CUCHILLO 16CM COMPOSTABLE X100U   </t>
  </si>
  <si>
    <t xml:space="preserve">7798188650201       </t>
  </si>
  <si>
    <t xml:space="preserve">LIMPIADOR ALFOMBRA 5LXU            </t>
  </si>
  <si>
    <t xml:space="preserve">7790321626935       </t>
  </si>
  <si>
    <t xml:space="preserve">CAJA CARTON 30X28X26XU LOGO MESA   </t>
  </si>
  <si>
    <t xml:space="preserve">UNIF000046          </t>
  </si>
  <si>
    <t xml:space="preserve">BUZO AZUL MARINO PULCRUS S         </t>
  </si>
  <si>
    <t xml:space="preserve">UNIF000045          </t>
  </si>
  <si>
    <t xml:space="preserve">BUZO AZUL ELEVARE 4XL              </t>
  </si>
  <si>
    <t xml:space="preserve">UNIF000209          </t>
  </si>
  <si>
    <t xml:space="preserve">PANTAL CARG NEGRO AZ. 50 GL SUP    </t>
  </si>
  <si>
    <t>GELATINA CEREZA LIGHT</t>
  </si>
  <si>
    <t xml:space="preserve">7790971002211       </t>
  </si>
  <si>
    <t xml:space="preserve">GELATINA DIET CEREZA RAVANA 25GR   </t>
  </si>
  <si>
    <t xml:space="preserve">BAZ000883           </t>
  </si>
  <si>
    <t xml:space="preserve">PALA PARA TORTA TRIAN AC INOX      </t>
  </si>
  <si>
    <t xml:space="preserve">UNIF000296          </t>
  </si>
  <si>
    <t xml:space="preserve">CHOMBA PIQ A.FRANCIA B CAFE H M    </t>
  </si>
  <si>
    <t>MANTECA</t>
  </si>
  <si>
    <t xml:space="preserve">7798344910286       </t>
  </si>
  <si>
    <t xml:space="preserve">MANTECA X200G SYS                  </t>
  </si>
  <si>
    <t xml:space="preserve">7791268030252       </t>
  </si>
  <si>
    <t xml:space="preserve">PAPEL HIG DH 2500MTX6U VALOT       </t>
  </si>
  <si>
    <t>TE BOLDO</t>
  </si>
  <si>
    <t xml:space="preserve">7790387001419       </t>
  </si>
  <si>
    <t xml:space="preserve">TE EN SOB BOLDO X20UN TARAGUI      </t>
  </si>
  <si>
    <t>TE SAQUITO</t>
  </si>
  <si>
    <t xml:space="preserve">7798028020515       </t>
  </si>
  <si>
    <t xml:space="preserve">TE SAQUITO X 25U LA POSADEÑA       </t>
  </si>
  <si>
    <t xml:space="preserve">UNIF000016          </t>
  </si>
  <si>
    <t xml:space="preserve">CHAQ AMB PULCRUS ESC V L           </t>
  </si>
  <si>
    <t>GELATINA CEREZA</t>
  </si>
  <si>
    <t xml:space="preserve">7790530850192       </t>
  </si>
  <si>
    <t xml:space="preserve">GELATINA CEREZA X 1 KG BEDIAL      </t>
  </si>
  <si>
    <t xml:space="preserve">UNIF000387          </t>
  </si>
  <si>
    <t xml:space="preserve">PANTALON NAUTICO-JEAN 5            </t>
  </si>
  <si>
    <t xml:space="preserve">BAZ001275           </t>
  </si>
  <si>
    <t xml:space="preserve">ASADERA CHAP ENLOZ REF 50 X 70     </t>
  </si>
  <si>
    <t xml:space="preserve">UNIF000557          </t>
  </si>
  <si>
    <t xml:space="preserve">PANTALON JEAN 50                   </t>
  </si>
  <si>
    <t>BARRA  ARROZ CELIACO</t>
  </si>
  <si>
    <t xml:space="preserve">77965677            </t>
  </si>
  <si>
    <t xml:space="preserve">BARRA ARROZ BAÑ/LIMON 12GR LULEM   </t>
  </si>
  <si>
    <t xml:space="preserve">UNIF000093          </t>
  </si>
  <si>
    <t>CAMISA BLANCA LISA 58 BLUE CATERING</t>
  </si>
  <si>
    <t>COCO RALLADO</t>
  </si>
  <si>
    <t xml:space="preserve">7790530900248       </t>
  </si>
  <si>
    <t xml:space="preserve">COCO RALLADO BEDIAL X 1 KG         </t>
  </si>
  <si>
    <t xml:space="preserve">16204006A           </t>
  </si>
  <si>
    <t xml:space="preserve">ROLLO BOLSA ARRANQUE 60 X 90       </t>
  </si>
  <si>
    <t xml:space="preserve">14044013A           </t>
  </si>
  <si>
    <t xml:space="preserve">ROLLO PAPEL MANTECA                </t>
  </si>
  <si>
    <t xml:space="preserve">7790000000275       </t>
  </si>
  <si>
    <t xml:space="preserve">CABO MADERA 1.8MT MPROPIA          </t>
  </si>
  <si>
    <t xml:space="preserve">7798011977017       </t>
  </si>
  <si>
    <t xml:space="preserve">MERME LIGHT FRUTI X17GX108U ABED   </t>
  </si>
  <si>
    <t xml:space="preserve">7790000000386       </t>
  </si>
  <si>
    <t xml:space="preserve">BOLSA CAM NEGR REF 50X60X100U EV   </t>
  </si>
  <si>
    <t>VINAGRE ALCOHOL</t>
  </si>
  <si>
    <t xml:space="preserve">7792378001477       </t>
  </si>
  <si>
    <t xml:space="preserve">VINAGRE ALCOHOL X5LT GUSTOSO       </t>
  </si>
  <si>
    <t>PAPA</t>
  </si>
  <si>
    <t xml:space="preserve">7790216010052       </t>
  </si>
  <si>
    <t xml:space="preserve">PAPA X KG                          </t>
  </si>
  <si>
    <t xml:space="preserve">UNIF000656          </t>
  </si>
  <si>
    <t xml:space="preserve">PANTALON CARGO A. MARINO 48        </t>
  </si>
  <si>
    <t xml:space="preserve">UNIF000007          </t>
  </si>
  <si>
    <t xml:space="preserve">AMBO A. MAR. PULCRUS ESC V 4XL     </t>
  </si>
  <si>
    <t xml:space="preserve">UNIF000603          </t>
  </si>
  <si>
    <t xml:space="preserve">CHAQ. ESCOTE V GU NUTRICION T1     </t>
  </si>
  <si>
    <t>BUDIN VAINILLA</t>
  </si>
  <si>
    <t xml:space="preserve">7790726030087       </t>
  </si>
  <si>
    <t xml:space="preserve">BUDIN VAINILLA X170G DULCYPAS      </t>
  </si>
  <si>
    <t xml:space="preserve">BAZ001156           </t>
  </si>
  <si>
    <t xml:space="preserve">PLA PAN VERBANO RECTO 16 CHEF G    </t>
  </si>
  <si>
    <t>LIMPIADOR CREMOSO</t>
  </si>
  <si>
    <t xml:space="preserve">7798188650164       </t>
  </si>
  <si>
    <t xml:space="preserve">LIMPIADOR CREMOSO NARANJA X500ML	  </t>
  </si>
  <si>
    <t xml:space="preserve">LIM000510           </t>
  </si>
  <si>
    <t xml:space="preserve">BOLSA RESIDUO ROJA 90X110X50U      </t>
  </si>
  <si>
    <t>QUESO BARRA</t>
  </si>
  <si>
    <t xml:space="preserve">7794990866373       </t>
  </si>
  <si>
    <t xml:space="preserve">QUESO BARRA DAMBO XKG PAULINA      </t>
  </si>
  <si>
    <t xml:space="preserve">7790321626838       </t>
  </si>
  <si>
    <t xml:space="preserve">LIM000511           </t>
  </si>
  <si>
    <t>ELITE (6128/6328) JUMBO PAPEL HIGIE</t>
  </si>
  <si>
    <t>FIBRA ESPONJA VERDE</t>
  </si>
  <si>
    <t xml:space="preserve">LIM000138           </t>
  </si>
  <si>
    <t xml:space="preserve">FIBRA_ESPONJA_CHICA_X UN           </t>
  </si>
  <si>
    <t>BOLSAS CRISTAL</t>
  </si>
  <si>
    <t xml:space="preserve">BUSAT001150         </t>
  </si>
  <si>
    <t xml:space="preserve">BOLSA CRISTAL 80X110 X 100/U       </t>
  </si>
  <si>
    <t>FIDEOS GLUTEN S/TACC</t>
  </si>
  <si>
    <t xml:space="preserve">7790070336002       </t>
  </si>
  <si>
    <t>FIDEO SPAGHETTI S/TACC X500G MATARA</t>
  </si>
  <si>
    <t xml:space="preserve">UNIF000638          </t>
  </si>
  <si>
    <t xml:space="preserve">CHOMBA PIQUE GR S CHEF G           </t>
  </si>
  <si>
    <t xml:space="preserve">LIM000462           </t>
  </si>
  <si>
    <t xml:space="preserve">BARBIJO QUIRURGICO X 50 U          </t>
  </si>
  <si>
    <t>ARROZ LARGO FINO</t>
  </si>
  <si>
    <t xml:space="preserve">7792180139542       </t>
  </si>
  <si>
    <t xml:space="preserve">ARROZ LARGO FINO X500G CAÑUELA     </t>
  </si>
  <si>
    <t>ATUN A/A ENTERO</t>
  </si>
  <si>
    <t xml:space="preserve">7798430450023       </t>
  </si>
  <si>
    <t xml:space="preserve">ATUN LOM ACEITE 170GR DON JULIO    </t>
  </si>
  <si>
    <t>GUANTE GOMA</t>
  </si>
  <si>
    <t xml:space="preserve">LIM000293           </t>
  </si>
  <si>
    <t xml:space="preserve">GUANTE DE GOMA REFORZADO X PAR     </t>
  </si>
  <si>
    <t>ACELGA EN LATA</t>
  </si>
  <si>
    <t xml:space="preserve">7790499002106       </t>
  </si>
  <si>
    <t xml:space="preserve">ACELGA CORTADA X800G.LA BANDA	     </t>
  </si>
  <si>
    <t>ADEREZOS CESAR INDIV</t>
  </si>
  <si>
    <t xml:space="preserve">7798011970063       </t>
  </si>
  <si>
    <t xml:space="preserve">ADEREZO CESAR X15CCX120U ABEDUL    </t>
  </si>
  <si>
    <t>ARROZ 00000</t>
  </si>
  <si>
    <t xml:space="preserve">7793650000027       </t>
  </si>
  <si>
    <t xml:space="preserve">ARROZ 00000 S/TACC X500G CAROGRAN  </t>
  </si>
  <si>
    <t>BOLSAS RESIDUO 120 MICRO ROJAS</t>
  </si>
  <si>
    <t xml:space="preserve">779032100039        </t>
  </si>
  <si>
    <t xml:space="preserve">BOLSA RESID 90X110X50 ROJA 120M    </t>
  </si>
  <si>
    <t xml:space="preserve">UNIF000516          </t>
  </si>
  <si>
    <t xml:space="preserve">CAMPERA POLAR NEGRA 4XL GL. SUP    </t>
  </si>
  <si>
    <t>TAPA P/EMP ROTIS CRIOLLA</t>
  </si>
  <si>
    <t xml:space="preserve">7791218123003       </t>
  </si>
  <si>
    <t xml:space="preserve">TAPA EMP ROTISERA CRIOLLA X12U O   </t>
  </si>
  <si>
    <t xml:space="preserve">7791101002132       </t>
  </si>
  <si>
    <t xml:space="preserve">FOLEX 20CMX25CM XKG MPROPIA        </t>
  </si>
  <si>
    <t xml:space="preserve">UNIF000385          </t>
  </si>
  <si>
    <t xml:space="preserve">PANTALON NAUTICO-JEAN 2            </t>
  </si>
  <si>
    <t xml:space="preserve">UNIF000413          </t>
  </si>
  <si>
    <t xml:space="preserve">BUZO BLANCO NUTRIRE FRISA L        </t>
  </si>
  <si>
    <t xml:space="preserve">UNIF000323          </t>
  </si>
  <si>
    <t xml:space="preserve">REMERA CUELLO RED BLAN NUTRI S     </t>
  </si>
  <si>
    <t xml:space="preserve">UNIF000740          </t>
  </si>
  <si>
    <t xml:space="preserve">CHAQUETA CHEF BLUE CAFÉ XL         </t>
  </si>
  <si>
    <t xml:space="preserve">UNIF000537          </t>
  </si>
  <si>
    <t xml:space="preserve">ROMPEVIENTOS-AZUL MARINO 3XL       </t>
  </si>
  <si>
    <t xml:space="preserve">17792180136838      </t>
  </si>
  <si>
    <t xml:space="preserve">PAN MIGNON BCO.CONG.X329 CAÑUELAS  </t>
  </si>
  <si>
    <t>POROTOS SECOS COLORADOS</t>
  </si>
  <si>
    <t xml:space="preserve">7790279000193       </t>
  </si>
  <si>
    <t xml:space="preserve">POROTOS COLORADOS X500G RAMONEDA   </t>
  </si>
  <si>
    <t xml:space="preserve">2007077             </t>
  </si>
  <si>
    <t>PA#O MICRO MULT.35X30 AMARILLO CLEA</t>
  </si>
  <si>
    <t>PREMEZCLA BIZCOCHUELO VAINI</t>
  </si>
  <si>
    <t xml:space="preserve">7791113004599       </t>
  </si>
  <si>
    <t xml:space="preserve">BIZCOCHUELO VAINILLA X450G EMETH   </t>
  </si>
  <si>
    <t>MORCILLA</t>
  </si>
  <si>
    <t xml:space="preserve">7790212031216       </t>
  </si>
  <si>
    <t xml:space="preserve">MORCILLA BOMBON X KG               </t>
  </si>
  <si>
    <t xml:space="preserve">BAZ001265           </t>
  </si>
  <si>
    <t xml:space="preserve">COPA POST OTO#AL 120X1141M ADA     </t>
  </si>
  <si>
    <t xml:space="preserve">7790321020167       </t>
  </si>
  <si>
    <t xml:space="preserve">BOLSA CAMISETA 50 X 60 X 100U      </t>
  </si>
  <si>
    <t>EDULCORANTE SOBRE GL SUPPORT</t>
  </si>
  <si>
    <t xml:space="preserve">7798011977390       </t>
  </si>
  <si>
    <t xml:space="preserve"> EDULC SOB  8GR GL SUPPORT 400U    </t>
  </si>
  <si>
    <t xml:space="preserve">BUM00247            </t>
  </si>
  <si>
    <t xml:space="preserve">CARRO AMARILLO L ESTADIO           </t>
  </si>
  <si>
    <t>PANADERIA CONGELADA</t>
  </si>
  <si>
    <t xml:space="preserve">7798041132477       </t>
  </si>
  <si>
    <t xml:space="preserve">BROWNIE CON NUEZ X18U SELYGEL      </t>
  </si>
  <si>
    <t xml:space="preserve">7798016190152       </t>
  </si>
  <si>
    <t xml:space="preserve">LENTEJA X 400 GR AGROMAR           </t>
  </si>
  <si>
    <t>SORBETES</t>
  </si>
  <si>
    <t xml:space="preserve">7790000000894       </t>
  </si>
  <si>
    <t xml:space="preserve">SORBETES ENSOBRADOS X1000U         </t>
  </si>
  <si>
    <t xml:space="preserve">UNIF000138          </t>
  </si>
  <si>
    <t xml:space="preserve">CAMISA 3/4 BCA. SALUD MUJER - 1    </t>
  </si>
  <si>
    <t xml:space="preserve">LIM000482           </t>
  </si>
  <si>
    <t xml:space="preserve">MICROFIBRA MANO ROJA XU            </t>
  </si>
  <si>
    <t xml:space="preserve">UNIF000161          </t>
  </si>
  <si>
    <t xml:space="preserve">CHAQUETA CHEF 1 C. GOURMET         </t>
  </si>
  <si>
    <t>CARNE ENTERA</t>
  </si>
  <si>
    <t xml:space="preserve">7790000000826       </t>
  </si>
  <si>
    <t xml:space="preserve">PECHO REFRIG XKG                   </t>
  </si>
  <si>
    <t xml:space="preserve">UNIF000449          </t>
  </si>
  <si>
    <t xml:space="preserve">CAMP. A. MAR. TRUCKER ELEVARE S    </t>
  </si>
  <si>
    <t>FIDEOS LARGO</t>
  </si>
  <si>
    <t xml:space="preserve">7798138555518       </t>
  </si>
  <si>
    <t xml:space="preserve">FIDEO SPAGHETTI X500G STA ISABEL   </t>
  </si>
  <si>
    <t xml:space="preserve">7790000000462       </t>
  </si>
  <si>
    <t xml:space="preserve">GATILLOS PULV REFORZ MPROPIA       </t>
  </si>
  <si>
    <t xml:space="preserve">7790000000043       </t>
  </si>
  <si>
    <t xml:space="preserve">MANTEL INDIV KRAFT LISO X200U      </t>
  </si>
  <si>
    <t xml:space="preserve">BAZ001168           </t>
  </si>
  <si>
    <t xml:space="preserve">TENEDOR MANGO PLASTICO ROJO        </t>
  </si>
  <si>
    <t xml:space="preserve">7790000000687       </t>
  </si>
  <si>
    <t xml:space="preserve">BOLSAS VERDES 80X100X50            </t>
  </si>
  <si>
    <t xml:space="preserve">5000755             </t>
  </si>
  <si>
    <t>GUANTE NORTH NF13 NYLON G15 GRIS-TA</t>
  </si>
  <si>
    <t xml:space="preserve">UNIF000485          </t>
  </si>
  <si>
    <t xml:space="preserve">_ PANTAL. GRAFA S. LOGO BLANCO 5   </t>
  </si>
  <si>
    <t xml:space="preserve">7793253004444       </t>
  </si>
  <si>
    <t xml:space="preserve">PAPEL HIGIENICO S/HOJA 30MTSX48U   </t>
  </si>
  <si>
    <t>GARBANZOS S/TACC</t>
  </si>
  <si>
    <t xml:space="preserve">7792350067071       </t>
  </si>
  <si>
    <t xml:space="preserve">GARBANZOS REMOJADOS X 300G INALPA  </t>
  </si>
  <si>
    <t xml:space="preserve">UNIF000591          </t>
  </si>
  <si>
    <t xml:space="preserve">CHAQUETA CUELLO MAO T6 GL SUP.     </t>
  </si>
  <si>
    <t xml:space="preserve">UNIF000620          </t>
  </si>
  <si>
    <t xml:space="preserve">GORRO ALTO CHEF C GOUR             </t>
  </si>
  <si>
    <t xml:space="preserve">LIM000422           </t>
  </si>
  <si>
    <t xml:space="preserve">ARMAZON P/MOPA DE BARRIDO 60 C     </t>
  </si>
  <si>
    <t xml:space="preserve">BAZ001158           </t>
  </si>
  <si>
    <t xml:space="preserve">PLA PLAYO VERBANO RECT 25 CHEF G   </t>
  </si>
  <si>
    <t xml:space="preserve">REPOLLO COLORADO  </t>
  </si>
  <si>
    <t xml:space="preserve">7790216012656       </t>
  </si>
  <si>
    <t xml:space="preserve">REPOLLO COLORADO X KG              </t>
  </si>
  <si>
    <t xml:space="preserve">7790000000508       </t>
  </si>
  <si>
    <t xml:space="preserve">SUJETA MOPA XUN MPROPIA            </t>
  </si>
  <si>
    <t xml:space="preserve">UNIF000203          </t>
  </si>
  <si>
    <t xml:space="preserve">PANTA. CARGO NEGRO 60 GL SUPPORT   </t>
  </si>
  <si>
    <t xml:space="preserve">7791058000731       </t>
  </si>
  <si>
    <t xml:space="preserve">LECHE ENTERA LV X 1 L MANFREY      </t>
  </si>
  <si>
    <t xml:space="preserve">AJO </t>
  </si>
  <si>
    <t xml:space="preserve">7790616077936       </t>
  </si>
  <si>
    <t xml:space="preserve">AJO XKG                            </t>
  </si>
  <si>
    <t xml:space="preserve">5001650             </t>
  </si>
  <si>
    <t xml:space="preserve">CHALECO REFLECTIVO NARANJA         </t>
  </si>
  <si>
    <t>GALLE DULCE VAINILLA</t>
  </si>
  <si>
    <t xml:space="preserve">7796236000954       </t>
  </si>
  <si>
    <t>GALLE ANILLITOS VAINI X400G RIEDMAR</t>
  </si>
  <si>
    <t>MANZANA 90-100</t>
  </si>
  <si>
    <t xml:space="preserve">7790216020109       </t>
  </si>
  <si>
    <t xml:space="preserve">FRUTA MANZANA 90-100 XU            </t>
  </si>
  <si>
    <t xml:space="preserve">UNIF000297          </t>
  </si>
  <si>
    <t xml:space="preserve">CHOMBA PIQ A.FRANCIA B CAFE H L    </t>
  </si>
  <si>
    <t xml:space="preserve">BAZ001308           </t>
  </si>
  <si>
    <t xml:space="preserve">PLATO PLAYO PORC VERB RECT 21C     </t>
  </si>
  <si>
    <t>ALCOHOL LIQ</t>
  </si>
  <si>
    <t xml:space="preserve">7798188651017       </t>
  </si>
  <si>
    <t xml:space="preserve">ALCOHOL X5LT AL 70% THAMES         </t>
  </si>
  <si>
    <t xml:space="preserve">7791625008122       </t>
  </si>
  <si>
    <t xml:space="preserve">ESCOBILLA P/BAÑO CON RECIPIENTE    </t>
  </si>
  <si>
    <t xml:space="preserve">A1607C25T4          </t>
  </si>
  <si>
    <t xml:space="preserve">ZAPATO SEG. NEG. 37 ATT CHUBUT     </t>
  </si>
  <si>
    <t xml:space="preserve">7797470005514       </t>
  </si>
  <si>
    <t xml:space="preserve">ACEITE GIR S/TACC X900CC MAROLIO   </t>
  </si>
  <si>
    <t>LIMPIA VIDRIOS</t>
  </si>
  <si>
    <t xml:space="preserve">7798121851047       </t>
  </si>
  <si>
    <t xml:space="preserve">LIQUIDO LIMPIAVIDRIOS X1L JAC      </t>
  </si>
  <si>
    <t>MERMELADA CIRUELA</t>
  </si>
  <si>
    <t xml:space="preserve">7792260640210       </t>
  </si>
  <si>
    <t xml:space="preserve">MERMELADA CIR 420G ORIETA          </t>
  </si>
  <si>
    <t xml:space="preserve">UNIF000646          </t>
  </si>
  <si>
    <t xml:space="preserve">BUZO CELES -FRISA CGOUR- 4XL       </t>
  </si>
  <si>
    <t xml:space="preserve">A1607C25T9          </t>
  </si>
  <si>
    <t xml:space="preserve">ZAPATO SEG. NEG. 42 ATT CHUBUT     </t>
  </si>
  <si>
    <t xml:space="preserve">UNIF000243          </t>
  </si>
  <si>
    <t xml:space="preserve">PANTAL NAUT BLANCO SIN LOGO - T5   </t>
  </si>
  <si>
    <t xml:space="preserve">UNIF000074          </t>
  </si>
  <si>
    <t xml:space="preserve">CAMISA BLANCA LISA 40 S. LOGO      </t>
  </si>
  <si>
    <t xml:space="preserve">UNIF000293          </t>
  </si>
  <si>
    <t xml:space="preserve">CAMP. TRUCK. AZ CINT. REFRAC 3XL   </t>
  </si>
  <si>
    <t>MERMELADA IND FRUTILLA</t>
  </si>
  <si>
    <t xml:space="preserve">7798011976676       </t>
  </si>
  <si>
    <t xml:space="preserve">MERM FRUTI X20GX108U ABEDUL        </t>
  </si>
  <si>
    <t>SOPAPA</t>
  </si>
  <si>
    <t xml:space="preserve">7790925000096       </t>
  </si>
  <si>
    <t xml:space="preserve">SOPAPA DE GOMA X UN                </t>
  </si>
  <si>
    <t>REBOZADOR</t>
  </si>
  <si>
    <t xml:space="preserve">7798314230833       </t>
  </si>
  <si>
    <t xml:space="preserve">REBOZADOR X 500G VERIZZIA          </t>
  </si>
  <si>
    <t>GALLE VAINI INDIV</t>
  </si>
  <si>
    <t xml:space="preserve">7798188380177       </t>
  </si>
  <si>
    <t xml:space="preserve">GALLE DULCE VAINI X25G CAUTIVA	    </t>
  </si>
  <si>
    <t xml:space="preserve">UNIF000600          </t>
  </si>
  <si>
    <t xml:space="preserve">0736372273444       </t>
  </si>
  <si>
    <t xml:space="preserve">ROLLO ALUM. 38CM 14MT 20MIC ALUMAX </t>
  </si>
  <si>
    <t>AJO MOLIDO</t>
  </si>
  <si>
    <t xml:space="preserve">7793875321341       </t>
  </si>
  <si>
    <t xml:space="preserve">AJO EN POLVO X1KG AROMAS           </t>
  </si>
  <si>
    <t>SIDRA</t>
  </si>
  <si>
    <t xml:space="preserve">7790154008122       </t>
  </si>
  <si>
    <t xml:space="preserve">SIDRA PERA X750ML 1930             </t>
  </si>
  <si>
    <t>CANELA MOLIDA</t>
  </si>
  <si>
    <t xml:space="preserve">7793875312103       </t>
  </si>
  <si>
    <t xml:space="preserve">CANELA MOLIDA X 25 G AROMAS        </t>
  </si>
  <si>
    <t xml:space="preserve">UNIF000239          </t>
  </si>
  <si>
    <t xml:space="preserve">PANTAL NAUT BLANCO SIN LOGO - T1   </t>
  </si>
  <si>
    <t>TRAPOS DE PISO</t>
  </si>
  <si>
    <t xml:space="preserve">7798011944130       </t>
  </si>
  <si>
    <t xml:space="preserve">PAÑO ROJO P/PISO 17¨XU             </t>
  </si>
  <si>
    <t>TOMILLO S/TACC</t>
  </si>
  <si>
    <t xml:space="preserve">7790150600344       </t>
  </si>
  <si>
    <t xml:space="preserve">TOMILLO X10GR ALICANTE             </t>
  </si>
  <si>
    <t>POSTRE VAINILLA</t>
  </si>
  <si>
    <t xml:space="preserve">7791113001611       </t>
  </si>
  <si>
    <t xml:space="preserve">POSTRE VAINILLA X 120 G EMETH      </t>
  </si>
  <si>
    <t xml:space="preserve">UNIF000146          </t>
  </si>
  <si>
    <t xml:space="preserve">CAMI.3/4 BLAN SALUD MUJ 3 C.GOUR   </t>
  </si>
  <si>
    <t>GALLE AGUA</t>
  </si>
  <si>
    <t xml:space="preserve">7792683000370       </t>
  </si>
  <si>
    <t xml:space="preserve">GALLET AGUA X300G NOGALITAS        </t>
  </si>
  <si>
    <t>BOLSAS RESIDUO 30 MICRO NEGRA</t>
  </si>
  <si>
    <t xml:space="preserve">7790321000062       </t>
  </si>
  <si>
    <t xml:space="preserve">BOLSA RESID NEGR 50X70X35MIC X50UN </t>
  </si>
  <si>
    <t xml:space="preserve">BAZ001297           </t>
  </si>
  <si>
    <t xml:space="preserve">CUCHARA DE MESA M/ PLASTICO RO     </t>
  </si>
  <si>
    <t>ATUN A/A DESMEN</t>
  </si>
  <si>
    <t xml:space="preserve">7790199604792       </t>
  </si>
  <si>
    <t xml:space="preserve">ATUN DESM E/AC 170GR MORIXE        </t>
  </si>
  <si>
    <t>DISPENSER TOALLAS</t>
  </si>
  <si>
    <t xml:space="preserve">BAZ000374           </t>
  </si>
  <si>
    <t xml:space="preserve">DISPENSER TOALLAS XUN CRIS-ZEL     </t>
  </si>
  <si>
    <t xml:space="preserve">7790321626936       </t>
  </si>
  <si>
    <t xml:space="preserve">CAJA 30X28X26 LOGO MESA/LANUS 90L	 </t>
  </si>
  <si>
    <t xml:space="preserve">7790212060868       </t>
  </si>
  <si>
    <t xml:space="preserve">QUESO BARRA X KG                   </t>
  </si>
  <si>
    <t xml:space="preserve">UNIF000125          </t>
  </si>
  <si>
    <t xml:space="preserve">PANTALON NAUTICO BLANCO 7          </t>
  </si>
  <si>
    <t>HUEVO</t>
  </si>
  <si>
    <t xml:space="preserve">7790212030066       </t>
  </si>
  <si>
    <t xml:space="preserve">HUEVOS X U GRADO A PESO MIN 50     </t>
  </si>
  <si>
    <t>BATATA PROCESADA</t>
  </si>
  <si>
    <t xml:space="preserve">7790216012638       </t>
  </si>
  <si>
    <t xml:space="preserve">BATATA PROCESADA X KG              </t>
  </si>
  <si>
    <t xml:space="preserve">UNIF000562          </t>
  </si>
  <si>
    <t xml:space="preserve">REMERA GRIS MANGA CORTA S          </t>
  </si>
  <si>
    <t>DISCO LIMPIEZA</t>
  </si>
  <si>
    <t xml:space="preserve">LIM000505           </t>
  </si>
  <si>
    <t xml:space="preserve">PA#O NEGRO P/PISO 17 XUN           </t>
  </si>
  <si>
    <t>ARVEJA SIN TACC</t>
  </si>
  <si>
    <t xml:space="preserve">7792350067019       </t>
  </si>
  <si>
    <t xml:space="preserve">ARVEJAS REMOJADAS X300G INALPA     </t>
  </si>
  <si>
    <t>CREMA PASTELERA POLVO</t>
  </si>
  <si>
    <t xml:space="preserve">7790971001504       </t>
  </si>
  <si>
    <t xml:space="preserve">CREMA PASTELERA X500KG ORLOC       </t>
  </si>
  <si>
    <t>CAJON PLASTICO</t>
  </si>
  <si>
    <t xml:space="preserve">BAZ001384           </t>
  </si>
  <si>
    <t xml:space="preserve">CAJON PLASTICO IFCO MARRON         </t>
  </si>
  <si>
    <t xml:space="preserve">BAZ001235           </t>
  </si>
  <si>
    <t xml:space="preserve">TETERA ACERO INOX P/1 PERS P Y G   </t>
  </si>
  <si>
    <t xml:space="preserve">790757899520        </t>
  </si>
  <si>
    <t xml:space="preserve">GELATINA CEREZA 1KG POREC          </t>
  </si>
  <si>
    <t xml:space="preserve">UNIF000576          </t>
  </si>
  <si>
    <t xml:space="preserve">CAMISA GRIS T50                    </t>
  </si>
  <si>
    <t xml:space="preserve">UNIF000263          </t>
  </si>
  <si>
    <t xml:space="preserve">PANTALON GABAR. NEG. 56 S. LOGO    </t>
  </si>
  <si>
    <t xml:space="preserve">BAZ001340           </t>
  </si>
  <si>
    <t xml:space="preserve">SACA FUENTE MANGO POLIPRO          </t>
  </si>
  <si>
    <t xml:space="preserve">7794417003244       </t>
  </si>
  <si>
    <t xml:space="preserve">PALA PLASTICA SINA XU              </t>
  </si>
  <si>
    <t>AGUA MIN S/GAS INDIV</t>
  </si>
  <si>
    <t xml:space="preserve">7798065733454       </t>
  </si>
  <si>
    <t xml:space="preserve">AGUA MIN S/GAS X 600 ML SIERR      </t>
  </si>
  <si>
    <t>ACETO IND</t>
  </si>
  <si>
    <t xml:space="preserve">7798011976492       </t>
  </si>
  <si>
    <t xml:space="preserve">ACETO INDX8MLX198U ABEDUL          </t>
  </si>
  <si>
    <t xml:space="preserve">UNIF000038          </t>
  </si>
  <si>
    <t xml:space="preserve">BUZO AZUL MARINO GRUPO L 4XL       </t>
  </si>
  <si>
    <t xml:space="preserve">A1607C25T10         </t>
  </si>
  <si>
    <t xml:space="preserve">ZAPATO SEG. NEG. 43 ATT CHUBUT     </t>
  </si>
  <si>
    <t xml:space="preserve">7790000000235       </t>
  </si>
  <si>
    <t xml:space="preserve">INDIVIDIDUAL HEALTH X1000          </t>
  </si>
  <si>
    <t>LECHE LV DESCREMADA</t>
  </si>
  <si>
    <t xml:space="preserve">7798338290110       </t>
  </si>
  <si>
    <t xml:space="preserve">LECHE DESC LV X 1 L APOSTOLES      </t>
  </si>
  <si>
    <t xml:space="preserve">7792180001641       </t>
  </si>
  <si>
    <t xml:space="preserve">ACEITE GIRASOL X 900 CC CAÑUEL     </t>
  </si>
  <si>
    <t xml:space="preserve">UNIF000655          </t>
  </si>
  <si>
    <t xml:space="preserve">PANTALON CARGO A. MARINO 44        </t>
  </si>
  <si>
    <t>PIMENTON S/TACC</t>
  </si>
  <si>
    <t xml:space="preserve">7790150564844       </t>
  </si>
  <si>
    <t xml:space="preserve">PIMENTON X25G ALICANTE             </t>
  </si>
  <si>
    <t xml:space="preserve">7794459003530       </t>
  </si>
  <si>
    <t xml:space="preserve">ROLLO ARRANQUE 20X30 X12U 750GR    </t>
  </si>
  <si>
    <t xml:space="preserve">UNIF000607          </t>
  </si>
  <si>
    <t xml:space="preserve">GUARDAPOLV C LOGO C GOUR TALLE S   </t>
  </si>
  <si>
    <t>GALLE AGUA INDIV C/SAL</t>
  </si>
  <si>
    <t xml:space="preserve">7798128990534       </t>
  </si>
  <si>
    <t xml:space="preserve">GALLET AGUA C/SAL X25 G DISMAY     </t>
  </si>
  <si>
    <t xml:space="preserve">UNIF000599          </t>
  </si>
  <si>
    <t xml:space="preserve">CHAQUETA CUELLO MAO T7 C GOURM     </t>
  </si>
  <si>
    <t xml:space="preserve">BAZ001299           </t>
  </si>
  <si>
    <t xml:space="preserve">CUCHILLO DE MESA MANGO PCO NEGRO   </t>
  </si>
  <si>
    <t>FLAN VAINILLA</t>
  </si>
  <si>
    <t xml:space="preserve">790757899636        </t>
  </si>
  <si>
    <t xml:space="preserve">FLAN VAINILLA 1KG POREC            </t>
  </si>
  <si>
    <t>ÑOQUIS PAPA</t>
  </si>
  <si>
    <t xml:space="preserve">7795711003596       </t>
  </si>
  <si>
    <t xml:space="preserve">ÑOQUIS PAPA X500G VILLA DAGRI      </t>
  </si>
  <si>
    <t>MILANESA SOJA</t>
  </si>
  <si>
    <t xml:space="preserve">7790174001349       </t>
  </si>
  <si>
    <t xml:space="preserve">MILANESA DE SOJA X4UVEGETALEX      </t>
  </si>
  <si>
    <t>JUGO POLVO POMELO LIGHT</t>
  </si>
  <si>
    <t xml:space="preserve">7790580129644       </t>
  </si>
  <si>
    <t xml:space="preserve">JUGO POL. POM. ROS. LIGHT BC 7G    </t>
  </si>
  <si>
    <t xml:space="preserve">7795618001244       </t>
  </si>
  <si>
    <t xml:space="preserve">BOLSA CAMISETA BCA 40X50X50UN      </t>
  </si>
  <si>
    <t>CEPILLOS LIMPIEZA</t>
  </si>
  <si>
    <t xml:space="preserve">7798012210977       </t>
  </si>
  <si>
    <t xml:space="preserve">CEPILLO MANO XUN PLANCHITA GLOW    </t>
  </si>
  <si>
    <t xml:space="preserve">2006884             </t>
  </si>
  <si>
    <t xml:space="preserve">PULVERIZADORES C/GATILLO X 1LT B   </t>
  </si>
  <si>
    <t>SALSA CHOCOLATE</t>
  </si>
  <si>
    <t xml:space="preserve">7798110340064       </t>
  </si>
  <si>
    <t xml:space="preserve">SALSA DE CHOC INDUAL X500CC        </t>
  </si>
  <si>
    <t xml:space="preserve">UNIF000505          </t>
  </si>
  <si>
    <t xml:space="preserve">CAMPERA POLAR NEGRA XL C. GOUR     </t>
  </si>
  <si>
    <t>ALFAJOR DE ARROZ</t>
  </si>
  <si>
    <t xml:space="preserve">77987853            </t>
  </si>
  <si>
    <t xml:space="preserve">ALF DE ARROZ MARROC 22GR LULEMUU   </t>
  </si>
  <si>
    <t>FLAN CHOCOLATE</t>
  </si>
  <si>
    <t xml:space="preserve">7791254185423       </t>
  </si>
  <si>
    <t xml:space="preserve">FLAN CHOCOLATE X1KG JUMALA         </t>
  </si>
  <si>
    <t xml:space="preserve">UNIF000225          </t>
  </si>
  <si>
    <t xml:space="preserve">PANTAL CARG NEGRO VER. 46 GL SUP   </t>
  </si>
  <si>
    <t>PEREJIL</t>
  </si>
  <si>
    <t xml:space="preserve">7790216012653       </t>
  </si>
  <si>
    <t xml:space="preserve">PEREJIL X KG                       </t>
  </si>
  <si>
    <t xml:space="preserve">UNIF000611          </t>
  </si>
  <si>
    <t xml:space="preserve">GUARDAPOLVO C LOGO C GOUR XXL      </t>
  </si>
  <si>
    <t xml:space="preserve">UNIF000033          </t>
  </si>
  <si>
    <t xml:space="preserve">BUZO AZUL MARINO GRUPO L M         </t>
  </si>
  <si>
    <t xml:space="preserve">UNIF000087          </t>
  </si>
  <si>
    <t>CAMISA BLANCA LISA 46 BLUE CATERING</t>
  </si>
  <si>
    <t xml:space="preserve">UNIF000685          </t>
  </si>
  <si>
    <t xml:space="preserve">CAMPE. TRUCK NARAN 2XL ELEVARE     </t>
  </si>
  <si>
    <t xml:space="preserve">7793650000010       </t>
  </si>
  <si>
    <t xml:space="preserve">ARROZ 00000 S/TACC X1KG CAROGRAN   </t>
  </si>
  <si>
    <t xml:space="preserve">7791376000970       </t>
  </si>
  <si>
    <t xml:space="preserve">GALL ANILLOS VAIN 250GR GOLCI      </t>
  </si>
  <si>
    <t xml:space="preserve">UNIF000149          </t>
  </si>
  <si>
    <t xml:space="preserve">CAMI.3/4 BLAN SALUD MUJ 6 C.GOUR   </t>
  </si>
  <si>
    <t>QUINOA</t>
  </si>
  <si>
    <t xml:space="preserve">7798186164847       </t>
  </si>
  <si>
    <t xml:space="preserve">SEMILLA QUINOA X1KG NOGALES.ARG    </t>
  </si>
  <si>
    <t xml:space="preserve">UNIF000076          </t>
  </si>
  <si>
    <t xml:space="preserve">CAMISA BLANCA LISA 44 S. LOGO      </t>
  </si>
  <si>
    <t>BUDIN MARMOLADO</t>
  </si>
  <si>
    <t xml:space="preserve">7790726031084       </t>
  </si>
  <si>
    <t xml:space="preserve">BUDIN MARMOLADO X170G DULCYPAS     </t>
  </si>
  <si>
    <t xml:space="preserve">UNIF000187          </t>
  </si>
  <si>
    <t xml:space="preserve">PANTA. CARGO A.MAR 48 GL SUPPORT   </t>
  </si>
  <si>
    <t>TAPA P/PASCUALINA</t>
  </si>
  <si>
    <t xml:space="preserve">7795711003701       </t>
  </si>
  <si>
    <t xml:space="preserve">TAPA PASC 60X70 X2U VILLA DAGRI    </t>
  </si>
  <si>
    <t xml:space="preserve">7790000000677       </t>
  </si>
  <si>
    <t xml:space="preserve">VINO CUPRA G CORTE INCOR MALBEC    </t>
  </si>
  <si>
    <t xml:space="preserve">CAJAS               </t>
  </si>
  <si>
    <t>BOLSA RESIDUO</t>
  </si>
  <si>
    <t xml:space="preserve">7790000000828       </t>
  </si>
  <si>
    <t>BOLSA RESID VERD 90X110X50U KIT ESC</t>
  </si>
  <si>
    <t xml:space="preserve">UNIF000103          </t>
  </si>
  <si>
    <t xml:space="preserve">PANTALON CARGO A. MARINO 54        </t>
  </si>
  <si>
    <t xml:space="preserve">UNIF000078          </t>
  </si>
  <si>
    <t xml:space="preserve">CAMISA BLANCA LISA 48 S. LOGO      </t>
  </si>
  <si>
    <t xml:space="preserve">7791625008528       </t>
  </si>
  <si>
    <t xml:space="preserve">ESCOBILLA P/BAÑO WC INYEC XU       </t>
  </si>
  <si>
    <t xml:space="preserve">UNIF000442          </t>
  </si>
  <si>
    <t xml:space="preserve">CAMPE. TRUCKER A. MAR GRUPO L S    </t>
  </si>
  <si>
    <t xml:space="preserve">UNIF000746          </t>
  </si>
  <si>
    <t xml:space="preserve">CAMISA POPLIN ML BLUE CAFÉ M       </t>
  </si>
  <si>
    <t xml:space="preserve">UNIF000347          </t>
  </si>
  <si>
    <t xml:space="preserve">CHAQ CUE.MAO AY/CAM/PEON 5 NUTRI   </t>
  </si>
  <si>
    <t xml:space="preserve">UNIF000478          </t>
  </si>
  <si>
    <t xml:space="preserve">PANTAL. GRAFA S. LOGO A. MAR 54    </t>
  </si>
  <si>
    <t xml:space="preserve">BAZ001380           </t>
  </si>
  <si>
    <t xml:space="preserve">QUESERA-OREGANO ACERO INOX         </t>
  </si>
  <si>
    <t xml:space="preserve">UNIF000755          </t>
  </si>
  <si>
    <t>CHOMBA PIQ GR MELANGE BLUE CAFÉ XXL</t>
  </si>
  <si>
    <t>CUADRIL</t>
  </si>
  <si>
    <t xml:space="preserve">7790212030052       </t>
  </si>
  <si>
    <t xml:space="preserve">CUADRIL X KG                       </t>
  </si>
  <si>
    <t>GELATINA ANANA LIGHT</t>
  </si>
  <si>
    <t xml:space="preserve">790757899612        </t>
  </si>
  <si>
    <t xml:space="preserve">GELATINA LIGHT ANANA 1KG POREC     </t>
  </si>
  <si>
    <t>AZUCAR INDIV</t>
  </si>
  <si>
    <t xml:space="preserve">7798011976850       </t>
  </si>
  <si>
    <t xml:space="preserve">AZUCAR INDIV 5GR X 1000U ABEDUL    </t>
  </si>
  <si>
    <t>BOLSA MICROPERF</t>
  </si>
  <si>
    <t xml:space="preserve">LIM000225           </t>
  </si>
  <si>
    <t xml:space="preserve">BOLSA MICROPERFORADA 60X90 X U	    </t>
  </si>
  <si>
    <t xml:space="preserve">BAZ001183           </t>
  </si>
  <si>
    <t xml:space="preserve">CUBA GAST INOX 1/3 325/175/100     </t>
  </si>
  <si>
    <t>POSTRE DE MANI</t>
  </si>
  <si>
    <t xml:space="preserve">7792860005655       </t>
  </si>
  <si>
    <t xml:space="preserve">POSTRE DE MANI X110GR LHERITIER    </t>
  </si>
  <si>
    <t xml:space="preserve">MOD21087            </t>
  </si>
  <si>
    <t xml:space="preserve">MOD ALIMEN LANUS MAR26             </t>
  </si>
  <si>
    <t xml:space="preserve">UNIF000009          </t>
  </si>
  <si>
    <t xml:space="preserve">AMBO A. MAR. GL SUP ESC V M        </t>
  </si>
  <si>
    <t>PAN RALLADO</t>
  </si>
  <si>
    <t xml:space="preserve">7790199603399       </t>
  </si>
  <si>
    <t xml:space="preserve">PAN RALLADO X 5K MORIXE            </t>
  </si>
  <si>
    <t>DULCE BATATA</t>
  </si>
  <si>
    <t xml:space="preserve">7791113001543       </t>
  </si>
  <si>
    <t xml:space="preserve">DULCE BATATA X 500 G EMETH         </t>
  </si>
  <si>
    <t>SECADOR DE GOMA</t>
  </si>
  <si>
    <t xml:space="preserve">LIM000503           </t>
  </si>
  <si>
    <t xml:space="preserve">SECADOR DE PISO X 40CM DOBLE GOMA	 </t>
  </si>
  <si>
    <t>CARAMELOS MASTICABLES</t>
  </si>
  <si>
    <t xml:space="preserve">7793024006136       </t>
  </si>
  <si>
    <t xml:space="preserve">CARAMELO MAST DDL 150UN OSI OSI    </t>
  </si>
  <si>
    <t>ESCOBA PLASTICA</t>
  </si>
  <si>
    <t xml:space="preserve">LIM000040           </t>
  </si>
  <si>
    <t xml:space="preserve">ESCOBA PLASTICA X UNIDAD           </t>
  </si>
  <si>
    <t xml:space="preserve">BAZ001379           </t>
  </si>
  <si>
    <t xml:space="preserve">CAMPANA P/TORTA BASE BLANCA 35 C   </t>
  </si>
  <si>
    <t>SEMILLA GIRASOL</t>
  </si>
  <si>
    <t xml:space="preserve">7793323001894       </t>
  </si>
  <si>
    <t xml:space="preserve">SEMILLAS GIRASOL PEL 1KG DICOMER   </t>
  </si>
  <si>
    <t xml:space="preserve">LIM000255           </t>
  </si>
  <si>
    <t xml:space="preserve">ESCOBA DE PAJA 5 HILOS X U         </t>
  </si>
  <si>
    <t xml:space="preserve">UNIF000024          </t>
  </si>
  <si>
    <t xml:space="preserve">AMBO CEL. ESCO.V SANTANDER 2XL     </t>
  </si>
  <si>
    <t>MOUSSE CHOCOLATE</t>
  </si>
  <si>
    <t xml:space="preserve">7790971002488       </t>
  </si>
  <si>
    <t xml:space="preserve">MOUSSE CHOC X500GR ORLOC           </t>
  </si>
  <si>
    <t xml:space="preserve">7790000000711       </t>
  </si>
  <si>
    <t xml:space="preserve">MANTEL INDIV BLUE ESPECIAL X1000UN </t>
  </si>
  <si>
    <t xml:space="preserve">GARRAPIÑADA </t>
  </si>
  <si>
    <t xml:space="preserve">7792860007666       </t>
  </si>
  <si>
    <t xml:space="preserve">GARRAPIÑADA MANI X80G LHERITIER	   </t>
  </si>
  <si>
    <t xml:space="preserve">7790000000708       </t>
  </si>
  <si>
    <t>SERV 33X21.5 BLUE CATTERING X1000UN</t>
  </si>
  <si>
    <t xml:space="preserve">UNIF000320          </t>
  </si>
  <si>
    <t xml:space="preserve">REM CUE. RED A.MAR. ELEVARE 3XL    </t>
  </si>
  <si>
    <t xml:space="preserve">7798188650621       </t>
  </si>
  <si>
    <t xml:space="preserve">ACONDICIONADOR DE PISOS X5LT T     </t>
  </si>
  <si>
    <t>ATUN A/N DESMEN</t>
  </si>
  <si>
    <t xml:space="preserve">7798430450047       </t>
  </si>
  <si>
    <t xml:space="preserve">ATUN DESM NAT X170G ABUELO JULIO   </t>
  </si>
  <si>
    <t xml:space="preserve">BAZ001174           </t>
  </si>
  <si>
    <t xml:space="preserve">CACEROLA ALUM C/TAPAN°28X9 LTS     </t>
  </si>
  <si>
    <t>TE SOBRE</t>
  </si>
  <si>
    <t xml:space="preserve">7798092900157       </t>
  </si>
  <si>
    <t xml:space="preserve">TE ENSOBR X100UN BOSTON            </t>
  </si>
  <si>
    <t xml:space="preserve">7798188651116       </t>
  </si>
  <si>
    <t xml:space="preserve">REMOVEDOR DE CERA STRIP 5L THAME   </t>
  </si>
  <si>
    <t xml:space="preserve">UNIF000483          </t>
  </si>
  <si>
    <t xml:space="preserve">PANTAL. GRAFA S. LOGO BLANCO 46    </t>
  </si>
  <si>
    <t xml:space="preserve">7790645003148       </t>
  </si>
  <si>
    <t xml:space="preserve">ATUN LOMITO A/A X170G CARACAS      </t>
  </si>
  <si>
    <t>AGUA MIN S/GAS</t>
  </si>
  <si>
    <t xml:space="preserve">7790895647772       </t>
  </si>
  <si>
    <t xml:space="preserve">AGUA S/GAS X1.5LT BENEDICTINO      </t>
  </si>
  <si>
    <t xml:space="preserve">7790000000758       </t>
  </si>
  <si>
    <t xml:space="preserve">BOBINA 300MX2U HS 2.4KG            </t>
  </si>
  <si>
    <t xml:space="preserve">UNIF000307          </t>
  </si>
  <si>
    <t xml:space="preserve">REMERA C/RED AZUL MAR GRUPO L S    </t>
  </si>
  <si>
    <t>BARRAS CEREAL</t>
  </si>
  <si>
    <t xml:space="preserve">7798188380160       </t>
  </si>
  <si>
    <t xml:space="preserve">BARRA CEREAL X22G CAUTIVA          </t>
  </si>
  <si>
    <t xml:space="preserve">QUESO UNTABLE LIGHT    </t>
  </si>
  <si>
    <t xml:space="preserve">7794990879663       </t>
  </si>
  <si>
    <t xml:space="preserve">QUESO CREMA LIGHT X290 GR PAUL     </t>
  </si>
  <si>
    <t xml:space="preserve">7790199604785       </t>
  </si>
  <si>
    <t xml:space="preserve">ATUN DESM NAT 170GR MORIXE         </t>
  </si>
  <si>
    <t xml:space="preserve">7798041132480       </t>
  </si>
  <si>
    <t xml:space="preserve">CUADRADO CHOCOTORTA X12U SELYGEL   </t>
  </si>
  <si>
    <t xml:space="preserve">UNIF000012          </t>
  </si>
  <si>
    <t xml:space="preserve">AMBO A. MAR. ESCO.-V 2XL GL SUP.   </t>
  </si>
  <si>
    <t xml:space="preserve">7790000000668       </t>
  </si>
  <si>
    <t xml:space="preserve">PALA RECOGEDOR LOBBY VERDE XUN     </t>
  </si>
  <si>
    <t xml:space="preserve">BAZ001242           </t>
  </si>
  <si>
    <t xml:space="preserve">POTE MELAM BCAJANIO CON 89 H59     </t>
  </si>
  <si>
    <t xml:space="preserve">7790321020530       </t>
  </si>
  <si>
    <t xml:space="preserve">MANTEL IND 40X30X1000U NUTRIRE     </t>
  </si>
  <si>
    <t xml:space="preserve">UNIF000027          </t>
  </si>
  <si>
    <t xml:space="preserve">AMBO GRIS ESCO.V RIVER M           </t>
  </si>
  <si>
    <t xml:space="preserve">7798160833677       </t>
  </si>
  <si>
    <t xml:space="preserve">LIMPIADOR MULTIUSO VIDRIOS 5LT     </t>
  </si>
  <si>
    <t>SALSA FRUTILLA</t>
  </si>
  <si>
    <t xml:space="preserve">7798110340057       </t>
  </si>
  <si>
    <t xml:space="preserve">SALSA DE FRUTILLA X 0.5KG INDUAL   </t>
  </si>
  <si>
    <t xml:space="preserve">UNIF000031          </t>
  </si>
  <si>
    <t xml:space="preserve">AMBO GRIS ESCO.V RIVER 3XL         </t>
  </si>
  <si>
    <t>FIDEOS GUISEROS</t>
  </si>
  <si>
    <t xml:space="preserve">7791599014648       </t>
  </si>
  <si>
    <t xml:space="preserve">GL FIDEOS TIRABUZON X500GR TORINO  </t>
  </si>
  <si>
    <t xml:space="preserve">UNIF000227          </t>
  </si>
  <si>
    <t xml:space="preserve">PANTAL CARG NEGRO VER. 50 GL SUP   </t>
  </si>
  <si>
    <t xml:space="preserve">BAZ001239           </t>
  </si>
  <si>
    <t xml:space="preserve">TABLA USO SANITARIO 35X50 AZUL     </t>
  </si>
  <si>
    <t xml:space="preserve">UNIF000486          </t>
  </si>
  <si>
    <t xml:space="preserve">PANTAL. GRAFA S. LOGO BLANCO 52    </t>
  </si>
  <si>
    <t>LENTEJAS REMOJADAS</t>
  </si>
  <si>
    <t xml:space="preserve">7797470007921       </t>
  </si>
  <si>
    <t xml:space="preserve">LENTEJAS X340G MAROLIO             </t>
  </si>
  <si>
    <t xml:space="preserve">BAZ000387           </t>
  </si>
  <si>
    <t xml:space="preserve">DELANTALES DESCARTABLES X 100      </t>
  </si>
  <si>
    <t xml:space="preserve">UNIF000615          </t>
  </si>
  <si>
    <t xml:space="preserve">GUARDAP. C LOGO GL SUP TALLE XL    </t>
  </si>
  <si>
    <t xml:space="preserve">2000794             </t>
  </si>
  <si>
    <t xml:space="preserve">BOLSA CRISTAL MPROPIA 90X110 30MIC </t>
  </si>
  <si>
    <t>SALSA DE SOJA</t>
  </si>
  <si>
    <t xml:space="preserve">7798048981018       </t>
  </si>
  <si>
    <t xml:space="preserve">SALSA DE SOJA X 1L FUMEIGA         </t>
  </si>
  <si>
    <t xml:space="preserve">7792590000159       </t>
  </si>
  <si>
    <t xml:space="preserve">HARINA 000 XKG CASERITA            </t>
  </si>
  <si>
    <t xml:space="preserve">BAZ001161           </t>
  </si>
  <si>
    <t xml:space="preserve">TENEDOR MANGO PLASTICO NEGRO       </t>
  </si>
  <si>
    <t>MANTECA GRANEL</t>
  </si>
  <si>
    <t xml:space="preserve">7791435000248       </t>
  </si>
  <si>
    <t xml:space="preserve">MANTECA X5K INTY                   </t>
  </si>
  <si>
    <t xml:space="preserve">UNIF000084          </t>
  </si>
  <si>
    <t>CAMISA BLANCA LISA 40 BLUE CATERING</t>
  </si>
  <si>
    <t xml:space="preserve">UNIF000535          </t>
  </si>
  <si>
    <t xml:space="preserve">ROMPEVIENTOS-AZUL MARINO XL        </t>
  </si>
  <si>
    <t xml:space="preserve">LIM00424            </t>
  </si>
  <si>
    <t xml:space="preserve">BOLSA RESIDUO NEGRA 90X110X50U     </t>
  </si>
  <si>
    <t>CAFE MOLIDO</t>
  </si>
  <si>
    <t xml:space="preserve">7798092900102       </t>
  </si>
  <si>
    <t xml:space="preserve">CAFE TORRADO MOLIDO X1KG NOBLEZA   </t>
  </si>
  <si>
    <t xml:space="preserve">7798092969796       </t>
  </si>
  <si>
    <t xml:space="preserve">GUANTES FLEX M                     </t>
  </si>
  <si>
    <t>ALMENDRA</t>
  </si>
  <si>
    <t xml:space="preserve">7793323002471       </t>
  </si>
  <si>
    <t xml:space="preserve">ALMENDRA GUARA x1kg DICOMERE       </t>
  </si>
  <si>
    <t>JUGO DE LIMON INDIV</t>
  </si>
  <si>
    <t xml:space="preserve">7798011976508       </t>
  </si>
  <si>
    <t xml:space="preserve">JUGO LIMON 8CC X 198 U. ABEDUL     </t>
  </si>
  <si>
    <t xml:space="preserve">UNIF000290          </t>
  </si>
  <si>
    <t xml:space="preserve">CAMPERA TRUCK.AZ. CINT. REFRAC L   </t>
  </si>
  <si>
    <t xml:space="preserve">UNIF000228          </t>
  </si>
  <si>
    <t xml:space="preserve">PANTAL CARG NEGRO VER. 52 GL SUP   </t>
  </si>
  <si>
    <t xml:space="preserve">UNIF000202          </t>
  </si>
  <si>
    <t xml:space="preserve">PANTA. CARGO NEGRO 58 GL SUPPORT   </t>
  </si>
  <si>
    <t>ALCOHOL EN GEL</t>
  </si>
  <si>
    <t xml:space="preserve">7798188650362       </t>
  </si>
  <si>
    <t xml:space="preserve">ALCOHOL EN GEL X 5 LT THAMES       </t>
  </si>
  <si>
    <t>GALLE CHOCOLATE</t>
  </si>
  <si>
    <t xml:space="preserve">7791376000925       </t>
  </si>
  <si>
    <t xml:space="preserve">GALLETITA CHOCOLATE X200G GOLCI    </t>
  </si>
  <si>
    <t>LECHE CONDENSADA</t>
  </si>
  <si>
    <t xml:space="preserve">8445290900654       </t>
  </si>
  <si>
    <t xml:space="preserve">LECHE CONDENSADA X395G NESTLE      </t>
  </si>
  <si>
    <t>JABON ANTIBACTERIAL</t>
  </si>
  <si>
    <t xml:space="preserve">7798188650782       </t>
  </si>
  <si>
    <t xml:space="preserve">JABON ANTIBACTERIAL X5L            </t>
  </si>
  <si>
    <t>POTE</t>
  </si>
  <si>
    <t xml:space="preserve">7790000000735       </t>
  </si>
  <si>
    <t xml:space="preserve">POTE NATURAL 25CC X2000UN          </t>
  </si>
  <si>
    <t xml:space="preserve">UNIF000219          </t>
  </si>
  <si>
    <t xml:space="preserve">PANTAL CARG NEGRO NAR. 52 GL SUP   </t>
  </si>
  <si>
    <t xml:space="preserve">7797470004838       </t>
  </si>
  <si>
    <t xml:space="preserve">ATUN DESMEN A/A X170G EL DIQUE     </t>
  </si>
  <si>
    <t xml:space="preserve">BAZ001247           </t>
  </si>
  <si>
    <t xml:space="preserve">CONT PLAST RECTANG 38X28X11CM 9L   </t>
  </si>
  <si>
    <t xml:space="preserve">UNIF000749          </t>
  </si>
  <si>
    <t xml:space="preserve">CAMISA POPLIN ML BLUE CAFÉ XXL     </t>
  </si>
  <si>
    <t>HUEVO EN POLVO</t>
  </si>
  <si>
    <t xml:space="preserve">7790000000617       </t>
  </si>
  <si>
    <t xml:space="preserve">HUEVO ENT POLVO BOLSA X25KG        </t>
  </si>
  <si>
    <t>VINO TINTO</t>
  </si>
  <si>
    <t xml:space="preserve">7790984005162       </t>
  </si>
  <si>
    <t xml:space="preserve">VINO TINTO X1LT PICO DE ORO.       </t>
  </si>
  <si>
    <t xml:space="preserve">UNIF000378          </t>
  </si>
  <si>
    <t xml:space="preserve">SWEATER NEGRO-LANA 3XL             </t>
  </si>
  <si>
    <t xml:space="preserve">17790250912825      </t>
  </si>
  <si>
    <t xml:space="preserve">SERVILLETA ELITE 16X21 X8400U      </t>
  </si>
  <si>
    <t xml:space="preserve">BAZ001361           </t>
  </si>
  <si>
    <t xml:space="preserve">CUCHI M/PLAST MASTER MICROBAN 6"   </t>
  </si>
  <si>
    <t>CALDO POLVO VERDURA</t>
  </si>
  <si>
    <t xml:space="preserve">7794000004061       </t>
  </si>
  <si>
    <t xml:space="preserve">CALDO VERDURA X 950 G KNORR        </t>
  </si>
  <si>
    <t xml:space="preserve">UNIF000426          </t>
  </si>
  <si>
    <t xml:space="preserve">CAMISA GRAFA-AZUL MARINO 58 ELEV   </t>
  </si>
  <si>
    <t xml:space="preserve">BAZ001298           </t>
  </si>
  <si>
    <t xml:space="preserve">CUCHARA DE MESA LISB INOX 2.2M     </t>
  </si>
  <si>
    <t>MEDALLONES DE MERLUZA</t>
  </si>
  <si>
    <t xml:space="preserve">779405803176        </t>
  </si>
  <si>
    <t xml:space="preserve">MED MERLUZA EMP CJX6KG ARTICO      </t>
  </si>
  <si>
    <t>GARBANZOS REMOJADOS</t>
  </si>
  <si>
    <t xml:space="preserve">7792290278797       </t>
  </si>
  <si>
    <t xml:space="preserve">GARBANZOS X340G MONTENEVI          </t>
  </si>
  <si>
    <t xml:space="preserve">UNIF000109          </t>
  </si>
  <si>
    <t xml:space="preserve">PANTALON CARGO S. LOGO NEGRO 54    </t>
  </si>
  <si>
    <t>AJI MOLIDO</t>
  </si>
  <si>
    <t xml:space="preserve">7790150406915       </t>
  </si>
  <si>
    <t xml:space="preserve">AJI MOLIDO X 25 G ALICANTE         </t>
  </si>
  <si>
    <t xml:space="preserve">UNIF000643          </t>
  </si>
  <si>
    <t xml:space="preserve">BUZO CELES FRISA CGOUR XL          </t>
  </si>
  <si>
    <t>CHOCLO GRANO AMARILLO</t>
  </si>
  <si>
    <t xml:space="preserve">7790199605690       </t>
  </si>
  <si>
    <t xml:space="preserve">GL CHOCLO DULCE X300G MORIXE       </t>
  </si>
  <si>
    <t xml:space="preserve">UNIF000223          </t>
  </si>
  <si>
    <t xml:space="preserve">PANTAL CARG NEGRO VER. 42 GL SUP   </t>
  </si>
  <si>
    <t>DESINCRUSTANTE</t>
  </si>
  <si>
    <t xml:space="preserve">7798188650171       </t>
  </si>
  <si>
    <t xml:space="preserve">DESENGRASANTE HOT PLUS X5L         </t>
  </si>
  <si>
    <t xml:space="preserve">17792180009101      </t>
  </si>
  <si>
    <t xml:space="preserve">CHIPA CONG 20GRX150U CANUELAS      </t>
  </si>
  <si>
    <t xml:space="preserve">UNIF000019          </t>
  </si>
  <si>
    <t xml:space="preserve">CHA.AMB PULCRUS ESC V3XL           </t>
  </si>
  <si>
    <t>SESAMO BLANCO</t>
  </si>
  <si>
    <t xml:space="preserve">7791885409332       </t>
  </si>
  <si>
    <t xml:space="preserve">SEMILLA SESAMO BLANCO X1KG         </t>
  </si>
  <si>
    <t>REBOZADOR CELIACO</t>
  </si>
  <si>
    <t xml:space="preserve">7798082000294       </t>
  </si>
  <si>
    <t xml:space="preserve">REBOZADOR S/TACC X450G NATUZEN     </t>
  </si>
  <si>
    <t xml:space="preserve">UNIF000527          </t>
  </si>
  <si>
    <t xml:space="preserve">SWEETER GRIS LANA GL SUP LIMP L    </t>
  </si>
  <si>
    <t xml:space="preserve">BOBINA </t>
  </si>
  <si>
    <t xml:space="preserve">7790042181189       </t>
  </si>
  <si>
    <t xml:space="preserve">ROLLO BOBINA FILM X35BOPPXU        </t>
  </si>
  <si>
    <t xml:space="preserve">LIM000325           </t>
  </si>
  <si>
    <t xml:space="preserve">SECADOR DE PISO X 1 MT             </t>
  </si>
  <si>
    <t xml:space="preserve">7791113001895       </t>
  </si>
  <si>
    <t xml:space="preserve">GELATINA CEREZA LIGHT X25G EME     </t>
  </si>
  <si>
    <t>POROTO NEGRO</t>
  </si>
  <si>
    <t xml:space="preserve">7790279000209       </t>
  </si>
  <si>
    <t xml:space="preserve">POROTO NEGRO x 500 G RAMONEDA      </t>
  </si>
  <si>
    <t xml:space="preserve">UNIF000218          </t>
  </si>
  <si>
    <t xml:space="preserve">PANTAL CARG NEGRO NAR. 50 GL SUP   </t>
  </si>
  <si>
    <t>PEPAS</t>
  </si>
  <si>
    <t xml:space="preserve">7790726120269       </t>
  </si>
  <si>
    <t xml:space="preserve">PEPAS X320G DULCYPAS	              </t>
  </si>
  <si>
    <t>QUITA SARRO</t>
  </si>
  <si>
    <t xml:space="preserve">7798188650805       </t>
  </si>
  <si>
    <t xml:space="preserve">DESINCRUSTANTE X 5L FUNY PLUS      </t>
  </si>
  <si>
    <t>PASTILLA PARA INODORO</t>
  </si>
  <si>
    <t xml:space="preserve">LIM000149           </t>
  </si>
  <si>
    <t xml:space="preserve">PASTILLA PARA INODORO              </t>
  </si>
  <si>
    <t xml:space="preserve">UNIF000477          </t>
  </si>
  <si>
    <t xml:space="preserve">PANTAL. GRAFA S. LOGO A. MAR 52    </t>
  </si>
  <si>
    <t xml:space="preserve">7790971000170       </t>
  </si>
  <si>
    <t xml:space="preserve">BIZCOCHUELO VAINILLA 540G RAVANA   </t>
  </si>
  <si>
    <t>PUERRO</t>
  </si>
  <si>
    <t xml:space="preserve">7790216010102       </t>
  </si>
  <si>
    <t xml:space="preserve">PUERRO X KG                        </t>
  </si>
  <si>
    <t xml:space="preserve">4040337562150       </t>
  </si>
  <si>
    <t xml:space="preserve">PASTILLA ROJA X 100UN              </t>
  </si>
  <si>
    <t>TOALLA INTERCALADA</t>
  </si>
  <si>
    <t xml:space="preserve">LIM000242           </t>
  </si>
  <si>
    <t xml:space="preserve">TOALLA INTERC BCA X2500U X4.5KG    </t>
  </si>
  <si>
    <t>GALLE COCO</t>
  </si>
  <si>
    <t xml:space="preserve">7796236000978       </t>
  </si>
  <si>
    <t xml:space="preserve">GALLE ANILLITOS COCO X400G RIEDMAR </t>
  </si>
  <si>
    <t xml:space="preserve">7798549612325       </t>
  </si>
  <si>
    <t xml:space="preserve">CAJA CARTON 42X27X16XU             </t>
  </si>
  <si>
    <t>COMINO</t>
  </si>
  <si>
    <t xml:space="preserve">7793875360326       </t>
  </si>
  <si>
    <t xml:space="preserve">COMINO MOLIDO X 1 KG AROMAS        </t>
  </si>
  <si>
    <t xml:space="preserve">BAZ001294           </t>
  </si>
  <si>
    <t xml:space="preserve">POTE CONICO 10X10CM MELAM BCO      </t>
  </si>
  <si>
    <t>GELATINA ANANA</t>
  </si>
  <si>
    <t xml:space="preserve">7790530850185       </t>
  </si>
  <si>
    <t xml:space="preserve">GELATINA ANANA X1K BEDIAL          </t>
  </si>
  <si>
    <t xml:space="preserve">UNIF000443          </t>
  </si>
  <si>
    <t xml:space="preserve">CAMPE. TRUCKER A. MAR GRUPO L M    </t>
  </si>
  <si>
    <t xml:space="preserve">UNIF000158          </t>
  </si>
  <si>
    <t xml:space="preserve">CAMI. BLAN.M. LARG 46 GL SUP       </t>
  </si>
  <si>
    <t xml:space="preserve">7798086000221       </t>
  </si>
  <si>
    <t xml:space="preserve">ESCOBILLA WC INYECTADA XU          </t>
  </si>
  <si>
    <t xml:space="preserve">UNIF000129          </t>
  </si>
  <si>
    <t xml:space="preserve">AMBO GRIS GL SUPPORT ESC V L       </t>
  </si>
  <si>
    <t>ESENCIA VAINILLA</t>
  </si>
  <si>
    <t xml:space="preserve">7791113003271       </t>
  </si>
  <si>
    <t xml:space="preserve">ESENCIA DE VAINILLA X1L EMETH      </t>
  </si>
  <si>
    <t xml:space="preserve">13069000A           </t>
  </si>
  <si>
    <t xml:space="preserve">AGITADOR X 1000 U                  </t>
  </si>
  <si>
    <t xml:space="preserve">7896061971242       </t>
  </si>
  <si>
    <t xml:space="preserve">PAPEL HIG INTERFO X250 HOJAS ELITE </t>
  </si>
  <si>
    <t>SALSA DEMIGLASE</t>
  </si>
  <si>
    <t xml:space="preserve">7794000600652       </t>
  </si>
  <si>
    <t xml:space="preserve">SALSA DEMIGLASE X 1 KG KNORR       </t>
  </si>
  <si>
    <t xml:space="preserve">LIM000212           </t>
  </si>
  <si>
    <t>TOALLA ROLLO BCO PREM 2UX300MTX2.8K</t>
  </si>
  <si>
    <t xml:space="preserve">BAZ001279           </t>
  </si>
  <si>
    <t xml:space="preserve">BAND FAST FOOD 45X35 NARAN CG      </t>
  </si>
  <si>
    <t>ALFAJOR SIMPLE NEGRO</t>
  </si>
  <si>
    <t>MANZANA SAE</t>
  </si>
  <si>
    <t xml:space="preserve">7790216020106       </t>
  </si>
  <si>
    <t xml:space="preserve">FRUTA MANZANA SAE X UNIDAD         </t>
  </si>
  <si>
    <t>FLAN DDL</t>
  </si>
  <si>
    <t xml:space="preserve">7790530370218       </t>
  </si>
  <si>
    <t xml:space="preserve">FLAN DULCE LECHE X1KG BEDIAL       </t>
  </si>
  <si>
    <t xml:space="preserve">UNIF000063          </t>
  </si>
  <si>
    <t xml:space="preserve">CAMISA BLANCA LISA 50 GL SUP       </t>
  </si>
  <si>
    <t xml:space="preserve">7797749000035       </t>
  </si>
  <si>
    <t xml:space="preserve">GUANTES DE GOMA TALLE M XPAR       </t>
  </si>
  <si>
    <t>SAL FINA INDIVIDUAL GL SUPPORT</t>
  </si>
  <si>
    <t xml:space="preserve">7798011977420       </t>
  </si>
  <si>
    <t xml:space="preserve">SAL SOB 5GR GL SUPPORT 1000U       </t>
  </si>
  <si>
    <t>PIONONO</t>
  </si>
  <si>
    <t xml:space="preserve">7791473001733       </t>
  </si>
  <si>
    <t xml:space="preserve">PIONONO VAINILLA X300G BON MASE    </t>
  </si>
  <si>
    <t>ESPONJA METAL</t>
  </si>
  <si>
    <t xml:space="preserve">7798024459241       </t>
  </si>
  <si>
    <t xml:space="preserve">ESPONJA ACERO INOX MR TRAPO 15G    </t>
  </si>
  <si>
    <t>POLLO X KG</t>
  </si>
  <si>
    <t xml:space="preserve">7790212031229       </t>
  </si>
  <si>
    <t xml:space="preserve">POLLO X KG                         </t>
  </si>
  <si>
    <t>POSTRE FRUTILLA</t>
  </si>
  <si>
    <t xml:space="preserve">7790530850154       </t>
  </si>
  <si>
    <t xml:space="preserve">POSTRE FRUTILLA X1KG BEDIAL        </t>
  </si>
  <si>
    <t xml:space="preserve">UNIF000488          </t>
  </si>
  <si>
    <t xml:space="preserve">PANTAL. GRAFA S. LOGO BLANCO 56    </t>
  </si>
  <si>
    <t xml:space="preserve">7790530850161       </t>
  </si>
  <si>
    <t xml:space="preserve">POSTRE VAINILLA X1KG BEDIAL        </t>
  </si>
  <si>
    <t>MAYONESA</t>
  </si>
  <si>
    <t xml:space="preserve">7794000006027       </t>
  </si>
  <si>
    <t xml:space="preserve">MAYONESA CLASICA 2.9KG HELLMANNS   </t>
  </si>
  <si>
    <t xml:space="preserve">UNIF000164          </t>
  </si>
  <si>
    <t xml:space="preserve">CHAQUETA CHEF 4 C. GOURMET         </t>
  </si>
  <si>
    <t xml:space="preserve">UNIF000343          </t>
  </si>
  <si>
    <t xml:space="preserve">CHAQ CUE.MAO AY/CAM/PEON 1 NUTRI   </t>
  </si>
  <si>
    <t xml:space="preserve">7790000000830       </t>
  </si>
  <si>
    <t xml:space="preserve">BOLSA RESID VERD 45X60X50U KIT ESC </t>
  </si>
  <si>
    <t>PURE INST</t>
  </si>
  <si>
    <t xml:space="preserve">7791254186727       </t>
  </si>
  <si>
    <t xml:space="preserve">PURE DE PAPAS INST X1KG JUMALA     </t>
  </si>
  <si>
    <t xml:space="preserve">UNIF000524          </t>
  </si>
  <si>
    <t xml:space="preserve">CONJ. PRIMERA PIEL XXL S.LOG       </t>
  </si>
  <si>
    <t>PURE PAPA INSTANTANEO</t>
  </si>
  <si>
    <t xml:space="preserve">7792180145352       </t>
  </si>
  <si>
    <t xml:space="preserve">PURE DE PAPA DESH X3KG CAÑUELAS    </t>
  </si>
  <si>
    <t xml:space="preserve">UNIF000358          </t>
  </si>
  <si>
    <t xml:space="preserve">CHAQ C. MAO AY/CAM/PEON 8 C.GOUR   </t>
  </si>
  <si>
    <t xml:space="preserve">7790566000264       </t>
  </si>
  <si>
    <t xml:space="preserve">SALSA SOJA X 5LT HEIMEN            </t>
  </si>
  <si>
    <t xml:space="preserve">UNIF000294          </t>
  </si>
  <si>
    <t xml:space="preserve">CAMP. TRUCK. AZ CINT. REFRAC 4XL   </t>
  </si>
  <si>
    <t xml:space="preserve">7790580132422       </t>
  </si>
  <si>
    <t xml:space="preserve">CHOCLO ENT AMARILLLO X300GR ARCO   </t>
  </si>
  <si>
    <t>PAN LACTAL</t>
  </si>
  <si>
    <t xml:space="preserve">7798094229881       </t>
  </si>
  <si>
    <t xml:space="preserve">PAN DE MESA BLANCO NEVARES 500 GR  </t>
  </si>
  <si>
    <t xml:space="preserve">UNIF000039          </t>
  </si>
  <si>
    <t xml:space="preserve">BUZO AZUL ELEVARE S                </t>
  </si>
  <si>
    <t>DESINFECTANTE</t>
  </si>
  <si>
    <t xml:space="preserve">7798188650683       </t>
  </si>
  <si>
    <t xml:space="preserve">HIPOCLORITO DE SODIO X 5LTS THAMES </t>
  </si>
  <si>
    <t xml:space="preserve">UNIF000185          </t>
  </si>
  <si>
    <t xml:space="preserve">PANTA. CARGO A.MAR 44 GL SUPPORT   </t>
  </si>
  <si>
    <t xml:space="preserve">7791990000059       </t>
  </si>
  <si>
    <t xml:space="preserve">PAN RALLADO X5KG ROSA BLANCA	      </t>
  </si>
  <si>
    <t>AZUCAR INDIV GL SUPPORT</t>
  </si>
  <si>
    <t xml:space="preserve">7798011977383       </t>
  </si>
  <si>
    <t xml:space="preserve">AZUCAR SOB 6.25G GL SUPPORT 800U   </t>
  </si>
  <si>
    <t xml:space="preserve">UNIF000289          </t>
  </si>
  <si>
    <t xml:space="preserve">CAMPERA TRUCK.AZ. CINT. REFRAC M   </t>
  </si>
  <si>
    <t xml:space="preserve">16032005A           </t>
  </si>
  <si>
    <t xml:space="preserve">CAJA P/PIZZA GRANDE X U	           </t>
  </si>
  <si>
    <t>FRANELA</t>
  </si>
  <si>
    <t xml:space="preserve">7798270246760       </t>
  </si>
  <si>
    <t xml:space="preserve"> FRANELA X UNIDAD                  </t>
  </si>
  <si>
    <t xml:space="preserve">UNIF000440          </t>
  </si>
  <si>
    <t xml:space="preserve">CAMPE. TRUCK A. MAR GL SUPP 3XL    </t>
  </si>
  <si>
    <t xml:space="preserve">UNIF000409          </t>
  </si>
  <si>
    <t xml:space="preserve">PANTAL NEG GU/MOZO/CAJERO/ADM 7    </t>
  </si>
  <si>
    <t>MERLUZA A/A</t>
  </si>
  <si>
    <t xml:space="preserve">7790748235149       </t>
  </si>
  <si>
    <t xml:space="preserve">MERLUZA A/A X380GR PUGLISI         </t>
  </si>
  <si>
    <t xml:space="preserve">UNIF000345          </t>
  </si>
  <si>
    <t xml:space="preserve">CHAQ CUE.MAO AY/CAM/PEON 3 NUTRI   </t>
  </si>
  <si>
    <t>GALLE COCO INDIV</t>
  </si>
  <si>
    <t xml:space="preserve">7798188380184       </t>
  </si>
  <si>
    <t xml:space="preserve">GALLE IND COCO 25G CAUTIVA         </t>
  </si>
  <si>
    <t xml:space="preserve">7795618000094       </t>
  </si>
  <si>
    <t>ROLLO BOLSA ARRAN.15X20 SONBUENAS 2</t>
  </si>
  <si>
    <t>CALDO GRANULADO</t>
  </si>
  <si>
    <t xml:space="preserve">7794000004030       </t>
  </si>
  <si>
    <t xml:space="preserve">CALDO VERDURA GRANU X650G KNORR    </t>
  </si>
  <si>
    <t xml:space="preserve">UNIF000493          </t>
  </si>
  <si>
    <t xml:space="preserve">CAMI GRIS CAMAR. RET. T44 C GOUR   </t>
  </si>
  <si>
    <t xml:space="preserve">UNIF000609          </t>
  </si>
  <si>
    <t xml:space="preserve">GUARDAPOLV C LOGO C GOUR TALLE L   </t>
  </si>
  <si>
    <t xml:space="preserve">UNIF000200          </t>
  </si>
  <si>
    <t xml:space="preserve">PANTA. CARGO NEGRO 54 GL SUPPORT   </t>
  </si>
  <si>
    <t>DESENGRASANTE</t>
  </si>
  <si>
    <t xml:space="preserve">7798188650515       </t>
  </si>
  <si>
    <t>DESENGRASANTE RAPID PLUS X 5 L SENA</t>
  </si>
  <si>
    <t xml:space="preserve">7792290279015       </t>
  </si>
  <si>
    <t>GARBANZOS REMOJADOS X340G TARRAGONA</t>
  </si>
  <si>
    <t xml:space="preserve">7796624000115       </t>
  </si>
  <si>
    <t xml:space="preserve">GALLETITAS SAND X 330 G NEOSOL     </t>
  </si>
  <si>
    <t xml:space="preserve">BAZ001345           </t>
  </si>
  <si>
    <t xml:space="preserve">TETERA ACERO INOX P/1 MOD PYG      </t>
  </si>
  <si>
    <t>POSTRE DDL</t>
  </si>
  <si>
    <t xml:space="preserve">7790530850130       </t>
  </si>
  <si>
    <t xml:space="preserve">POSTRE DULCE LECHE X1KG BEDIAL     </t>
  </si>
  <si>
    <t>ANCO PROCESADO</t>
  </si>
  <si>
    <t xml:space="preserve">7790216012637       </t>
  </si>
  <si>
    <t xml:space="preserve">ANCO PROCESADO X KG                </t>
  </si>
  <si>
    <t>CABOS ALUMINIO COLOR</t>
  </si>
  <si>
    <t xml:space="preserve">7790000000503       </t>
  </si>
  <si>
    <t xml:space="preserve">CABO ALUM 1.50MT AZUL XUN MPROPI   </t>
  </si>
  <si>
    <t>CONDIM P/PIZZA</t>
  </si>
  <si>
    <t xml:space="preserve">7790530900019       </t>
  </si>
  <si>
    <t xml:space="preserve">CONDIMENTO PIZZA 1KG BEDIAL        </t>
  </si>
  <si>
    <t xml:space="preserve">7798024450118       </t>
  </si>
  <si>
    <t xml:space="preserve">TRAPO PISO GRIS62X48 XU            </t>
  </si>
  <si>
    <t xml:space="preserve">UNIF000156          </t>
  </si>
  <si>
    <t xml:space="preserve">CAMI. BLAN.M. LARG 42 GL SUP       </t>
  </si>
  <si>
    <t xml:space="preserve">BAZ001248           </t>
  </si>
  <si>
    <t xml:space="preserve">CONTENED PLAST RECT 33X23X9 4.9L   </t>
  </si>
  <si>
    <t xml:space="preserve">UNIF000504          </t>
  </si>
  <si>
    <t xml:space="preserve">CAMPERA POLAR NEGRA L C. GOUR      </t>
  </si>
  <si>
    <t>QUESO POR SALUT S/SAL</t>
  </si>
  <si>
    <t xml:space="preserve">7790000000764       </t>
  </si>
  <si>
    <t>QUESO P/SALUD S/SAL DESC XKG LUZ AZ</t>
  </si>
  <si>
    <t xml:space="preserve">BAZ001338           </t>
  </si>
  <si>
    <t xml:space="preserve">ENSALADERA ACER INOX 16 CM         </t>
  </si>
  <si>
    <t xml:space="preserve">UNIF000321          </t>
  </si>
  <si>
    <t xml:space="preserve">REM CUE. RED A.MAR. ELEVARE 4XL    </t>
  </si>
  <si>
    <t xml:space="preserve">7797390401274       </t>
  </si>
  <si>
    <t xml:space="preserve">GUANTES NAR  M SCHEZ               </t>
  </si>
  <si>
    <t xml:space="preserve">7798156760666       </t>
  </si>
  <si>
    <t xml:space="preserve">GARB REMOJ SAB DEL VALLE 340GR     </t>
  </si>
  <si>
    <t>VINAGRE MANZANA</t>
  </si>
  <si>
    <t xml:space="preserve">7792378000852       </t>
  </si>
  <si>
    <t xml:space="preserve">VINAGRE MANZANA X1L COMENSAL       </t>
  </si>
  <si>
    <t>BALDE 10 LT</t>
  </si>
  <si>
    <t xml:space="preserve">7794417001615       </t>
  </si>
  <si>
    <t xml:space="preserve">BALDE 10 LITROS COLOR	             </t>
  </si>
  <si>
    <t>QUESO SARDO</t>
  </si>
  <si>
    <t xml:space="preserve">7790212060894       </t>
  </si>
  <si>
    <t xml:space="preserve">QUESO SARDO SEMI ESTAC X KG        </t>
  </si>
  <si>
    <t xml:space="preserve">UNIF000545          </t>
  </si>
  <si>
    <t xml:space="preserve">CHOMBA GRIS NEG MANG CORTA NAR L   </t>
  </si>
  <si>
    <t xml:space="preserve">UNIF000587          </t>
  </si>
  <si>
    <t xml:space="preserve">CHAQUETA CUELLO MAO T2 GL SUP.     </t>
  </si>
  <si>
    <t>TRIGO BURGOL</t>
  </si>
  <si>
    <t xml:space="preserve">7798186164717       </t>
  </si>
  <si>
    <t xml:space="preserve">TRIGO BURGOL FINO X 1 KG BLANCA LU </t>
  </si>
  <si>
    <t xml:space="preserve">UNIF000080          </t>
  </si>
  <si>
    <t xml:space="preserve">CAMISA BLANCA LISA 52 S. LOGO      </t>
  </si>
  <si>
    <t>PURE TOMATE</t>
  </si>
  <si>
    <t xml:space="preserve">7797470199121       </t>
  </si>
  <si>
    <t xml:space="preserve">PURE TOMATE S/TACC X520G MAROLIO   </t>
  </si>
  <si>
    <t xml:space="preserve">UNIF000288          </t>
  </si>
  <si>
    <t xml:space="preserve">CAMPERA TRUCK.AZ. CINT. REFRAC S   </t>
  </si>
  <si>
    <t xml:space="preserve">0648260488628       </t>
  </si>
  <si>
    <t xml:space="preserve">VO ESCARBADIENTES X500UN           </t>
  </si>
  <si>
    <t xml:space="preserve">UNIF000438          </t>
  </si>
  <si>
    <t xml:space="preserve">CAMP. TRUCKER A. MAR GL SUPP XL    </t>
  </si>
  <si>
    <t xml:space="preserve">UNIF000461          </t>
  </si>
  <si>
    <t xml:space="preserve">CAMPERA TRUCKER BLANCO 2XL NUTRI   </t>
  </si>
  <si>
    <t>MATE COCIDO SAQ</t>
  </si>
  <si>
    <t xml:space="preserve">7798028020546       </t>
  </si>
  <si>
    <t xml:space="preserve">MATE COC EN SAQ X25U LA POSADEÑA   </t>
  </si>
  <si>
    <t xml:space="preserve">UNIF000444          </t>
  </si>
  <si>
    <t xml:space="preserve">CAMPE. TRUCKER A. MAR GRUPO L L    </t>
  </si>
  <si>
    <t xml:space="preserve">7790150411391       </t>
  </si>
  <si>
    <t xml:space="preserve">AJO TRITURADO X50G ALICANTE        </t>
  </si>
  <si>
    <t xml:space="preserve">BAZ001224           </t>
  </si>
  <si>
    <t xml:space="preserve">SARTEN MANG PLANCHU CHAPAN°26      </t>
  </si>
  <si>
    <t>CURCUMA</t>
  </si>
  <si>
    <t xml:space="preserve">7793875313032       </t>
  </si>
  <si>
    <t xml:space="preserve">CURCUMA x 250G AROMA Y SABORES     </t>
  </si>
  <si>
    <t xml:space="preserve">UNIF000370          </t>
  </si>
  <si>
    <t xml:space="preserve">7798041132483       </t>
  </si>
  <si>
    <t xml:space="preserve">LEMON PIE X9U SELYGEL              </t>
  </si>
  <si>
    <t xml:space="preserve">UNIF000368          </t>
  </si>
  <si>
    <t xml:space="preserve">SWEETER GRIS LANA GL SUP LIMP S    </t>
  </si>
  <si>
    <t xml:space="preserve">7790070336149       </t>
  </si>
  <si>
    <t xml:space="preserve">FIDEO GUIS MOSTA X500G LUCCHETTI   </t>
  </si>
  <si>
    <t>AJI MOLIDO S/TACC</t>
  </si>
  <si>
    <t xml:space="preserve">7797234000311       </t>
  </si>
  <si>
    <t xml:space="preserve"> AJI MOLIDO X25G LA PERGOLA        </t>
  </si>
  <si>
    <t xml:space="preserve">UNIF000096          </t>
  </si>
  <si>
    <t xml:space="preserve">CHOMBA PIQUE GRIS L GL SUP.        </t>
  </si>
  <si>
    <t xml:space="preserve">UNIF000534          </t>
  </si>
  <si>
    <t xml:space="preserve">ROMPEVIENTOS-AZUL MARINO L         </t>
  </si>
  <si>
    <t xml:space="preserve">7790580471309       </t>
  </si>
  <si>
    <t xml:space="preserve">CARAMELOS SURTIDOS X810GR ARCOR    </t>
  </si>
  <si>
    <t>CHOCOLATADA</t>
  </si>
  <si>
    <t xml:space="preserve">7798290581936       </t>
  </si>
  <si>
    <t xml:space="preserve">LECHE CHOCOLATADA X 200CC CHOCHOCO </t>
  </si>
  <si>
    <t>AGUA MIN C/GAS INDIV</t>
  </si>
  <si>
    <t xml:space="preserve">7790895647758       </t>
  </si>
  <si>
    <t xml:space="preserve">AGUA BENEDICTINO C/GAS 600CC       </t>
  </si>
  <si>
    <t xml:space="preserve">UNIF000101          </t>
  </si>
  <si>
    <t xml:space="preserve">PANTALON CARGO A. MARINO 46        </t>
  </si>
  <si>
    <t xml:space="preserve">UNIF000475          </t>
  </si>
  <si>
    <t xml:space="preserve">PANTAL. GRAFA S. LOGO A. MAR 48    </t>
  </si>
  <si>
    <t xml:space="preserve">17792180007022      </t>
  </si>
  <si>
    <t xml:space="preserve">PANINI CONG 135GX60U CANUELAS      </t>
  </si>
  <si>
    <t xml:space="preserve">BOLSA RESIDUO AMARRILLA </t>
  </si>
  <si>
    <t xml:space="preserve">7790000000465       </t>
  </si>
  <si>
    <t xml:space="preserve">BOLSA RESID AMLLA 90X110X50UX30M   </t>
  </si>
  <si>
    <t xml:space="preserve">7790000000746       </t>
  </si>
  <si>
    <t xml:space="preserve">TRAPO DE PISO BLANCO 60X50 THAMES  </t>
  </si>
  <si>
    <t xml:space="preserve">UNIF000210          </t>
  </si>
  <si>
    <t xml:space="preserve">PANTAL CARG NEGRO AZ. 52 GL SUP    </t>
  </si>
  <si>
    <t>BONDIOLA CERDO CONGELADA</t>
  </si>
  <si>
    <t xml:space="preserve">7790212031279       </t>
  </si>
  <si>
    <t xml:space="preserve">BONDIOLA DE CERDO C X KG           </t>
  </si>
  <si>
    <t xml:space="preserve">UNIF000346          </t>
  </si>
  <si>
    <t xml:space="preserve">CHAQ CUE.MAO AY/CAM/PEON 4 NUTRI   </t>
  </si>
  <si>
    <t xml:space="preserve">BAZ001167           </t>
  </si>
  <si>
    <t xml:space="preserve">CONT PLAS REF BCO API.VENT 52X35   </t>
  </si>
  <si>
    <t xml:space="preserve">7794417000502       </t>
  </si>
  <si>
    <t xml:space="preserve">PLUMERO BOCHA SINA                 </t>
  </si>
  <si>
    <t>DETERGENTE DESENGRASANTE</t>
  </si>
  <si>
    <t xml:space="preserve">7792798664288       </t>
  </si>
  <si>
    <t xml:space="preserve">LAVAVAJILLAS X5LT BASIK            </t>
  </si>
  <si>
    <t xml:space="preserve">LIM000003           </t>
  </si>
  <si>
    <t xml:space="preserve">SOPAPA GOMA XU                     </t>
  </si>
  <si>
    <t>BUDIN S/TACC</t>
  </si>
  <si>
    <t xml:space="preserve">7798079230680       </t>
  </si>
  <si>
    <t xml:space="preserve">BUDIN VAIN 200GR STACC STA MARIA   </t>
  </si>
  <si>
    <t xml:space="preserve">7798047760270       </t>
  </si>
  <si>
    <t xml:space="preserve">QUESO BARRA DAMBO XKG TONUTTI      </t>
  </si>
  <si>
    <t xml:space="preserve">7791254186710       </t>
  </si>
  <si>
    <t xml:space="preserve">PURE DE PAPA INST X125G JUMLA      </t>
  </si>
  <si>
    <t>TRAPO REJILLA</t>
  </si>
  <si>
    <t xml:space="preserve">7798035491049       </t>
  </si>
  <si>
    <t xml:space="preserve">TRAPO REJILLA XUN MPROP            </t>
  </si>
  <si>
    <t xml:space="preserve">MOD21131            </t>
  </si>
  <si>
    <t xml:space="preserve">MOD CELIACO HURLIN ABR26           </t>
  </si>
  <si>
    <t xml:space="preserve">7796835120060       </t>
  </si>
  <si>
    <t xml:space="preserve">RASTRILLO DE PLÁSTICO BARREHOJA    </t>
  </si>
  <si>
    <t xml:space="preserve">ESCOBILLON  </t>
  </si>
  <si>
    <t xml:space="preserve">7797390495396       </t>
  </si>
  <si>
    <t xml:space="preserve">ESCOBA SCHEZ X U                   </t>
  </si>
  <si>
    <t xml:space="preserve">UNIF000159          </t>
  </si>
  <si>
    <t xml:space="preserve">CAMI. BLAN.M. LARG 48 GL SUP       </t>
  </si>
  <si>
    <t xml:space="preserve">UNIF000376          </t>
  </si>
  <si>
    <t xml:space="preserve">SWEAT. NEGRO BLUE CATERING XL      </t>
  </si>
  <si>
    <t xml:space="preserve">UNIF000523          </t>
  </si>
  <si>
    <t xml:space="preserve">CONJUNTO PRIMERA PIEL XL S.LOG     </t>
  </si>
  <si>
    <t xml:space="preserve">UNIF000130          </t>
  </si>
  <si>
    <t xml:space="preserve">AMBO GRIS GL SUPPORT ESC V XL      </t>
  </si>
  <si>
    <t xml:space="preserve">7790321020306       </t>
  </si>
  <si>
    <t xml:space="preserve">TAPA ALUMINIO R5/F2100 X 600U	     </t>
  </si>
  <si>
    <t xml:space="preserve">17792180005950      </t>
  </si>
  <si>
    <t xml:space="preserve">PANAL MEMBR CONG 50GX72U CANUELAS  </t>
  </si>
  <si>
    <t xml:space="preserve">UNIF000424          </t>
  </si>
  <si>
    <t xml:space="preserve">CAMISA GRAFA-AZUL MARINO 52 ELEV   </t>
  </si>
  <si>
    <t>LECHE VITAL 3</t>
  </si>
  <si>
    <t xml:space="preserve">7795323775263       </t>
  </si>
  <si>
    <t xml:space="preserve">LECHE VITAL 3 X200CC VITAL	        </t>
  </si>
  <si>
    <t>GELATINA S/SABOR</t>
  </si>
  <si>
    <t xml:space="preserve">7790971001139       </t>
  </si>
  <si>
    <t xml:space="preserve">GELATINA S/SABOR x 500gr ORLOC     </t>
  </si>
  <si>
    <t>PROVENZAL</t>
  </si>
  <si>
    <t xml:space="preserve">7793875360296       </t>
  </si>
  <si>
    <t xml:space="preserve">PROVENZAL X 1KGS AROMAS Y SABORES  </t>
  </si>
  <si>
    <t xml:space="preserve">7797470199237       </t>
  </si>
  <si>
    <t xml:space="preserve">FIDEOS GUIS TIRAB X500G MAROLI	    </t>
  </si>
  <si>
    <t xml:space="preserve">7798188650294       </t>
  </si>
  <si>
    <t xml:space="preserve"> BACTERISIDA DB-X100 X 5LT THAMES  </t>
  </si>
  <si>
    <t xml:space="preserve">UNIF000004          </t>
  </si>
  <si>
    <t xml:space="preserve">AMBO A. MAR. PULCRUS ESC V XL      </t>
  </si>
  <si>
    <t>JUGO POLVO POMELO</t>
  </si>
  <si>
    <t xml:space="preserve">7790971001115       </t>
  </si>
  <si>
    <t xml:space="preserve">JUGO POLVO POMELO X5KG             </t>
  </si>
  <si>
    <t>JUGO POLVO NARANJA</t>
  </si>
  <si>
    <t xml:space="preserve">7790971000972       </t>
  </si>
  <si>
    <t xml:space="preserve">JUGO POLVO NARANJA X5KG ORLOC      </t>
  </si>
  <si>
    <t xml:space="preserve">7790645001809       </t>
  </si>
  <si>
    <t xml:space="preserve">ATUN DESM E/A x 170 GR CARACAS     </t>
  </si>
  <si>
    <t xml:space="preserve">2004311             </t>
  </si>
  <si>
    <t>BOLSA RESIDUO NEGRA 110X120 CM 40 M</t>
  </si>
  <si>
    <t>OREGANO</t>
  </si>
  <si>
    <t xml:space="preserve">7790530900538       </t>
  </si>
  <si>
    <t xml:space="preserve">OREGANO X1KG BEDIAL                </t>
  </si>
  <si>
    <t xml:space="preserve">PASAS </t>
  </si>
  <si>
    <t xml:space="preserve">0724751080400       </t>
  </si>
  <si>
    <t xml:space="preserve">PASA UVA NEGRA X1KG PUERTO GOURMET </t>
  </si>
  <si>
    <t>COPOS CELIACOS</t>
  </si>
  <si>
    <t xml:space="preserve">7790495005996       </t>
  </si>
  <si>
    <t xml:space="preserve">COPOS MAIZ S/TACC X180G YING YAN   </t>
  </si>
  <si>
    <t xml:space="preserve">UNIF000363          </t>
  </si>
  <si>
    <t xml:space="preserve">GORRO COCINERO BAJO NEG C. GOUR    </t>
  </si>
  <si>
    <t xml:space="preserve">BAZ001231           </t>
  </si>
  <si>
    <t xml:space="preserve">TAZA DESA PORC. VERBANO            </t>
  </si>
  <si>
    <t xml:space="preserve">7793253004255       </t>
  </si>
  <si>
    <t xml:space="preserve">GL DESOD.BEBE 360CC AROM.POET      </t>
  </si>
  <si>
    <t>ARROZ PARBOIL</t>
  </si>
  <si>
    <t xml:space="preserve">7790847060543       </t>
  </si>
  <si>
    <t xml:space="preserve">ARROZ PARBOIL X 1KG DON MARCOS     </t>
  </si>
  <si>
    <t xml:space="preserve">7790000000662       </t>
  </si>
  <si>
    <t xml:space="preserve">ESPATULA RASPIN X U                </t>
  </si>
  <si>
    <t xml:space="preserve">UNIF000018          </t>
  </si>
  <si>
    <t xml:space="preserve">CHA.AMB A.MAR. ESCO.V PULCR 2XL    </t>
  </si>
  <si>
    <t xml:space="preserve">LECHE MATERNIZADA </t>
  </si>
  <si>
    <t xml:space="preserve">7798181641411       </t>
  </si>
  <si>
    <t xml:space="preserve">LECHE BB1 ADVANCEDX200CC SANC	     </t>
  </si>
  <si>
    <t xml:space="preserve">BAZ001269           </t>
  </si>
  <si>
    <t xml:space="preserve">TAZA DESAYUNO PORC. TAVOLA         </t>
  </si>
  <si>
    <t>ARVEJA CONGELADA</t>
  </si>
  <si>
    <t xml:space="preserve">7798184272919       </t>
  </si>
  <si>
    <t xml:space="preserve">ARVEJA IQF X500GR BIOMAC           </t>
  </si>
  <si>
    <t xml:space="preserve">UNIF000498          </t>
  </si>
  <si>
    <t xml:space="preserve">CAMI GRIS CAMAR. RET. T54 C GOUR   </t>
  </si>
  <si>
    <t>SALCHICHA PASTEU</t>
  </si>
  <si>
    <t xml:space="preserve">7790079010828       </t>
  </si>
  <si>
    <t xml:space="preserve">SALCHICHA X 6 U PALADINI           </t>
  </si>
  <si>
    <t xml:space="preserve">7798057861622       </t>
  </si>
  <si>
    <t xml:space="preserve">CERA 8M ROJA 4X5L DIVERSEY         </t>
  </si>
  <si>
    <t xml:space="preserve">7798092965552       </t>
  </si>
  <si>
    <t xml:space="preserve">SECADOR NEGRO N40  ECO             </t>
  </si>
  <si>
    <t xml:space="preserve">7798092969789       </t>
  </si>
  <si>
    <t xml:space="preserve">GUANTES FLEX S                     </t>
  </si>
  <si>
    <t xml:space="preserve">BUE00274            </t>
  </si>
  <si>
    <t xml:space="preserve">CEPILLO ZOCALERA XUN               </t>
  </si>
  <si>
    <t xml:space="preserve">UNIF000207          </t>
  </si>
  <si>
    <t xml:space="preserve">PANTAL CARG NEGRO AZ. 46 GL SUP    </t>
  </si>
  <si>
    <t>FIDEOS CINTAS VERDES</t>
  </si>
  <si>
    <t xml:space="preserve">7797470000816       </t>
  </si>
  <si>
    <t>FIDEO TALLARIN ESPINACA X500G MAROL</t>
  </si>
  <si>
    <t>CACAO</t>
  </si>
  <si>
    <t xml:space="preserve">8445291388062       </t>
  </si>
  <si>
    <t xml:space="preserve">CACAO POLVO X2KG NESQUIK	          </t>
  </si>
  <si>
    <t xml:space="preserve">UNIF000744          </t>
  </si>
  <si>
    <t xml:space="preserve">CAMISA POPLIN ML BLUE CAFÉ XS      </t>
  </si>
  <si>
    <t>REPUESTO DE SECADOR</t>
  </si>
  <si>
    <t xml:space="preserve">7798287510062       </t>
  </si>
  <si>
    <t xml:space="preserve">REPUESTO BARREDOR ACRILICO 60CM    </t>
  </si>
  <si>
    <t xml:space="preserve">7790895647741       </t>
  </si>
  <si>
    <t xml:space="preserve">AGUA BENEDICTINO S/GAS 600CC       </t>
  </si>
  <si>
    <t>POLVO HORNEAR</t>
  </si>
  <si>
    <t xml:space="preserve">7791113005800       </t>
  </si>
  <si>
    <t xml:space="preserve">POLVO HORNEAR X500G EMETH          </t>
  </si>
  <si>
    <t xml:space="preserve">UNIF000014          </t>
  </si>
  <si>
    <t xml:space="preserve">CHAQ AMBO A.MAR. ESCO.V PULC S     </t>
  </si>
  <si>
    <t>JABON TOCADOR</t>
  </si>
  <si>
    <t xml:space="preserve">7790000000400       </t>
  </si>
  <si>
    <t xml:space="preserve">JABON TOCADOR OVAL 50GR GOODCREA   </t>
  </si>
  <si>
    <t xml:space="preserve">BAZ001188           </t>
  </si>
  <si>
    <t xml:space="preserve">CUCHARA POSTRE MOD AC INOX LIVI    </t>
  </si>
  <si>
    <t xml:space="preserve">UNIF000459          </t>
  </si>
  <si>
    <t xml:space="preserve">CAMP. BLANCO TRUCKER NUTRIRE XL    </t>
  </si>
  <si>
    <t xml:space="preserve">UNIF000326          </t>
  </si>
  <si>
    <t xml:space="preserve">REMERA CUELLO RED BLAN NUTRI XL    </t>
  </si>
  <si>
    <t xml:space="preserve">UNIF000630          </t>
  </si>
  <si>
    <t xml:space="preserve">FALDON GR CORTO CHEF GOURMET       </t>
  </si>
  <si>
    <t xml:space="preserve">LIM000227           </t>
  </si>
  <si>
    <t xml:space="preserve">EQUIPO LIMPIAVIDRIOS X U	          </t>
  </si>
  <si>
    <t>SAL FINA IND B/SODIO</t>
  </si>
  <si>
    <t xml:space="preserve">7798011970322       </t>
  </si>
  <si>
    <t>SAL IND B/SODIO 1 GR X 400 U ABEDUL</t>
  </si>
  <si>
    <t xml:space="preserve">MOD21130            </t>
  </si>
  <si>
    <t xml:space="preserve">MOD ALIMEN HURLIN ABR26            </t>
  </si>
  <si>
    <t xml:space="preserve">UNIF000429          </t>
  </si>
  <si>
    <t xml:space="preserve">CAMP. A. MAR. TRUCKER PULCRUS M    </t>
  </si>
  <si>
    <t>CREMA DE LECHE ENTERA</t>
  </si>
  <si>
    <t xml:space="preserve">7790787949083       </t>
  </si>
  <si>
    <t xml:space="preserve">CREMA POT X350CC ILOLAY            </t>
  </si>
  <si>
    <t xml:space="preserve">UNIF000299          </t>
  </si>
  <si>
    <t xml:space="preserve">CHOMBA PIQUE-AZUL FRANCIA 2XL      </t>
  </si>
  <si>
    <t xml:space="preserve">7790321020406       </t>
  </si>
  <si>
    <t xml:space="preserve">VASO TERMICO X 300 X 25 U          </t>
  </si>
  <si>
    <t xml:space="preserve">7790000000713       </t>
  </si>
  <si>
    <t xml:space="preserve">SERV SIMIL TELA S/LOGO X2000U      </t>
  </si>
  <si>
    <t>SALSA DULCE DE LECHE</t>
  </si>
  <si>
    <t xml:space="preserve">7798110340071       </t>
  </si>
  <si>
    <t xml:space="preserve">SALSA DE DDL X0.5KG INDUAL         </t>
  </si>
  <si>
    <t xml:space="preserve">7790321020066       </t>
  </si>
  <si>
    <t xml:space="preserve">BAND ALUM R5/F2100 X 600 U VASSOI  </t>
  </si>
  <si>
    <t xml:space="preserve">7798144480569       </t>
  </si>
  <si>
    <t xml:space="preserve">ARVEJAS SECAS 400GR ETNIA          </t>
  </si>
  <si>
    <t xml:space="preserve">7790000000618       </t>
  </si>
  <si>
    <t xml:space="preserve">HUEVO FRESCO X180U                 </t>
  </si>
  <si>
    <t xml:space="preserve">7795323141172       </t>
  </si>
  <si>
    <t xml:space="preserve">CAJA 30X28X26 LOGO LANUS 2024      </t>
  </si>
  <si>
    <t xml:space="preserve">7798160835145       </t>
  </si>
  <si>
    <t xml:space="preserve">JABON LIQ OCEANO X5L NEW ZEN       </t>
  </si>
  <si>
    <t xml:space="preserve">UNIF000025          </t>
  </si>
  <si>
    <t xml:space="preserve">AMBO CEL. ESCO.V SANTANDER 3XL     </t>
  </si>
  <si>
    <t xml:space="preserve">714604058540        </t>
  </si>
  <si>
    <t xml:space="preserve">POSTRE VAIN 1KG POREC              </t>
  </si>
  <si>
    <t>AJI</t>
  </si>
  <si>
    <t xml:space="preserve">7790216010142       </t>
  </si>
  <si>
    <t xml:space="preserve">AJI PIMIENTO X KG.                 </t>
  </si>
  <si>
    <t xml:space="preserve">UNIF000240          </t>
  </si>
  <si>
    <t xml:space="preserve">PANTAL NAUT BLANCO SIN LOGO - T2   </t>
  </si>
  <si>
    <t xml:space="preserve">7790726120177       </t>
  </si>
  <si>
    <t xml:space="preserve">GALLE COCO X350G DULCYPAS	         </t>
  </si>
  <si>
    <t xml:space="preserve">UNIF000573          </t>
  </si>
  <si>
    <t xml:space="preserve">CAMISA GRIS T44                    </t>
  </si>
  <si>
    <t xml:space="preserve">UNIF000017          </t>
  </si>
  <si>
    <t xml:space="preserve">CHAQ AMB PULCRUS ESC VXL           </t>
  </si>
  <si>
    <t>EDULC SOB BLUE CAFE</t>
  </si>
  <si>
    <t xml:space="preserve">7798011977727       </t>
  </si>
  <si>
    <t>EDULCORANTE IND SOBRE X400U BLUE CA</t>
  </si>
  <si>
    <t>MEDALLONES DE POLLO</t>
  </si>
  <si>
    <t xml:space="preserve">7790212040026       </t>
  </si>
  <si>
    <t xml:space="preserve">MED.DE POLLX65 G BOLS 40 U OTE     </t>
  </si>
  <si>
    <t>COCTAIL COMUN</t>
  </si>
  <si>
    <t xml:space="preserve">7798132920435       </t>
  </si>
  <si>
    <t xml:space="preserve">COCTEL DE FRUTAS  X820G ALCO       </t>
  </si>
  <si>
    <t xml:space="preserve">7790321020356       </t>
  </si>
  <si>
    <t xml:space="preserve">VASO PLASTICO X 220 CC X 100 U     </t>
  </si>
  <si>
    <t xml:space="preserve">UNIF000479          </t>
  </si>
  <si>
    <t xml:space="preserve">PANTAL. GRAFA S. LOGO A. MAR 56    </t>
  </si>
  <si>
    <t xml:space="preserve">UNIF000102          </t>
  </si>
  <si>
    <t xml:space="preserve">PANTALON CARGO A. MARINO 50        </t>
  </si>
  <si>
    <t xml:space="preserve">7790000000738       </t>
  </si>
  <si>
    <t xml:space="preserve">CAJA PLASTICA VERTICAL CARNIC      </t>
  </si>
  <si>
    <t xml:space="preserve">UNIF000462          </t>
  </si>
  <si>
    <t xml:space="preserve">CAMPE. BLANCO TRUCK NUTRIRE 4XL    </t>
  </si>
  <si>
    <t xml:space="preserve">7798151690500       </t>
  </si>
  <si>
    <t xml:space="preserve">FIDEO GUISERO X 500 G DOÑA LUISA   </t>
  </si>
  <si>
    <t>PASTAS RELLENAS</t>
  </si>
  <si>
    <t xml:space="preserve">7795711000038       </t>
  </si>
  <si>
    <t xml:space="preserve">RAVIOLES POLLO Y ESPINACA X 500 GR </t>
  </si>
  <si>
    <t xml:space="preserve">BAZ001351           </t>
  </si>
  <si>
    <t xml:space="preserve">CUCHARITA TE MANGO PLAST NEGRO     </t>
  </si>
  <si>
    <t xml:space="preserve">7798411011236       </t>
  </si>
  <si>
    <t xml:space="preserve">GARRAPIÑADA MANI X80G GOLOMASTER   </t>
  </si>
  <si>
    <t xml:space="preserve">TURRON DE MANI CON MIEL </t>
  </si>
  <si>
    <t xml:space="preserve">7792860001879       </t>
  </si>
  <si>
    <t xml:space="preserve">TURRON DE MANI C/MIEL X 80GR LHERI </t>
  </si>
  <si>
    <t xml:space="preserve">BAZ001369           </t>
  </si>
  <si>
    <t xml:space="preserve">SALERO PARRI AC INOX 18/8 SF       </t>
  </si>
  <si>
    <t>PANCETA AHUMADA</t>
  </si>
  <si>
    <t xml:space="preserve">7790212050102       </t>
  </si>
  <si>
    <t xml:space="preserve">PANCETA AHUMADA X KG               </t>
  </si>
  <si>
    <t>JUGO POLVO NARANJA LIGHT</t>
  </si>
  <si>
    <t xml:space="preserve">7622201703103       </t>
  </si>
  <si>
    <t xml:space="preserve">JUGO NAR CLIGHT DISP 20SBX8GR      </t>
  </si>
  <si>
    <t xml:space="preserve">UNIF000128          </t>
  </si>
  <si>
    <t xml:space="preserve">AMBO GRIS GL SUPPORT ESC V M       </t>
  </si>
  <si>
    <t xml:space="preserve">UNIF000521          </t>
  </si>
  <si>
    <t xml:space="preserve">CONJ. PRIMERA PIEL TALLE M S.LOG   </t>
  </si>
  <si>
    <t xml:space="preserve">7790971002419       </t>
  </si>
  <si>
    <t xml:space="preserve">POSTRE VAINILLA X 90GR RAVANA	     </t>
  </si>
  <si>
    <t>MERMELADA DAMASCO</t>
  </si>
  <si>
    <t xml:space="preserve">7791113003417       </t>
  </si>
  <si>
    <t xml:space="preserve">MERMELADA DAMASCO X420G EMETH      </t>
  </si>
  <si>
    <t xml:space="preserve">BAZ001187           </t>
  </si>
  <si>
    <t xml:space="preserve">CUCHARA MANGO PLASTICO NEGRO       </t>
  </si>
  <si>
    <t xml:space="preserve">BAZ001319           </t>
  </si>
  <si>
    <t xml:space="preserve">CUCHILLO BCO 174/100MM 4" INOX     </t>
  </si>
  <si>
    <t xml:space="preserve">7798188650348       </t>
  </si>
  <si>
    <t xml:space="preserve">ALCOHOL EN GEL X500ML SANIGEL      </t>
  </si>
  <si>
    <t xml:space="preserve">BAZ001305           </t>
  </si>
  <si>
    <t xml:space="preserve">CUCHI BCO ERGON 398/30X12" INOX    </t>
  </si>
  <si>
    <t xml:space="preserve">790212030074        </t>
  </si>
  <si>
    <t xml:space="preserve">NALGA ENTERA ESP XKG               </t>
  </si>
  <si>
    <t xml:space="preserve">UNIF000211          </t>
  </si>
  <si>
    <t xml:space="preserve">PANTAL CARG NEGRO AZ. 54 GL SUP    </t>
  </si>
  <si>
    <t xml:space="preserve">2006993             </t>
  </si>
  <si>
    <t xml:space="preserve">GUANTE MAPA TECHNI-MIX 415 T8      </t>
  </si>
  <si>
    <t>SORRENTINOS</t>
  </si>
  <si>
    <t xml:space="preserve">7795711000199       </t>
  </si>
  <si>
    <t xml:space="preserve">SORRENTINOS X500GR RICOTAYQUESO    </t>
  </si>
  <si>
    <t xml:space="preserve">7790696002176       </t>
  </si>
  <si>
    <t xml:space="preserve">COCTEL DE FRUTAS X820G ABETO       </t>
  </si>
  <si>
    <t>MAYONESA INDIVIDUAL</t>
  </si>
  <si>
    <t xml:space="preserve">67794000006036      </t>
  </si>
  <si>
    <t xml:space="preserve">MAYONESA X196UN HELLMANNS          </t>
  </si>
  <si>
    <t xml:space="preserve">7790212040029       </t>
  </si>
  <si>
    <t xml:space="preserve">MEDALLON POLLO 55G X 45U	          </t>
  </si>
  <si>
    <t xml:space="preserve">2005736             </t>
  </si>
  <si>
    <t>REPUESTO ENVASE P/ PULVERIZ. THAMES</t>
  </si>
  <si>
    <t>PIMIENTA NEGRA S/TACC</t>
  </si>
  <si>
    <t xml:space="preserve">7790150555446       </t>
  </si>
  <si>
    <t xml:space="preserve">PIMIENTA NEGRA X25G ALICANTE       </t>
  </si>
  <si>
    <t>PREMEZCLA BIZCOCHUELO CHOCO</t>
  </si>
  <si>
    <t xml:space="preserve">7790971000811       </t>
  </si>
  <si>
    <t xml:space="preserve">BIZCOCHUELO CHOCO 5KG ORLOC        </t>
  </si>
  <si>
    <t xml:space="preserve">7790503199099       </t>
  </si>
  <si>
    <t xml:space="preserve">ARROZ PARB STACC X 1KG DOS HNOS    </t>
  </si>
  <si>
    <t xml:space="preserve">UNIF000658          </t>
  </si>
  <si>
    <t xml:space="preserve">PANTALON CARGO NEGRO 40            </t>
  </si>
  <si>
    <t>POLLO CONGELADO</t>
  </si>
  <si>
    <t xml:space="preserve">7798172641321       </t>
  </si>
  <si>
    <t xml:space="preserve">SUPREMA POLLO CONG X3KG SOYCHU     </t>
  </si>
  <si>
    <t xml:space="preserve">7798092968744       </t>
  </si>
  <si>
    <t xml:space="preserve">GUANTES SOFT XL                    </t>
  </si>
  <si>
    <t xml:space="preserve">BAZ001321           </t>
  </si>
  <si>
    <t xml:space="preserve">UNIF000006          </t>
  </si>
  <si>
    <t xml:space="preserve">AMBO A. MAR. ESCO.-V 3XL PULCRUS   </t>
  </si>
  <si>
    <t>FLAN LIGHT VAINILLA</t>
  </si>
  <si>
    <t xml:space="preserve">7791113001840       </t>
  </si>
  <si>
    <t xml:space="preserve">FLAN VAINILLA LIGHT X30G EMETH     </t>
  </si>
  <si>
    <t xml:space="preserve">7793875312608       </t>
  </si>
  <si>
    <t xml:space="preserve">CONDIMENTO PARA ARROZ X25GR AR     </t>
  </si>
  <si>
    <t xml:space="preserve">UNIF000579          </t>
  </si>
  <si>
    <t xml:space="preserve">CAMISA GRIS T56                    </t>
  </si>
  <si>
    <t>PALA PLASTICA</t>
  </si>
  <si>
    <t xml:space="preserve">7798065720256       </t>
  </si>
  <si>
    <t xml:space="preserve">PALA DE MANO XU                    </t>
  </si>
  <si>
    <t xml:space="preserve">UNIF000407          </t>
  </si>
  <si>
    <t xml:space="preserve">PANTAL NEG GU/MOZO/CAJERO/ADM 5    </t>
  </si>
  <si>
    <t xml:space="preserve">BUM00248            </t>
  </si>
  <si>
    <t xml:space="preserve">CARRO AZUL L ESTADIO               </t>
  </si>
  <si>
    <t xml:space="preserve">7790212030092       </t>
  </si>
  <si>
    <t xml:space="preserve">PALETA X KG                        </t>
  </si>
  <si>
    <t xml:space="preserve">7793253004248       </t>
  </si>
  <si>
    <t xml:space="preserve">GL DESOD.PRIMAVERA  360CC POET     </t>
  </si>
  <si>
    <t xml:space="preserve">7793253005054       </t>
  </si>
  <si>
    <t xml:space="preserve">DESINFEC AERO 332ML AYUDIN         </t>
  </si>
  <si>
    <t xml:space="preserve">7798224212110       </t>
  </si>
  <si>
    <t xml:space="preserve">PIMIENTA BLANCA X15G PARMESANA     </t>
  </si>
  <si>
    <t>ROMERO</t>
  </si>
  <si>
    <t xml:space="preserve">7793875317146       </t>
  </si>
  <si>
    <t xml:space="preserve">ROMERO X500GR AROMAS Y SABORES     </t>
  </si>
  <si>
    <t>YOGUR ENTERO INDIV FRUTILLA</t>
  </si>
  <si>
    <t xml:space="preserve">7790787960446       </t>
  </si>
  <si>
    <t>YOGUR FRUTILLA ENTERO X190 G ILOLAY</t>
  </si>
  <si>
    <t xml:space="preserve">UNIF000500          </t>
  </si>
  <si>
    <t xml:space="preserve">CAMI GRIS CAMAR. RET. T58 C GOUR   </t>
  </si>
  <si>
    <t xml:space="preserve">5000794             </t>
  </si>
  <si>
    <t xml:space="preserve">BOTAS DE GOMA T:41                 </t>
  </si>
  <si>
    <t>LECHE NEOCATE JUNIOR VAINILLA</t>
  </si>
  <si>
    <t xml:space="preserve">5016533648560       </t>
  </si>
  <si>
    <t xml:space="preserve">LECHE NEOCATE JUNIOR VAI X 400 G   </t>
  </si>
  <si>
    <t xml:space="preserve">7798011210039       </t>
  </si>
  <si>
    <t xml:space="preserve">BANDEJA 102 MICRO COTNYL X100U     </t>
  </si>
  <si>
    <t>SESAMO NEGRO</t>
  </si>
  <si>
    <t xml:space="preserve">7793323003317       </t>
  </si>
  <si>
    <t xml:space="preserve">SEMILLAS SESAMO NGRO 1KG DICOMER   </t>
  </si>
  <si>
    <t xml:space="preserve">LIM000266           </t>
  </si>
  <si>
    <t xml:space="preserve">BOLSA RESIDUO NEGRA 60X90X50U      </t>
  </si>
  <si>
    <t xml:space="preserve">UNIF000264          </t>
  </si>
  <si>
    <t xml:space="preserve">PANTALON GABAR. NEG. 58 S. LOGO    </t>
  </si>
  <si>
    <t xml:space="preserve">7790321020389       </t>
  </si>
  <si>
    <t xml:space="preserve">TAPA DOMO CUCHARA X800U            </t>
  </si>
  <si>
    <t xml:space="preserve">UNIF000114          </t>
  </si>
  <si>
    <t xml:space="preserve">PANTALON NAUTICO GRIS 4            </t>
  </si>
  <si>
    <t xml:space="preserve">UNIF000001          </t>
  </si>
  <si>
    <t xml:space="preserve">AMBO A. MAR. PULCRUS ESC V S       </t>
  </si>
  <si>
    <t>POMELO ROSADO</t>
  </si>
  <si>
    <t xml:space="preserve">7798975326412       </t>
  </si>
  <si>
    <t xml:space="preserve">POMELO ROSADO XKG                  </t>
  </si>
  <si>
    <t xml:space="preserve">7798188652007       </t>
  </si>
  <si>
    <t xml:space="preserve">PAPEL HIG BCO C.CHICO 200MTX8U     </t>
  </si>
  <si>
    <t xml:space="preserve">UNIF000131          </t>
  </si>
  <si>
    <t xml:space="preserve">AMBO GRIS ESCO.V 2XL GL SUPPORT    </t>
  </si>
  <si>
    <t>LIMPIADOR DRASTICK</t>
  </si>
  <si>
    <t xml:space="preserve">7798057868676       </t>
  </si>
  <si>
    <t xml:space="preserve">LIMPIADOR DRASTIK X500ML JOHNSON   </t>
  </si>
  <si>
    <t>PROVENZAL S/TACC</t>
  </si>
  <si>
    <t xml:space="preserve">7797234000397       </t>
  </si>
  <si>
    <t xml:space="preserve">PROVENZAL x 25 G PERGOLA           </t>
  </si>
  <si>
    <t xml:space="preserve">UNIF000015          </t>
  </si>
  <si>
    <t xml:space="preserve">CHAQ AMB PULCRUS ESC V M           </t>
  </si>
  <si>
    <t>EMPANADA CONG JYQ</t>
  </si>
  <si>
    <t xml:space="preserve">7790211303004       </t>
  </si>
  <si>
    <t xml:space="preserve">EMPANADA CONGELADA JYQ X50U	       </t>
  </si>
  <si>
    <t>DESINFECTANTE VERDURAS</t>
  </si>
  <si>
    <t xml:space="preserve">7798188650850       </t>
  </si>
  <si>
    <t xml:space="preserve">DESINFECTANTE FYV X5L SANI CHE	    </t>
  </si>
  <si>
    <t xml:space="preserve">BAZ001152           </t>
  </si>
  <si>
    <t xml:space="preserve">RECIP+TAPA POLI 665X355X325 60ML   </t>
  </si>
  <si>
    <t xml:space="preserve">UNIF000394          </t>
  </si>
  <si>
    <t xml:space="preserve">PANTALON DE VESTIR NEGRO 6         </t>
  </si>
  <si>
    <t xml:space="preserve">UNIF000215          </t>
  </si>
  <si>
    <t xml:space="preserve">PANTAL CARG NEGRO NAR. 44 GL SUP   </t>
  </si>
  <si>
    <t>SAL GRUESA</t>
  </si>
  <si>
    <t xml:space="preserve">7797470000076       </t>
  </si>
  <si>
    <t xml:space="preserve">SAL GRUESA X1KG EL DIQUE           </t>
  </si>
  <si>
    <t xml:space="preserve">BAZ001293           </t>
  </si>
  <si>
    <t xml:space="preserve">BOWL MELAM 155M ALTO 50MM ROJO     </t>
  </si>
  <si>
    <t>GALLE ARROZ C/S</t>
  </si>
  <si>
    <t xml:space="preserve">7798082000126       </t>
  </si>
  <si>
    <t xml:space="preserve">GALL ARROZ C/S CEL X100G ARROC     </t>
  </si>
  <si>
    <t xml:space="preserve">7792280000407       </t>
  </si>
  <si>
    <t xml:space="preserve">TE BOLDO X100SAQ ENS CACHAMAI      </t>
  </si>
  <si>
    <t xml:space="preserve">BUM306              </t>
  </si>
  <si>
    <t xml:space="preserve">TUBOS LED  LARGOS                  </t>
  </si>
  <si>
    <t xml:space="preserve">UNIF000502          </t>
  </si>
  <si>
    <t xml:space="preserve">CAMPERA POLAR NEGRA S C. GOUR      </t>
  </si>
  <si>
    <t xml:space="preserve">7792590003150       </t>
  </si>
  <si>
    <t xml:space="preserve">PAN RALLADO X500GR CASERITA        </t>
  </si>
  <si>
    <t xml:space="preserve">7793875360289       </t>
  </si>
  <si>
    <t xml:space="preserve">OREGANO X 1 KG AROMAS              </t>
  </si>
  <si>
    <t xml:space="preserve">7798113350169       </t>
  </si>
  <si>
    <t xml:space="preserve">DURAZNO EN TROZO X820G AGUARIB     </t>
  </si>
  <si>
    <t xml:space="preserve">7794297033034       </t>
  </si>
  <si>
    <t xml:space="preserve">CESTO RECTANGULAR DE 10LT          </t>
  </si>
  <si>
    <t xml:space="preserve">7898921567824       </t>
  </si>
  <si>
    <t xml:space="preserve">PAPA CONG TRADIC X2KG BEM BRASIL   </t>
  </si>
  <si>
    <t xml:space="preserve">LECHE VITAL 2 </t>
  </si>
  <si>
    <t xml:space="preserve">7795323775508       </t>
  </si>
  <si>
    <t>LECHE CRECER 2 X200ML LA SERENISIMA</t>
  </si>
  <si>
    <t xml:space="preserve">7798040051918       </t>
  </si>
  <si>
    <t xml:space="preserve">FIBRA PARRILLERA GRANDE X UNID     </t>
  </si>
  <si>
    <t>MERMELADA IND DURAZNO</t>
  </si>
  <si>
    <t xml:space="preserve">7798011976683       </t>
  </si>
  <si>
    <t xml:space="preserve">MERM DURX20GX108U ABEDUL           </t>
  </si>
  <si>
    <t xml:space="preserve">7798016190701       </t>
  </si>
  <si>
    <t xml:space="preserve">ARVEJAS ENTERAS X 400 G AGROMAR    </t>
  </si>
  <si>
    <t xml:space="preserve">UNIF000619          </t>
  </si>
  <si>
    <t xml:space="preserve">GORRA F1 NEGRA C GOUR              </t>
  </si>
  <si>
    <t xml:space="preserve">UNIF000383          </t>
  </si>
  <si>
    <t xml:space="preserve">SWEATER AZUL-LANA 2XL              </t>
  </si>
  <si>
    <t xml:space="preserve">16010002A           </t>
  </si>
  <si>
    <t xml:space="preserve">BOLSA RESIDUO NEGRA 45X60X50U      </t>
  </si>
  <si>
    <t xml:space="preserve">UNIF000659          </t>
  </si>
  <si>
    <t xml:space="preserve">PANTALON CARGO NEGRO 44            </t>
  </si>
  <si>
    <t xml:space="preserve">7794080001561       </t>
  </si>
  <si>
    <t>FIDEO GUIS TIRAB X500G DON BERNABEU</t>
  </si>
  <si>
    <t xml:space="preserve">UNIF000057          </t>
  </si>
  <si>
    <t xml:space="preserve">BUZO A. MARINO-FRISA GL SUP- 2XL   </t>
  </si>
  <si>
    <t xml:space="preserve">UNIF000154          </t>
  </si>
  <si>
    <t xml:space="preserve">CAMI. BLAN.M. LARG 48 C. GOURMET   </t>
  </si>
  <si>
    <t>BANANA SAE</t>
  </si>
  <si>
    <t xml:space="preserve">7790216020081       </t>
  </si>
  <si>
    <t xml:space="preserve">FRUTA BANANA SAE X U               </t>
  </si>
  <si>
    <t>ARROZ 0000</t>
  </si>
  <si>
    <t xml:space="preserve">7793650000041       </t>
  </si>
  <si>
    <t xml:space="preserve">ARROZ 0000 X500GRS CAROGRAN        </t>
  </si>
  <si>
    <t xml:space="preserve">UNIF000055          </t>
  </si>
  <si>
    <t xml:space="preserve">BUZO A. MAR. FRISA GL SUP L        </t>
  </si>
  <si>
    <t xml:space="preserve">UNIF000082          </t>
  </si>
  <si>
    <t xml:space="preserve">CAMISA BLANCA LISA 56 S. LOGO      </t>
  </si>
  <si>
    <t>DURAZNO LIGHT LATA</t>
  </si>
  <si>
    <t xml:space="preserve">7798132920404       </t>
  </si>
  <si>
    <t xml:space="preserve">DURAZNO LIGHT X820G ALCO	          </t>
  </si>
  <si>
    <t xml:space="preserve">7790520028839       </t>
  </si>
  <si>
    <t>DESODORANTE AEROSOL JOHNSON HARMONY</t>
  </si>
  <si>
    <t>DESODORANTE DE PISO</t>
  </si>
  <si>
    <t xml:space="preserve">7798188650478       </t>
  </si>
  <si>
    <t>DESODORANTE FLOWER LAVANDA 5LT THAM</t>
  </si>
  <si>
    <t xml:space="preserve">LIM00267            </t>
  </si>
  <si>
    <t xml:space="preserve">BOLSA RESID VDE 60X90X30MICXUN     </t>
  </si>
  <si>
    <t xml:space="preserve">A1607C25T12         </t>
  </si>
  <si>
    <t xml:space="preserve">ZAPATO SEG. NEG. 45 ATT CHUBUT     </t>
  </si>
  <si>
    <t xml:space="preserve">7790580143237       </t>
  </si>
  <si>
    <t xml:space="preserve">JUGO POLVO NARAN X15GR ARCOR       </t>
  </si>
  <si>
    <t xml:space="preserve">UNIF000181          </t>
  </si>
  <si>
    <t xml:space="preserve">PANTALON CARGO GRIS 50 GL SUPP.    </t>
  </si>
  <si>
    <t xml:space="preserve">7797470004821       </t>
  </si>
  <si>
    <t>ATUN DES AL NATURAL X170GR EL DIQUE</t>
  </si>
  <si>
    <t xml:space="preserve">BAZ000962           </t>
  </si>
  <si>
    <t xml:space="preserve">OLLA ALUMINO C/TAP N°24 X 10 LTS   </t>
  </si>
  <si>
    <t xml:space="preserve">7790971001221       </t>
  </si>
  <si>
    <t xml:space="preserve">POSTRE CHOCOLATE X 1KG RAVANA      </t>
  </si>
  <si>
    <t xml:space="preserve">7790580132774       </t>
  </si>
  <si>
    <t xml:space="preserve">JUGO POLVO NARANJA  X 7GR BC       </t>
  </si>
  <si>
    <t>LOCRO</t>
  </si>
  <si>
    <t xml:space="preserve">7792900950013       </t>
  </si>
  <si>
    <t>LOCRO CRIOLLO LISTO X390G DOS ANCLA</t>
  </si>
  <si>
    <t xml:space="preserve">UNIF000476          </t>
  </si>
  <si>
    <t xml:space="preserve">PANTAL. GRAFA S. LOGO A. MAR 50    </t>
  </si>
  <si>
    <t>ACETO</t>
  </si>
  <si>
    <t xml:space="preserve">7797470004708       </t>
  </si>
  <si>
    <t xml:space="preserve">ACETO BALSAMICO X500CC MAROLIO     </t>
  </si>
  <si>
    <t>ARVEJA</t>
  </si>
  <si>
    <t xml:space="preserve">7790790120257       </t>
  </si>
  <si>
    <t xml:space="preserve">ARVEJA X 350 G INCA                </t>
  </si>
  <si>
    <t xml:space="preserve">UNIF000042          </t>
  </si>
  <si>
    <t xml:space="preserve">BUZO AZUL ELEVARE XL               </t>
  </si>
  <si>
    <t xml:space="preserve">UNIF000530          </t>
  </si>
  <si>
    <t xml:space="preserve">DELANTERO NEGRO NUTRIRE            </t>
  </si>
  <si>
    <t>GALLE AGUA INDIV S/SAL</t>
  </si>
  <si>
    <t xml:space="preserve">7796624012020       </t>
  </si>
  <si>
    <t xml:space="preserve">GALLE AGUA IND S/SAL X25G NEOSOL   </t>
  </si>
  <si>
    <t xml:space="preserve">UNIF000049          </t>
  </si>
  <si>
    <t xml:space="preserve">BUZO AZUL MARINO PULCRUS XL        </t>
  </si>
  <si>
    <t xml:space="preserve">UNIF000052          </t>
  </si>
  <si>
    <t xml:space="preserve">BUZO AZUL MARINO PULCRUS 4XL       </t>
  </si>
  <si>
    <t xml:space="preserve">7798024079494       </t>
  </si>
  <si>
    <t xml:space="preserve">GUANTES AFELPADOS  M MAKE          </t>
  </si>
  <si>
    <t xml:space="preserve">BAZ001190           </t>
  </si>
  <si>
    <t xml:space="preserve">CUCHARON DE ACERO INOX. N10        </t>
  </si>
  <si>
    <t xml:space="preserve">7791476034011       </t>
  </si>
  <si>
    <t xml:space="preserve">LENTEJAS SECAS 400GR EGRAN         </t>
  </si>
  <si>
    <t xml:space="preserve">7791218122617       </t>
  </si>
  <si>
    <t xml:space="preserve">RAVIOLES POLLO X500G ORALI         </t>
  </si>
  <si>
    <t xml:space="preserve">UNIF000436          </t>
  </si>
  <si>
    <t xml:space="preserve">CAMPERA TRUCKER A. MAR GL SUP M    </t>
  </si>
  <si>
    <t xml:space="preserve">BAZ001230           </t>
  </si>
  <si>
    <t xml:space="preserve">TARRO COC PLASTICO SOPLADO 3 KG    </t>
  </si>
  <si>
    <t xml:space="preserve">LIM00353            </t>
  </si>
  <si>
    <t xml:space="preserve">BOLSA RESID 60X90X50 AMAR 120MIC   </t>
  </si>
  <si>
    <t>ALIMENTO BALANCEADO FLAMENCO</t>
  </si>
  <si>
    <t xml:space="preserve">7790000000447       </t>
  </si>
  <si>
    <t xml:space="preserve">ALIMENTO BALANCEADO FLAMENCO KG    </t>
  </si>
  <si>
    <t>ALFAJOR SIMPLE BLANCO</t>
  </si>
  <si>
    <t xml:space="preserve">77912268            </t>
  </si>
  <si>
    <t xml:space="preserve">ALFAJOR BLANCO X38G MOGY           </t>
  </si>
  <si>
    <t xml:space="preserve">UNIF000174          </t>
  </si>
  <si>
    <t xml:space="preserve">GORRO C. GOURMET BAJO              </t>
  </si>
  <si>
    <t xml:space="preserve">7790000000227       </t>
  </si>
  <si>
    <t xml:space="preserve">FILM PVC 30 CM  2,645 KG X1UN      </t>
  </si>
  <si>
    <t xml:space="preserve">7790077000425       </t>
  </si>
  <si>
    <t xml:space="preserve">GL BUDIN VAINILLA X170GR POZO      </t>
  </si>
  <si>
    <t xml:space="preserve">7798092962247       </t>
  </si>
  <si>
    <t xml:space="preserve">ESPONJA DE ACERO XUN MAKE          </t>
  </si>
  <si>
    <t xml:space="preserve">7790040137844       </t>
  </si>
  <si>
    <t xml:space="preserve">GALLETITA VAINILLA X408G MANA      </t>
  </si>
  <si>
    <t xml:space="preserve">UNIF000571          </t>
  </si>
  <si>
    <t xml:space="preserve">REMERA BLANCA MANGA CORTA XXL      </t>
  </si>
  <si>
    <t xml:space="preserve">7793875360067       </t>
  </si>
  <si>
    <t xml:space="preserve">AJI MOLIDO X25G AROMAS Y SABORES   </t>
  </si>
  <si>
    <t>CHOCLO CREM AMARILLO</t>
  </si>
  <si>
    <t xml:space="preserve">7790499002489       </t>
  </si>
  <si>
    <t xml:space="preserve">CHO. AMAR.CREMOSO TETRA 340GR LA   </t>
  </si>
  <si>
    <t xml:space="preserve">7798040051919       </t>
  </si>
  <si>
    <t xml:space="preserve">TOALLA INTERC BEIGE X2500U 2.5KG   </t>
  </si>
  <si>
    <t xml:space="preserve">UNIF000295          </t>
  </si>
  <si>
    <t xml:space="preserve">CHOMBA PIQ A.FRANCIA B CAFE H S    </t>
  </si>
  <si>
    <t>LECHE DE ALMENDRAS</t>
  </si>
  <si>
    <t xml:space="preserve">7790742340108       </t>
  </si>
  <si>
    <t>LECHE ALMENDRAS X 1LT LA SERENISIMA</t>
  </si>
  <si>
    <t xml:space="preserve">7793875360333       </t>
  </si>
  <si>
    <t xml:space="preserve">AJI MOLIDO X 1KGS AROMAS Y SAB     </t>
  </si>
  <si>
    <t>AZUCAR IMPALPABLE</t>
  </si>
  <si>
    <t xml:space="preserve">7791113004476       </t>
  </si>
  <si>
    <t xml:space="preserve">AZUCAR IMPALPABLE X 1KG EMETH      </t>
  </si>
  <si>
    <t xml:space="preserve">7790221010607       </t>
  </si>
  <si>
    <t xml:space="preserve">SORBETES X 1000U                   </t>
  </si>
  <si>
    <t xml:space="preserve">7790000000476       </t>
  </si>
  <si>
    <t xml:space="preserve">ARMAZON PARA MOPA X 80CM           </t>
  </si>
  <si>
    <t xml:space="preserve">UNIF000628          </t>
  </si>
  <si>
    <t xml:space="preserve">DELANTERO NEGRO BLUE               </t>
  </si>
  <si>
    <t xml:space="preserve">UNIF000229          </t>
  </si>
  <si>
    <t xml:space="preserve">PANTAL CARG NEGRO VER. 54 GL SUP   </t>
  </si>
  <si>
    <t xml:space="preserve">UNIF000490          </t>
  </si>
  <si>
    <t xml:space="preserve">CAMI GRIS CAMAR. RET. T38 C GOUR   </t>
  </si>
  <si>
    <t>CHAMPIGNON ENTERO</t>
  </si>
  <si>
    <t xml:space="preserve">7790499000546       </t>
  </si>
  <si>
    <t xml:space="preserve">CHAMPINGNON ENTERO X400 LA BANDA   </t>
  </si>
  <si>
    <t xml:space="preserve">16204014A           </t>
  </si>
  <si>
    <t xml:space="preserve">ROLLO BOLSA ARRANQUE 15X20         </t>
  </si>
  <si>
    <t>CABOS ALUMINIO</t>
  </si>
  <si>
    <t xml:space="preserve">7793253004443       </t>
  </si>
  <si>
    <t xml:space="preserve">CABO METALICO C/ROSCA              </t>
  </si>
  <si>
    <t>CABOS MADERA</t>
  </si>
  <si>
    <t xml:space="preserve">LIM000183           </t>
  </si>
  <si>
    <t xml:space="preserve">CABO MADERA X 1.30 M               </t>
  </si>
  <si>
    <t>YOGUR ENTERO VAINILLA</t>
  </si>
  <si>
    <t xml:space="preserve">7798001563060       </t>
  </si>
  <si>
    <t xml:space="preserve">YOGUR ENT VAIN X900CC CREMIGAL     </t>
  </si>
  <si>
    <t xml:space="preserve">BA-835              </t>
  </si>
  <si>
    <t xml:space="preserve">CESTO OFICINA 5LT                  </t>
  </si>
  <si>
    <t xml:space="preserve">BUM310              </t>
  </si>
  <si>
    <t xml:space="preserve">BACHA                              </t>
  </si>
  <si>
    <t>BANANA</t>
  </si>
  <si>
    <t xml:space="preserve">7790216020046       </t>
  </si>
  <si>
    <t xml:space="preserve">FRUTA BANANA X U                   </t>
  </si>
  <si>
    <t xml:space="preserve">7790000000827       </t>
  </si>
  <si>
    <t>BOLSA RESID NEGR 90X110X50U KIT ESC</t>
  </si>
  <si>
    <t>POLLO ENTERO T10</t>
  </si>
  <si>
    <t xml:space="preserve">7790212031270       </t>
  </si>
  <si>
    <t xml:space="preserve">POLLO T10 C XU                     </t>
  </si>
  <si>
    <t xml:space="preserve">2000174             </t>
  </si>
  <si>
    <t xml:space="preserve">PA#O REJILLA MD M.PROPIA           </t>
  </si>
  <si>
    <t>HUEVO PACK</t>
  </si>
  <si>
    <t xml:space="preserve">7798158930074       </t>
  </si>
  <si>
    <t xml:space="preserve">HUEVO BLANCO PACK X6U              </t>
  </si>
  <si>
    <t>QUESOS ESPECIALES</t>
  </si>
  <si>
    <t xml:space="preserve">7790212060904       </t>
  </si>
  <si>
    <t xml:space="preserve">QUESO ROQUEFORT XKG EMPERADOR      </t>
  </si>
  <si>
    <t xml:space="preserve">LIM000109           </t>
  </si>
  <si>
    <t xml:space="preserve">BOLSA RESIDUO NEGRA 80X110X50U     </t>
  </si>
  <si>
    <t xml:space="preserve">7798088625421       </t>
  </si>
  <si>
    <t>BUDIN ENTERO BANANA/NEUZ XU SELYGEL</t>
  </si>
  <si>
    <t xml:space="preserve">67798152430299      </t>
  </si>
  <si>
    <t xml:space="preserve">ESCOBILLON FRANCES PLAST 80CM      </t>
  </si>
  <si>
    <t xml:space="preserve">BAZ001244           </t>
  </si>
  <si>
    <t xml:space="preserve">CUCHILLMANGO PLASTI ROJO           </t>
  </si>
  <si>
    <t>LECHE POLVO ENTERA</t>
  </si>
  <si>
    <t xml:space="preserve">7795311833364       </t>
  </si>
  <si>
    <t xml:space="preserve">LECHE POLVO X400GR SUPERLAC        </t>
  </si>
  <si>
    <t>ACELGA</t>
  </si>
  <si>
    <t xml:space="preserve">7790216010072       </t>
  </si>
  <si>
    <t xml:space="preserve">ACELGA X KG                        </t>
  </si>
  <si>
    <t xml:space="preserve">754697522108        </t>
  </si>
  <si>
    <t xml:space="preserve">PIMIENTA BLANCA MOLX250 LA PARME   </t>
  </si>
  <si>
    <t>TOMATE TRITURADO</t>
  </si>
  <si>
    <t xml:space="preserve">7798156760314       </t>
  </si>
  <si>
    <t xml:space="preserve">TOMATE TRIT STACC X500G SABORES    </t>
  </si>
  <si>
    <t xml:space="preserve">7790971002501       </t>
  </si>
  <si>
    <t xml:space="preserve">MOUSSE CHOCOLATE X5KG ORLOC        </t>
  </si>
  <si>
    <t>URINAL</t>
  </si>
  <si>
    <t xml:space="preserve">7790000000745       </t>
  </si>
  <si>
    <t xml:space="preserve">URINAL THAMES X U                  </t>
  </si>
  <si>
    <t xml:space="preserve">9001930             </t>
  </si>
  <si>
    <t xml:space="preserve">PALA CON CABO Y GOMA ROJO          </t>
  </si>
  <si>
    <t xml:space="preserve">7798092968737       </t>
  </si>
  <si>
    <t xml:space="preserve">GUANTES GOMA VERDE PAR XU G MAKE   </t>
  </si>
  <si>
    <t xml:space="preserve">MOD21124            </t>
  </si>
  <si>
    <t xml:space="preserve">MOD DIABETICO 3DF ABR26            </t>
  </si>
  <si>
    <t xml:space="preserve">BAZ001301           </t>
  </si>
  <si>
    <t xml:space="preserve">TENEDOR MESA M/ PLASTICO NEGRO     </t>
  </si>
  <si>
    <t xml:space="preserve">UNIF000418          </t>
  </si>
  <si>
    <t xml:space="preserve">BUZO BLANCO NUTRIRE FRISA 5XL      </t>
  </si>
  <si>
    <t xml:space="preserve">UNIF000554          </t>
  </si>
  <si>
    <t xml:space="preserve">PANTALON JEAN 44 GL SUP            </t>
  </si>
  <si>
    <t xml:space="preserve">790757899650        </t>
  </si>
  <si>
    <t xml:space="preserve">FLAN CHOCOLATE 1KG POREC           </t>
  </si>
  <si>
    <t>BROCOLI</t>
  </si>
  <si>
    <t xml:space="preserve">7790216012616       </t>
  </si>
  <si>
    <t xml:space="preserve">BROCOLI X KG                       </t>
  </si>
  <si>
    <t xml:space="preserve">UNIF000411          </t>
  </si>
  <si>
    <t xml:space="preserve">BUZO BLANCO NUTRIRE FRISA S        </t>
  </si>
  <si>
    <t xml:space="preserve">UNIF000116          </t>
  </si>
  <si>
    <t xml:space="preserve">PANTALON NAUTICO GRIS 6            </t>
  </si>
  <si>
    <t>SALAME</t>
  </si>
  <si>
    <t xml:space="preserve">7790212050103       </t>
  </si>
  <si>
    <t xml:space="preserve">SALAME MILAN XKG                   </t>
  </si>
  <si>
    <t xml:space="preserve">7790000000467       </t>
  </si>
  <si>
    <t xml:space="preserve">ARMAZON PARA MOPA X100CM           </t>
  </si>
  <si>
    <t xml:space="preserve">UNIF000328          </t>
  </si>
  <si>
    <t xml:space="preserve">REMERA-BLANCO C/REDONDO 3XL        </t>
  </si>
  <si>
    <t xml:space="preserve">7790742363008       </t>
  </si>
  <si>
    <t xml:space="preserve">LECHE LV ENTERA 3% X1L SERENISIMA  </t>
  </si>
  <si>
    <t xml:space="preserve">UNIF000466          </t>
  </si>
  <si>
    <t xml:space="preserve">PANTALON GRAF S. LOGO VERD 48      </t>
  </si>
  <si>
    <t xml:space="preserve">7790530370409       </t>
  </si>
  <si>
    <t xml:space="preserve">GELATINA CEREZA X 5KG BEDIAL       </t>
  </si>
  <si>
    <t xml:space="preserve">UNIF000710          </t>
  </si>
  <si>
    <t xml:space="preserve">CAMP. NARAN TRUCKER ELEVARE S      </t>
  </si>
  <si>
    <t xml:space="preserve">UNIF000561          </t>
  </si>
  <si>
    <t xml:space="preserve">PANTALON JEAN 58                   </t>
  </si>
  <si>
    <t xml:space="preserve">7790321020302       </t>
  </si>
  <si>
    <t xml:space="preserve">TAPA 105 X100U CELPAK              </t>
  </si>
  <si>
    <t xml:space="preserve">UNIF000425          </t>
  </si>
  <si>
    <t xml:space="preserve">CAMISA GRAFA-AZUL MARINO 54 ELEV   </t>
  </si>
  <si>
    <t xml:space="preserve">7790530085303       </t>
  </si>
  <si>
    <t xml:space="preserve">CACAO X 180 GRS BEDIAL             </t>
  </si>
  <si>
    <t xml:space="preserve">00213902645824      </t>
  </si>
  <si>
    <t xml:space="preserve">PECHO PORCION ENV VAC XKG          </t>
  </si>
  <si>
    <t xml:space="preserve">7798188650461       </t>
  </si>
  <si>
    <t xml:space="preserve">DESODORANTE P/PISO PINO X5L THAME  </t>
  </si>
  <si>
    <t>MIX FRUTAS SECAS</t>
  </si>
  <si>
    <t xml:space="preserve">7798186161235       </t>
  </si>
  <si>
    <t xml:space="preserve">MIX FRUTOS SECOS B X1KG NOGALES    </t>
  </si>
  <si>
    <t xml:space="preserve">7798287511014       </t>
  </si>
  <si>
    <t xml:space="preserve">REPUESTO P/MOPA 60 CM              </t>
  </si>
  <si>
    <t xml:space="preserve">UNIF000445          </t>
  </si>
  <si>
    <t xml:space="preserve">CAMP. TRUCKER A. MAR GRUPO L XL    </t>
  </si>
  <si>
    <t xml:space="preserve">7798011977413       </t>
  </si>
  <si>
    <t xml:space="preserve">SAL SOB 5GR CHEF GOURMET 1000U     </t>
  </si>
  <si>
    <t>CUADRIL SIN TAPA</t>
  </si>
  <si>
    <t xml:space="preserve">790212030076        </t>
  </si>
  <si>
    <t xml:space="preserve">CUADRIL SIN TAPA XKG               </t>
  </si>
  <si>
    <t xml:space="preserve">9001653             </t>
  </si>
  <si>
    <t xml:space="preserve">DISCO 20` DISCO ROJO               </t>
  </si>
  <si>
    <t xml:space="preserve">UNIF000601          </t>
  </si>
  <si>
    <t xml:space="preserve">UNIF000305          </t>
  </si>
  <si>
    <t xml:space="preserve">REME VERDE MILITAR C/REDONDO 3XL   </t>
  </si>
  <si>
    <t xml:space="preserve">UNIF000241          </t>
  </si>
  <si>
    <t xml:space="preserve">PANTAL NAUT BLANCO SIN LOGO - T3   </t>
  </si>
  <si>
    <t xml:space="preserve">BAZ001276           </t>
  </si>
  <si>
    <t xml:space="preserve">BOWL CUADRA B/ REDON 17.5X17.5     </t>
  </si>
  <si>
    <t>JUGO INDIVIDUAL MANZANA</t>
  </si>
  <si>
    <t xml:space="preserve">7790895000720       </t>
  </si>
  <si>
    <t xml:space="preserve">JUGO MANZANA X200ML CEPITA         </t>
  </si>
  <si>
    <t xml:space="preserve">7791113000621       </t>
  </si>
  <si>
    <t xml:space="preserve">DULCE BATATA X 5KG EMETH           </t>
  </si>
  <si>
    <t xml:space="preserve">UNIF000197          </t>
  </si>
  <si>
    <t xml:space="preserve">PANTA. CARGO NEGRO 48 GL SUPPORT   </t>
  </si>
  <si>
    <t xml:space="preserve">7798057867815       </t>
  </si>
  <si>
    <t xml:space="preserve">AMONIO CUATERNARIO CREW CJ 4X5L    </t>
  </si>
  <si>
    <t xml:space="preserve">UNIF000242          </t>
  </si>
  <si>
    <t xml:space="preserve">PANTAL NAUT BLANCO SIN LOGO - T4   </t>
  </si>
  <si>
    <t>ARROZ YAMANI</t>
  </si>
  <si>
    <t xml:space="preserve">0724751080530       </t>
  </si>
  <si>
    <t xml:space="preserve">ARROZ YAMANI X1KG PUERTO GOURMET	  </t>
  </si>
  <si>
    <t xml:space="preserve">UNIF000047          </t>
  </si>
  <si>
    <t xml:space="preserve">BUZO AZUL MARINO PULCRUS M         </t>
  </si>
  <si>
    <t xml:space="preserve">7790520995285       </t>
  </si>
  <si>
    <t xml:space="preserve">DESINFEC AER LYSOFORM 0.36L        </t>
  </si>
  <si>
    <t xml:space="preserve">UNIF000044          </t>
  </si>
  <si>
    <t xml:space="preserve">BUZO A. MARINO-FRISA ELEVARE 3XL   </t>
  </si>
  <si>
    <t>ALFAJOR TRIPLE NEGRO</t>
  </si>
  <si>
    <t xml:space="preserve">7798094220956       </t>
  </si>
  <si>
    <t xml:space="preserve">ALFAJOR TRIPLE NEGRO X60G GENIO    </t>
  </si>
  <si>
    <t xml:space="preserve">UNIF000132          </t>
  </si>
  <si>
    <t xml:space="preserve">BUZO GRIS FRISA GL SUPPORT S       </t>
  </si>
  <si>
    <t xml:space="preserve">UNIF000325          </t>
  </si>
  <si>
    <t xml:space="preserve">REMERA CUELLO RED BLAN NUTRI L     </t>
  </si>
  <si>
    <t xml:space="preserve">7798287510833       </t>
  </si>
  <si>
    <t xml:space="preserve">ARMAZON P/MOPA 1MT                 </t>
  </si>
  <si>
    <t>GELATINA FRUTILLA</t>
  </si>
  <si>
    <t xml:space="preserve">7791113001178       </t>
  </si>
  <si>
    <t xml:space="preserve">GELATINA FRUTILLA X 70 G EMETH     </t>
  </si>
  <si>
    <t xml:space="preserve">7793875360319       </t>
  </si>
  <si>
    <t xml:space="preserve">CONDIMENTO P/PIZZA X1KG AYS        </t>
  </si>
  <si>
    <t>DULCE MEMBRILLO</t>
  </si>
  <si>
    <t xml:space="preserve">7791113000478       </t>
  </si>
  <si>
    <t xml:space="preserve">DULCE DE MEMBRILLO X 5 KG EMETH    </t>
  </si>
  <si>
    <t xml:space="preserve">7798188650430       </t>
  </si>
  <si>
    <t xml:space="preserve">CERA INCOLORA X5L WAX              </t>
  </si>
  <si>
    <t xml:space="preserve">UNIF000597          </t>
  </si>
  <si>
    <t xml:space="preserve">CHAQUETA CUELLO MAO T5 C GOURM     </t>
  </si>
  <si>
    <t>VINAGRE VINO</t>
  </si>
  <si>
    <t xml:space="preserve">7792378000838       </t>
  </si>
  <si>
    <t xml:space="preserve">VINAGRE VINO 1LT COMENSAL          </t>
  </si>
  <si>
    <t>EMPANADA CONG HUMITA</t>
  </si>
  <si>
    <t xml:space="preserve">77902113030047      </t>
  </si>
  <si>
    <t xml:space="preserve">EMPANADA CONGELADA HUMITA X50U     </t>
  </si>
  <si>
    <t xml:space="preserve">7793875342155       </t>
  </si>
  <si>
    <t xml:space="preserve">COCO RALLADO X1KG AROMAS           </t>
  </si>
  <si>
    <t xml:space="preserve">7790154008078       </t>
  </si>
  <si>
    <t xml:space="preserve">SIDRA X750ML 1930                  </t>
  </si>
  <si>
    <t xml:space="preserve">7790503198498       </t>
  </si>
  <si>
    <t xml:space="preserve">ARROZ 0000 X 1 KG FEDERAL          </t>
  </si>
  <si>
    <t xml:space="preserve">7790499001055       </t>
  </si>
  <si>
    <t xml:space="preserve">CHOCLO GRANO AMAR X 300 LA BANDA   </t>
  </si>
  <si>
    <t xml:space="preserve">7791599000269       </t>
  </si>
  <si>
    <t xml:space="preserve">FID TALLARIN X500GR TORINO         </t>
  </si>
  <si>
    <t xml:space="preserve">7796322010270       </t>
  </si>
  <si>
    <t xml:space="preserve">BALLERINA AMARILLA XUN MPROP       </t>
  </si>
  <si>
    <t xml:space="preserve">BAZ001233           </t>
  </si>
  <si>
    <t xml:space="preserve">VASO BRISTOL JUG 330CC 74 H143.5   </t>
  </si>
  <si>
    <t xml:space="preserve">UNIF000754          </t>
  </si>
  <si>
    <t xml:space="preserve">CHOMBA PIQ GR MELANGE BLUE CAFÉ XL </t>
  </si>
  <si>
    <t xml:space="preserve">UNIF000492          </t>
  </si>
  <si>
    <t xml:space="preserve">CAMI GRIS CAMAR. RET. T42 C GOUR   </t>
  </si>
  <si>
    <t xml:space="preserve">7798353362403       </t>
  </si>
  <si>
    <t xml:space="preserve">VASO TERMICO 240X1000U WELL CUP    </t>
  </si>
  <si>
    <t>FILET MERLUZA CONGELADA</t>
  </si>
  <si>
    <t xml:space="preserve">7798221742566       </t>
  </si>
  <si>
    <t xml:space="preserve">FILET MERLUZA IQF X6KG PAMPA FIS   </t>
  </si>
  <si>
    <t xml:space="preserve">UNIF000590          </t>
  </si>
  <si>
    <t xml:space="preserve">CHAQUETA CUELLO MAO T5 GL SUP.     </t>
  </si>
  <si>
    <t xml:space="preserve">7798188651180       </t>
  </si>
  <si>
    <t>PAPEL HIG BCO PREM X8UN X200MTX3.2K</t>
  </si>
  <si>
    <t>GALLE DE ALGARROBA</t>
  </si>
  <si>
    <t xml:space="preserve">7798128000684       </t>
  </si>
  <si>
    <t xml:space="preserve">GALLE ALGARROBA X255G CACHAFAZ     </t>
  </si>
  <si>
    <t xml:space="preserve">7794990879731       </t>
  </si>
  <si>
    <t xml:space="preserve">CREMA LECHE X 5LT LA PAULINA       </t>
  </si>
  <si>
    <t xml:space="preserve">7790503000029       </t>
  </si>
  <si>
    <t xml:space="preserve">ARROZ PARBOIL STACC X5K DOS HNOS   </t>
  </si>
  <si>
    <t>TE ENSOB LIMON</t>
  </si>
  <si>
    <t xml:space="preserve">7790150240175       </t>
  </si>
  <si>
    <t xml:space="preserve">TE LIMON ENSOB X20U LA VIRGINA     </t>
  </si>
  <si>
    <t xml:space="preserve">7793253386160       </t>
  </si>
  <si>
    <t xml:space="preserve">ESPONJA ACERO INOX MORTIMER        </t>
  </si>
  <si>
    <t xml:space="preserve">UNIF000165          </t>
  </si>
  <si>
    <t xml:space="preserve">CHAQUETA CHEF 5 C. GOURMET         </t>
  </si>
  <si>
    <t xml:space="preserve">7794417224687       </t>
  </si>
  <si>
    <t xml:space="preserve">GUANTE DE GOMA TALLE 9 NAR         </t>
  </si>
  <si>
    <t xml:space="preserve">7799132966563       </t>
  </si>
  <si>
    <t xml:space="preserve">ALFAJOR CHOCOLATE X50U SELYG       </t>
  </si>
  <si>
    <t xml:space="preserve">7798054180054       </t>
  </si>
  <si>
    <t xml:space="preserve">DURAZNO X 820 GR COMAI             </t>
  </si>
  <si>
    <t xml:space="preserve">UNIF000595          </t>
  </si>
  <si>
    <t xml:space="preserve">CHAQUETA CUELLO MAO T3 C GOURM     </t>
  </si>
  <si>
    <t xml:space="preserve">7798181641435       </t>
  </si>
  <si>
    <t xml:space="preserve">LECHE BB2 ADVANCEDX200CC SANC	     </t>
  </si>
  <si>
    <t xml:space="preserve">7790321020992       </t>
  </si>
  <si>
    <t xml:space="preserve">BOLSA CUBIERTOS 10X 25 X100 U      </t>
  </si>
  <si>
    <t xml:space="preserve">UNIF000543          </t>
  </si>
  <si>
    <t xml:space="preserve">CHOMBA GRIS NEG MANG CORTA NAR S   </t>
  </si>
  <si>
    <t>AVENA INSTANTANEA</t>
  </si>
  <si>
    <t xml:space="preserve">7790045823575       </t>
  </si>
  <si>
    <t xml:space="preserve">AVENA INSTX400GR GRANIX            </t>
  </si>
  <si>
    <t xml:space="preserve">5000752             </t>
  </si>
  <si>
    <t>GUANTE MAPA ULTRANITRIL AF 492 VERD</t>
  </si>
  <si>
    <t xml:space="preserve">7790971002082       </t>
  </si>
  <si>
    <t xml:space="preserve">AZUCAR IMPALPABLE X500G ORLOC      </t>
  </si>
  <si>
    <t>VINO OPORTO</t>
  </si>
  <si>
    <t xml:space="preserve">7792100016281       </t>
  </si>
  <si>
    <t xml:space="preserve">VINO OPORTO X 1L FLORIO            </t>
  </si>
  <si>
    <t xml:space="preserve">EMB000130           </t>
  </si>
  <si>
    <t xml:space="preserve">CAJA DE PIZZA CHICA X 50 U         </t>
  </si>
  <si>
    <t xml:space="preserve">7790500006673       </t>
  </si>
  <si>
    <t xml:space="preserve">DURAZNO MITAD X400G GOLDEN PEACH   </t>
  </si>
  <si>
    <t xml:space="preserve">7790971002396       </t>
  </si>
  <si>
    <t xml:space="preserve">POSTRE DULCE LECHE X 90GR RAVA     </t>
  </si>
  <si>
    <t xml:space="preserve">7798375280341       </t>
  </si>
  <si>
    <t xml:space="preserve">COPOS MAIZ S/AZ STACC X150G REDZY  </t>
  </si>
  <si>
    <t xml:space="preserve">MOD21052            </t>
  </si>
  <si>
    <t xml:space="preserve">MOD DBT G.RODRIGUEZ MAR26          </t>
  </si>
  <si>
    <t>ARROZ INTEGRAL</t>
  </si>
  <si>
    <t xml:space="preserve">7790503199105       </t>
  </si>
  <si>
    <t xml:space="preserve">ARROZ INTEGRAL X1KG DOS HERMA	     </t>
  </si>
  <si>
    <t xml:space="preserve">UNIF000369          </t>
  </si>
  <si>
    <t xml:space="preserve">SWEETER GRIS LANA GL SUP LIMP M    </t>
  </si>
  <si>
    <t xml:space="preserve">7790321626929       </t>
  </si>
  <si>
    <t xml:space="preserve">CAJA 300X180X280 90LIB S/LOGO      </t>
  </si>
  <si>
    <t xml:space="preserve">UNIF000011          </t>
  </si>
  <si>
    <t xml:space="preserve">AMBO A. MAR. GL SUP ESC V XL       </t>
  </si>
  <si>
    <t xml:space="preserve">7790000000205       </t>
  </si>
  <si>
    <t xml:space="preserve">BOLSA PARA CESTO 50X70CM X50UN     </t>
  </si>
  <si>
    <t xml:space="preserve">7790321020283       </t>
  </si>
  <si>
    <t xml:space="preserve">BANDEJA PLAS 101 X100U RECT COTNYL </t>
  </si>
  <si>
    <t xml:space="preserve">7791199003028       </t>
  </si>
  <si>
    <t xml:space="preserve">REPELENTE X200CC FLUSH             </t>
  </si>
  <si>
    <t>OBLEAS</t>
  </si>
  <si>
    <t xml:space="preserve">7793123160012       </t>
  </si>
  <si>
    <t xml:space="preserve">OBLEA SAB VAIN 50GR OBLITA         </t>
  </si>
  <si>
    <t>CHOCOLATE REPOST</t>
  </si>
  <si>
    <t xml:space="preserve">7790580131487       </t>
  </si>
  <si>
    <t xml:space="preserve">BAÑO REPOSTERIA SEMI X150G AGUILA  </t>
  </si>
  <si>
    <t xml:space="preserve">UNIF000136          </t>
  </si>
  <si>
    <t xml:space="preserve">BUZO FRIZA GRIS TALLE 2XL          </t>
  </si>
  <si>
    <t>PAN x 70 G</t>
  </si>
  <si>
    <t xml:space="preserve">7790213010022       </t>
  </si>
  <si>
    <t xml:space="preserve">PAN X KG-PIEZAS DE 70 GRS          </t>
  </si>
  <si>
    <t xml:space="preserve">7798338290479       </t>
  </si>
  <si>
    <t xml:space="preserve">LECHE ENT LV 1LT APOSTOLES         </t>
  </si>
  <si>
    <t xml:space="preserve">UNIF000058          </t>
  </si>
  <si>
    <t xml:space="preserve">BUZO A. MARINO-FRISA GL SUP- 3XL   </t>
  </si>
  <si>
    <t xml:space="preserve">7798065720140       </t>
  </si>
  <si>
    <t xml:space="preserve">SECADOR DOBLE GOMA 40CM XUN        </t>
  </si>
  <si>
    <t xml:space="preserve">7794459003066       </t>
  </si>
  <si>
    <t xml:space="preserve">ROLLO ARRANQUE 50X70 X6U 1500GR    </t>
  </si>
  <si>
    <t xml:space="preserve">FRUTILLA </t>
  </si>
  <si>
    <t xml:space="preserve">7790216020095       </t>
  </si>
  <si>
    <t xml:space="preserve">FRUTA FRUTILLA X KG                </t>
  </si>
  <si>
    <t xml:space="preserve">UNIF000469          </t>
  </si>
  <si>
    <t xml:space="preserve">PANTALON GRAF S. LOGO VERD 54      </t>
  </si>
  <si>
    <t>BALDE PLAST 9LT</t>
  </si>
  <si>
    <t xml:space="preserve">798065720034        </t>
  </si>
  <si>
    <t xml:space="preserve">BALDE 9LT ECO XUN MPROPIA          </t>
  </si>
  <si>
    <t>VIANDA PARA CELIACOS</t>
  </si>
  <si>
    <t xml:space="preserve">7798131130781       </t>
  </si>
  <si>
    <t xml:space="preserve">EMPANADAS JAMÓN Y QUESO X2 LA DE   </t>
  </si>
  <si>
    <t xml:space="preserve">7798048981025       </t>
  </si>
  <si>
    <t xml:space="preserve">SALSA DE SOJA FUMEIGA 5LT          </t>
  </si>
  <si>
    <t>LAUREL SECO</t>
  </si>
  <si>
    <t xml:space="preserve">7793875314756       </t>
  </si>
  <si>
    <t xml:space="preserve">LAUREL X1KG AROMAS Y SABORES       </t>
  </si>
  <si>
    <t>CHAMPIGNON LAMINADO</t>
  </si>
  <si>
    <t xml:space="preserve">7793275000662       </t>
  </si>
  <si>
    <t xml:space="preserve">CHAMPIGNON LAMINADO X2.9KG REYGAL  </t>
  </si>
  <si>
    <t>MATE COCIDO SAQ S/TACC</t>
  </si>
  <si>
    <t xml:space="preserve">7792198006638       </t>
  </si>
  <si>
    <t xml:space="preserve">MATE COC EN SAQ X25U NATURA	       </t>
  </si>
  <si>
    <t xml:space="preserve">LIM000239           </t>
  </si>
  <si>
    <t xml:space="preserve">SECADOR DE PISO X 40 CM            </t>
  </si>
  <si>
    <t xml:space="preserve">7796244000052       </t>
  </si>
  <si>
    <t xml:space="preserve">TE EN SAQ X25U NORY                </t>
  </si>
  <si>
    <t xml:space="preserve">UNIF000741          </t>
  </si>
  <si>
    <t xml:space="preserve">CHAQUETA CHEF BLUE CAFÉ XXL        </t>
  </si>
  <si>
    <t xml:space="preserve">7790320000000       </t>
  </si>
  <si>
    <t xml:space="preserve">BOLSA RESID 45X60X50 ROJA 70MIC    </t>
  </si>
  <si>
    <t>PAN DULCE S FRUTA</t>
  </si>
  <si>
    <t xml:space="preserve">7798355480181       </t>
  </si>
  <si>
    <t xml:space="preserve">PAN DULCE S/FRUTA X400G DELI PAN   </t>
  </si>
  <si>
    <t xml:space="preserve">BAZ001259           </t>
  </si>
  <si>
    <t xml:space="preserve">COPA MARTINI SAN CC MOD EMBASSY    </t>
  </si>
  <si>
    <t xml:space="preserve">7798011970186       </t>
  </si>
  <si>
    <t xml:space="preserve">AZUCAR INDIV 6.25GRX800U ABEDUL    </t>
  </si>
  <si>
    <t>PEPA INDIVIDUAL</t>
  </si>
  <si>
    <t xml:space="preserve">7793176000020       </t>
  </si>
  <si>
    <t xml:space="preserve">GALLET DUL PEPA X 30G TEMFLOR      </t>
  </si>
  <si>
    <t xml:space="preserve">UNIF000111          </t>
  </si>
  <si>
    <t xml:space="preserve">PANTALON NAUTICO GRIS 1            </t>
  </si>
  <si>
    <t xml:space="preserve">UNIF000230          </t>
  </si>
  <si>
    <t xml:space="preserve">PANTAL CARG NEGRO VER. 56 GL SUP   </t>
  </si>
  <si>
    <t xml:space="preserve">UNIF000189          </t>
  </si>
  <si>
    <t xml:space="preserve">PANTA. CARGO A.MAR 52 GL SUPPORT   </t>
  </si>
  <si>
    <t>QUESO CHEDDAR</t>
  </si>
  <si>
    <t xml:space="preserve">7794820000489       </t>
  </si>
  <si>
    <t xml:space="preserve">QUESO CHEDAR FETAS X2.37KG MILKAUT </t>
  </si>
  <si>
    <t>VAINILLAS PAQUETE</t>
  </si>
  <si>
    <t xml:space="preserve">7790077000067       </t>
  </si>
  <si>
    <t xml:space="preserve">VAINILLAS X148G POZO               </t>
  </si>
  <si>
    <t>ACEITE GIRASOL GRANEL</t>
  </si>
  <si>
    <t xml:space="preserve">7798316700839       </t>
  </si>
  <si>
    <t xml:space="preserve">ACEITE GIR STACC X5LT LEGITIMO     </t>
  </si>
  <si>
    <t xml:space="preserve">BAZ001195           </t>
  </si>
  <si>
    <t xml:space="preserve">CUCHILL MANG PLAST MICROBAN 8"     </t>
  </si>
  <si>
    <t xml:space="preserve">UNIF000384          </t>
  </si>
  <si>
    <t xml:space="preserve">SWEATER AZUL-LANA 3XL              </t>
  </si>
  <si>
    <t>CRIOLLITO CONGELADO</t>
  </si>
  <si>
    <t xml:space="preserve">17792180009279      </t>
  </si>
  <si>
    <t xml:space="preserve">CRIOLLITO CONG 45GX192U CANUELAS   </t>
  </si>
  <si>
    <t xml:space="preserve">7798156760970       </t>
  </si>
  <si>
    <t xml:space="preserve">LOCRO X500GR SABORES DEL VALLE     </t>
  </si>
  <si>
    <t xml:space="preserve">UNIF000121          </t>
  </si>
  <si>
    <t xml:space="preserve">PANTALON NAUTICO BLANCO 3          </t>
  </si>
  <si>
    <t xml:space="preserve">A1607C25T11         </t>
  </si>
  <si>
    <t xml:space="preserve">ZAPATO SEG. NEG. 44 ATT CHUBUT     </t>
  </si>
  <si>
    <t xml:space="preserve">UNIF000314          </t>
  </si>
  <si>
    <t xml:space="preserve">REMERA C/RED A. MAR GRUPO L 5XL    </t>
  </si>
  <si>
    <t xml:space="preserve">7798290581875       </t>
  </si>
  <si>
    <t xml:space="preserve">LECHE ALMENDRAS X1L BIBA.          </t>
  </si>
  <si>
    <t>SAL FINA</t>
  </si>
  <si>
    <t xml:space="preserve">7790641000011       </t>
  </si>
  <si>
    <t xml:space="preserve">SAL FINA X 500 G COLOSAL           </t>
  </si>
  <si>
    <t xml:space="preserve">7798078450041       </t>
  </si>
  <si>
    <t xml:space="preserve">ARROZ INTEGRAL X1KG VANGUARDIA     </t>
  </si>
  <si>
    <t xml:space="preserve">UNIF000217          </t>
  </si>
  <si>
    <t xml:space="preserve">PANTAL CARG NEGRO NAR. 48 GL SUP   </t>
  </si>
  <si>
    <t>SAL FINAL S/TACC</t>
  </si>
  <si>
    <t xml:space="preserve">7790072001014       </t>
  </si>
  <si>
    <t xml:space="preserve">SAL FINA X 500 GR CELUSAL.         </t>
  </si>
  <si>
    <t xml:space="preserve">LIM000373           </t>
  </si>
  <si>
    <t xml:space="preserve">CORDERITO P/ LIMPIA VIDRIOS XU     </t>
  </si>
  <si>
    <t xml:space="preserve">7798092969802       </t>
  </si>
  <si>
    <t xml:space="preserve">GUANTES FLEX L                     </t>
  </si>
  <si>
    <t xml:space="preserve">UNIF000344          </t>
  </si>
  <si>
    <t xml:space="preserve">CHAQ CUE.MAO AY/CAM/PEON 2 NUTRI   </t>
  </si>
  <si>
    <t xml:space="preserve">UNIF000507          </t>
  </si>
  <si>
    <t xml:space="preserve">CAMPERA POLAR NEGRA 3XL C. GOUR    </t>
  </si>
  <si>
    <t xml:space="preserve">UNIF000756          </t>
  </si>
  <si>
    <t xml:space="preserve">GORRO F1 POLYESTER BLUE CAFÉ U     </t>
  </si>
  <si>
    <t xml:space="preserve">7790216020103       </t>
  </si>
  <si>
    <t xml:space="preserve">FRUTA MANDARINA 90-120 XKG         </t>
  </si>
  <si>
    <t xml:space="preserve">7791120037559       </t>
  </si>
  <si>
    <t xml:space="preserve">ARROZ PARBOIL X1KG MOLINOS ALA     </t>
  </si>
  <si>
    <t xml:space="preserve">UNIF000037          </t>
  </si>
  <si>
    <t xml:space="preserve">BUZO A. MARINO-FRISA GRUPO L 3XL   </t>
  </si>
  <si>
    <t xml:space="preserve">7790000000231       </t>
  </si>
  <si>
    <t xml:space="preserve">INDIVIDUAL GL SUPPORT X1000        </t>
  </si>
  <si>
    <t>MATE COCIDO SOB S/TACC</t>
  </si>
  <si>
    <t xml:space="preserve">7790387010046       </t>
  </si>
  <si>
    <t xml:space="preserve">MATE COCID EN SOB X40SAQ TARAGUI	  </t>
  </si>
  <si>
    <t xml:space="preserve">UNIF000232          </t>
  </si>
  <si>
    <t xml:space="preserve">PANTALON CARGO S. LOGO NEGRO 42    </t>
  </si>
  <si>
    <t xml:space="preserve">7798092969444       </t>
  </si>
  <si>
    <t xml:space="preserve">CABO METALICO C/ROSCA 1,30         </t>
  </si>
  <si>
    <t xml:space="preserve">UNIF000234          </t>
  </si>
  <si>
    <t xml:space="preserve">PANTALON CARGO S. LOGO NEGRO 46    </t>
  </si>
  <si>
    <t xml:space="preserve">UNIF000592          </t>
  </si>
  <si>
    <t xml:space="preserve">CHAQUETA CUELLO MAO T7 GL SUP.     </t>
  </si>
  <si>
    <t>OREGANO S/TACC</t>
  </si>
  <si>
    <t xml:space="preserve">7790150540183       </t>
  </si>
  <si>
    <t xml:space="preserve">OREGANO X25G ALICANTE              </t>
  </si>
  <si>
    <t>EDULCORANTE LIQUIDO</t>
  </si>
  <si>
    <t xml:space="preserve">7792180141859       </t>
  </si>
  <si>
    <t xml:space="preserve">EDULCORANTE LIQ X200CC CAÑUELAS	   </t>
  </si>
  <si>
    <t xml:space="preserve">UNIF000083          </t>
  </si>
  <si>
    <t xml:space="preserve">CAMISA BLANCA LISA 58 S. LOGO      </t>
  </si>
  <si>
    <t xml:space="preserve">7790250016182       </t>
  </si>
  <si>
    <t xml:space="preserve"> PAPEL HIG HS 30MX4UN 1.080KG      </t>
  </si>
  <si>
    <t xml:space="preserve">7790500005065       </t>
  </si>
  <si>
    <t xml:space="preserve">DURAZNO EN ALMIBAR X820G SILVIA    </t>
  </si>
  <si>
    <t xml:space="preserve">UNIF000529          </t>
  </si>
  <si>
    <t xml:space="preserve">SWEET.GRIS LANA GL SUP LIMP XXL    </t>
  </si>
  <si>
    <t xml:space="preserve">UNIF000028          </t>
  </si>
  <si>
    <t xml:space="preserve">AMBO GRIS ESCO.V RIVER L           </t>
  </si>
  <si>
    <t>CHUPETIN</t>
  </si>
  <si>
    <t xml:space="preserve">7790580739003       </t>
  </si>
  <si>
    <t xml:space="preserve">CHUPETIN MISTER POP X50U ARCOR     </t>
  </si>
  <si>
    <t xml:space="preserve">UNIF000117          </t>
  </si>
  <si>
    <t xml:space="preserve">PANTALON NAUTICO GRIS 7            </t>
  </si>
  <si>
    <t xml:space="preserve">UNIF000170          </t>
  </si>
  <si>
    <t xml:space="preserve">CHAQUETA CHEF 4 GL SUPPORT         </t>
  </si>
  <si>
    <t xml:space="preserve">UNIF000589          </t>
  </si>
  <si>
    <t xml:space="preserve">CHAQUETA CUELLO MAO T4 GL SUP.     </t>
  </si>
  <si>
    <t xml:space="preserve">UNIF000122          </t>
  </si>
  <si>
    <t xml:space="preserve">PANTALON NAUTICO BLANCO 4          </t>
  </si>
  <si>
    <t>AZUCAR S/TACC</t>
  </si>
  <si>
    <t xml:space="preserve">7798174970016       </t>
  </si>
  <si>
    <t xml:space="preserve">AZUCAR S/TACC X1KG AZUCEL          </t>
  </si>
  <si>
    <t xml:space="preserve">UNIF000381          </t>
  </si>
  <si>
    <t xml:space="preserve">SWEATER AZUL MAR GRUPO L L         </t>
  </si>
  <si>
    <t xml:space="preserve">7798349550012       </t>
  </si>
  <si>
    <t xml:space="preserve">TRAPO DE PISO GRIS X U             </t>
  </si>
  <si>
    <t xml:space="preserve">7796236000558       </t>
  </si>
  <si>
    <t xml:space="preserve">GALLE DULCE PEPA X180 GRS RIEDMAR  </t>
  </si>
  <si>
    <t xml:space="preserve">7790000000665       </t>
  </si>
  <si>
    <t xml:space="preserve">ROLLO DE FIBRA VERDE ANCHOXUN      </t>
  </si>
  <si>
    <t>GELATINA FRUTILLA LIGHT</t>
  </si>
  <si>
    <t xml:space="preserve">7790971000651       </t>
  </si>
  <si>
    <t xml:space="preserve">GELATINA FRUTI LIGHT X1K RAVAN     </t>
  </si>
  <si>
    <t xml:space="preserve">UNIF000371          </t>
  </si>
  <si>
    <t xml:space="preserve">SWEET. GRIS LANA GL SUP LIMP XL    </t>
  </si>
  <si>
    <t xml:space="preserve">UNIF000657          </t>
  </si>
  <si>
    <t xml:space="preserve">PANTALON CARGO A. MARINO 52        </t>
  </si>
  <si>
    <t xml:space="preserve">BAZ001194           </t>
  </si>
  <si>
    <t xml:space="preserve">CUCHARON DE ACERO INOX.N° 8        </t>
  </si>
  <si>
    <t>GELATINA MANZANA</t>
  </si>
  <si>
    <t xml:space="preserve">7790530370904       </t>
  </si>
  <si>
    <t xml:space="preserve">GELATINA MANZANA X1KG BEDIAL       </t>
  </si>
  <si>
    <t xml:space="preserve">UNIF000627          </t>
  </si>
  <si>
    <t xml:space="preserve">PANTALON NAUTICO NEG S LOGO T6     </t>
  </si>
  <si>
    <t xml:space="preserve">7797474512684       </t>
  </si>
  <si>
    <t xml:space="preserve">CAJA 300X180X280XU MESA M. PAZ     </t>
  </si>
  <si>
    <t xml:space="preserve">UNIF000226          </t>
  </si>
  <si>
    <t xml:space="preserve">PANTAL CARG NEGRO VER. 48 GL SUP   </t>
  </si>
  <si>
    <t xml:space="preserve">7792378001415       </t>
  </si>
  <si>
    <t xml:space="preserve">VINAGRE ALCOHOL X5LT COMENSAL      </t>
  </si>
  <si>
    <t xml:space="preserve">LIM000235           </t>
  </si>
  <si>
    <t xml:space="preserve">DISCO SCOTCH BRITE AZUL X U        </t>
  </si>
  <si>
    <t xml:space="preserve">7790900031725       </t>
  </si>
  <si>
    <t xml:space="preserve">CUCHARA 16CM COMPOSTABLE X100U     </t>
  </si>
  <si>
    <t>PIMIENTA BLANCA S/TACC</t>
  </si>
  <si>
    <t xml:space="preserve">7797234000380       </t>
  </si>
  <si>
    <t xml:space="preserve">PIMIENTA BLANCA X25G PERGOLA       </t>
  </si>
  <si>
    <t xml:space="preserve">5000761             </t>
  </si>
  <si>
    <t>PROT. AUDITIVO ENDOAURAL QUANTUM LI</t>
  </si>
  <si>
    <t xml:space="preserve">UNIF000551          </t>
  </si>
  <si>
    <t xml:space="preserve">CHOMB GRIS NEG MANG CORTA VER XL   </t>
  </si>
  <si>
    <t xml:space="preserve">7790895649301       </t>
  </si>
  <si>
    <t xml:space="preserve">JUGO NARANJA X200CC CEPITA	        </t>
  </si>
  <si>
    <t xml:space="preserve">7790070336385       </t>
  </si>
  <si>
    <t xml:space="preserve">FIDEO SPAGHETTI X500G LUCCHET      </t>
  </si>
  <si>
    <t xml:space="preserve">7798287511021       </t>
  </si>
  <si>
    <t xml:space="preserve">REPUESTO P/MOPA 80 CM              </t>
  </si>
  <si>
    <t xml:space="preserve">BUM00246            </t>
  </si>
  <si>
    <t xml:space="preserve">CARRO JAULA L ESTADIO              </t>
  </si>
  <si>
    <t xml:space="preserve">LIM000382           </t>
  </si>
  <si>
    <t xml:space="preserve">GOMA REPUESTO PREMIUM PULEXXU      </t>
  </si>
  <si>
    <t xml:space="preserve">UNIF000086          </t>
  </si>
  <si>
    <t>CAMISA BLANCA LISA 44 BLUE CATERING</t>
  </si>
  <si>
    <t xml:space="preserve">UNIF000123          </t>
  </si>
  <si>
    <t xml:space="preserve">PANTALON NAUTICO BLANCO 5          </t>
  </si>
  <si>
    <t xml:space="preserve">7798132920398       </t>
  </si>
  <si>
    <t xml:space="preserve">DURAZNO MITAD LATA X820G ALCO XUN  </t>
  </si>
  <si>
    <t xml:space="preserve">TURRON MANI </t>
  </si>
  <si>
    <t xml:space="preserve">7792860005860       </t>
  </si>
  <si>
    <t xml:space="preserve">TURRON DE MANI  X120GR LHERITIER   </t>
  </si>
  <si>
    <t>PALTA</t>
  </si>
  <si>
    <t xml:space="preserve">7790216012624       </t>
  </si>
  <si>
    <t xml:space="preserve">PALTA X KG                         </t>
  </si>
  <si>
    <t xml:space="preserve">7790040143227       </t>
  </si>
  <si>
    <t xml:space="preserve">GALLE CHOCOLATE X170G CHOCOLINAS   </t>
  </si>
  <si>
    <t xml:space="preserve">UNIF000661          </t>
  </si>
  <si>
    <t xml:space="preserve">PANTALON CARGO NEGRO 52            </t>
  </si>
  <si>
    <t>LECHE POLVO DESC INDIV</t>
  </si>
  <si>
    <t xml:space="preserve">7798011976300       </t>
  </si>
  <si>
    <t xml:space="preserve">LECHE POLV IND DESCX 5G X100 ABE   </t>
  </si>
  <si>
    <t>CARNE FETEADA</t>
  </si>
  <si>
    <t xml:space="preserve">7790212030032       </t>
  </si>
  <si>
    <t xml:space="preserve">BOLA DE LOMO FETEADA X KG.         </t>
  </si>
  <si>
    <t xml:space="preserve">BAZ001178           </t>
  </si>
  <si>
    <t xml:space="preserve">COMPOTERA ACE INOX PROFX 10.8CM    </t>
  </si>
  <si>
    <t>CHAMPIGNON TROZOS</t>
  </si>
  <si>
    <t xml:space="preserve">7790499000850       </t>
  </si>
  <si>
    <t xml:space="preserve">CHAMPIGNON TROZO X2.840 KG LA BAND </t>
  </si>
  <si>
    <t>JUGO LIMON</t>
  </si>
  <si>
    <t xml:space="preserve">7798142740160       </t>
  </si>
  <si>
    <t xml:space="preserve">JUGO LIMON X960CC SILVA            </t>
  </si>
  <si>
    <t xml:space="preserve">UNIF000447          </t>
  </si>
  <si>
    <t xml:space="preserve">CAMPERA TRUCK A. MAR. 3XL GL       </t>
  </si>
  <si>
    <t>LECHUGA</t>
  </si>
  <si>
    <t xml:space="preserve">7790216010092       </t>
  </si>
  <si>
    <t xml:space="preserve">LECHUGA X KG                       </t>
  </si>
  <si>
    <t>SOJA TEXTURIZADA</t>
  </si>
  <si>
    <t xml:space="preserve">7793323004789       </t>
  </si>
  <si>
    <t xml:space="preserve">SOJA TEXTURIZADA X350G DICOMERE    </t>
  </si>
  <si>
    <t xml:space="preserve">UNIF000640          </t>
  </si>
  <si>
    <t xml:space="preserve">BUZO A. MAR. FRISA CGOUR S         </t>
  </si>
  <si>
    <t>NUEZ MOSCADA</t>
  </si>
  <si>
    <t xml:space="preserve">7790530280449       </t>
  </si>
  <si>
    <t xml:space="preserve">NUEZ MOSCADA MOL X 25 G BEDIAL     </t>
  </si>
  <si>
    <t>PERA</t>
  </si>
  <si>
    <t xml:space="preserve">7790216020066       </t>
  </si>
  <si>
    <t xml:space="preserve">FRUTA PERA X U                     </t>
  </si>
  <si>
    <t xml:space="preserve">UNIF000451          </t>
  </si>
  <si>
    <t xml:space="preserve">CAMP. A. MAR. TRUCKER ELEVARE L    </t>
  </si>
  <si>
    <t xml:space="preserve">UNIF000377          </t>
  </si>
  <si>
    <t xml:space="preserve">SWEATER NEGRO-LANA 2XL             </t>
  </si>
  <si>
    <t xml:space="preserve">UNIF000100          </t>
  </si>
  <si>
    <t xml:space="preserve">PANTALON CARGO A. MARINO 42        </t>
  </si>
  <si>
    <t xml:space="preserve">7798287511038       </t>
  </si>
  <si>
    <t xml:space="preserve">REPUESTO P/MOPA 1MT                </t>
  </si>
  <si>
    <t xml:space="preserve">UNIF000610          </t>
  </si>
  <si>
    <t xml:space="preserve">GUARDAP. C LOGO C GOUR TALLE XL    </t>
  </si>
  <si>
    <t xml:space="preserve">7790530850215       </t>
  </si>
  <si>
    <t xml:space="preserve">GELATINA FRUTILLA X 1KG BEDIAL     </t>
  </si>
  <si>
    <t>PAN DULCE FRUTA</t>
  </si>
  <si>
    <t xml:space="preserve">7790726119829       </t>
  </si>
  <si>
    <t xml:space="preserve">PAN DULCE C/FRUTAS X400G DULCYPAS	 </t>
  </si>
  <si>
    <t>ESPUMANTES</t>
  </si>
  <si>
    <t xml:space="preserve">7790154000027       </t>
  </si>
  <si>
    <t xml:space="preserve">ANANA FIZZ X720ML DEL VALLE        </t>
  </si>
  <si>
    <t>ATUN A/N ENTERO</t>
  </si>
  <si>
    <t xml:space="preserve">7795933101186       </t>
  </si>
  <si>
    <t xml:space="preserve">ATUN LOMITO NAT STACC 170GR BAHIA  </t>
  </si>
  <si>
    <t xml:space="preserve">7791113001598       </t>
  </si>
  <si>
    <t xml:space="preserve">POSTRE CHOC X 120 G EMETH          </t>
  </si>
  <si>
    <t xml:space="preserve">BAZ001162           </t>
  </si>
  <si>
    <t xml:space="preserve">VASO OCTOGONAL POLICARB 300CC      </t>
  </si>
  <si>
    <t xml:space="preserve">7790212030042       </t>
  </si>
  <si>
    <t xml:space="preserve">CUADRADA FETEADA X KG              </t>
  </si>
  <si>
    <t xml:space="preserve">7798152430297       </t>
  </si>
  <si>
    <t xml:space="preserve"> ESCOBILLON VINILICO 80CM XUN      </t>
  </si>
  <si>
    <t>POLLO T10</t>
  </si>
  <si>
    <t xml:space="preserve">7790212030086       </t>
  </si>
  <si>
    <t xml:space="preserve">POLLO T10 X UND                    </t>
  </si>
  <si>
    <t xml:space="preserve">7790139101039       </t>
  </si>
  <si>
    <t xml:space="preserve">ALCOHOL 70% 5LT BIALCOHOL          </t>
  </si>
  <si>
    <t xml:space="preserve">7790000000469       </t>
  </si>
  <si>
    <t xml:space="preserve">CABO ALUM LISO 22CMX1.50M ROJO     </t>
  </si>
  <si>
    <t xml:space="preserve">LIM000110           </t>
  </si>
  <si>
    <t xml:space="preserve">BOLSA RESIDUO NEGRA 90X110X50U M   </t>
  </si>
  <si>
    <t xml:space="preserve">7797470003718       </t>
  </si>
  <si>
    <t xml:space="preserve">ARROZ 00000 S/TACC X1KG MAROLIO    </t>
  </si>
  <si>
    <t>TE ENSOB S/TACC</t>
  </si>
  <si>
    <t xml:space="preserve">7790150231258       </t>
  </si>
  <si>
    <t>TE VIRGIN ISLANDS ENSOB X50U LA VIR</t>
  </si>
  <si>
    <t>GELATINA DURAZNO LIGHT</t>
  </si>
  <si>
    <t xml:space="preserve">7798334500435       </t>
  </si>
  <si>
    <t xml:space="preserve">GELATINA DURAZNO LIGHT 1KG RAVAN   </t>
  </si>
  <si>
    <t>CHOCLO GRANO S/TACC</t>
  </si>
  <si>
    <t xml:space="preserve">7790499017629       </t>
  </si>
  <si>
    <t>CHOCLO GRANO TETRA X 340 G LA BANDA</t>
  </si>
  <si>
    <t xml:space="preserve">7796624012026       </t>
  </si>
  <si>
    <t xml:space="preserve">UNIF000126          </t>
  </si>
  <si>
    <t xml:space="preserve">PANTALON NAUTICO BLANCO 8          </t>
  </si>
  <si>
    <t>CASTAÑA DE CAJU</t>
  </si>
  <si>
    <t xml:space="preserve">7793323003553       </t>
  </si>
  <si>
    <t xml:space="preserve">CASTAÑA CAJU X1KG DICOMERE         </t>
  </si>
  <si>
    <t>HARINA PARA AREPAS</t>
  </si>
  <si>
    <t xml:space="preserve">7790199603368       </t>
  </si>
  <si>
    <t xml:space="preserve">HARINA PARA AREPA XKG MORIXE       </t>
  </si>
  <si>
    <t xml:space="preserve">UNIF000575          </t>
  </si>
  <si>
    <t xml:space="preserve">CAMISA GRIS T48                    </t>
  </si>
  <si>
    <t>FRUTOS ROJOS CONGE</t>
  </si>
  <si>
    <t xml:space="preserve">7798184271530       </t>
  </si>
  <si>
    <t xml:space="preserve">MIX FRUT.ROJ.CONG.BIOMAC 500GXUN   </t>
  </si>
  <si>
    <t xml:space="preserve">UNIF000745          </t>
  </si>
  <si>
    <t xml:space="preserve">CAMISA POPLIN ML BLUE CAFÉ S       </t>
  </si>
  <si>
    <t xml:space="preserve">7790530850048       </t>
  </si>
  <si>
    <t xml:space="preserve">CACAO X 1KG BEDIAL                 </t>
  </si>
  <si>
    <t>POLENTA</t>
  </si>
  <si>
    <t xml:space="preserve">7798049540504       </t>
  </si>
  <si>
    <t xml:space="preserve">POLENTA X 500 G LA ABADIA          </t>
  </si>
  <si>
    <t xml:space="preserve">UNIF000606          </t>
  </si>
  <si>
    <t xml:space="preserve">DELENTERO GR C. GOURMET            </t>
  </si>
  <si>
    <t xml:space="preserve">UNIF000030          </t>
  </si>
  <si>
    <t xml:space="preserve">AMBO GRIS ESCO.V RIVER 2XL         </t>
  </si>
  <si>
    <t xml:space="preserve">7798072299620       </t>
  </si>
  <si>
    <t>ACEITE OLIVA</t>
  </si>
  <si>
    <t xml:space="preserve">7790070231833       </t>
  </si>
  <si>
    <t xml:space="preserve">ACEITE DE OLIVA LIRA PET 500ML     </t>
  </si>
  <si>
    <t xml:space="preserve">UNIF000729          </t>
  </si>
  <si>
    <t xml:space="preserve">FALDON VERDE BLUE CAFÉ U           </t>
  </si>
  <si>
    <t>CERDO DESHUESADO</t>
  </si>
  <si>
    <t xml:space="preserve">7790000000598       </t>
  </si>
  <si>
    <t xml:space="preserve">CARRE CERDO DESH CONG XKG          </t>
  </si>
  <si>
    <t xml:space="preserve">BAZ001134           </t>
  </si>
  <si>
    <t xml:space="preserve">VERTED HER TRANSP MODTOPF 850ML    </t>
  </si>
  <si>
    <t xml:space="preserve">UNIF000465          </t>
  </si>
  <si>
    <t xml:space="preserve">PANTALON GRAF S. LOGO VERD 46      </t>
  </si>
  <si>
    <t>GARBANZOS SECOS</t>
  </si>
  <si>
    <t xml:space="preserve">7798016190060       </t>
  </si>
  <si>
    <t xml:space="preserve">GARBANZO X 400 G AGROMAR           </t>
  </si>
  <si>
    <t>MERMELADA CIRUELA VIDRIO</t>
  </si>
  <si>
    <t xml:space="preserve">7790580123437       </t>
  </si>
  <si>
    <t xml:space="preserve">MERM CIRUELA VID X454G ARCOR       </t>
  </si>
  <si>
    <t>AJI COLORADO</t>
  </si>
  <si>
    <t xml:space="preserve">7790216012613       </t>
  </si>
  <si>
    <t xml:space="preserve">MORRON COLORADO X KG               </t>
  </si>
  <si>
    <t xml:space="preserve">UNIF000556          </t>
  </si>
  <si>
    <t xml:space="preserve">PANTALON JEAN 48                   </t>
  </si>
  <si>
    <t xml:space="preserve">UNIF000388          </t>
  </si>
  <si>
    <t xml:space="preserve">PANTALON NAUTICO-JEAN 6            </t>
  </si>
  <si>
    <t xml:space="preserve">7793253004316       </t>
  </si>
  <si>
    <t xml:space="preserve">DESOD. AMB ALEGR  360CC POET       </t>
  </si>
  <si>
    <t>CAFE INSTANTANEO</t>
  </si>
  <si>
    <t xml:space="preserve">7790070933638       </t>
  </si>
  <si>
    <t xml:space="preserve">CAFE INST X170G ARLISTAN	          </t>
  </si>
  <si>
    <t xml:space="preserve">640000108778        </t>
  </si>
  <si>
    <t xml:space="preserve">TAPA ALUM R5/F2100X600U VASSOI     </t>
  </si>
  <si>
    <t xml:space="preserve">UNIF000750          </t>
  </si>
  <si>
    <t>CHOMBA PIQUE GRIS MELANGE BLUE CAFÉ</t>
  </si>
  <si>
    <t xml:space="preserve">UNIF000151          </t>
  </si>
  <si>
    <t xml:space="preserve">CAMI. BLAN.M. LARG 42 C. GOURMET   </t>
  </si>
  <si>
    <t xml:space="preserve">7790000000150       </t>
  </si>
  <si>
    <t xml:space="preserve">CAJA CARTON 30X21X18 XU LOGO MES   </t>
  </si>
  <si>
    <t>FIDEOS INTEGRAL LARGO</t>
  </si>
  <si>
    <t xml:space="preserve">7790070335975       </t>
  </si>
  <si>
    <t xml:space="preserve">FIDEO INT SPAGHETTI X500G MATAR    </t>
  </si>
  <si>
    <t xml:space="preserve">UNIF000713          </t>
  </si>
  <si>
    <t xml:space="preserve">CAMP. NARAN TRUCKER ELEVARE XL     </t>
  </si>
  <si>
    <t xml:space="preserve">7798113400475       </t>
  </si>
  <si>
    <t xml:space="preserve">VO DESOD CHERRY 5LT ZELNOVA        </t>
  </si>
  <si>
    <t xml:space="preserve">BAZ001200           </t>
  </si>
  <si>
    <t xml:space="preserve">CUCHI BCO ERG 174/100MM 4" INOX    </t>
  </si>
  <si>
    <t xml:space="preserve">EMB000042           </t>
  </si>
  <si>
    <t xml:space="preserve">BOLSA PAPEL MADERA X100U 15X35     </t>
  </si>
  <si>
    <t xml:space="preserve">UNIF000594          </t>
  </si>
  <si>
    <t xml:space="preserve">CHAQUETA CUELLO MAO T2 C GOURM     </t>
  </si>
  <si>
    <t xml:space="preserve">MOD21154            </t>
  </si>
  <si>
    <t xml:space="preserve">MOD ALIMENTARIO UCSA ABR26         </t>
  </si>
  <si>
    <t xml:space="preserve">UNIF000574          </t>
  </si>
  <si>
    <t xml:space="preserve">CAMISA GRIS T46                    </t>
  </si>
  <si>
    <t xml:space="preserve">7794820903100       </t>
  </si>
  <si>
    <t xml:space="preserve">LECHE ENTERA LV X1L MILKAUT        </t>
  </si>
  <si>
    <t xml:space="preserve">9992016801782       </t>
  </si>
  <si>
    <t xml:space="preserve">SERVILLETAS BARMAN 24X24 CM        </t>
  </si>
  <si>
    <t xml:space="preserve">UNIF000105          </t>
  </si>
  <si>
    <t xml:space="preserve">PANTALON CARGO A. MARINO 58        </t>
  </si>
  <si>
    <t xml:space="preserve">UNIF000452          </t>
  </si>
  <si>
    <t xml:space="preserve">CAMP. A. MAR TRUCKER ELEVARE XL    </t>
  </si>
  <si>
    <t>PAÑO MICROFIBRA</t>
  </si>
  <si>
    <t xml:space="preserve">7790000000742       </t>
  </si>
  <si>
    <t xml:space="preserve">MICROF. CELESTE 40X40 THAMES       </t>
  </si>
  <si>
    <t xml:space="preserve">7798160835022       </t>
  </si>
  <si>
    <t xml:space="preserve">JABON LIQ AROM ROSAS X5LT NEW ZE   </t>
  </si>
  <si>
    <t xml:space="preserve">BAZ001214           </t>
  </si>
  <si>
    <t xml:space="preserve">PELAPAPA AC INOX.MANG PLAST.PRE    </t>
  </si>
  <si>
    <t>JENGIBRE</t>
  </si>
  <si>
    <t xml:space="preserve">7790216020092       </t>
  </si>
  <si>
    <t xml:space="preserve">JENGIBREX KG                       </t>
  </si>
  <si>
    <t xml:space="preserve">BAZ001209           </t>
  </si>
  <si>
    <t xml:space="preserve">MANGAS DES 20X40CM ROLLO X50UN     </t>
  </si>
  <si>
    <t xml:space="preserve">LIM000129           </t>
  </si>
  <si>
    <t xml:space="preserve">MEDIDOR DE CLORO X U               </t>
  </si>
  <si>
    <t xml:space="preserve">BAZ001382           </t>
  </si>
  <si>
    <t xml:space="preserve">BAND FAST FOOD 45X35CM VERD NU     </t>
  </si>
  <si>
    <t xml:space="preserve">UNIF000546          </t>
  </si>
  <si>
    <t xml:space="preserve">CHOMB GRIS NEG MANG CORTA NAR XL   </t>
  </si>
  <si>
    <t>LECHE LV DESLACTOSADA</t>
  </si>
  <si>
    <t xml:space="preserve">7790742333605       </t>
  </si>
  <si>
    <t xml:space="preserve">LECHE DESLACTOSADA XLT SERENI      </t>
  </si>
  <si>
    <t xml:space="preserve">UNIF000566          </t>
  </si>
  <si>
    <t xml:space="preserve">REMERA GRIS MANGA CORTA XXL        </t>
  </si>
  <si>
    <t xml:space="preserve">BUSAT000619         </t>
  </si>
  <si>
    <t xml:space="preserve">SWERTER CARDIGAN                   </t>
  </si>
  <si>
    <t xml:space="preserve">BUSAT000044         </t>
  </si>
  <si>
    <t xml:space="preserve">COPA HELADO                        </t>
  </si>
  <si>
    <t xml:space="preserve">BUSAT000160         </t>
  </si>
  <si>
    <t xml:space="preserve">BANDEJA PARILLERA DE HORNO X U     </t>
  </si>
  <si>
    <t xml:space="preserve">BUSAT000308         </t>
  </si>
  <si>
    <t xml:space="preserve">CARACOL EXTRACCION C/MOT           </t>
  </si>
  <si>
    <t xml:space="preserve">BUSAT000196         </t>
  </si>
  <si>
    <t xml:space="preserve">CARRO POCHOCLERO 06 (EXPERENCIAS Y </t>
  </si>
  <si>
    <t xml:space="preserve">BUSAT000892         </t>
  </si>
  <si>
    <t xml:space="preserve">ESCUCRRIDOR PLASTICO GRIS GRANDE   </t>
  </si>
  <si>
    <t xml:space="preserve">BUSAT000090         </t>
  </si>
  <si>
    <t xml:space="preserve">GN FINOS                           </t>
  </si>
  <si>
    <t xml:space="preserve">BUM312              </t>
  </si>
  <si>
    <t xml:space="preserve">BANDEJA TERMICA DE HOSPITAL        </t>
  </si>
  <si>
    <t xml:space="preserve">BUSAT000293         </t>
  </si>
  <si>
    <t xml:space="preserve">PANERA BRAFH 100                   </t>
  </si>
  <si>
    <t xml:space="preserve">BUSAT000572         </t>
  </si>
  <si>
    <t xml:space="preserve">PANTALON CARGO GRIS	56             </t>
  </si>
  <si>
    <t xml:space="preserve">BUSAT000925         </t>
  </si>
  <si>
    <t xml:space="preserve">TACHO DE BASURA/RECICLABLES        </t>
  </si>
  <si>
    <t xml:space="preserve">BUSAT000585         </t>
  </si>
  <si>
    <t xml:space="preserve">CHOMBA AZUL MANGA LARGA XXL        </t>
  </si>
  <si>
    <t xml:space="preserve">BUSAT000621         </t>
  </si>
  <si>
    <t xml:space="preserve"> SWERTER CARDIGAN T4               </t>
  </si>
  <si>
    <t xml:space="preserve">BUSAT000131         </t>
  </si>
  <si>
    <t xml:space="preserve">PANERA GRANDE ACERO INOX           </t>
  </si>
  <si>
    <t xml:space="preserve">BUSAT000274         </t>
  </si>
  <si>
    <t xml:space="preserve">SEPARADORES CORTOS                 </t>
  </si>
  <si>
    <t xml:space="preserve">BUSAT000206         </t>
  </si>
  <si>
    <t xml:space="preserve">BANDEJAS FAST FOOD AZUL X U        </t>
  </si>
  <si>
    <t xml:space="preserve">BUSAT000284         </t>
  </si>
  <si>
    <t xml:space="preserve">BASE HORNO CONVECTOR               </t>
  </si>
  <si>
    <t xml:space="preserve">BUSAT000365         </t>
  </si>
  <si>
    <t xml:space="preserve">ALFOMBRA CESPED SINTETICO/SAND     </t>
  </si>
  <si>
    <t xml:space="preserve">OBR000114           </t>
  </si>
  <si>
    <t xml:space="preserve">CARRETILLAS                        </t>
  </si>
  <si>
    <t>KETCHUP INDIV</t>
  </si>
  <si>
    <t xml:space="preserve">67794000006012      </t>
  </si>
  <si>
    <t xml:space="preserve">KETCHUP IND 1CJX196UN FANACOA      </t>
  </si>
  <si>
    <t xml:space="preserve">BAZ001215           </t>
  </si>
  <si>
    <t xml:space="preserve">PIEDRA AFILAR DOBLE 200/50/25 MM   </t>
  </si>
  <si>
    <t xml:space="preserve">UNIF000625          </t>
  </si>
  <si>
    <t xml:space="preserve">PANTALON NAUTICO NEG S LOGO T4     </t>
  </si>
  <si>
    <t xml:space="preserve">7797470133620       </t>
  </si>
  <si>
    <t xml:space="preserve">VINAGRE ALCOHOL X1L MAROLIO        </t>
  </si>
  <si>
    <t xml:space="preserve">UNIF000110          </t>
  </si>
  <si>
    <t xml:space="preserve">PANTALON CARGO S. LOGO NEGRO 58    </t>
  </si>
  <si>
    <t xml:space="preserve">7790321020326       </t>
  </si>
  <si>
    <t xml:space="preserve">TAPA VASO TERM 240 CC X 100 U      </t>
  </si>
  <si>
    <t xml:space="preserve">UNIF000107          </t>
  </si>
  <si>
    <t xml:space="preserve">PANTALON CARGO NEGRO 46            </t>
  </si>
  <si>
    <t>CARAMELO LIQUIDO</t>
  </si>
  <si>
    <t xml:space="preserve">7790198000311       </t>
  </si>
  <si>
    <t xml:space="preserve">SALSA CARAMELO BACIGALUPO X1.25KG  </t>
  </si>
  <si>
    <t xml:space="preserve">7790212030022       </t>
  </si>
  <si>
    <t xml:space="preserve">BOLA DE LOMO ENTERA X KG           </t>
  </si>
  <si>
    <t xml:space="preserve">UNIF000077          </t>
  </si>
  <si>
    <t xml:space="preserve">CAMISA BLANCA LISA 46 S. LOGO      </t>
  </si>
  <si>
    <t>PREMEZCLA PARA PIZZA S/TACC</t>
  </si>
  <si>
    <t xml:space="preserve">7793323024886       </t>
  </si>
  <si>
    <t xml:space="preserve">PREMEZ PIZZA S/TACC 450G DICOMERE  </t>
  </si>
  <si>
    <t xml:space="preserve">UNIF000487          </t>
  </si>
  <si>
    <t xml:space="preserve">PANTAL. GRAFA S. LOGO BLANCO 54    </t>
  </si>
  <si>
    <t xml:space="preserve">UNIF000753          </t>
  </si>
  <si>
    <t xml:space="preserve">CHOMBA PIQ GRIS MELANGE BLUECAFÉ L </t>
  </si>
  <si>
    <t xml:space="preserve">UNIF000389          </t>
  </si>
  <si>
    <t xml:space="preserve">PANTALON DE VESTIR NEGRO 1         </t>
  </si>
  <si>
    <t xml:space="preserve">7798092962308       </t>
  </si>
  <si>
    <t xml:space="preserve">GUANTES AFELPADOS  XL MAKE         </t>
  </si>
  <si>
    <t xml:space="preserve">7790500006512       </t>
  </si>
  <si>
    <t xml:space="preserve">DURAZNO LAT 820G GOLDEN PEACH      </t>
  </si>
  <si>
    <t xml:space="preserve">7798041132476       </t>
  </si>
  <si>
    <t xml:space="preserve">QUESO CREMOSO XKG LA PAULINA       </t>
  </si>
  <si>
    <t xml:space="preserve">UNIF000736          </t>
  </si>
  <si>
    <t xml:space="preserve">CHAQUETA CHEF BLUE CAFÉ XS         </t>
  </si>
  <si>
    <t xml:space="preserve">9002128             </t>
  </si>
  <si>
    <t xml:space="preserve">REPUESTO BARREDOR ACRILICO-100 CM  </t>
  </si>
  <si>
    <t xml:space="preserve">UNIF000739          </t>
  </si>
  <si>
    <t xml:space="preserve">CHAQUETA CHEF BLUE CAFÉ L          </t>
  </si>
  <si>
    <t xml:space="preserve">UNIF000644          </t>
  </si>
  <si>
    <t xml:space="preserve">BUZO CELES -FRISA CGOUR- 2XL       </t>
  </si>
  <si>
    <t xml:space="preserve">UNIF000322          </t>
  </si>
  <si>
    <t xml:space="preserve">REM CUE. RED A.MAR. ELEVARE 5XL    </t>
  </si>
  <si>
    <t xml:space="preserve">UNIF000654          </t>
  </si>
  <si>
    <t xml:space="preserve">PANTALON CARGO A. MARINO 40        </t>
  </si>
  <si>
    <t xml:space="preserve">UNIF000422          </t>
  </si>
  <si>
    <t xml:space="preserve">CAMISA GRAFA-AZUL MARINO 48 ELEV   </t>
  </si>
  <si>
    <t xml:space="preserve">8925200000006       </t>
  </si>
  <si>
    <t xml:space="preserve">GL CAJA AMARILLA NAVIDAD XUN       </t>
  </si>
  <si>
    <t xml:space="preserve">UNIF000430          </t>
  </si>
  <si>
    <t xml:space="preserve">CAMP. A. MAR. TRUCKER PULCRUS L    </t>
  </si>
  <si>
    <t xml:space="preserve">7790000000460       </t>
  </si>
  <si>
    <t xml:space="preserve">PANO MICROF.MULT ROJO CLEANTEX     </t>
  </si>
  <si>
    <t xml:space="preserve">7793253004231       </t>
  </si>
  <si>
    <t xml:space="preserve">DESOD.AMB LAVANDA 360CC POET       </t>
  </si>
  <si>
    <t xml:space="preserve">UNIF000050          </t>
  </si>
  <si>
    <t xml:space="preserve">BUZO A. MARINO-FRISA PULCRUS 2XL   </t>
  </si>
  <si>
    <t xml:space="preserve">UNIF000532          </t>
  </si>
  <si>
    <t xml:space="preserve">ROMPEVIENTOS-AZUL MARINO S         </t>
  </si>
  <si>
    <t xml:space="preserve">7798132459714       </t>
  </si>
  <si>
    <t xml:space="preserve">ESCOBILLA INODORO ACERO INOX XU    </t>
  </si>
  <si>
    <t xml:space="preserve">UNIF000605          </t>
  </si>
  <si>
    <t xml:space="preserve">CHAQ. ESCOTE V GU NUTRICION T3     </t>
  </si>
  <si>
    <t xml:space="preserve">BAZ001182           </t>
  </si>
  <si>
    <t xml:space="preserve">CUBA GASTR. ACE1/2 325/265/100 M   </t>
  </si>
  <si>
    <t xml:space="preserve">UNIF000145          </t>
  </si>
  <si>
    <t xml:space="preserve">CAMI.3/4 BLAN SALUD MUJ 2 C.GOUR   </t>
  </si>
  <si>
    <t>GALLE LIMON</t>
  </si>
  <si>
    <t xml:space="preserve">7790726120030       </t>
  </si>
  <si>
    <t xml:space="preserve">GALLETITA LIMON X200G DULCYPAS     </t>
  </si>
  <si>
    <t xml:space="preserve">7793875360012       </t>
  </si>
  <si>
    <t xml:space="preserve">PIMIENTA BLANCA X 25 G AROMAS      </t>
  </si>
  <si>
    <t xml:space="preserve">7790520026088       </t>
  </si>
  <si>
    <t xml:space="preserve">CANASTA LIQ LAVANDA 45MLXUN        </t>
  </si>
  <si>
    <t>YERBA MATE</t>
  </si>
  <si>
    <t xml:space="preserve">7798028020508       </t>
  </si>
  <si>
    <t xml:space="preserve">YERBA MATE X1KG LA POSADEÑA        </t>
  </si>
  <si>
    <t xml:space="preserve">7798096031055       </t>
  </si>
  <si>
    <t xml:space="preserve">ARVEJA TETRA X 340 G DOÑA PUPA     </t>
  </si>
  <si>
    <t>PALETA COCIDA</t>
  </si>
  <si>
    <t xml:space="preserve">7790212050012       </t>
  </si>
  <si>
    <t xml:space="preserve">FIAMBRE PALETA X KG                </t>
  </si>
  <si>
    <t xml:space="preserve">REPOLLO BLANCO  </t>
  </si>
  <si>
    <t xml:space="preserve">7790216012655       </t>
  </si>
  <si>
    <t xml:space="preserve">REPOLLO BLANCO X KG                </t>
  </si>
  <si>
    <t>TOMILLO</t>
  </si>
  <si>
    <t xml:space="preserve">7793875317405       </t>
  </si>
  <si>
    <t xml:space="preserve">TOMILLO X 25G AROMAS Y SAB         </t>
  </si>
  <si>
    <t xml:space="preserve">UNIF000559          </t>
  </si>
  <si>
    <t xml:space="preserve">PANTALON JEAN 54                   </t>
  </si>
  <si>
    <t xml:space="preserve">7796322010911       </t>
  </si>
  <si>
    <t xml:space="preserve">PANO COCINA ROSA XUN MPROPIA       </t>
  </si>
  <si>
    <t xml:space="preserve">7790580131364       </t>
  </si>
  <si>
    <t xml:space="preserve">ATUN A/N X170GRS CAMPAGNOLA        </t>
  </si>
  <si>
    <t xml:space="preserve">7790199602910       </t>
  </si>
  <si>
    <t xml:space="preserve">PAN RALLADO X 500GRS MORIXE        </t>
  </si>
  <si>
    <t xml:space="preserve">UNIF000010          </t>
  </si>
  <si>
    <t xml:space="preserve">AMBO A. MAR. GL SUP ESC V L        </t>
  </si>
  <si>
    <t xml:space="preserve">7795323141173       </t>
  </si>
  <si>
    <t xml:space="preserve">PAPEL HIGIENICO 50MT X24U CLP      </t>
  </si>
  <si>
    <t xml:space="preserve">UNIF000002          </t>
  </si>
  <si>
    <t xml:space="preserve">AMBO A. MAR. PULCRUS ESC V M       </t>
  </si>
  <si>
    <t xml:space="preserve">7797470007426       </t>
  </si>
  <si>
    <t xml:space="preserve">ARVEJA TETRA X 340 GRA MAROLIO     </t>
  </si>
  <si>
    <t xml:space="preserve">7791113001567       </t>
  </si>
  <si>
    <t xml:space="preserve">DULCE MEMBRILLO X500G EMETH        </t>
  </si>
  <si>
    <t>AGUA INDIV SAB UVA</t>
  </si>
  <si>
    <t xml:space="preserve">7790895009259       </t>
  </si>
  <si>
    <t xml:space="preserve">AGUA SAB UVA S/G 600CC AQUARIUS    </t>
  </si>
  <si>
    <t xml:space="preserve">7793650000034       </t>
  </si>
  <si>
    <t xml:space="preserve">ARROZ 0000 X1KG CAROGRAN           </t>
  </si>
  <si>
    <t>TAPA 103 NO MICROO</t>
  </si>
  <si>
    <t xml:space="preserve">7790321020307       </t>
  </si>
  <si>
    <t xml:space="preserve">TAPA 103 PET X100U CELPAK          </t>
  </si>
  <si>
    <t xml:space="preserve">7798012210113       </t>
  </si>
  <si>
    <t xml:space="preserve">ESCOBILLON DE BARRENDERO XUN       </t>
  </si>
  <si>
    <t xml:space="preserve">UNIF000315          </t>
  </si>
  <si>
    <t xml:space="preserve">REM CUELLO RED A. MAR. ELEVA. S    </t>
  </si>
  <si>
    <t xml:space="preserve">UNIF000472          </t>
  </si>
  <si>
    <t xml:space="preserve">PANTAL. GRAFA S. LOGO A. MAR 42    </t>
  </si>
  <si>
    <t xml:space="preserve">7798113473127       </t>
  </si>
  <si>
    <t xml:space="preserve">LECHE POLVO 250G XUN FRESKA LECHE  </t>
  </si>
  <si>
    <t xml:space="preserve">BAZ001271           </t>
  </si>
  <si>
    <t xml:space="preserve">CAJON ALAMBRE PORTA 25 PLATOS      </t>
  </si>
  <si>
    <t xml:space="preserve">7790971002327       </t>
  </si>
  <si>
    <t xml:space="preserve">GELATINA FRUTILLA X40G RAVANA      </t>
  </si>
  <si>
    <t>TAPA PARA POTE</t>
  </si>
  <si>
    <t xml:space="preserve">7790000000736       </t>
  </si>
  <si>
    <t xml:space="preserve">TAPA POTE 25CC X2000UN             </t>
  </si>
  <si>
    <t xml:space="preserve">7798138555464       </t>
  </si>
  <si>
    <t xml:space="preserve">FID MOSTACHOL 500GR S.ISABEL       </t>
  </si>
  <si>
    <t xml:space="preserve">BAZ001159           </t>
  </si>
  <si>
    <t xml:space="preserve">PLA HONDO VERBAN RECTO 21 CHEF G   </t>
  </si>
  <si>
    <t xml:space="preserve">7798188650423       </t>
  </si>
  <si>
    <t xml:space="preserve">DESENGRASANTE HI-POWER X5LT        </t>
  </si>
  <si>
    <t xml:space="preserve">UNIF000455          </t>
  </si>
  <si>
    <t xml:space="preserve">CAMP A. MAR TRUCKER ELEVARE 4XL    </t>
  </si>
  <si>
    <t xml:space="preserve">UNIF000547          </t>
  </si>
  <si>
    <t xml:space="preserve">CHOM.GRIS NEG MANG CORTA NAR XXL   </t>
  </si>
  <si>
    <t xml:space="preserve">EMB000033           </t>
  </si>
  <si>
    <t xml:space="preserve">CAJA CARTON 40X40X30XU             </t>
  </si>
  <si>
    <t>NARANJA SAE</t>
  </si>
  <si>
    <t xml:space="preserve">7790216020115       </t>
  </si>
  <si>
    <t xml:space="preserve">FRUTA NARANJA SAE 100-130 XU       </t>
  </si>
  <si>
    <t xml:space="preserve">BAZ001146           </t>
  </si>
  <si>
    <t xml:space="preserve">ASADERA CHAP ENLOZ REF 50 X 60CM   </t>
  </si>
  <si>
    <t xml:space="preserve">7798011976614       </t>
  </si>
  <si>
    <t xml:space="preserve">KETCHUP IND 8CC X198U ABEDUL       </t>
  </si>
  <si>
    <t xml:space="preserve">UNIF000221          </t>
  </si>
  <si>
    <t xml:space="preserve">PANTAL CARG NEGRO NAR. 56 GL SUP   </t>
  </si>
  <si>
    <t xml:space="preserve">7797470199343       </t>
  </si>
  <si>
    <t xml:space="preserve">FIDEO TALLARIN X500G MAROLIO       </t>
  </si>
  <si>
    <t xml:space="preserve">UNIF000329          </t>
  </si>
  <si>
    <t xml:space="preserve">REME. CUELLO RED BLAN NUTRI 4XL    </t>
  </si>
  <si>
    <t xml:space="preserve">LIM000107           </t>
  </si>
  <si>
    <t>BOLSA RESIDUO 45X60X50U 30 MICRONES</t>
  </si>
  <si>
    <t>CABALLA A/N</t>
  </si>
  <si>
    <t xml:space="preserve">7791885005459       </t>
  </si>
  <si>
    <t xml:space="preserve">CABALLA NATURAL 380GR CUMANA       </t>
  </si>
  <si>
    <t xml:space="preserve">LIM000437           </t>
  </si>
  <si>
    <t xml:space="preserve">ESCOBILLA P/BAÑO CON RECIPIENTE	   </t>
  </si>
  <si>
    <t xml:space="preserve">7792350067613       </t>
  </si>
  <si>
    <t xml:space="preserve">ARVEJAS REMOJADAS X300G LA GRINGA  </t>
  </si>
  <si>
    <t xml:space="preserve">UNIF000645          </t>
  </si>
  <si>
    <t xml:space="preserve">BUZO CELES -FRISA CGOUR- 3XL       </t>
  </si>
  <si>
    <t>MOSTAZA</t>
  </si>
  <si>
    <t xml:space="preserve">7794000006454       </t>
  </si>
  <si>
    <t xml:space="preserve">MOSTAZA X 3KG SAVORA	              </t>
  </si>
  <si>
    <t xml:space="preserve">8693357377622       </t>
  </si>
  <si>
    <t xml:space="preserve">POTE DE VIDRIO 100MM PASABAHCE XU  </t>
  </si>
  <si>
    <t xml:space="preserve">UNIF000437          </t>
  </si>
  <si>
    <t xml:space="preserve">CAMPERA TRUCKER A. MAR GL SUP L    </t>
  </si>
  <si>
    <t xml:space="preserve">UNIF000428          </t>
  </si>
  <si>
    <t xml:space="preserve">CAMP. A. MAR. TRUCKER PULCRUS S    </t>
  </si>
  <si>
    <t xml:space="preserve">UNIF000113          </t>
  </si>
  <si>
    <t xml:space="preserve">PANTALON NAUTICO GRIS 3            </t>
  </si>
  <si>
    <t>JUGO POLVO MANZANA</t>
  </si>
  <si>
    <t xml:space="preserve">7790580144142       </t>
  </si>
  <si>
    <t xml:space="preserve">JUGO POLVO MANZ ROJA X15GR ARCOR   </t>
  </si>
  <si>
    <t xml:space="preserve">7790321020346       </t>
  </si>
  <si>
    <t xml:space="preserve">VASO PLASTICO X 180 X 100 U        </t>
  </si>
  <si>
    <t xml:space="preserve">UNIF000153          </t>
  </si>
  <si>
    <t xml:space="preserve">CAMI. BLAN.M. LARG 46 C. GOURMET   </t>
  </si>
  <si>
    <t xml:space="preserve">7790000000710       </t>
  </si>
  <si>
    <t xml:space="preserve"> MANTEL INDIV BLUE PERFECTO X1000UN</t>
  </si>
  <si>
    <t>PIMENTON</t>
  </si>
  <si>
    <t xml:space="preserve">7793875360272       </t>
  </si>
  <si>
    <t xml:space="preserve">PIMENTON EXTRA X 1 KG AROMAS       </t>
  </si>
  <si>
    <t xml:space="preserve">7792205105224       </t>
  </si>
  <si>
    <t xml:space="preserve">CABO ALUM 1.50MTXUN VERDE MPROP    </t>
  </si>
  <si>
    <t xml:space="preserve">7798188570592       </t>
  </si>
  <si>
    <t xml:space="preserve">GUANTES AFELPADO ROJO T S          </t>
  </si>
  <si>
    <t>AGUA SAB MANZANA IND</t>
  </si>
  <si>
    <t xml:space="preserve">7790895009211       </t>
  </si>
  <si>
    <t xml:space="preserve">AGUA SAB X 600 CC MANZANA AQUARIUS </t>
  </si>
  <si>
    <t xml:space="preserve">7790000000559       </t>
  </si>
  <si>
    <t xml:space="preserve">CUADRADO COCO/DDL XUN SELYGEL      </t>
  </si>
  <si>
    <t xml:space="preserve">7790316030028       </t>
  </si>
  <si>
    <t xml:space="preserve">CAJA DOBLE BASE 40X30X27 HUR       </t>
  </si>
  <si>
    <t xml:space="preserve">7798092968720       </t>
  </si>
  <si>
    <t xml:space="preserve">GUANTES SOFT M                     </t>
  </si>
  <si>
    <t>DISPENSER JABON</t>
  </si>
  <si>
    <t xml:space="preserve">BAZ000376           </t>
  </si>
  <si>
    <t xml:space="preserve">DISPENSER JABON LIQUIDO X UN       </t>
  </si>
  <si>
    <t>CARNE ENTERA CONGELADA</t>
  </si>
  <si>
    <t xml:space="preserve">7790212031264       </t>
  </si>
  <si>
    <t xml:space="preserve">CUADRADA C XKG                     </t>
  </si>
  <si>
    <t>PULPA PERA</t>
  </si>
  <si>
    <t xml:space="preserve">7798262020234       </t>
  </si>
  <si>
    <t xml:space="preserve">JUGO PERA PULPA X110CC ZUMMY       </t>
  </si>
  <si>
    <t xml:space="preserve">7790000000680       </t>
  </si>
  <si>
    <t xml:space="preserve">GL GUANTE MOTEADO                  </t>
  </si>
  <si>
    <t xml:space="preserve">BAZ001370           </t>
  </si>
  <si>
    <t xml:space="preserve">TAPA G/N AC INOX 1/2 325/265 MM    </t>
  </si>
  <si>
    <t>PAN FRANCES X KG</t>
  </si>
  <si>
    <t xml:space="preserve">7798165392639       </t>
  </si>
  <si>
    <t xml:space="preserve">PAN XKG                            </t>
  </si>
  <si>
    <t>CHOCOLATE TAZA IND</t>
  </si>
  <si>
    <t xml:space="preserve">7790580315405       </t>
  </si>
  <si>
    <t xml:space="preserve">BARRA CHOCOLATE X24U AGUILA        </t>
  </si>
  <si>
    <t xml:space="preserve">UNIF000005          </t>
  </si>
  <si>
    <t xml:space="preserve">AMBO A. MAR. ESCO.-V 2XL PULCRUS   </t>
  </si>
  <si>
    <t xml:space="preserve">UNIF000120          </t>
  </si>
  <si>
    <t xml:space="preserve">PANTALON NAUTICO BLANCO 2          </t>
  </si>
  <si>
    <t>LECHE NUT CONFORT</t>
  </si>
  <si>
    <t xml:space="preserve">7795323776093       </t>
  </si>
  <si>
    <t xml:space="preserve">LECHE LAT 400GR NUTRILON CONFORT   </t>
  </si>
  <si>
    <t>CALDO POLVO CARNE</t>
  </si>
  <si>
    <t xml:space="preserve">7794000004047       </t>
  </si>
  <si>
    <t xml:space="preserve">CALDO CARNE X1KG KNORR             </t>
  </si>
  <si>
    <t xml:space="preserve">BUSAT0011005        </t>
  </si>
  <si>
    <t xml:space="preserve">BALDE AZUL VEGA PRENSA MOPA 30LTS  </t>
  </si>
  <si>
    <t xml:space="preserve">7798138555532       </t>
  </si>
  <si>
    <t>FIDEO GUIS TIRABUZON X500G STA ISAB</t>
  </si>
  <si>
    <t xml:space="preserve">7796624012009       </t>
  </si>
  <si>
    <t xml:space="preserve">GALL INDIV SAND ABEDUL 176UX25G    </t>
  </si>
  <si>
    <t>DULCE DE LECHE INDIV</t>
  </si>
  <si>
    <t xml:space="preserve">7798011976744       </t>
  </si>
  <si>
    <t xml:space="preserve">DULCE LECHE IND 20GX108U ABEDUL	   </t>
  </si>
  <si>
    <t xml:space="preserve">BAZ001176           </t>
  </si>
  <si>
    <t xml:space="preserve">RECIPI+TAPA POLIPR 26L465X325X20   </t>
  </si>
  <si>
    <t xml:space="preserve">UNIF000578          </t>
  </si>
  <si>
    <t xml:space="preserve">CAMISA GRIS T54                    </t>
  </si>
  <si>
    <t xml:space="preserve">7790321130874       </t>
  </si>
  <si>
    <t xml:space="preserve">ENS CRISTAL BASE X100U PLASTIV	    </t>
  </si>
  <si>
    <t xml:space="preserve">BUM307              </t>
  </si>
  <si>
    <t xml:space="preserve">CAJAS DE LUZ                       </t>
  </si>
  <si>
    <t xml:space="preserve">UNIF000481          </t>
  </si>
  <si>
    <t xml:space="preserve">PANTAL. GRAFA S. LOGO BLANCO 42    </t>
  </si>
  <si>
    <t xml:space="preserve">17798038127102      </t>
  </si>
  <si>
    <t xml:space="preserve">VASO TERM ESTISOL 0.240LT X1000UN  </t>
  </si>
  <si>
    <t xml:space="preserve">UNIF000357          </t>
  </si>
  <si>
    <t xml:space="preserve">CHAQ C. MAO AY/CAM/PEON 7 C.GOUR   </t>
  </si>
  <si>
    <t xml:space="preserve">BAZ001196           </t>
  </si>
  <si>
    <t xml:space="preserve">CUCHILL PAN DENTADO SANIT 12       </t>
  </si>
  <si>
    <t xml:space="preserve">UNIF000421          </t>
  </si>
  <si>
    <t xml:space="preserve">CAMISA GRAFA-AZUL MARINO 46 ELEV   </t>
  </si>
  <si>
    <t>FECULA DE MANDIOCA</t>
  </si>
  <si>
    <t xml:space="preserve">7798186163000       </t>
  </si>
  <si>
    <t xml:space="preserve">FECULA DE MANDIOCA X1KG VALLE	     </t>
  </si>
  <si>
    <t xml:space="preserve">7798040022782       </t>
  </si>
  <si>
    <t xml:space="preserve">BOLSA RESIDUO 45X60X50U            </t>
  </si>
  <si>
    <t>MADALENA INDIVIDUAL</t>
  </si>
  <si>
    <t xml:space="preserve">47790726000392      </t>
  </si>
  <si>
    <t xml:space="preserve">MADALENA X 25 G DULCYPAS           </t>
  </si>
  <si>
    <t>TE SAQUITO S/TACC</t>
  </si>
  <si>
    <t xml:space="preserve">7792198006652       </t>
  </si>
  <si>
    <t xml:space="preserve">TE SAQUITO X25U HURLINGHAM         </t>
  </si>
  <si>
    <t xml:space="preserve">7790387013627       </t>
  </si>
  <si>
    <t xml:space="preserve">YERBA MATE X500GR TARAGUI          </t>
  </si>
  <si>
    <t xml:space="preserve">7798011976720       </t>
  </si>
  <si>
    <t xml:space="preserve">MERM. DAMASCO 2G X108 ABEDUL       </t>
  </si>
  <si>
    <t xml:space="preserve">UNIF000137          </t>
  </si>
  <si>
    <t xml:space="preserve">BUZO FRIZA GRIS TALLE 3XL          </t>
  </si>
  <si>
    <t xml:space="preserve">7790000000663       </t>
  </si>
  <si>
    <t xml:space="preserve">MOPA MICROFIBRA 80 CM XU           </t>
  </si>
  <si>
    <t>LUSTRAMUEBLE</t>
  </si>
  <si>
    <t xml:space="preserve">7790520028747       </t>
  </si>
  <si>
    <t xml:space="preserve">LUSTRAMUEBLE BLEM CLASICO XU       </t>
  </si>
  <si>
    <t>LECHE POLVO DESCREMADA</t>
  </si>
  <si>
    <t xml:space="preserve">7790787201303       </t>
  </si>
  <si>
    <t xml:space="preserve">LECHE POLVO DESC 800G ILOLAY       </t>
  </si>
  <si>
    <t xml:space="preserve">UNIF000748          </t>
  </si>
  <si>
    <t xml:space="preserve">CAMISA POPLIN ML BLUE CAFÉ XL      </t>
  </si>
  <si>
    <t xml:space="preserve">UNIF000495          </t>
  </si>
  <si>
    <t xml:space="preserve">CAMI GRIS CAMAR. RET. T48 C GOUR   </t>
  </si>
  <si>
    <t xml:space="preserve">UNIF000463          </t>
  </si>
  <si>
    <t xml:space="preserve">PANTALON GRAF S. LOGO VERD 42      </t>
  </si>
  <si>
    <t xml:space="preserve">UNIF000262          </t>
  </si>
  <si>
    <t xml:space="preserve">PANTALON GABAR. NEG. 54 S. LOGO    </t>
  </si>
  <si>
    <t xml:space="preserve">7793323002341       </t>
  </si>
  <si>
    <t xml:space="preserve">SESAMO BLANCO X1KG DICOMERE        </t>
  </si>
  <si>
    <t>QUESO UNTABLE</t>
  </si>
  <si>
    <t xml:space="preserve">7794990879939       </t>
  </si>
  <si>
    <t xml:space="preserve">QUESO CREMA ENTERO  X 4KG PAULINA  </t>
  </si>
  <si>
    <t xml:space="preserve">7798138553330       </t>
  </si>
  <si>
    <t xml:space="preserve">MAYONESA 500GR MOLTO DISP          </t>
  </si>
  <si>
    <t xml:space="preserve">BAZ001220           </t>
  </si>
  <si>
    <t xml:space="preserve">PLAT POST BCO VERBANO CHEF G       </t>
  </si>
  <si>
    <t xml:space="preserve">7792198006539       </t>
  </si>
  <si>
    <t xml:space="preserve">MATE COC EN SOB X 100 SAQ NATURA   </t>
  </si>
  <si>
    <t xml:space="preserve">7796791200714       </t>
  </si>
  <si>
    <t xml:space="preserve">ESPONJA METALICA XU FLEXOL         </t>
  </si>
  <si>
    <t xml:space="preserve">BAZ001359           </t>
  </si>
  <si>
    <t xml:space="preserve">PLATO POSTRE LINEA RECT BLANCO     </t>
  </si>
  <si>
    <t xml:space="preserve">7798188650546       </t>
  </si>
  <si>
    <t xml:space="preserve">SELLADOR ACRY-SEEL X 5LTS          </t>
  </si>
  <si>
    <t xml:space="preserve">7791680601108       </t>
  </si>
  <si>
    <t xml:space="preserve">MATE COC EN SAQ X 25 LA HOJA       </t>
  </si>
  <si>
    <t>PIMIENTA NEGRA</t>
  </si>
  <si>
    <t xml:space="preserve">7798186160962       </t>
  </si>
  <si>
    <t xml:space="preserve">PIMIENTA NEG MOL X1KG EL CRIOLLO   </t>
  </si>
  <si>
    <t xml:space="preserve">UNIF000572          </t>
  </si>
  <si>
    <t xml:space="preserve">CAMISA GRIS T42                    </t>
  </si>
  <si>
    <t xml:space="preserve">UNIF000642          </t>
  </si>
  <si>
    <t xml:space="preserve">BUZO A. MAR. FRISA CGOUR L         </t>
  </si>
  <si>
    <t xml:space="preserve">UNIF000541          </t>
  </si>
  <si>
    <t xml:space="preserve">CHOMB GRIS NEG MANG CORTA AZ. XL   </t>
  </si>
  <si>
    <t>FIDEOS SOPEROS</t>
  </si>
  <si>
    <t xml:space="preserve">7797470000939       </t>
  </si>
  <si>
    <t xml:space="preserve">FIDEO SOP DEDALIT X 500G MAROL     </t>
  </si>
  <si>
    <t xml:space="preserve">7791476022001       </t>
  </si>
  <si>
    <t xml:space="preserve">POLENTA COCC RAPIDA 500GR EGRAN    </t>
  </si>
  <si>
    <t xml:space="preserve">UNIF000367          </t>
  </si>
  <si>
    <t xml:space="preserve">BANDANA NEGRA C GOURM              </t>
  </si>
  <si>
    <t>ZAPALLITO</t>
  </si>
  <si>
    <t xml:space="preserve">7790216010132       </t>
  </si>
  <si>
    <t xml:space="preserve">ZAPALLITO X KG                     </t>
  </si>
  <si>
    <t xml:space="preserve">UNIF000140          </t>
  </si>
  <si>
    <t xml:space="preserve">CAMISA 3/4 BCA. SALUD MUJER - 3    </t>
  </si>
  <si>
    <t xml:space="preserve">7790321000060       </t>
  </si>
  <si>
    <t xml:space="preserve">BOLSA RESIDUO VERDE 90X110X50U     </t>
  </si>
  <si>
    <t>JARDINERA</t>
  </si>
  <si>
    <t xml:space="preserve">7792350067026       </t>
  </si>
  <si>
    <t xml:space="preserve">JARDINERA X300G INALPA             </t>
  </si>
  <si>
    <t>MERMELADA LIGHT</t>
  </si>
  <si>
    <t xml:space="preserve">7791113001215       </t>
  </si>
  <si>
    <t xml:space="preserve">MERMELADA DUR X 420 G EMETH LIGHT  </t>
  </si>
  <si>
    <t xml:space="preserve">UNIF000099          </t>
  </si>
  <si>
    <t xml:space="preserve">CHOMBA PIQUE GRIS 3XL GL SUP.      </t>
  </si>
  <si>
    <t>COLITA DE CUADRIL</t>
  </si>
  <si>
    <t xml:space="preserve">7790212031241       </t>
  </si>
  <si>
    <t xml:space="preserve">COLITA DE CUADRIL X KG             </t>
  </si>
  <si>
    <t>COPOS CEREAL AZUCARADOS</t>
  </si>
  <si>
    <t xml:space="preserve">7790045000624       </t>
  </si>
  <si>
    <t xml:space="preserve">COPOS DE MAIZ X 500G SKARCHITO     </t>
  </si>
  <si>
    <t xml:space="preserve">7792350067507       </t>
  </si>
  <si>
    <t xml:space="preserve">ARVEJAS REMOJADAS X300G ALTO PAVON </t>
  </si>
  <si>
    <t xml:space="preserve">7791624000035       </t>
  </si>
  <si>
    <t xml:space="preserve">SECADOR DE PISO X50CM SACHI        </t>
  </si>
  <si>
    <t xml:space="preserve">BAZ001229           </t>
  </si>
  <si>
    <t xml:space="preserve">TAPA GAST AC INOX 1/2 325/265 MM   </t>
  </si>
  <si>
    <t xml:space="preserve">LIM000504           </t>
  </si>
  <si>
    <t xml:space="preserve">PAÑO VERDE P/PISO 17 X U           </t>
  </si>
  <si>
    <t xml:space="preserve">7790199603214       </t>
  </si>
  <si>
    <t xml:space="preserve">POLENTA X1KG MORIXE                </t>
  </si>
  <si>
    <t xml:space="preserve">BUSAT000809         </t>
  </si>
  <si>
    <t xml:space="preserve">PANTALON CARGO GRIS 54             </t>
  </si>
  <si>
    <t xml:space="preserve">7792180140586       </t>
  </si>
  <si>
    <t xml:space="preserve">PURE PAPA INST X125G MAMA COCINA	  </t>
  </si>
  <si>
    <t xml:space="preserve">7797470003701       </t>
  </si>
  <si>
    <t xml:space="preserve">ARROZ 00000 S/TACC X500G MAROLIO   </t>
  </si>
  <si>
    <t xml:space="preserve">UNIF000214          </t>
  </si>
  <si>
    <t xml:space="preserve">PANTAL CARG NEGRO NAR. 42 GL SUP   </t>
  </si>
  <si>
    <t xml:space="preserve">UNIF000104          </t>
  </si>
  <si>
    <t xml:space="preserve">PANTALON CARGO A. MARINO 56        </t>
  </si>
  <si>
    <t xml:space="preserve">UNIF000423          </t>
  </si>
  <si>
    <t xml:space="preserve">CAMISA GRAFA-AZUL MARINO 50 ELEV   </t>
  </si>
  <si>
    <t xml:space="preserve">UNIF000563          </t>
  </si>
  <si>
    <t xml:space="preserve">REMERA GRIS MANGA CORTA M          </t>
  </si>
  <si>
    <t>SESAMO INTEGRAL</t>
  </si>
  <si>
    <t xml:space="preserve">7793323002358       </t>
  </si>
  <si>
    <t xml:space="preserve">SESAMO INTEGRAL DICOMERE X 1KG     </t>
  </si>
  <si>
    <t xml:space="preserve">BAZ001163           </t>
  </si>
  <si>
    <t xml:space="preserve">VASO OCTOGONAL POLICARB 330CC      </t>
  </si>
  <si>
    <t xml:space="preserve">7790070335999       </t>
  </si>
  <si>
    <t xml:space="preserve">FID PENNE RIGAT S/TACC 0.5K MATA   </t>
  </si>
  <si>
    <t xml:space="preserve">UNIF000311          </t>
  </si>
  <si>
    <t xml:space="preserve">REMERA-AZUL MARINO C/REDONDO 2XL   </t>
  </si>
  <si>
    <t xml:space="preserve">7792260639689       </t>
  </si>
  <si>
    <t>MERMELADA DURAZ LIGHT X420GR ORIETA</t>
  </si>
  <si>
    <t xml:space="preserve">7790000000458       </t>
  </si>
  <si>
    <t xml:space="preserve">PANO MICROF AMAR CLEANTEX          </t>
  </si>
  <si>
    <t>PLUMERO x U</t>
  </si>
  <si>
    <t xml:space="preserve">7790000000671       </t>
  </si>
  <si>
    <t xml:space="preserve">PLUMERO MEDIANO XUN                </t>
  </si>
  <si>
    <t xml:space="preserve">UNIF000431          </t>
  </si>
  <si>
    <t xml:space="preserve">CAMP. A. MARIN TRUCK PULCRUS XL    </t>
  </si>
  <si>
    <t>ANANA RODAJA LATA</t>
  </si>
  <si>
    <t xml:space="preserve">7791885004841       </t>
  </si>
  <si>
    <t xml:space="preserve">ANANA RODAJA X836G CUMANA          </t>
  </si>
  <si>
    <t xml:space="preserve">7798011944129       </t>
  </si>
  <si>
    <t xml:space="preserve">PAÑO BLANCO P/PISO 17¨XU           </t>
  </si>
  <si>
    <t xml:space="preserve">714604111788        </t>
  </si>
  <si>
    <t xml:space="preserve">CUCHILLOS DESCARTABLES X1000U      </t>
  </si>
  <si>
    <t xml:space="preserve">610000108738        </t>
  </si>
  <si>
    <t xml:space="preserve">BANDEJA ALUM R5 X600U VASSOI       </t>
  </si>
  <si>
    <t xml:space="preserve">UNIF000198          </t>
  </si>
  <si>
    <t xml:space="preserve">PANTA. CARGO NEGRO 50 GL SUPPORT   </t>
  </si>
  <si>
    <t xml:space="preserve">7798151692504       </t>
  </si>
  <si>
    <t xml:space="preserve">ARROZ LF 00000 500G DO#A LUISA     </t>
  </si>
  <si>
    <t>CIRUELA</t>
  </si>
  <si>
    <t xml:space="preserve">7790216020094       </t>
  </si>
  <si>
    <t xml:space="preserve">FRUTA CIRUELA X KG                 </t>
  </si>
  <si>
    <t xml:space="preserve">LIM000464           </t>
  </si>
  <si>
    <t xml:space="preserve">MICROFIBRA DE MANO CELESTE X U     </t>
  </si>
  <si>
    <t>BICARBONATO</t>
  </si>
  <si>
    <t xml:space="preserve">7791113007194       </t>
  </si>
  <si>
    <t xml:space="preserve">BICARBONATO SODIO X1KG EMETH       </t>
  </si>
  <si>
    <t>AZUCAR INDIV CHEF GOURMET</t>
  </si>
  <si>
    <t xml:space="preserve">7798011977376       </t>
  </si>
  <si>
    <t>AZUCAR SOB  6.25G CHEF GOURMET 800U</t>
  </si>
  <si>
    <t xml:space="preserve">7791218122624       </t>
  </si>
  <si>
    <t xml:space="preserve">RAVIOLES RICOTA X500G ORALI        </t>
  </si>
  <si>
    <t xml:space="preserve">2304631000001       </t>
  </si>
  <si>
    <t xml:space="preserve">SUP. X 5 KG CONG 3 ARR X BOLSA     </t>
  </si>
  <si>
    <t>MERMELADA DURAZNO VIDRIO</t>
  </si>
  <si>
    <t xml:space="preserve">7791113000904       </t>
  </si>
  <si>
    <t xml:space="preserve">MERMELADA DURX454GR EMETH VID      </t>
  </si>
  <si>
    <t xml:space="preserve">7790321123456       </t>
  </si>
  <si>
    <t xml:space="preserve">PALITO BROCHETTE 25CM X80U         </t>
  </si>
  <si>
    <t xml:space="preserve">7790000000670       </t>
  </si>
  <si>
    <t xml:space="preserve">CABO EXTENSOR 6MT XUN              </t>
  </si>
  <si>
    <t xml:space="preserve">7791113001901       </t>
  </si>
  <si>
    <t xml:space="preserve">GELATINA DURAZNO LIGHT X 25G EMETH </t>
  </si>
  <si>
    <t xml:space="preserve">7791268030245       </t>
  </si>
  <si>
    <t xml:space="preserve">PAPEL HIG DH 30MTX4UX10 VALOT      </t>
  </si>
  <si>
    <t>CAJAS CARTON ELECTORAL</t>
  </si>
  <si>
    <t xml:space="preserve">7790321020914       </t>
  </si>
  <si>
    <t xml:space="preserve">CAJA CARTON 245X200X90 ELECCION    </t>
  </si>
  <si>
    <t xml:space="preserve">UNIF000432          </t>
  </si>
  <si>
    <t xml:space="preserve">CAMPE. TRUCK A. MAR. 2XL PULCRUS   </t>
  </si>
  <si>
    <t>DETERGENTE</t>
  </si>
  <si>
    <t xml:space="preserve">7798188650195       </t>
  </si>
  <si>
    <t xml:space="preserve">DETERGENTE BIOT DET X5L THAMES     </t>
  </si>
  <si>
    <t xml:space="preserve">7798016105293       </t>
  </si>
  <si>
    <t xml:space="preserve">MED DE POLLO X78GR(BOLSAX13U)      </t>
  </si>
  <si>
    <t xml:space="preserve">7794820903117       </t>
  </si>
  <si>
    <t xml:space="preserve">LECHE DESC LV X1L MILKAUT          </t>
  </si>
  <si>
    <t xml:space="preserve">UNIF000163          </t>
  </si>
  <si>
    <t xml:space="preserve">CHAQUETA CHEF 3 C. GOURMET         </t>
  </si>
  <si>
    <t xml:space="preserve">7795933000281       </t>
  </si>
  <si>
    <t xml:space="preserve">ATUN DESM A/A X170G BAHIA          </t>
  </si>
  <si>
    <t xml:space="preserve">7790169000173       </t>
  </si>
  <si>
    <t>FIDEOS NIDO ESPINACA X500G GRIMALDI</t>
  </si>
  <si>
    <t xml:space="preserve">BAZ001257           </t>
  </si>
  <si>
    <t xml:space="preserve">PLATO HONDO VER RECTO 21 L. CG     </t>
  </si>
  <si>
    <t xml:space="preserve">790757899506        </t>
  </si>
  <si>
    <t xml:space="preserve">GELATINA FRUTILLA 1KG POREC        </t>
  </si>
  <si>
    <t xml:space="preserve">7791113002151       </t>
  </si>
  <si>
    <t xml:space="preserve">GELATINA FRUTI LIGHT X25G EMET     </t>
  </si>
  <si>
    <t xml:space="preserve">7798188650188       </t>
  </si>
  <si>
    <t xml:space="preserve">LIMPIADOR NEUTRAL KLEEN X5LT THA   </t>
  </si>
  <si>
    <t xml:space="preserve">UNIF000092          </t>
  </si>
  <si>
    <t>CAMISA BLANCA LISA 56 BLUE CATERING</t>
  </si>
  <si>
    <t xml:space="preserve">7792860001817       </t>
  </si>
  <si>
    <t xml:space="preserve">GARRAPIÑADA DE MANI X80G LHERITHER </t>
  </si>
  <si>
    <t xml:space="preserve">UNIF000553          </t>
  </si>
  <si>
    <t xml:space="preserve">PANTALON JEAN 42 GL SUP            </t>
  </si>
  <si>
    <t xml:space="preserve">7790530850031       </t>
  </si>
  <si>
    <t xml:space="preserve">GELATINA ANANA X 5KG BEDIAL        </t>
  </si>
  <si>
    <t xml:space="preserve">7790321020996       </t>
  </si>
  <si>
    <t xml:space="preserve">BOLSA POLIPROPILENO 25X35X100U     </t>
  </si>
  <si>
    <t xml:space="preserve">7790213012220       </t>
  </si>
  <si>
    <t xml:space="preserve">PAN  MIGNON INTEGRAL  XKG          </t>
  </si>
  <si>
    <t xml:space="preserve">BAZ001184           </t>
  </si>
  <si>
    <t xml:space="preserve">CRA GUISE INOX.PALA LISA MGO LGO   </t>
  </si>
  <si>
    <t xml:space="preserve">UNIF000142          </t>
  </si>
  <si>
    <t xml:space="preserve">CAMISA 3/4 BCA. SALUD MUJER - 5    </t>
  </si>
  <si>
    <t xml:space="preserve">UNIF000003          </t>
  </si>
  <si>
    <t xml:space="preserve">AMBO A. MAR. PULCRUS ESC V L       </t>
  </si>
  <si>
    <t xml:space="preserve">7793875315135       </t>
  </si>
  <si>
    <t xml:space="preserve">OREGANO X250G AROMAS               </t>
  </si>
  <si>
    <t xml:space="preserve">BUSAT000544         </t>
  </si>
  <si>
    <t xml:space="preserve">JEANS RAIZEN	40                    </t>
  </si>
  <si>
    <t xml:space="preserve">BUSAT000575         </t>
  </si>
  <si>
    <t xml:space="preserve">PANTALON CARGO GRIS	62             </t>
  </si>
  <si>
    <t xml:space="preserve">BUSAT000349         </t>
  </si>
  <si>
    <t xml:space="preserve">POZO FRIO - ART VARIOS             </t>
  </si>
  <si>
    <t xml:space="preserve">BUSAT000178         </t>
  </si>
  <si>
    <t>BAUL  C/ ART VARIOS / SANDWICHES 01</t>
  </si>
  <si>
    <t xml:space="preserve">BUSAT000355         </t>
  </si>
  <si>
    <t xml:space="preserve">CAJA PLA G  ART.V/ SAND 02 BIS     </t>
  </si>
  <si>
    <t xml:space="preserve">BUSAT000138         </t>
  </si>
  <si>
    <t xml:space="preserve">ESCURRIDOR DE CUBIERTO             </t>
  </si>
  <si>
    <t xml:space="preserve">BUSAT000244         </t>
  </si>
  <si>
    <t xml:space="preserve">MUEBLE DE MADERA/ENS 01            </t>
  </si>
  <si>
    <t xml:space="preserve">BUSAT0011011        </t>
  </si>
  <si>
    <t xml:space="preserve">VENTILADOR NEGRO CHICO SIN BASE    </t>
  </si>
  <si>
    <t xml:space="preserve">BUSAT000111         </t>
  </si>
  <si>
    <t xml:space="preserve">GN GRANDE HORNO                    </t>
  </si>
  <si>
    <t xml:space="preserve">BUSAT000072         </t>
  </si>
  <si>
    <t>AZUCARERO PLASTICO BLANCO CONFITERI</t>
  </si>
  <si>
    <t xml:space="preserve">BUSAT000018         </t>
  </si>
  <si>
    <t xml:space="preserve">EXPRIMIDORA ELECTRICA              </t>
  </si>
  <si>
    <t xml:space="preserve">BUSAT000375         </t>
  </si>
  <si>
    <t xml:space="preserve">BARBIJO N95 / KN95                 </t>
  </si>
  <si>
    <t xml:space="preserve">BUSAT000278         </t>
  </si>
  <si>
    <t xml:space="preserve">CARRO BANDEJERO X 100              </t>
  </si>
  <si>
    <t xml:space="preserve">BUSAT000361         </t>
  </si>
  <si>
    <t xml:space="preserve"> ALMOH R (1 VERDE Y 1 ROJO)        </t>
  </si>
  <si>
    <t xml:space="preserve">BUSAT000125         </t>
  </si>
  <si>
    <t xml:space="preserve">GN HONDO                           </t>
  </si>
  <si>
    <t xml:space="preserve">BUSAT000332         </t>
  </si>
  <si>
    <t xml:space="preserve">CARRO HELADERA/SANDWICHES 02       </t>
  </si>
  <si>
    <t xml:space="preserve">BUSAT000268         </t>
  </si>
  <si>
    <t xml:space="preserve">SOMBRILLA                          </t>
  </si>
  <si>
    <t xml:space="preserve">BUSAT001107         </t>
  </si>
  <si>
    <t xml:space="preserve">BATIDORA INDUSTRIAL SILCOOK        </t>
  </si>
  <si>
    <t xml:space="preserve">BUSAT000942         </t>
  </si>
  <si>
    <t xml:space="preserve">SECAPLATOS                         </t>
  </si>
  <si>
    <t xml:space="preserve">BUSAT000180         </t>
  </si>
  <si>
    <t>BAUL CON ART VARIOS P/ POCHOCLOS 05</t>
  </si>
  <si>
    <t xml:space="preserve">BUSAT000498         </t>
  </si>
  <si>
    <t xml:space="preserve">BOTAS	45                           </t>
  </si>
  <si>
    <t xml:space="preserve">BUSAT000134         </t>
  </si>
  <si>
    <t xml:space="preserve">ROLLOS BANDA CORTINA CAMARAS       </t>
  </si>
  <si>
    <t xml:space="preserve">BUSAT000810         </t>
  </si>
  <si>
    <t xml:space="preserve">CAMPERA TASALANC/MANGA DESMONTABLE </t>
  </si>
  <si>
    <t xml:space="preserve">BUSAT000937         </t>
  </si>
  <si>
    <t xml:space="preserve">CAJA PLASTICA BLANCA MEADIANA      </t>
  </si>
  <si>
    <t xml:space="preserve">BUSAT000874         </t>
  </si>
  <si>
    <t xml:space="preserve">TACHOS BLANCOS S/ASA GRANDE        </t>
  </si>
  <si>
    <t xml:space="preserve">BUSAT001113         </t>
  </si>
  <si>
    <t xml:space="preserve">TV NOBLEX                          </t>
  </si>
  <si>
    <t xml:space="preserve">BUSAT000056         </t>
  </si>
  <si>
    <t xml:space="preserve">TRIPODI                            </t>
  </si>
  <si>
    <t xml:space="preserve">BUSAT000921         </t>
  </si>
  <si>
    <t xml:space="preserve">TETERA ACERO INOX CON TAPA         </t>
  </si>
  <si>
    <t xml:space="preserve">BAZ000834           </t>
  </si>
  <si>
    <t xml:space="preserve">CANASTO FRIT RECT 16X32-P 14CM     </t>
  </si>
  <si>
    <t xml:space="preserve">BUSAT000210         </t>
  </si>
  <si>
    <t>MESADA CON BACHA PILETA C/ ESTACION</t>
  </si>
  <si>
    <t xml:space="preserve">BAZ001260           </t>
  </si>
  <si>
    <t xml:space="preserve">TAZA DESAYUNO PORC. RECTO          </t>
  </si>
  <si>
    <t>MANDARINA SAE</t>
  </si>
  <si>
    <t xml:space="preserve">7790216020114       </t>
  </si>
  <si>
    <t xml:space="preserve">MANDARINA SAE X KG                 </t>
  </si>
  <si>
    <t xml:space="preserve">UNIF000312          </t>
  </si>
  <si>
    <t xml:space="preserve">REMERA-AZUL MARINO C/REDONDO 3XL   </t>
  </si>
  <si>
    <t xml:space="preserve">17792180006117      </t>
  </si>
  <si>
    <t xml:space="preserve">FACT.PANAL BATATA X72 CAÑUELAS     </t>
  </si>
  <si>
    <t>LIMPIADOR DE ALFOMBRA BIODEGRA</t>
  </si>
  <si>
    <t xml:space="preserve">7798057860205       </t>
  </si>
  <si>
    <t xml:space="preserve">LIMP ALFOMB  RUGBEE 4UX5LT JOHNSON </t>
  </si>
  <si>
    <t xml:space="preserve">7891167831087       </t>
  </si>
  <si>
    <t xml:space="preserve">ATUN A/N DESMENUZADO X170G GOM     </t>
  </si>
  <si>
    <t xml:space="preserve">7798332280506       </t>
  </si>
  <si>
    <t xml:space="preserve">DETERG PINO AMAR X5L SPARTAN       </t>
  </si>
  <si>
    <t xml:space="preserve">UNIF000522          </t>
  </si>
  <si>
    <t xml:space="preserve">CONJ. PRIMERA PIEL TALLE L S.LOG   </t>
  </si>
  <si>
    <t xml:space="preserve">7793875360104       </t>
  </si>
  <si>
    <t xml:space="preserve">CONDIMENTO P/PIZZA X 25G AROMAS    </t>
  </si>
  <si>
    <t>ESPINACA CONGELADA</t>
  </si>
  <si>
    <t xml:space="preserve">7798094535580       </t>
  </si>
  <si>
    <t xml:space="preserve">CAJA NAVIDEÑA 300X160X340XU        </t>
  </si>
  <si>
    <t>PALA CON CABO</t>
  </si>
  <si>
    <t xml:space="preserve">7798065720102       </t>
  </si>
  <si>
    <t xml:space="preserve">PALA PLASTICA C/ CABO X U          </t>
  </si>
  <si>
    <t xml:space="preserve">A1607C25T71         </t>
  </si>
  <si>
    <t>GL ZAPATO SEG.NEG. 35/36 ATT CHUBUT</t>
  </si>
  <si>
    <t>LIMPIADOR VIDRIOS</t>
  </si>
  <si>
    <t xml:space="preserve">7798057869604       </t>
  </si>
  <si>
    <t xml:space="preserve">LIMPIAVIDRIOS VIEW 5L X4U JOHNSO   </t>
  </si>
  <si>
    <t xml:space="preserve">7790411001366       </t>
  </si>
  <si>
    <t xml:space="preserve">PANO PELO CHANCH TOSTAD P/PIS 20   </t>
  </si>
  <si>
    <t xml:space="preserve">BAZ001280           </t>
  </si>
  <si>
    <t xml:space="preserve">COMPOTERA MELAMINA SOPA            </t>
  </si>
  <si>
    <t xml:space="preserve">BUSAT000861         </t>
  </si>
  <si>
    <t xml:space="preserve">CARRO BANDEJERO PLASTICO           </t>
  </si>
  <si>
    <t xml:space="preserve">BUSAT000644         </t>
  </si>
  <si>
    <t xml:space="preserve">CINTA DE CAPITAN                   </t>
  </si>
  <si>
    <t>APIO</t>
  </si>
  <si>
    <t xml:space="preserve">7790216010082       </t>
  </si>
  <si>
    <t xml:space="preserve">APIO X KG                          </t>
  </si>
  <si>
    <t xml:space="preserve">BAZ001189           </t>
  </si>
  <si>
    <t xml:space="preserve">CUCHARITA TE MOD. AC INOX. LIVI    </t>
  </si>
  <si>
    <t xml:space="preserve">7798011976591       </t>
  </si>
  <si>
    <t xml:space="preserve">MAYONESA IND 8CC X198U ABEDUL      </t>
  </si>
  <si>
    <t xml:space="preserve">7796322010331       </t>
  </si>
  <si>
    <t xml:space="preserve">TRAPO DE PISO GRIS                 </t>
  </si>
  <si>
    <t xml:space="preserve">UNIF000506          </t>
  </si>
  <si>
    <t xml:space="preserve">CAMPERA POLAR NEGRA XXL C. GOUR    </t>
  </si>
  <si>
    <t>CHORIZOS</t>
  </si>
  <si>
    <t xml:space="preserve">7790212031210       </t>
  </si>
  <si>
    <t xml:space="preserve">CHORIZO BOMBON X KG                </t>
  </si>
  <si>
    <t xml:space="preserve">7790566000271       </t>
  </si>
  <si>
    <t xml:space="preserve">ACETO BALSAMICO X5LT HEIMEN        </t>
  </si>
  <si>
    <t xml:space="preserve">UNIF000119          </t>
  </si>
  <si>
    <t xml:space="preserve">PANTALON NAUTICO BLANCO 1          </t>
  </si>
  <si>
    <t xml:space="preserve">7791290794221       </t>
  </si>
  <si>
    <t xml:space="preserve">LIMPIADOR CREMOSO X 750CC CIF      </t>
  </si>
  <si>
    <t xml:space="preserve">7791885409301       </t>
  </si>
  <si>
    <t xml:space="preserve">COCO RALLADO XKG CUMANA            </t>
  </si>
  <si>
    <t xml:space="preserve">7791113002656       </t>
  </si>
  <si>
    <t xml:space="preserve">GELATINA S/SABOR XKG EMETH         </t>
  </si>
  <si>
    <t xml:space="preserve">UNIF000373          </t>
  </si>
  <si>
    <t xml:space="preserve">SWEATER NEGRO BLUE CATERING S      </t>
  </si>
  <si>
    <t xml:space="preserve">7798430440109       </t>
  </si>
  <si>
    <t xml:space="preserve">PAPEL HIGIENICO 50MX24U MALTED     </t>
  </si>
  <si>
    <t xml:space="preserve">UNIF000616          </t>
  </si>
  <si>
    <t xml:space="preserve">GUARDAPOLVO C LOGO GL SUP XXL      </t>
  </si>
  <si>
    <t xml:space="preserve">UNIF000088          </t>
  </si>
  <si>
    <t>CAMISA BLANCA LISA 48 BLUE CATERING</t>
  </si>
  <si>
    <t>PAN DULCE CHIP CHOC</t>
  </si>
  <si>
    <t xml:space="preserve">7790726120191       </t>
  </si>
  <si>
    <t xml:space="preserve">PAN DULCE C/CHIPS X400G DULCYPAS   </t>
  </si>
  <si>
    <t xml:space="preserve">7795311833326       </t>
  </si>
  <si>
    <t xml:space="preserve">LECHE ENT POLVO X800GR SUPERLAC    </t>
  </si>
  <si>
    <t xml:space="preserve">BAZ001225           </t>
  </si>
  <si>
    <t xml:space="preserve">SARTEN MANG PLANCHU CHAPN°30       </t>
  </si>
  <si>
    <t xml:space="preserve">7798452810027       </t>
  </si>
  <si>
    <t xml:space="preserve">GUANTES LATEX M X100U ALUMAX       </t>
  </si>
  <si>
    <t xml:space="preserve">7793071000118       </t>
  </si>
  <si>
    <t>EDULCORANTE SOBRE</t>
  </si>
  <si>
    <t xml:space="preserve">7798011976010       </t>
  </si>
  <si>
    <t xml:space="preserve">EDULCORANTE IND 0.8GX400U ABEDUL   </t>
  </si>
  <si>
    <t xml:space="preserve">UNIF000091          </t>
  </si>
  <si>
    <t>CAMISA BLANCA LISA 54 BLUE CATERING</t>
  </si>
  <si>
    <t xml:space="preserve">UNIF000364          </t>
  </si>
  <si>
    <t xml:space="preserve">CORBATA NEGRA FINITA S. LOGO       </t>
  </si>
  <si>
    <t xml:space="preserve">UNIF000048          </t>
  </si>
  <si>
    <t xml:space="preserve">BUZO AZUL MARINO PULCRUS L         </t>
  </si>
  <si>
    <t xml:space="preserve">UNIF000301          </t>
  </si>
  <si>
    <t xml:space="preserve">REMERA VERDE M CR GL SUP LIMP M    </t>
  </si>
  <si>
    <t xml:space="preserve">BAZ001232           </t>
  </si>
  <si>
    <t xml:space="preserve">TENEDOR MESA MODACERO INOX LIVI    </t>
  </si>
  <si>
    <t xml:space="preserve">7791218000281       </t>
  </si>
  <si>
    <t xml:space="preserve">RAVIOLES CARNE/VERD X500G ORALI    </t>
  </si>
  <si>
    <t xml:space="preserve">UNIF000144          </t>
  </si>
  <si>
    <t xml:space="preserve">CAMI. 3/4 BCA SALUD MUJ 1 C.GOUR   </t>
  </si>
  <si>
    <t xml:space="preserve">7793123160265       </t>
  </si>
  <si>
    <t xml:space="preserve">OBLEA SAB VAIN 100GR OBLITA        </t>
  </si>
  <si>
    <t>MOPA</t>
  </si>
  <si>
    <t xml:space="preserve">LIM000261           </t>
  </si>
  <si>
    <t xml:space="preserve">MOPA DE LAVADO                     </t>
  </si>
  <si>
    <t xml:space="preserve">7797470000045       </t>
  </si>
  <si>
    <t xml:space="preserve">HARINA 000 X 1 KG MAROLIO          </t>
  </si>
  <si>
    <t xml:space="preserve">UNIF000308          </t>
  </si>
  <si>
    <t xml:space="preserve">REMERA C/RED AZUL MAR GRUPO L M    </t>
  </si>
  <si>
    <t xml:space="preserve">7790000000461       </t>
  </si>
  <si>
    <t xml:space="preserve">PANO MICROF.MULT VERDE CLEANTEX    </t>
  </si>
  <si>
    <t xml:space="preserve">BAZ001256           </t>
  </si>
  <si>
    <t xml:space="preserve">ASADERA CHAP ENLOZ REF 30X40X5.6   </t>
  </si>
  <si>
    <t xml:space="preserve">7790787251872       </t>
  </si>
  <si>
    <t xml:space="preserve">QUESO RALLADO IND X100U ILOLAY     </t>
  </si>
  <si>
    <t xml:space="preserve">UNIF000079          </t>
  </si>
  <si>
    <t xml:space="preserve">CAMISA BLANCA LISA 50 S. LOGO      </t>
  </si>
  <si>
    <t>BROCOLI CONGELADO</t>
  </si>
  <si>
    <t xml:space="preserve">7798184272681       </t>
  </si>
  <si>
    <t xml:space="preserve">BROCOLI CONG BIOMAC 500G X UN      </t>
  </si>
  <si>
    <t xml:space="preserve">7793875314732       </t>
  </si>
  <si>
    <t xml:space="preserve">LAUREL HOJAS X250G AYS             </t>
  </si>
  <si>
    <t>LECHE LV FORTIFICADA</t>
  </si>
  <si>
    <t xml:space="preserve">7790742335807       </t>
  </si>
  <si>
    <t>LECHE ENTERA LV FORT X1L SERENISIMA</t>
  </si>
  <si>
    <t xml:space="preserve">UNIF000453          </t>
  </si>
  <si>
    <t xml:space="preserve">CAMPE. TRUCK A. MAR. 2XL ELEVARE   </t>
  </si>
  <si>
    <t xml:space="preserve">7792316001019       </t>
  </si>
  <si>
    <t xml:space="preserve">SIDRA X 720 ML LA VICTORIA         </t>
  </si>
  <si>
    <t>GRANOLA</t>
  </si>
  <si>
    <t xml:space="preserve">7790045826620       </t>
  </si>
  <si>
    <t xml:space="preserve">GRANOLA CROCANTE X3KG GRANIX       </t>
  </si>
  <si>
    <t xml:space="preserve">5000796             </t>
  </si>
  <si>
    <t xml:space="preserve">BOTAS DE GOMA T:43                 </t>
  </si>
  <si>
    <t xml:space="preserve">UNIF000150          </t>
  </si>
  <si>
    <t xml:space="preserve">CAMI. BLAN.M. LARG 40 C. GOURMET   </t>
  </si>
  <si>
    <t>PEREJIL DESHIDRATADO</t>
  </si>
  <si>
    <t xml:space="preserve">7793875324151       </t>
  </si>
  <si>
    <t xml:space="preserve">PEREJIL DESHIDRATADO X1KG AYS      </t>
  </si>
  <si>
    <t>MANI CON CHOCOLATE</t>
  </si>
  <si>
    <t xml:space="preserve">7792860007932       </t>
  </si>
  <si>
    <t xml:space="preserve"> MANI C/CHOC CONFIT 80GR LHERITIER </t>
  </si>
  <si>
    <t>MANTECA INDIVIDUAL</t>
  </si>
  <si>
    <t xml:space="preserve">7798011970650       </t>
  </si>
  <si>
    <t xml:space="preserve">MANTECA IND X10GRX100U ABEDUL      </t>
  </si>
  <si>
    <t xml:space="preserve">UNIF000216          </t>
  </si>
  <si>
    <t xml:space="preserve">PANTAL CARG NEGRO NAR. 46 GL SUP   </t>
  </si>
  <si>
    <t xml:space="preserve">7798071200483       </t>
  </si>
  <si>
    <t xml:space="preserve">JUGO DE LIMON X 5LT ABRA           </t>
  </si>
  <si>
    <t xml:space="preserve">7794990879656       </t>
  </si>
  <si>
    <t xml:space="preserve">QUESO CREMA TRAD.PAULINAX290       </t>
  </si>
  <si>
    <t xml:space="preserve">UNIF000319          </t>
  </si>
  <si>
    <t xml:space="preserve">UNIF000460          </t>
  </si>
  <si>
    <t>CALDO CUBOS GALLINA</t>
  </si>
  <si>
    <t xml:space="preserve">7790989004306       </t>
  </si>
  <si>
    <t xml:space="preserve">CALDO GALLINA X12U LA MERE MIC     </t>
  </si>
  <si>
    <t xml:space="preserve">7790971000378       </t>
  </si>
  <si>
    <t xml:space="preserve">FLAN VAIN LIGHT X1KG ORLOC         </t>
  </si>
  <si>
    <t>BOLSA RESIDUOS CRISTAL</t>
  </si>
  <si>
    <t xml:space="preserve">BUSAT001050         </t>
  </si>
  <si>
    <t>BOLSA CONSORCIO CRISTAL 80 X 1.10 X</t>
  </si>
  <si>
    <t xml:space="preserve">7790321000038       </t>
  </si>
  <si>
    <t xml:space="preserve">BOLSA RESID 60X90X50 ROJA 120MIC   </t>
  </si>
  <si>
    <t xml:space="preserve">UNIF000408          </t>
  </si>
  <si>
    <t xml:space="preserve">PANTAL NEG GU/MOZO/CAJERO/ADM 6    </t>
  </si>
  <si>
    <t xml:space="preserve">UNIF000135          </t>
  </si>
  <si>
    <t xml:space="preserve">BUZO GRIS FRISA GL SUPPORT XL      </t>
  </si>
  <si>
    <t xml:space="preserve">UNIF000008          </t>
  </si>
  <si>
    <t xml:space="preserve">AMBO A. MAR. GL SUP ESC V S        </t>
  </si>
  <si>
    <t>ALFAJOR MAICENA</t>
  </si>
  <si>
    <t xml:space="preserve">77922106            </t>
  </si>
  <si>
    <t xml:space="preserve">ALFAJOR SIMP MAICENA CACHAFAZ 76GR </t>
  </si>
  <si>
    <t xml:space="preserve">7798349550128       </t>
  </si>
  <si>
    <t xml:space="preserve">MOPIN X U                          </t>
  </si>
  <si>
    <t xml:space="preserve">7798001562292       </t>
  </si>
  <si>
    <t xml:space="preserve">LECHE POLVO ENT X800G CREMIGAL     </t>
  </si>
  <si>
    <t xml:space="preserve">7790490998231       </t>
  </si>
  <si>
    <t xml:space="preserve">EDULCORANTE LIQ X250ML HILERET     </t>
  </si>
  <si>
    <t xml:space="preserve">UNIF000427          </t>
  </si>
  <si>
    <t xml:space="preserve">CAMISA GRAFA-AZUL MARINO 60 ELEV   </t>
  </si>
  <si>
    <t xml:space="preserve">BUSAT000939         </t>
  </si>
  <si>
    <t xml:space="preserve">CILINDRO PLAS BLANCO CHICO S/AS    </t>
  </si>
  <si>
    <t xml:space="preserve">BUSAT001111         </t>
  </si>
  <si>
    <t xml:space="preserve">TV SAMSUNG                         </t>
  </si>
  <si>
    <t xml:space="preserve">BUSAT000872         </t>
  </si>
  <si>
    <t xml:space="preserve">TACHOS BLANCOS C/ASA GRANDE        </t>
  </si>
  <si>
    <t xml:space="preserve">BUSAT000101         </t>
  </si>
  <si>
    <t xml:space="preserve">TETERA GRANDE LOZA                 </t>
  </si>
  <si>
    <t xml:space="preserve">BUSAT0011003        </t>
  </si>
  <si>
    <t xml:space="preserve">BOWL MEDIANO METAL                 </t>
  </si>
  <si>
    <t xml:space="preserve">7798224213278       </t>
  </si>
  <si>
    <t xml:space="preserve">CURCUMA X15GR PARMESANA            </t>
  </si>
  <si>
    <t xml:space="preserve">BAZ001157           </t>
  </si>
  <si>
    <t xml:space="preserve">PLATO TE LINEA RECTA BCO VERBANO   </t>
  </si>
  <si>
    <t xml:space="preserve">BAZ001147           </t>
  </si>
  <si>
    <t xml:space="preserve">BAND PLAST FAST-FOOD 45X35 AZUL    </t>
  </si>
  <si>
    <t>MERMELADA IND CIRUELA</t>
  </si>
  <si>
    <t xml:space="preserve">7798011976690       </t>
  </si>
  <si>
    <t xml:space="preserve">MERM CIRUELA X20GX108U ABEDUL      </t>
  </si>
  <si>
    <t xml:space="preserve">UNIF000043          </t>
  </si>
  <si>
    <t xml:space="preserve">BUZO A. MARINO-FRISA ELEVARE 2XL   </t>
  </si>
  <si>
    <t xml:space="preserve">UNIF000531          </t>
  </si>
  <si>
    <t xml:space="preserve">CAMI.GRAF AZUL MARINO 56 ELEVARE   </t>
  </si>
  <si>
    <t>ACELGA CONGELADA</t>
  </si>
  <si>
    <t xml:space="preserve">7798184272902       </t>
  </si>
  <si>
    <t xml:space="preserve">ACELGA CONG E/HOJAS IQF 0.5KG BI   </t>
  </si>
  <si>
    <t xml:space="preserve">7798156760024       </t>
  </si>
  <si>
    <t xml:space="preserve">ARVEJAS TETRA X340G DEL VALLE      </t>
  </si>
  <si>
    <t xml:space="preserve">UNIF000139          </t>
  </si>
  <si>
    <t xml:space="preserve">CAMISA 3/4 BCA. SALUD MUJER - 2    </t>
  </si>
  <si>
    <t xml:space="preserve">UNIF000206          </t>
  </si>
  <si>
    <t xml:space="preserve">PANTAL CARG NEGRO AZ. 44 GL SUP    </t>
  </si>
  <si>
    <t xml:space="preserve">LIM000175           </t>
  </si>
  <si>
    <t xml:space="preserve">EMBUDO X U                         </t>
  </si>
  <si>
    <t>HARINA LEUDANTE</t>
  </si>
  <si>
    <t xml:space="preserve">7792590001064       </t>
  </si>
  <si>
    <t xml:space="preserve">HARINA LEUDANTE X 1 KG CASERITA    </t>
  </si>
  <si>
    <t xml:space="preserve">UNIF000090          </t>
  </si>
  <si>
    <t>CAMISA BLANCA LISA 52 BLUE CATERING</t>
  </si>
  <si>
    <t>ACEITUNA NEGRA S/C</t>
  </si>
  <si>
    <t xml:space="preserve">7793275000341       </t>
  </si>
  <si>
    <t xml:space="preserve">ACEITUNAS NEGR DESCA 3KG REYGAL    </t>
  </si>
  <si>
    <t>ALMIDON DE MAIZ</t>
  </si>
  <si>
    <t xml:space="preserve">7791476019001       </t>
  </si>
  <si>
    <t xml:space="preserve">FECULA DE MAIZ STACC X500GR EGRA   </t>
  </si>
  <si>
    <t xml:space="preserve">EMB000035           </t>
  </si>
  <si>
    <t xml:space="preserve">ROLLO_BOLSA_ARRANQUE_30_X_45       </t>
  </si>
  <si>
    <t xml:space="preserve">7798440570025       </t>
  </si>
  <si>
    <t xml:space="preserve">ACEITE DE GIRASOL BUYATTI 900CC    </t>
  </si>
  <si>
    <t xml:space="preserve">BUE00258            </t>
  </si>
  <si>
    <t xml:space="preserve">HELADERA MOS BRIKET M3200 1,70 M   </t>
  </si>
  <si>
    <t xml:space="preserve">BUSAT000940         </t>
  </si>
  <si>
    <t xml:space="preserve">BOWL COMPOTERA ACERO INOX CHICO    </t>
  </si>
  <si>
    <t xml:space="preserve">BUSAT000702         </t>
  </si>
  <si>
    <t xml:space="preserve">CAMISA AZUL GRAFA T 38             </t>
  </si>
  <si>
    <t xml:space="preserve">BUSAT000302         </t>
  </si>
  <si>
    <t xml:space="preserve">HELADERA 2P POYIN                  </t>
  </si>
  <si>
    <t xml:space="preserve">BUSAT000192         </t>
  </si>
  <si>
    <t xml:space="preserve">HELADERA ART. VARIOS/SAND 02 BIS   </t>
  </si>
  <si>
    <t xml:space="preserve">BUSAT000113         </t>
  </si>
  <si>
    <t xml:space="preserve">SARTENES                           </t>
  </si>
  <si>
    <t xml:space="preserve">BUSAT000449         </t>
  </si>
  <si>
    <t>PANTALON CARGO GRIS FRANJA VERDE	56</t>
  </si>
  <si>
    <t xml:space="preserve">BUSAT0011018        </t>
  </si>
  <si>
    <t xml:space="preserve">LICUADORA/PROCESADORA TURBOBLENDER </t>
  </si>
  <si>
    <t xml:space="preserve">BUSAT000853         </t>
  </si>
  <si>
    <t xml:space="preserve">TAPA PLASTICA MEDIANA              </t>
  </si>
  <si>
    <t xml:space="preserve">BUSAT000353         </t>
  </si>
  <si>
    <t xml:space="preserve">BAUL LARGO MIMBRE/SANDWICHES 01    </t>
  </si>
  <si>
    <t xml:space="preserve">BUSAT000127         </t>
  </si>
  <si>
    <t xml:space="preserve">CEREALERA                          </t>
  </si>
  <si>
    <t xml:space="preserve">BUSAT000591         </t>
  </si>
  <si>
    <t xml:space="preserve">CHOMBA BLANCA XXXL                 </t>
  </si>
  <si>
    <t xml:space="preserve">BUSAT000191         </t>
  </si>
  <si>
    <t>CARROS ENSALADA 02 (EXPERENCIAS Y S</t>
  </si>
  <si>
    <t xml:space="preserve">BUM309              </t>
  </si>
  <si>
    <t xml:space="preserve">CAMPANA ACERO INOX                 </t>
  </si>
  <si>
    <t xml:space="preserve">BUSAT000412         </t>
  </si>
  <si>
    <t xml:space="preserve">PANTALON CARGO GRIS FRANJA AZUL	36 </t>
  </si>
  <si>
    <t xml:space="preserve">BUSAT000916         </t>
  </si>
  <si>
    <t xml:space="preserve">INODORO FERRUM                     </t>
  </si>
  <si>
    <t>CAPELLETIS</t>
  </si>
  <si>
    <t xml:space="preserve">7795711000076       </t>
  </si>
  <si>
    <t>CAPELETIS POLLO/ESP X 500G VILLA DA</t>
  </si>
  <si>
    <t xml:space="preserve">BUSAT000270         </t>
  </si>
  <si>
    <t xml:space="preserve">ACCESORIOS DE SOMBRILLA            </t>
  </si>
  <si>
    <t xml:space="preserve">BUSAT000924         </t>
  </si>
  <si>
    <t xml:space="preserve">COPON GOURMET                      </t>
  </si>
  <si>
    <t xml:space="preserve">BUSAT000045         </t>
  </si>
  <si>
    <t xml:space="preserve">CUCHARON MEDIANO                   </t>
  </si>
  <si>
    <t xml:space="preserve">BUSAT000717         </t>
  </si>
  <si>
    <t>CAMPERAS TRUCKER TRICAPA EXTERIOR X</t>
  </si>
  <si>
    <t xml:space="preserve">BUSAT000604         </t>
  </si>
  <si>
    <t xml:space="preserve">CHOMBA GRIS MANGA CORTA S          </t>
  </si>
  <si>
    <t xml:space="preserve">BUSAT000878         </t>
  </si>
  <si>
    <t xml:space="preserve">TACHO BASURA RECTANGULAR VERDE     </t>
  </si>
  <si>
    <t xml:space="preserve">BUSAT000994         </t>
  </si>
  <si>
    <t xml:space="preserve">CAMISA AZUL GRAFA T 4              </t>
  </si>
  <si>
    <t xml:space="preserve">BUSAT000886         </t>
  </si>
  <si>
    <t xml:space="preserve">PANERA DE MIMBRE                   </t>
  </si>
  <si>
    <t xml:space="preserve">BUSAT000447         </t>
  </si>
  <si>
    <t>PANTALON CARGO GRIS FRANJA VERDE	52</t>
  </si>
  <si>
    <t xml:space="preserve">BUSAT000345         </t>
  </si>
  <si>
    <t xml:space="preserve">CUCHARAS LISAS                     </t>
  </si>
  <si>
    <t xml:space="preserve">BUSAT000454         </t>
  </si>
  <si>
    <t xml:space="preserve">CAMPERA AZUL POLAR	S               </t>
  </si>
  <si>
    <t xml:space="preserve">BUSAT000203         </t>
  </si>
  <si>
    <t xml:space="preserve">FARDO 06 (EXPERIENCIA Y SABORES)   </t>
  </si>
  <si>
    <t xml:space="preserve">7790000000593       </t>
  </si>
  <si>
    <t xml:space="preserve"> BONDIOLA CERDO CONG XKG           </t>
  </si>
  <si>
    <t xml:space="preserve">UNIF000196          </t>
  </si>
  <si>
    <t xml:space="preserve">PANTA. CARGO NEGRO 46 GL SUPPORT   </t>
  </si>
  <si>
    <t xml:space="preserve">7792290000398       </t>
  </si>
  <si>
    <t xml:space="preserve">LENTEJAS X 340GR MONTENEVI         </t>
  </si>
  <si>
    <t xml:space="preserve">UNIF000712          </t>
  </si>
  <si>
    <t xml:space="preserve">CAMP. NARAN TRUCKER ELEVARE L      </t>
  </si>
  <si>
    <t>EDULCORANTE SOBRE CHEF GOURMET</t>
  </si>
  <si>
    <t xml:space="preserve">7798011977406       </t>
  </si>
  <si>
    <t xml:space="preserve">EDULC SOB 0.8G CHEF GOURMET 400U   </t>
  </si>
  <si>
    <t>GALLE AGUA LIGHT S/SAL</t>
  </si>
  <si>
    <t xml:space="preserve">7790045004912       </t>
  </si>
  <si>
    <t>GALLETITAS LIGHT S/SAL 360GR GRANIX</t>
  </si>
  <si>
    <t xml:space="preserve">7790154000485       </t>
  </si>
  <si>
    <t xml:space="preserve">SIDRA DEMI SECC 750XCC 1930        </t>
  </si>
  <si>
    <t>ACEITUNA VERDE C/C</t>
  </si>
  <si>
    <t xml:space="preserve">7793275000259       </t>
  </si>
  <si>
    <t>ACEITUNAS VERDES  DESC N1 X 3KL REY</t>
  </si>
  <si>
    <t>BONDIOLA</t>
  </si>
  <si>
    <t xml:space="preserve">7790212031220       </t>
  </si>
  <si>
    <t xml:space="preserve">BONDIOLA DE CERDO X KG             </t>
  </si>
  <si>
    <t>CIABATTA CONGELADA</t>
  </si>
  <si>
    <t xml:space="preserve">17792180009422      </t>
  </si>
  <si>
    <t xml:space="preserve">CIABATTA CONG 112GX69U CANUELAS    </t>
  </si>
  <si>
    <t xml:space="preserve">UNIF000526          </t>
  </si>
  <si>
    <t>PREMEZCLA P/CELIACOS</t>
  </si>
  <si>
    <t xml:space="preserve">7798082000188       </t>
  </si>
  <si>
    <t xml:space="preserve">PREMEZCLA UNIVERSAL X450G NATU     </t>
  </si>
  <si>
    <t xml:space="preserve">7791675908373       </t>
  </si>
  <si>
    <t xml:space="preserve">ACEITUNA NEGR 0.9KG CASTELL        </t>
  </si>
  <si>
    <t>PALA CAJON</t>
  </si>
  <si>
    <t xml:space="preserve">LIM00436            </t>
  </si>
  <si>
    <t xml:space="preserve">PALA CAJON X U                     </t>
  </si>
  <si>
    <t>GALLE RELLENA</t>
  </si>
  <si>
    <t xml:space="preserve">7790040139657       </t>
  </si>
  <si>
    <t xml:space="preserve">GALLE MERENGADA 88G X36U           </t>
  </si>
  <si>
    <t xml:space="preserve">UNIF000166          </t>
  </si>
  <si>
    <t xml:space="preserve">CHAQUETA CHEF 6 C. GOURMET         </t>
  </si>
  <si>
    <t xml:space="preserve">7798011210022       </t>
  </si>
  <si>
    <t>TAPA BANDEJA 121 MICRO COTNYL X100U</t>
  </si>
  <si>
    <t xml:space="preserve">BAZ001172           </t>
  </si>
  <si>
    <t xml:space="preserve">ASADERA CHAPA ENLO REFOR 40X50CM   </t>
  </si>
  <si>
    <t xml:space="preserve">UNIF000631          </t>
  </si>
  <si>
    <t xml:space="preserve">FALDON NEGRO LARGO GL SUPPORT      </t>
  </si>
  <si>
    <t xml:space="preserve">PEPINO  </t>
  </si>
  <si>
    <t xml:space="preserve">7790216020099       </t>
  </si>
  <si>
    <t xml:space="preserve">PEPINO X KG                        </t>
  </si>
  <si>
    <t>HARINA 0000</t>
  </si>
  <si>
    <t xml:space="preserve">7791599000221       </t>
  </si>
  <si>
    <t xml:space="preserve">HARINA 0000 X1KG BRUNNG            </t>
  </si>
  <si>
    <t>VINO BLANCO</t>
  </si>
  <si>
    <t xml:space="preserve">7790984000037       </t>
  </si>
  <si>
    <t xml:space="preserve">VINO BLANCO X 1L PICO DE ORO       </t>
  </si>
  <si>
    <t xml:space="preserve">UNIF000738          </t>
  </si>
  <si>
    <t xml:space="preserve">CHAQUETA CHEF BLUE CAFÉ M          </t>
  </si>
  <si>
    <t xml:space="preserve">7793323024909       </t>
  </si>
  <si>
    <t xml:space="preserve"> SEMILLA QUINOA X1KG DICOMERE      </t>
  </si>
  <si>
    <t xml:space="preserve">UNIF000434          </t>
  </si>
  <si>
    <t xml:space="preserve">CAMPE. A. MARIN TRUCK PULCR 4XL    </t>
  </si>
  <si>
    <t>MOUSSE LIMON</t>
  </si>
  <si>
    <t xml:space="preserve">7791270013649       </t>
  </si>
  <si>
    <t xml:space="preserve">MOUSSE LIMON X 500G KEUKEN         </t>
  </si>
  <si>
    <t xml:space="preserve">7790216020113       </t>
  </si>
  <si>
    <t xml:space="preserve">FRUTA MANDARINA SAE 100-130 XU     </t>
  </si>
  <si>
    <t xml:space="preserve">UNIF000412          </t>
  </si>
  <si>
    <t xml:space="preserve">BUZO BLANCO NUTRIRE FRISA M        </t>
  </si>
  <si>
    <t xml:space="preserve">UNIF000391          </t>
  </si>
  <si>
    <t xml:space="preserve">PANTALON DE VESTIR NEGRO 3         </t>
  </si>
  <si>
    <t xml:space="preserve">7790000000675       </t>
  </si>
  <si>
    <t xml:space="preserve">VASO 12OZ POLIP BLUE X100U ETISO   </t>
  </si>
  <si>
    <t xml:space="preserve">7790000000250       </t>
  </si>
  <si>
    <t xml:space="preserve">TAPA BOWL COMP 17X7 960C X600U     </t>
  </si>
  <si>
    <t>ACEITE OLIVA IND</t>
  </si>
  <si>
    <t xml:space="preserve">7798011976478       </t>
  </si>
  <si>
    <t xml:space="preserve">ACEITE OLIVA IND X198U ABEDUL      </t>
  </si>
  <si>
    <t xml:space="preserve">A1607C25T7          </t>
  </si>
  <si>
    <t xml:space="preserve">ZAPATO SEG. NEG. 40 ATT CHUBUT     </t>
  </si>
  <si>
    <t xml:space="preserve">790757899667        </t>
  </si>
  <si>
    <t xml:space="preserve">FLAN LIGHT VAIN 1KG POREC          </t>
  </si>
  <si>
    <t xml:space="preserve">LIM000296           </t>
  </si>
  <si>
    <t xml:space="preserve">CEPILLO ERGONOMICO 20 CM X U	      </t>
  </si>
  <si>
    <t xml:space="preserve">UNIF000467          </t>
  </si>
  <si>
    <t xml:space="preserve">PANTALON GRAF S. LOGO VERD 50      </t>
  </si>
  <si>
    <t>LAVANDINA</t>
  </si>
  <si>
    <t xml:space="preserve">7790132098459       </t>
  </si>
  <si>
    <t xml:space="preserve">LAVANDINA X1LT AYUDIN	             </t>
  </si>
  <si>
    <t xml:space="preserve">BAZ001355           </t>
  </si>
  <si>
    <t xml:space="preserve">COMPOTERA/BOLS CERE PORC RECTO     </t>
  </si>
  <si>
    <t>CEBOLLA</t>
  </si>
  <si>
    <t xml:space="preserve">7790216012643       </t>
  </si>
  <si>
    <t xml:space="preserve">CEBOLLA COLORADA X KG              </t>
  </si>
  <si>
    <t xml:space="preserve">7790971001832       </t>
  </si>
  <si>
    <t xml:space="preserve">GEL DIET DURAZNO RAVANA 25GR       </t>
  </si>
  <si>
    <t xml:space="preserve">BAZ001328           </t>
  </si>
  <si>
    <t xml:space="preserve">PIZZERAS CHAPA D.D. REF N° 26      </t>
  </si>
  <si>
    <t xml:space="preserve">BAZ001155           </t>
  </si>
  <si>
    <t xml:space="preserve">OLLA ALUMINO C/TAPA N°36 X 36 LT   </t>
  </si>
  <si>
    <t xml:space="preserve">BUSAT000158         </t>
  </si>
  <si>
    <t xml:space="preserve">TERMO CAFETERA ELECTRICA           </t>
  </si>
  <si>
    <t xml:space="preserve">BUSAT000647         </t>
  </si>
  <si>
    <t>DISPENSER TOALLA INTERCALADA CRISZE</t>
  </si>
  <si>
    <t xml:space="preserve">BUSAT000618         </t>
  </si>
  <si>
    <t xml:space="preserve">SWERTER CARDIGAN T1                </t>
  </si>
  <si>
    <t xml:space="preserve">BUSAT000854         </t>
  </si>
  <si>
    <t xml:space="preserve">BANDEJAS PLASTICAS VERDE C/ BLANCO </t>
  </si>
  <si>
    <t xml:space="preserve">BUSAT001017         </t>
  </si>
  <si>
    <t xml:space="preserve">CHOMBA GRIS C AZUL M-LARGA XXXL    </t>
  </si>
  <si>
    <t xml:space="preserve">BUSAT000082         </t>
  </si>
  <si>
    <t xml:space="preserve">DISCO RALLADOR CHICO               </t>
  </si>
  <si>
    <t xml:space="preserve">BUSAT000012         </t>
  </si>
  <si>
    <t xml:space="preserve">ACCESORIO BATIDOR P/MASA           </t>
  </si>
  <si>
    <t xml:space="preserve">BUSAT000344         </t>
  </si>
  <si>
    <t xml:space="preserve">CUCHARAS PERFORADAS                </t>
  </si>
  <si>
    <t xml:space="preserve">BUSAT000438         </t>
  </si>
  <si>
    <t xml:space="preserve">PANTALON CARGO GRIS FRANJA NARANJA	</t>
  </si>
  <si>
    <t xml:space="preserve">BUSAT000910         </t>
  </si>
  <si>
    <t xml:space="preserve">ASADERA ALUMINIO GRANDE C/ASA      </t>
  </si>
  <si>
    <t xml:space="preserve">BUSAT000713         </t>
  </si>
  <si>
    <t xml:space="preserve">CAMPERAS TRUCKER TRICAPA EX T/S    </t>
  </si>
  <si>
    <t xml:space="preserve">BUSAT000422         </t>
  </si>
  <si>
    <t xml:space="preserve">PANTALON CARGO GRIS FRANJA AZUL	56 </t>
  </si>
  <si>
    <t xml:space="preserve">BUSAT000065         </t>
  </si>
  <si>
    <t xml:space="preserve">IMPRESORA FISCAL BEMATECH          </t>
  </si>
  <si>
    <t xml:space="preserve">BUSAT000881         </t>
  </si>
  <si>
    <t xml:space="preserve">PALA PARA DESPACHO ACERO INOX      </t>
  </si>
  <si>
    <t xml:space="preserve">BUSAT000990         </t>
  </si>
  <si>
    <t xml:space="preserve">C TASLAN C/MANGA DESMONTABLE XL    </t>
  </si>
  <si>
    <t xml:space="preserve">BUSAT000725         </t>
  </si>
  <si>
    <t xml:space="preserve">CHOMBA GRIS CUELLO AZUL M/CORTA M  </t>
  </si>
  <si>
    <t xml:space="preserve">BUSAT000085         </t>
  </si>
  <si>
    <t xml:space="preserve">TAMIZADOR GRANDE                   </t>
  </si>
  <si>
    <t xml:space="preserve">BUSAT000130         </t>
  </si>
  <si>
    <t xml:space="preserve">BANDEJA ACRILICO ROJO MEDIANA      </t>
  </si>
  <si>
    <t xml:space="preserve">BUSAT000119         </t>
  </si>
  <si>
    <t xml:space="preserve">CARROS BANDEJEROS                  </t>
  </si>
  <si>
    <t xml:space="preserve">BUSAT000170         </t>
  </si>
  <si>
    <t xml:space="preserve">BAUL CON ART VARIOS P/ CAZUELA 06  </t>
  </si>
  <si>
    <t xml:space="preserve">UNIF000199          </t>
  </si>
  <si>
    <t xml:space="preserve">PANTA. CARGO NEGRO 52 GL SUPPORT   </t>
  </si>
  <si>
    <t xml:space="preserve">7799132966568       </t>
  </si>
  <si>
    <t xml:space="preserve">CHEESECAKE C/FRUTOS X9U SELYGEL    </t>
  </si>
  <si>
    <t xml:space="preserve">UNIF000632          </t>
  </si>
  <si>
    <t xml:space="preserve">FALDON GR LARGO CHEF GOUR          </t>
  </si>
  <si>
    <t xml:space="preserve">7798001562780       </t>
  </si>
  <si>
    <t xml:space="preserve">DULCE LECHE REP X5KG CREMIGAL      </t>
  </si>
  <si>
    <t>FIDEOS TRICOLOR</t>
  </si>
  <si>
    <t xml:space="preserve">7790070335937       </t>
  </si>
  <si>
    <t>FIDEO GUIS TIRAB 3 VEG X500G MATARA</t>
  </si>
  <si>
    <t xml:space="preserve">UNIF000439          </t>
  </si>
  <si>
    <t xml:space="preserve">CAMPERA TRUCK A. MAR. 2XL G. SUP   </t>
  </si>
  <si>
    <t xml:space="preserve">UNIF000396          </t>
  </si>
  <si>
    <t xml:space="preserve">PANTALON DE VESTIR NEGRO 8         </t>
  </si>
  <si>
    <t>SEMOLA</t>
  </si>
  <si>
    <t xml:space="preserve">7791476070118       </t>
  </si>
  <si>
    <t xml:space="preserve">SEMOLA X400GR EGRAN                </t>
  </si>
  <si>
    <t xml:space="preserve">UNIF000205          </t>
  </si>
  <si>
    <t xml:space="preserve">PANTAL CARG NEGRO AZ. 42 GL SUP    </t>
  </si>
  <si>
    <t xml:space="preserve">7790321020136       </t>
  </si>
  <si>
    <t xml:space="preserve">BOLSA CAMISETA 30 X 40 X 100 U     </t>
  </si>
  <si>
    <t xml:space="preserve">UNIF000036          </t>
  </si>
  <si>
    <t xml:space="preserve">BUZO A. MARINO-FRISA GRUPO L 2XL   </t>
  </si>
  <si>
    <t xml:space="preserve">7798096031086       </t>
  </si>
  <si>
    <t xml:space="preserve">LENTEJAS X 340GR DOÑA PUPA         </t>
  </si>
  <si>
    <t>LECHE NIDINA 2</t>
  </si>
  <si>
    <t xml:space="preserve">8445290648136       </t>
  </si>
  <si>
    <t xml:space="preserve">LECHE POLVO NIDINA2 X800G          </t>
  </si>
  <si>
    <t xml:space="preserve">7790000000229       </t>
  </si>
  <si>
    <t xml:space="preserve">FILM PVC 45 CM 4.3 KG MPROP XUN    </t>
  </si>
  <si>
    <t xml:space="preserve">MOD21055            </t>
  </si>
  <si>
    <t xml:space="preserve">MOD CELIACO G.ROD MAR26            </t>
  </si>
  <si>
    <t xml:space="preserve">5000797             </t>
  </si>
  <si>
    <t xml:space="preserve">BOTAS DE GOMA T:44                 </t>
  </si>
  <si>
    <t xml:space="preserve">UNIF000292          </t>
  </si>
  <si>
    <t xml:space="preserve">CAMP. TRUCK. AZ CINT. REFRAC 2XL   </t>
  </si>
  <si>
    <t xml:space="preserve">7798184270281       </t>
  </si>
  <si>
    <t xml:space="preserve">ESPINACA HOJAS IQF X1KG BIOMAC     </t>
  </si>
  <si>
    <t xml:space="preserve">8445290180209       </t>
  </si>
  <si>
    <t xml:space="preserve">LECHE NIDINA2 X200ML               </t>
  </si>
  <si>
    <t xml:space="preserve">A1607C25T6          </t>
  </si>
  <si>
    <t xml:space="preserve">ZAPATO SEG. NEG. 39 ATT CHUBUT     </t>
  </si>
  <si>
    <t xml:space="preserve">UNIF000558          </t>
  </si>
  <si>
    <t xml:space="preserve">PANTALON JEAN 52                   </t>
  </si>
  <si>
    <t xml:space="preserve">BUSAT000346         </t>
  </si>
  <si>
    <t xml:space="preserve">PINZAS /SAND BIS                   </t>
  </si>
  <si>
    <t xml:space="preserve">UNIF000133          </t>
  </si>
  <si>
    <t xml:space="preserve">BUZO GRIS FRISA GL SUPPORT M       </t>
  </si>
  <si>
    <t>POLLO T11</t>
  </si>
  <si>
    <t xml:space="preserve">7790212030076       </t>
  </si>
  <si>
    <t xml:space="preserve">POLLO T11 X U                      </t>
  </si>
  <si>
    <t xml:space="preserve">7798432966343       </t>
  </si>
  <si>
    <t xml:space="preserve">BOLSA RESIDUO NEGRA 90X110XU       </t>
  </si>
  <si>
    <t xml:space="preserve">77925626            </t>
  </si>
  <si>
    <t xml:space="preserve">ALFAJOR BLANCO X40G NEVARES        </t>
  </si>
  <si>
    <t>PAN X 40 G</t>
  </si>
  <si>
    <t xml:space="preserve">7790213010012       </t>
  </si>
  <si>
    <t xml:space="preserve">PAN X KG-PIEZAS DE 40 GRS          </t>
  </si>
  <si>
    <t>POROTOS S/TACC</t>
  </si>
  <si>
    <t xml:space="preserve">7792350067088       </t>
  </si>
  <si>
    <t xml:space="preserve">POROTO X 300 GR INALPA             </t>
  </si>
  <si>
    <t xml:space="preserve">UNIF000598          </t>
  </si>
  <si>
    <t xml:space="preserve">CHAQUETA CUELLO MAO T6 C GOURM     </t>
  </si>
  <si>
    <t xml:space="preserve">7798058690108       </t>
  </si>
  <si>
    <t>DULCE DE LECHE X 400 G EL QUEBRACHA</t>
  </si>
  <si>
    <t xml:space="preserve">7791113002168       </t>
  </si>
  <si>
    <t xml:space="preserve">GELATINA ANANA X70GR EMETH         </t>
  </si>
  <si>
    <t xml:space="preserve">UNIF000224          </t>
  </si>
  <si>
    <t xml:space="preserve">PANTAL CARG NEGRO VER. 44 GL SUP   </t>
  </si>
  <si>
    <t xml:space="preserve">BAZ001289           </t>
  </si>
  <si>
    <t xml:space="preserve">TAZA CAFE LINEA RECTA BLANCO       </t>
  </si>
  <si>
    <t xml:space="preserve">UNIF000183          </t>
  </si>
  <si>
    <t xml:space="preserve">PANTALON CARGO GRIS 54 GL SUPP.    </t>
  </si>
  <si>
    <t xml:space="preserve">7790216010032       </t>
  </si>
  <si>
    <t xml:space="preserve">CEBOLLA X KG                       </t>
  </si>
  <si>
    <t xml:space="preserve">7793875314206       </t>
  </si>
  <si>
    <t xml:space="preserve">NUEZ MOSCADA MOLIDA X 25G AROM     </t>
  </si>
  <si>
    <t xml:space="preserve">7793875316934       </t>
  </si>
  <si>
    <t>PIMIENTA NEGRA X250G AROMAS Y SABOR</t>
  </si>
  <si>
    <t xml:space="preserve">7790212040089       </t>
  </si>
  <si>
    <t xml:space="preserve">SUPREMA X 15KG IQF CONG SOYCHU     </t>
  </si>
  <si>
    <t xml:space="preserve">7790216020108       </t>
  </si>
  <si>
    <t xml:space="preserve">FRUTA PERA X KG                    </t>
  </si>
  <si>
    <t xml:space="preserve">UNIF000261          </t>
  </si>
  <si>
    <t xml:space="preserve">PANTALON GABAR. NEG. 52 S. LOGO    </t>
  </si>
  <si>
    <t>LIMPIADOR</t>
  </si>
  <si>
    <t xml:space="preserve">7798188650577       </t>
  </si>
  <si>
    <t xml:space="preserve">CERA ACRILICA URETHANO X5LTS       </t>
  </si>
  <si>
    <t xml:space="preserve">7798024079500       </t>
  </si>
  <si>
    <t xml:space="preserve">GUANTES AFELPADOS  L MAKE          </t>
  </si>
  <si>
    <t xml:space="preserve">7790000000661       </t>
  </si>
  <si>
    <t xml:space="preserve">ESPATULA ACERO INOX XU CHICA       </t>
  </si>
  <si>
    <t xml:space="preserve">7792100000273       </t>
  </si>
  <si>
    <t xml:space="preserve">VINO OPORTO X750CC FLORIO          </t>
  </si>
  <si>
    <t xml:space="preserve">7798057869864       </t>
  </si>
  <si>
    <t xml:space="preserve">OXIVIR FIVE 16 4X5L DIVERSEY       </t>
  </si>
  <si>
    <t>COPOS MAIZ CHOCOLATE</t>
  </si>
  <si>
    <t xml:space="preserve">7790045827306       </t>
  </si>
  <si>
    <t xml:space="preserve">CER CHOC BALONCITOS X3KG GRANIX    </t>
  </si>
  <si>
    <t>JAMON CRUDO</t>
  </si>
  <si>
    <t xml:space="preserve">7790013877013       </t>
  </si>
  <si>
    <t xml:space="preserve">JAMON CRUDO XKG CAMPO AUSTRAL      </t>
  </si>
  <si>
    <t>LIMPIADOR DESINFECTANTE VIODEX</t>
  </si>
  <si>
    <t xml:space="preserve">7798057860861       </t>
  </si>
  <si>
    <t xml:space="preserve">LIMP DES.AMON FORDW 5L X4U JONHS   </t>
  </si>
  <si>
    <t>CHOCOLATE TAZA</t>
  </si>
  <si>
    <t xml:space="preserve">7790407031273       </t>
  </si>
  <si>
    <t xml:space="preserve">CHOCOLATE TAZA X 150G AGUILA       </t>
  </si>
  <si>
    <t xml:space="preserve">7798113472694       </t>
  </si>
  <si>
    <t xml:space="preserve">LECHE POLVO ENT X400G SANTA ELEN   </t>
  </si>
  <si>
    <t xml:space="preserve">7790212030122       </t>
  </si>
  <si>
    <t xml:space="preserve">TAPA DE NALGA X KG                 </t>
  </si>
  <si>
    <t xml:space="preserve">7798261761404       </t>
  </si>
  <si>
    <t xml:space="preserve">ACEITE MEZCLA OLIVA X5L REINO      </t>
  </si>
  <si>
    <t>SEMILLA CHIA</t>
  </si>
  <si>
    <t xml:space="preserve">7793323024442       </t>
  </si>
  <si>
    <t xml:space="preserve">SEMILLA DE CHIA X1KG DICOMERE      </t>
  </si>
  <si>
    <t>PASTILLAS DESINFECTANTES</t>
  </si>
  <si>
    <t xml:space="preserve">7798432966350       </t>
  </si>
  <si>
    <t xml:space="preserve">MEDICLEAN PASTILLAS DES POTE X100U </t>
  </si>
  <si>
    <t xml:space="preserve">BAZ000095           </t>
  </si>
  <si>
    <t xml:space="preserve">POTE HERMETICO RECT GR X U TRE	    </t>
  </si>
  <si>
    <t xml:space="preserve">UNIF000491          </t>
  </si>
  <si>
    <t xml:space="preserve">CAMI GRIS CAMAR. RET. T40 C GOUR   </t>
  </si>
  <si>
    <t xml:space="preserve">UNIF000106          </t>
  </si>
  <si>
    <t xml:space="preserve">PANTALON CARGO NEGRO 42            </t>
  </si>
  <si>
    <t xml:space="preserve">UNIF000212          </t>
  </si>
  <si>
    <t xml:space="preserve">PANTAL CARG NEGRO AZ. 56 GL SUP    </t>
  </si>
  <si>
    <t xml:space="preserve">17792180009361      </t>
  </si>
  <si>
    <t xml:space="preserve">PAN MIGNON SALVADO X238U CANUELAS  </t>
  </si>
  <si>
    <t>BANDEJA TELGOPOR</t>
  </si>
  <si>
    <t xml:space="preserve">17798047390047      </t>
  </si>
  <si>
    <t xml:space="preserve">BANDEJA TELGOPOR 618 X600U         </t>
  </si>
  <si>
    <t xml:space="preserve">7797749000028       </t>
  </si>
  <si>
    <t xml:space="preserve">GUANTE GOMA EL COLOSO NAR T CHICO  </t>
  </si>
  <si>
    <t xml:space="preserve">7790000000747       </t>
  </si>
  <si>
    <t xml:space="preserve">PULVERIZADOR C/GATILLO X1LT OPACO  </t>
  </si>
  <si>
    <t xml:space="preserve">7798436440127       </t>
  </si>
  <si>
    <t xml:space="preserve">LAVANDINA SERVIDOR 5LT XUN         </t>
  </si>
  <si>
    <t xml:space="preserve">LIM000210           </t>
  </si>
  <si>
    <t xml:space="preserve">FRANELA 40 X 50 X U                </t>
  </si>
  <si>
    <t xml:space="preserve">7790000000479       </t>
  </si>
  <si>
    <t xml:space="preserve">BOLSA P/CESTO AMARILLA 45X60X50U   </t>
  </si>
  <si>
    <t>SIDRA S/ALCOHOL</t>
  </si>
  <si>
    <t xml:space="preserve">7790154007781       </t>
  </si>
  <si>
    <t xml:space="preserve">SIDRA S/ALC X720CC DEL VALLE       </t>
  </si>
  <si>
    <t xml:space="preserve">UNIF000593          </t>
  </si>
  <si>
    <t xml:space="preserve">CHAQUETA CUELLO MAO T1 C GOURM     </t>
  </si>
  <si>
    <t xml:space="preserve">LIM00437            </t>
  </si>
  <si>
    <t xml:space="preserve">TRAPO DE PISO ECO GRIS 50X 60      </t>
  </si>
  <si>
    <t xml:space="preserve">7797470000106       </t>
  </si>
  <si>
    <t xml:space="preserve">YERBA MATE X1KG MAROLIO            </t>
  </si>
  <si>
    <t xml:space="preserve">BUSAT000185         </t>
  </si>
  <si>
    <t>CARROS CAZUELA 04 (EXPERENCIAS Y SA</t>
  </si>
  <si>
    <t xml:space="preserve">BUSAT000120         </t>
  </si>
  <si>
    <t xml:space="preserve">BOWL ACERO INOXIDABLE MEADIANO     </t>
  </si>
  <si>
    <t xml:space="preserve">BUE00257            </t>
  </si>
  <si>
    <t xml:space="preserve">HELADERA MOSTRADOR M 4200 1,80 MTS </t>
  </si>
  <si>
    <t xml:space="preserve">BUSAT000016         </t>
  </si>
  <si>
    <t xml:space="preserve">RAYADOR CURVO ACERO INOXIDABLE X U </t>
  </si>
  <si>
    <t xml:space="preserve">BUSAT000885         </t>
  </si>
  <si>
    <t xml:space="preserve">CILINDRO ACERO INOX MEADIANO       </t>
  </si>
  <si>
    <t xml:space="preserve">BUSAT000991         </t>
  </si>
  <si>
    <t xml:space="preserve">C TASLAN C/MANGA DESMONTABLE L     </t>
  </si>
  <si>
    <t xml:space="preserve">BUSAT000945         </t>
  </si>
  <si>
    <t xml:space="preserve">ZAPATOS OMBU TALLE 48              </t>
  </si>
  <si>
    <t xml:space="preserve">0754697522108       </t>
  </si>
  <si>
    <t>VO PIMIENTA BLANCA MOLX250 LA PARME</t>
  </si>
  <si>
    <t xml:space="preserve">BUSAT000911         </t>
  </si>
  <si>
    <t xml:space="preserve">BOWL BATIDOR PEABODY               </t>
  </si>
  <si>
    <t xml:space="preserve">BUSAT000008         </t>
  </si>
  <si>
    <t xml:space="preserve">TERMO DISPENSER X U                </t>
  </si>
  <si>
    <t xml:space="preserve">BUSAT000049         </t>
  </si>
  <si>
    <t xml:space="preserve">MANTEL INDIVIDUAL DE CUERO X U     </t>
  </si>
  <si>
    <t xml:space="preserve">BUSAT000407         </t>
  </si>
  <si>
    <t xml:space="preserve">PROTECTOR AUDITIVO ENDOAURAL       </t>
  </si>
  <si>
    <t xml:space="preserve">BUSAT000730         </t>
  </si>
  <si>
    <t xml:space="preserve">BANDEJAS FAST FOOD VERDE  X U      </t>
  </si>
  <si>
    <t xml:space="preserve">BUSAT000706         </t>
  </si>
  <si>
    <t>CAMPERAS TASLAN MANGA COMUN TALLE/M</t>
  </si>
  <si>
    <t xml:space="preserve">BUSAT000577         </t>
  </si>
  <si>
    <t xml:space="preserve">CAMISA AZUL GRAFA T 42             </t>
  </si>
  <si>
    <t xml:space="preserve">BUSAT000729         </t>
  </si>
  <si>
    <t xml:space="preserve">CHOMBA GRIS C AZUL M/CORTA XXXL    </t>
  </si>
  <si>
    <t xml:space="preserve">BUSAT000339         </t>
  </si>
  <si>
    <t xml:space="preserve">BAUL LARGO MIMBRE/SANDWICHES 03    </t>
  </si>
  <si>
    <t xml:space="preserve">BUSAT000052         </t>
  </si>
  <si>
    <t xml:space="preserve">AZUCARERA DE VIDRIO CON PICO       </t>
  </si>
  <si>
    <t xml:space="preserve">BUSAT000068         </t>
  </si>
  <si>
    <t xml:space="preserve">AZUCARERO LOZA RENACENTISTA C/TAOA </t>
  </si>
  <si>
    <t xml:space="preserve">BUSAT000338         </t>
  </si>
  <si>
    <t xml:space="preserve">BAUL CORTO MIMBRE/SANDWICHES 03    </t>
  </si>
  <si>
    <t xml:space="preserve">BUSAT000348         </t>
  </si>
  <si>
    <t xml:space="preserve">ACRILICOS PARA PASOS 10X15         </t>
  </si>
  <si>
    <t xml:space="preserve">BUSAT000451         </t>
  </si>
  <si>
    <t>PANTALON CARGO GRIS FRANJA VERDE	60</t>
  </si>
  <si>
    <t xml:space="preserve">BUSAT000102         </t>
  </si>
  <si>
    <t xml:space="preserve">POCILLO CUADRATA                   </t>
  </si>
  <si>
    <t xml:space="preserve">BUSAT000167         </t>
  </si>
  <si>
    <t>TONELES ( BARRIL) P / CARRO CAZUELA</t>
  </si>
  <si>
    <t xml:space="preserve">BUSAT000793         </t>
  </si>
  <si>
    <t xml:space="preserve">DES AER J FRA 0,75 MAÑANA DE CAMPO </t>
  </si>
  <si>
    <t xml:space="preserve">BUSAT000643         </t>
  </si>
  <si>
    <t xml:space="preserve">JARRA MEDIDORA 1LT                 </t>
  </si>
  <si>
    <t xml:space="preserve">BUSAT000271         </t>
  </si>
  <si>
    <t xml:space="preserve">GN 1/3 100 MM                      </t>
  </si>
  <si>
    <t xml:space="preserve">7790580105822       </t>
  </si>
  <si>
    <t xml:space="preserve">CHOCOLATE TAZA X225G AGUILA        </t>
  </si>
  <si>
    <t xml:space="preserve">7797390401267       </t>
  </si>
  <si>
    <t xml:space="preserve">GUANTES NAR S SCHEZ                </t>
  </si>
  <si>
    <t>BALDE PRENSAMOPA</t>
  </si>
  <si>
    <t xml:space="preserve">LIM000106           </t>
  </si>
  <si>
    <t xml:space="preserve">BALDE PRENSA MOPA X U	             </t>
  </si>
  <si>
    <t xml:space="preserve">BAZ000705           </t>
  </si>
  <si>
    <t xml:space="preserve">REC CIL BLANC                      </t>
  </si>
  <si>
    <t>AVENA</t>
  </si>
  <si>
    <t xml:space="preserve">7790199604587       </t>
  </si>
  <si>
    <t xml:space="preserve">AVENA TRADICIONAL X400G MORIXE     </t>
  </si>
  <si>
    <t xml:space="preserve">7798181641459       </t>
  </si>
  <si>
    <t xml:space="preserve">LECHE BB3 ADV X200CC SANCOR        </t>
  </si>
  <si>
    <t xml:space="preserve">UNIF000662          </t>
  </si>
  <si>
    <t xml:space="preserve">PANTALON CARGO S. LOGO NEGRO 56    </t>
  </si>
  <si>
    <t xml:space="preserve">7790499000867       </t>
  </si>
  <si>
    <t xml:space="preserve">CHAMPIGNON LAMINA X 400 LA BAN     </t>
  </si>
  <si>
    <t xml:space="preserve">7797390401281       </t>
  </si>
  <si>
    <t xml:space="preserve">GUANTES NAR L SCHEZ                </t>
  </si>
  <si>
    <t xml:space="preserve">7790971001948       </t>
  </si>
  <si>
    <t xml:space="preserve">FLAN DULCE DE LECHE X60G RAVANA    </t>
  </si>
  <si>
    <t>LENTEJAS S/TACC</t>
  </si>
  <si>
    <t xml:space="preserve">7792350067064       </t>
  </si>
  <si>
    <t xml:space="preserve">LENTEJAS REMOJADAS X300G INALPA    </t>
  </si>
  <si>
    <t xml:space="preserve">7793875316958       </t>
  </si>
  <si>
    <t xml:space="preserve">PIMIENTA NEGRA MOLIDA X1KG ARO     </t>
  </si>
  <si>
    <t xml:space="preserve">7790070336026       </t>
  </si>
  <si>
    <t xml:space="preserve">FIDEOS GUIS TIRAB X500G LUCCHE     </t>
  </si>
  <si>
    <t xml:space="preserve">7792066003547       </t>
  </si>
  <si>
    <t xml:space="preserve">SECADOR PISO BCO X50CM DILON       </t>
  </si>
  <si>
    <t>GUISO LENTEJAS</t>
  </si>
  <si>
    <t xml:space="preserve">7798156760987       </t>
  </si>
  <si>
    <t>GUISO LENTEJAS X500GR SABORES DEL V</t>
  </si>
  <si>
    <t xml:space="preserve">7792900092720       </t>
  </si>
  <si>
    <t xml:space="preserve">SAL GRUESA X 1 KG 2 ESTRELLAS      </t>
  </si>
  <si>
    <t xml:space="preserve">7793123160289       </t>
  </si>
  <si>
    <t xml:space="preserve">OBLEA SAB DDL X100GR OBLITA        </t>
  </si>
  <si>
    <t xml:space="preserve">LIM000337           </t>
  </si>
  <si>
    <t xml:space="preserve">PA#O BLANCO P/PISO 33 CM XUN       </t>
  </si>
  <si>
    <t xml:space="preserve">7794459001383       </t>
  </si>
  <si>
    <t xml:space="preserve">ROLLO ARRAN. 15 X 20 X12U 750GR    </t>
  </si>
  <si>
    <t>MERMELADA FRUTILLA</t>
  </si>
  <si>
    <t xml:space="preserve">7792260640227       </t>
  </si>
  <si>
    <t xml:space="preserve">MERME FRUTI 420GR ORIETA           </t>
  </si>
  <si>
    <t xml:space="preserve">UNIF000624          </t>
  </si>
  <si>
    <t xml:space="preserve">PANTALON NAUTICO NEG S LOGO T3     </t>
  </si>
  <si>
    <t xml:space="preserve">7790530900767       </t>
  </si>
  <si>
    <t xml:space="preserve">PROVENZAL x 1 KG BEDIAL            </t>
  </si>
  <si>
    <t xml:space="preserve">7798188650706       </t>
  </si>
  <si>
    <t>DESENGRASANTE RAPID PLUS X5L CLORAD</t>
  </si>
  <si>
    <t xml:space="preserve">UNIF000188          </t>
  </si>
  <si>
    <t xml:space="preserve">PANTA. CARGO A.MAR 50 GL SUPPORT   </t>
  </si>
  <si>
    <t xml:space="preserve">7790645002363       </t>
  </si>
  <si>
    <t xml:space="preserve">ATUN A/N DESM X170 CARACAS         </t>
  </si>
  <si>
    <t xml:space="preserve">UNIF000456          </t>
  </si>
  <si>
    <t xml:space="preserve">CAMPE. BLANCO TRUCKER NUTRIRE S    </t>
  </si>
  <si>
    <t xml:space="preserve">77908193            </t>
  </si>
  <si>
    <t xml:space="preserve">ALFAJOR NEGRO X45G NEVARES	        </t>
  </si>
  <si>
    <t xml:space="preserve">7798126371595       </t>
  </si>
  <si>
    <t xml:space="preserve">BALDE PLAST 10LTXUN LA PORTE#A     </t>
  </si>
  <si>
    <t>GALLE MIEL</t>
  </si>
  <si>
    <t xml:space="preserve">7790726120023       </t>
  </si>
  <si>
    <t xml:space="preserve">GALLET.MIEL X 200G DULCYPAS        </t>
  </si>
  <si>
    <t>LIMPIADOR DESINFECTANTE</t>
  </si>
  <si>
    <t xml:space="preserve">7798188650904       </t>
  </si>
  <si>
    <t>DESINFECTANTE DE SUPERFICIES BACTER</t>
  </si>
  <si>
    <t xml:space="preserve">BUSAT000199         </t>
  </si>
  <si>
    <t xml:space="preserve">FARDO 01 (EXPERIENCIA Y SABORES)   </t>
  </si>
  <si>
    <t xml:space="preserve">BUSAT000026         </t>
  </si>
  <si>
    <t xml:space="preserve">CUCHARA PARA SERVIR                </t>
  </si>
  <si>
    <t xml:space="preserve">BUSAT000048         </t>
  </si>
  <si>
    <t xml:space="preserve">HIELERAS                           </t>
  </si>
  <si>
    <t xml:space="preserve">BUSAT000369         </t>
  </si>
  <si>
    <t xml:space="preserve">DELANTAL DE E Y S / SAND 01        </t>
  </si>
  <si>
    <t xml:space="preserve">OBR000132           </t>
  </si>
  <si>
    <t xml:space="preserve">MAQUINA DE PINTURA VIAL            </t>
  </si>
  <si>
    <t>MOSTAZA INDIVIDUAL</t>
  </si>
  <si>
    <t xml:space="preserve">7798011976607       </t>
  </si>
  <si>
    <t xml:space="preserve">MOSTAZA IND X198U X8CC ABEDUL      </t>
  </si>
  <si>
    <t xml:space="preserve">7798332283637       </t>
  </si>
  <si>
    <t xml:space="preserve">DESENGR DESINFEC METAQUART LIMP    </t>
  </si>
  <si>
    <t xml:space="preserve">UNIF000152          </t>
  </si>
  <si>
    <t xml:space="preserve">CAMI. BLAN.M. LARG 44 C. GOURMET   </t>
  </si>
  <si>
    <t xml:space="preserve">UNIF000051          </t>
  </si>
  <si>
    <t xml:space="preserve">BUZO A. MARINO-FRISA PULCRUS 3XL   </t>
  </si>
  <si>
    <t xml:space="preserve">UNIF000041          </t>
  </si>
  <si>
    <t xml:space="preserve">BUZO AZUL ELEVARE L                </t>
  </si>
  <si>
    <t xml:space="preserve">UNIF000586          </t>
  </si>
  <si>
    <t xml:space="preserve">CHAQUETA CUELLO MAO T1 GL SUP.     </t>
  </si>
  <si>
    <t xml:space="preserve">BUSAT000117         </t>
  </si>
  <si>
    <t>COMPOSTERA DE CAERO INOX. MEDIANA X</t>
  </si>
  <si>
    <t xml:space="preserve">BUSAT000602         </t>
  </si>
  <si>
    <t xml:space="preserve">CHOMBA GRIS  MANGA L XXXL          </t>
  </si>
  <si>
    <t xml:space="preserve">BUSAT000888         </t>
  </si>
  <si>
    <t xml:space="preserve">MOLDE PATY GRANDE                  </t>
  </si>
  <si>
    <t xml:space="preserve">BUSAT000172         </t>
  </si>
  <si>
    <t xml:space="preserve">BAUL CON ART VARIOS P/ CAZUELA 03  </t>
  </si>
  <si>
    <t xml:space="preserve">BUSAT000294         </t>
  </si>
  <si>
    <t xml:space="preserve">PAN 60CM                           </t>
  </si>
  <si>
    <t xml:space="preserve">BUSAT000389         </t>
  </si>
  <si>
    <t>GUANTE NITRILO NARANJA/CELESTE - T7</t>
  </si>
  <si>
    <t xml:space="preserve">OBR000115           </t>
  </si>
  <si>
    <t xml:space="preserve">ILUM CUA                           </t>
  </si>
  <si>
    <t xml:space="preserve">2004526             </t>
  </si>
  <si>
    <t>BOLSA RESIDUO ROJA 90X110 CM 120 MI</t>
  </si>
  <si>
    <t xml:space="preserve">F01005C1706024049   </t>
  </si>
  <si>
    <t xml:space="preserve">BAÑO MARIA CHICO (A REPARAR)       </t>
  </si>
  <si>
    <t xml:space="preserve">BUSAT000123         </t>
  </si>
  <si>
    <t xml:space="preserve">BOWL BATIDORA CON ASA              </t>
  </si>
  <si>
    <t xml:space="preserve">BUSAT000789         </t>
  </si>
  <si>
    <t xml:space="preserve">CAMPERA TASLAN C/MANGA DESMONTABLE </t>
  </si>
  <si>
    <t xml:space="preserve">BUSAT001101         </t>
  </si>
  <si>
    <t xml:space="preserve">TERMOSELLADORA  RESINET            </t>
  </si>
  <si>
    <t xml:space="preserve">BUSAT000357         </t>
  </si>
  <si>
    <t>CAJA DE PLAS G ART.VARIOS/SAND 03 B</t>
  </si>
  <si>
    <t xml:space="preserve">BUSAT000283         </t>
  </si>
  <si>
    <t xml:space="preserve">EST BASE H BRAFH                   </t>
  </si>
  <si>
    <t xml:space="preserve">BUSAT000205         </t>
  </si>
  <si>
    <t xml:space="preserve">BANDEJAS FAST FOOD NEGRAS X U      </t>
  </si>
  <si>
    <t xml:space="preserve">BUSAT000893         </t>
  </si>
  <si>
    <t xml:space="preserve">JARRA ACERO SERVIR                 </t>
  </si>
  <si>
    <t xml:space="preserve">BUSAT0011007        </t>
  </si>
  <si>
    <t xml:space="preserve">TABLA DE CORTAR GRANDE AMARILLA    </t>
  </si>
  <si>
    <t xml:space="preserve">BUSAT000150         </t>
  </si>
  <si>
    <t xml:space="preserve">TAPA PLATOS ACERO INOX.            </t>
  </si>
  <si>
    <t xml:space="preserve">BUSAT000140         </t>
  </si>
  <si>
    <t xml:space="preserve">FARDO (EXPERIENCIA Y SABORES)      </t>
  </si>
  <si>
    <t xml:space="preserve">BUSAT000060         </t>
  </si>
  <si>
    <t xml:space="preserve">FLOREROS DE VIDRIOS                </t>
  </si>
  <si>
    <t xml:space="preserve">BUSAT000611         </t>
  </si>
  <si>
    <t xml:space="preserve">PANTALON CARGO NEGRO CAFETERIA     </t>
  </si>
  <si>
    <t xml:space="preserve">BUSAT000609         </t>
  </si>
  <si>
    <t xml:space="preserve">CHOMBA GRIS  MANGA C XXXL          </t>
  </si>
  <si>
    <t>GALLETITA PIZZA</t>
  </si>
  <si>
    <t xml:space="preserve">7790580697303       </t>
  </si>
  <si>
    <t xml:space="preserve">GALL SABOR PIZZA X100G SALADIX     </t>
  </si>
  <si>
    <t xml:space="preserve">7793360129957       </t>
  </si>
  <si>
    <t xml:space="preserve">ATUN DESM NATURAL LC 170 GR        </t>
  </si>
  <si>
    <t xml:space="preserve">UNIF000577          </t>
  </si>
  <si>
    <t xml:space="preserve">CAMISA GRIS T52                    </t>
  </si>
  <si>
    <t xml:space="preserve">7798096031079       </t>
  </si>
  <si>
    <t xml:space="preserve">GARBANZOS REMOJADOS X 340 GRS DOÑA </t>
  </si>
  <si>
    <t xml:space="preserve">7622201705961       </t>
  </si>
  <si>
    <t xml:space="preserve">JUGO POLVO NARANJA X15GR TANG	     </t>
  </si>
  <si>
    <t>PATA Y MUSLO</t>
  </si>
  <si>
    <t xml:space="preserve">7790212031232       </t>
  </si>
  <si>
    <t xml:space="preserve">PATA MUSLO C X 15 KG X CAJA        </t>
  </si>
  <si>
    <t xml:space="preserve">7790047000608       </t>
  </si>
  <si>
    <t>DESOD AMB AUT REPUESTO BRISA MARINA</t>
  </si>
  <si>
    <t xml:space="preserve">UNIF000350          </t>
  </si>
  <si>
    <t xml:space="preserve">CHAQ CUE.MAO AY/CAM/PEON 8 NUTRI   </t>
  </si>
  <si>
    <t>POLENTA S/TACC</t>
  </si>
  <si>
    <t xml:space="preserve">7798184320016       </t>
  </si>
  <si>
    <t xml:space="preserve">POLENTA X 500 G MAS VIDA           </t>
  </si>
  <si>
    <t xml:space="preserve">UNIF000494          </t>
  </si>
  <si>
    <t xml:space="preserve">CAMI GRIS CAMAR. RET. T46 C GOUR   </t>
  </si>
  <si>
    <t>ROLLOS DE COCINA INDUSTRIAL</t>
  </si>
  <si>
    <t xml:space="preserve">9992012703028       </t>
  </si>
  <si>
    <t xml:space="preserve">ROLLO PAPEL BCO PREM DH X4.2KG     </t>
  </si>
  <si>
    <t xml:space="preserve">BAZ001204           </t>
  </si>
  <si>
    <t xml:space="preserve">ESPATULA AC INOX POLIPRO 6X3.5"    </t>
  </si>
  <si>
    <t xml:space="preserve">7791625000140       </t>
  </si>
  <si>
    <t xml:space="preserve">ESPONJA DE ACERO XUN ECOO          </t>
  </si>
  <si>
    <t>CURRY</t>
  </si>
  <si>
    <t xml:space="preserve">7793875329718       </t>
  </si>
  <si>
    <t xml:space="preserve">CURRY 1 KG AROMAS Y SABORES        </t>
  </si>
  <si>
    <t xml:space="preserve">7790150550588       </t>
  </si>
  <si>
    <t xml:space="preserve">PIMIENTA BLANCA X25G ALICANTE      </t>
  </si>
  <si>
    <t xml:space="preserve">5000795             </t>
  </si>
  <si>
    <t xml:space="preserve">BOTAS DE GOMA T:42                 </t>
  </si>
  <si>
    <t xml:space="preserve">7790199604969       </t>
  </si>
  <si>
    <t xml:space="preserve">CHAMPIGNON ENT X400GR MORIXE       </t>
  </si>
  <si>
    <t xml:space="preserve">7798430440017       </t>
  </si>
  <si>
    <t xml:space="preserve">PAPEL HIGIE CONO CHICO 300MX8UN    </t>
  </si>
  <si>
    <t xml:space="preserve">UNIF000608          </t>
  </si>
  <si>
    <t xml:space="preserve">GUARDAPOLV C LOGO C GOUR TALLE M   </t>
  </si>
  <si>
    <t xml:space="preserve">BAZ001164           </t>
  </si>
  <si>
    <t xml:space="preserve">COP POSTRE 118X115 ADANA ARTIC     </t>
  </si>
  <si>
    <t xml:space="preserve">UNIF000515          </t>
  </si>
  <si>
    <t xml:space="preserve">CAMPERA POLAR NEGRA 3XL GL. SUP    </t>
  </si>
  <si>
    <t xml:space="preserve">17792180005738      </t>
  </si>
  <si>
    <t xml:space="preserve">PAN LOMITERO CONG.CJX65 CA#UELAS   </t>
  </si>
  <si>
    <t xml:space="preserve">UNIF000613          </t>
  </si>
  <si>
    <t xml:space="preserve">GUARDAPOLV C LOGO GL SUP TALLE M   </t>
  </si>
  <si>
    <t>TE MANZANILLA ENSOBR</t>
  </si>
  <si>
    <t xml:space="preserve">7790150330166       </t>
  </si>
  <si>
    <t xml:space="preserve">TE MANZANILLA SOB X25U LA VIRGINIA </t>
  </si>
  <si>
    <t xml:space="preserve">7798057861592       </t>
  </si>
  <si>
    <t xml:space="preserve">CERA AUTO INCOL 8M 5LX4U JOHNSON   </t>
  </si>
  <si>
    <t xml:space="preserve">UNIF000637          </t>
  </si>
  <si>
    <t xml:space="preserve">CHOMBA PIQUE GR M CHEF G           </t>
  </si>
  <si>
    <t xml:space="preserve">7790000000236       </t>
  </si>
  <si>
    <t>INDIVIDUAL CHEF GOURMET FOOD UN X10</t>
  </si>
  <si>
    <t>AZUCAR</t>
  </si>
  <si>
    <t xml:space="preserve">7797470001394       </t>
  </si>
  <si>
    <t xml:space="preserve">AZUCAR X 1KG MAROLIO               </t>
  </si>
  <si>
    <t>ALFAJOR TRIPLE BLANCO</t>
  </si>
  <si>
    <t xml:space="preserve">7798094220963       </t>
  </si>
  <si>
    <t xml:space="preserve">ALFAJOR TRIPLE BLANCO X 60GR GENIO </t>
  </si>
  <si>
    <t xml:space="preserve">7790321000063       </t>
  </si>
  <si>
    <t xml:space="preserve">ENS. CRISTAL TAPA X100U BANDEX     </t>
  </si>
  <si>
    <t xml:space="preserve">7791113002588       </t>
  </si>
  <si>
    <t xml:space="preserve">CARAMELO LIQ X1.25LTS DULFIX	      </t>
  </si>
  <si>
    <t xml:space="preserve">UNIF000450          </t>
  </si>
  <si>
    <t xml:space="preserve">CAMP. A. MAR. TRUCKER ELEVARE M    </t>
  </si>
  <si>
    <t xml:space="preserve">UNIF000155          </t>
  </si>
  <si>
    <t xml:space="preserve">CAMI. BLAN.M. LARG 50 C. GOURMET   </t>
  </si>
  <si>
    <t xml:space="preserve">7798188650072       </t>
  </si>
  <si>
    <t xml:space="preserve">LIMPIADOR CREMOSO LIMON X500ML     </t>
  </si>
  <si>
    <t>GALLE SURTIDA</t>
  </si>
  <si>
    <t xml:space="preserve">7798024290752       </t>
  </si>
  <si>
    <t xml:space="preserve">GALLE SURTIDAS X300G TRIMAK        </t>
  </si>
  <si>
    <t xml:space="preserve">7797906001950       </t>
  </si>
  <si>
    <t xml:space="preserve">ARVEJAS CONG X2KG MCCAIN           </t>
  </si>
  <si>
    <t xml:space="preserve">7798041132481       </t>
  </si>
  <si>
    <t>MARQUISE DDL/MERENGUE 9X200G SELYGE</t>
  </si>
  <si>
    <t xml:space="preserve">UNIF000324          </t>
  </si>
  <si>
    <t xml:space="preserve">REMERA CUELLO RED BLAN NUTRI M     </t>
  </si>
  <si>
    <t xml:space="preserve">7790380037743       </t>
  </si>
  <si>
    <t xml:space="preserve">MANI CHOCO X120GR GEORGALOS        </t>
  </si>
  <si>
    <t xml:space="preserve">7793875313056       </t>
  </si>
  <si>
    <t>CURCUMA MOLIDA X 1 KG ALIMENTOS MYG</t>
  </si>
  <si>
    <t xml:space="preserve">7790530850093       </t>
  </si>
  <si>
    <t xml:space="preserve">FLAN CHOCOLATE X1KG BEDIAL         </t>
  </si>
  <si>
    <t xml:space="preserve">UNIF000327          </t>
  </si>
  <si>
    <t xml:space="preserve">REMERA-BLANCO C/REDONDO 2XL        </t>
  </si>
  <si>
    <t xml:space="preserve">A1607C25T8          </t>
  </si>
  <si>
    <t xml:space="preserve">ZAPATO SEG. NEG. 41 ATT CHUBUT     </t>
  </si>
  <si>
    <t xml:space="preserve">7790321000058       </t>
  </si>
  <si>
    <t xml:space="preserve">BOLSA RESIDUO CRISTAL 90X110X50U   </t>
  </si>
  <si>
    <t xml:space="preserve">67794000006340      </t>
  </si>
  <si>
    <t xml:space="preserve">KETCHUP INDIV HELLMAN`S 8G X198    </t>
  </si>
  <si>
    <t xml:space="preserve">UNIF000127          </t>
  </si>
  <si>
    <t xml:space="preserve">AMBO GRIS GL SUPPORT ESC V S       </t>
  </si>
  <si>
    <t xml:space="preserve">UNIF000195          </t>
  </si>
  <si>
    <t xml:space="preserve">PANTA. CARGO NEGRO 44 GL SUPPORT   </t>
  </si>
  <si>
    <t>MERMELADA FRUTILLA VIDRIO</t>
  </si>
  <si>
    <t xml:space="preserve">7791113000911       </t>
  </si>
  <si>
    <t xml:space="preserve">MERM FRUTILLA X454GR EMETH VIDRIO  </t>
  </si>
  <si>
    <t xml:space="preserve">7792378000814       </t>
  </si>
  <si>
    <t xml:space="preserve">VINAGRE ALCOHOL X1L COMENSAL       </t>
  </si>
  <si>
    <t xml:space="preserve">UNIF000208          </t>
  </si>
  <si>
    <t xml:space="preserve">PANTAL CARG NEGRO AZ. 48 GL SUP    </t>
  </si>
  <si>
    <t xml:space="preserve">7790321020186       </t>
  </si>
  <si>
    <t xml:space="preserve">CUCHARA SOP DESC X  1000 U         </t>
  </si>
  <si>
    <t xml:space="preserve">UNIF000032          </t>
  </si>
  <si>
    <t xml:space="preserve">BUZO AZUL MARINO GRUPO L S         </t>
  </si>
  <si>
    <t xml:space="preserve">UNIF000366          </t>
  </si>
  <si>
    <t xml:space="preserve">BANDANA NEGRA NUTRIRE              </t>
  </si>
  <si>
    <t xml:space="preserve">7798188650690       </t>
  </si>
  <si>
    <t xml:space="preserve">QUITASARRO GEL X500CC ATTACK       </t>
  </si>
  <si>
    <t xml:space="preserve">7790971001481       </t>
  </si>
  <si>
    <t xml:space="preserve">JUGO POLVO NARANJA X KG ORLOC      </t>
  </si>
  <si>
    <t>POROTOS DE SOJA</t>
  </si>
  <si>
    <t xml:space="preserve">7790279000070       </t>
  </si>
  <si>
    <t xml:space="preserve">POROTOS DE SOJA X500G RAMONEDA     </t>
  </si>
  <si>
    <t xml:space="preserve">7798160833660       </t>
  </si>
  <si>
    <t xml:space="preserve">DETERG LAVAV DESENG X5L NEW ZEN    </t>
  </si>
  <si>
    <t xml:space="preserve">7798287511069       </t>
  </si>
  <si>
    <t xml:space="preserve">GL MOPIN XUN                       </t>
  </si>
  <si>
    <t xml:space="preserve">UNIF000533          </t>
  </si>
  <si>
    <t xml:space="preserve">ROMPEVIENTOS-AZUL MARINO M         </t>
  </si>
  <si>
    <t xml:space="preserve">BAZ001354           </t>
  </si>
  <si>
    <t xml:space="preserve">BATE BIFE GDE ALUM MACIZO M/INOX   </t>
  </si>
  <si>
    <t xml:space="preserve">7798138555525       </t>
  </si>
  <si>
    <t xml:space="preserve">FIDEO TALLARIN X500G STA ISABEL    </t>
  </si>
  <si>
    <t>ROLLO FIBRA VERDE</t>
  </si>
  <si>
    <t xml:space="preserve">7790000000464       </t>
  </si>
  <si>
    <t xml:space="preserve">FIBRA EN ROLLO 25MTS MARCA PROPI   </t>
  </si>
  <si>
    <t xml:space="preserve">7795711000045       </t>
  </si>
  <si>
    <t xml:space="preserve">RAVIOLES RICOTA X500G DAGRI        </t>
  </si>
  <si>
    <t xml:space="preserve">77980229            </t>
  </si>
  <si>
    <t xml:space="preserve">ALFAJOR NEGRO X40G GUAYMALLENV     </t>
  </si>
  <si>
    <t xml:space="preserve">MOD21056            </t>
  </si>
  <si>
    <t xml:space="preserve">MOD S/LACTOSA G.ROD MAR26          </t>
  </si>
  <si>
    <t>POROTOS REMOJADOS</t>
  </si>
  <si>
    <t xml:space="preserve">7792290000404       </t>
  </si>
  <si>
    <t xml:space="preserve">POROTOS TETRA X340G MONTE NEVI     </t>
  </si>
  <si>
    <t xml:space="preserve">2001751             </t>
  </si>
  <si>
    <t xml:space="preserve">BOLSA PARA CESTO NEGRA 60X90 X 50U </t>
  </si>
  <si>
    <t xml:space="preserve">ESPINACA  </t>
  </si>
  <si>
    <t xml:space="preserve">7790216012651       </t>
  </si>
  <si>
    <t xml:space="preserve">ESPINACA X KG                      </t>
  </si>
  <si>
    <t xml:space="preserve">UNIF000393          </t>
  </si>
  <si>
    <t xml:space="preserve">PANTALON DE VESTIR NEGRO 5         </t>
  </si>
  <si>
    <t>MEDIALUNA MANT CONGELADA</t>
  </si>
  <si>
    <t xml:space="preserve">7792590005864       </t>
  </si>
  <si>
    <t xml:space="preserve">	 MEDIALU MANT CONGE X150UN CREMACH</t>
  </si>
  <si>
    <t xml:space="preserve">LIM000334           </t>
  </si>
  <si>
    <t xml:space="preserve">PULVERIZADORES C/GATILLO 1XLT      </t>
  </si>
  <si>
    <t xml:space="preserve">UNIF000471          </t>
  </si>
  <si>
    <t xml:space="preserve">PANTALON GRAF S. LOGO VERD 58      </t>
  </si>
  <si>
    <t xml:space="preserve">UNIF000112          </t>
  </si>
  <si>
    <t xml:space="preserve">PANTALON NAUTICO GRIS 2            </t>
  </si>
  <si>
    <t>SECUESTRANTE</t>
  </si>
  <si>
    <t xml:space="preserve">LIM000477           </t>
  </si>
  <si>
    <t xml:space="preserve">SECUESTRANTE DE POLVO TESEP X5LT   </t>
  </si>
  <si>
    <t xml:space="preserve">A1607C25T77         </t>
  </si>
  <si>
    <t xml:space="preserve">ZAPATO SEG. NEG. 47 ATT CHUBUT     </t>
  </si>
  <si>
    <t>BUDIN CHOCOLATE</t>
  </si>
  <si>
    <t xml:space="preserve">7791118012766       </t>
  </si>
  <si>
    <t xml:space="preserve">GL BUDIN CHOC X200GR LHERITIER     </t>
  </si>
  <si>
    <t>BALDE 12 LT</t>
  </si>
  <si>
    <t xml:space="preserve">779261001101        </t>
  </si>
  <si>
    <t xml:space="preserve">BALDE NEGRO X12LT                  </t>
  </si>
  <si>
    <t xml:space="preserve">7792378002238       </t>
  </si>
  <si>
    <t xml:space="preserve">JUGO LIMON PET X1LT COMENSAL       </t>
  </si>
  <si>
    <t xml:space="preserve">7790641000028       </t>
  </si>
  <si>
    <t xml:space="preserve">SAL GRUESA X 1 KG COLOSAL          </t>
  </si>
  <si>
    <t>FONDANT</t>
  </si>
  <si>
    <t xml:space="preserve">7791113002007       </t>
  </si>
  <si>
    <t xml:space="preserve">FONDANT X 1KG EMETH                </t>
  </si>
  <si>
    <t xml:space="preserve">UNIF000414          </t>
  </si>
  <si>
    <t xml:space="preserve">BUZO BLANCO NUTRIRE FRISA XL       </t>
  </si>
  <si>
    <t xml:space="preserve">UNIF000454          </t>
  </si>
  <si>
    <t xml:space="preserve">CAMP A. MAR TRUCKER ELEVARE 3XL    </t>
  </si>
  <si>
    <t xml:space="preserve">BUSAT000612         </t>
  </si>
  <si>
    <t xml:space="preserve">BUSAT000148         </t>
  </si>
  <si>
    <t xml:space="preserve">JARRAS VIDRIO C/TAPA               </t>
  </si>
  <si>
    <t xml:space="preserve">BUSAT000084         </t>
  </si>
  <si>
    <t xml:space="preserve">MOLDE DE TARTA X U                 </t>
  </si>
  <si>
    <t xml:space="preserve">BUSAT000204         </t>
  </si>
  <si>
    <t xml:space="preserve">BANDEJAS FAST FOOD ROJAS X U       </t>
  </si>
  <si>
    <t xml:space="preserve">UNIF000143          </t>
  </si>
  <si>
    <t xml:space="preserve">CAMISA 3/4 BCA. SALUD MUJER - 6    </t>
  </si>
  <si>
    <t>MORRON VERDE</t>
  </si>
  <si>
    <t xml:space="preserve">7790216012603       </t>
  </si>
  <si>
    <t xml:space="preserve">MORRON VERDE X KG                  </t>
  </si>
  <si>
    <t xml:space="preserve">7799086000389       </t>
  </si>
  <si>
    <t xml:space="preserve">AZUCAR 1KG DOMINO                  </t>
  </si>
  <si>
    <t xml:space="preserve">5000721             </t>
  </si>
  <si>
    <t>ANTEOJOS SEG LIBUS MOD MIG TRANS HC</t>
  </si>
  <si>
    <t>BASE DE TOMATE</t>
  </si>
  <si>
    <t xml:space="preserve">7891150049574       </t>
  </si>
  <si>
    <t xml:space="preserve">BASE TOM DESHID X750G KNORR        </t>
  </si>
  <si>
    <t>TOSTADA ARROZ IND C/S</t>
  </si>
  <si>
    <t xml:space="preserve">7790412000400       </t>
  </si>
  <si>
    <t xml:space="preserve">TOSTADA S/TACC X17G LEIVA	         </t>
  </si>
  <si>
    <t xml:space="preserve">763571701973        </t>
  </si>
  <si>
    <t xml:space="preserve">GELATINA S/SABOR 1KG POREC         </t>
  </si>
  <si>
    <t xml:space="preserve">BUSAT000051         </t>
  </si>
  <si>
    <t xml:space="preserve">LECHERA DE ACERO INOX. CHICA       </t>
  </si>
  <si>
    <t xml:space="preserve">BUSAT000061         </t>
  </si>
  <si>
    <t xml:space="preserve">VASO WISKHY                        </t>
  </si>
  <si>
    <t xml:space="preserve">OBR000101           </t>
  </si>
  <si>
    <t xml:space="preserve">DIS AGU                            </t>
  </si>
  <si>
    <t xml:space="preserve">BUSAT000934         </t>
  </si>
  <si>
    <t xml:space="preserve">ESTANTERIA AEREA TAPA LISA         </t>
  </si>
  <si>
    <t xml:space="preserve">BUSAT0011012        </t>
  </si>
  <si>
    <t xml:space="preserve">COLADOR GRANDE DE ALUMINIO         </t>
  </si>
  <si>
    <t xml:space="preserve">BUSAT000319         </t>
  </si>
  <si>
    <t xml:space="preserve">BATIDORA PLANETARIA                </t>
  </si>
  <si>
    <t xml:space="preserve">BUSAT000128         </t>
  </si>
  <si>
    <t xml:space="preserve">BANDEJA ACRILICO ROJO GRANDE       </t>
  </si>
  <si>
    <t xml:space="preserve">BUSAT000946         </t>
  </si>
  <si>
    <t xml:space="preserve">ZAPATO OMBU TALLE 35               </t>
  </si>
  <si>
    <t xml:space="preserve">BUSAT000905         </t>
  </si>
  <si>
    <t xml:space="preserve">ASADERA INDUSTRIAL                 </t>
  </si>
  <si>
    <t xml:space="preserve">BUM313              </t>
  </si>
  <si>
    <t xml:space="preserve">TAPA PLASTICA CUADRADA             </t>
  </si>
  <si>
    <t xml:space="preserve">BUSAT000856         </t>
  </si>
  <si>
    <t xml:space="preserve">EXHIBIDOR CLIMATIZADO P/TAZAS      </t>
  </si>
  <si>
    <t xml:space="preserve">BUSAT000372         </t>
  </si>
  <si>
    <t xml:space="preserve">ALMOHADON CIRCULAR / SAND (BL)     </t>
  </si>
  <si>
    <t xml:space="preserve">BUSAT000337         </t>
  </si>
  <si>
    <t xml:space="preserve">HELADERA ART.VAR/SANDWICHES 03 BIS </t>
  </si>
  <si>
    <t xml:space="preserve">BUSAT001009         </t>
  </si>
  <si>
    <t xml:space="preserve">CHOMBA GRIS C AZUL MANGA LARGA XL  </t>
  </si>
  <si>
    <t xml:space="preserve">BUSAT000989         </t>
  </si>
  <si>
    <t xml:space="preserve">7790045001584       </t>
  </si>
  <si>
    <t xml:space="preserve">COPOS DE MAIZ x 160 G GRANIX       </t>
  </si>
  <si>
    <t xml:space="preserve">BUSAT000074         </t>
  </si>
  <si>
    <t xml:space="preserve">BOWL ACERO INOX GRANDE             </t>
  </si>
  <si>
    <t xml:space="preserve">BUSAT000628         </t>
  </si>
  <si>
    <t xml:space="preserve">BUZO AZUL UNILEVER XXXL            </t>
  </si>
  <si>
    <t xml:space="preserve">BUSAT001008         </t>
  </si>
  <si>
    <t xml:space="preserve">CHOMBA GRIS C AZUL MANGA LARGA XXL </t>
  </si>
  <si>
    <t xml:space="preserve">BUSAT000423         </t>
  </si>
  <si>
    <t xml:space="preserve">PANTALON CARGO GRIS FRANJA AZUL	58 </t>
  </si>
  <si>
    <t xml:space="preserve">LIM000489           </t>
  </si>
  <si>
    <t xml:space="preserve">TAP FERRUM                         </t>
  </si>
  <si>
    <t xml:space="preserve">BUSAT000003         </t>
  </si>
  <si>
    <t xml:space="preserve">BANDEJA S/ASA                      </t>
  </si>
  <si>
    <t xml:space="preserve">BUSAT000570         </t>
  </si>
  <si>
    <t xml:space="preserve">PANTALON CARGO GRIS	52             </t>
  </si>
  <si>
    <t xml:space="preserve">BUSAT000030         </t>
  </si>
  <si>
    <t xml:space="preserve">PINZA PARA ENSALADAS               </t>
  </si>
  <si>
    <t xml:space="preserve">BUSAT000320         </t>
  </si>
  <si>
    <t xml:space="preserve">ANAFE 4 H                          </t>
  </si>
  <si>
    <t xml:space="preserve">BUSAT000305         </t>
  </si>
  <si>
    <t xml:space="preserve">DISPENSER DE CUB, PAN Y BAN +10C   </t>
  </si>
  <si>
    <t xml:space="preserve">BUSAT000651         </t>
  </si>
  <si>
    <t>DISPENSER PAPEL HIGIENICO X 300 MTS</t>
  </si>
  <si>
    <t xml:space="preserve">BUSAT000370         </t>
  </si>
  <si>
    <t xml:space="preserve">MANTEL CUADRILLE / SAND (BL)       </t>
  </si>
  <si>
    <t xml:space="preserve">BUM00244            </t>
  </si>
  <si>
    <t xml:space="preserve">OUTTAKES                           </t>
  </si>
  <si>
    <t xml:space="preserve">BUSAT000311         </t>
  </si>
  <si>
    <t xml:space="preserve">PANERA                             </t>
  </si>
  <si>
    <t xml:space="preserve">BUSAT000363         </t>
  </si>
  <si>
    <t xml:space="preserve">FUNDA/SANDWICHES  (BAUL LARGO)     </t>
  </si>
  <si>
    <t xml:space="preserve">BUSAT000391         </t>
  </si>
  <si>
    <t>GUANTE NITRILO NARANJA/CELESTE - T9</t>
  </si>
  <si>
    <t xml:space="preserve">BUSAT000099         </t>
  </si>
  <si>
    <t xml:space="preserve">TAZA LOZA LISA                     </t>
  </si>
  <si>
    <t xml:space="preserve">BUSAT000887         </t>
  </si>
  <si>
    <t xml:space="preserve">JARRA DE ACERO INOX                </t>
  </si>
  <si>
    <t xml:space="preserve">BUSAT000546         </t>
  </si>
  <si>
    <t xml:space="preserve">JEANS RAIZEN	44                    </t>
  </si>
  <si>
    <t xml:space="preserve">BUSAT000879         </t>
  </si>
  <si>
    <t xml:space="preserve">TACHO BASURA RECTANGULAR NEGRO     </t>
  </si>
  <si>
    <t xml:space="preserve">BUSAT001109         </t>
  </si>
  <si>
    <t xml:space="preserve">BOMBA DE ADEREZOS                  </t>
  </si>
  <si>
    <t xml:space="preserve">BUSAT000046         </t>
  </si>
  <si>
    <t xml:space="preserve">MOLDE DE EMPANADA 11CM             </t>
  </si>
  <si>
    <t xml:space="preserve">BUSAT0011013        </t>
  </si>
  <si>
    <t xml:space="preserve">PORTA SERVILLETA CHICO             </t>
  </si>
  <si>
    <t>LIMPIA VIDRIO ESPONJA Y CABO</t>
  </si>
  <si>
    <t xml:space="preserve">LIM000076           </t>
  </si>
  <si>
    <t>LIMPIA VIDRIOS CON ESPONJA Y CABO 3</t>
  </si>
  <si>
    <t xml:space="preserve">BUSAT000054         </t>
  </si>
  <si>
    <t xml:space="preserve">PORTA SERVILLETRO ACERO INOX.      </t>
  </si>
  <si>
    <t>BOLSA RESIDUO 50x70 VERDE</t>
  </si>
  <si>
    <t xml:space="preserve">7790321000061       </t>
  </si>
  <si>
    <t xml:space="preserve">BOLSA RESID VDE 50X70X50U 35MIC    </t>
  </si>
  <si>
    <t>TORTILLA TRIGO XL</t>
  </si>
  <si>
    <t xml:space="preserve">7793890261073       </t>
  </si>
  <si>
    <t xml:space="preserve">RAPIDITAS XXL BIMBO X620GR         </t>
  </si>
  <si>
    <t xml:space="preserve">7798001562964       </t>
  </si>
  <si>
    <t xml:space="preserve">LECHE POLVO ENT 400G CREMIGA       </t>
  </si>
  <si>
    <t xml:space="preserve">7798156760062       </t>
  </si>
  <si>
    <t>PURE TOMATE X520GR STACC SAB D VALL</t>
  </si>
  <si>
    <t xml:space="preserve">7796613021381       </t>
  </si>
  <si>
    <t xml:space="preserve">ATUN LOMITO A/A X170G MYK          </t>
  </si>
  <si>
    <t xml:space="preserve">UNIF000026          </t>
  </si>
  <si>
    <t xml:space="preserve">AMBO GRIS ESCO.V RIVER S           </t>
  </si>
  <si>
    <t xml:space="preserve">7790981003291       </t>
  </si>
  <si>
    <t xml:space="preserve">PURE PAPAS INST 100GR FLEISS       </t>
  </si>
  <si>
    <t xml:space="preserve">7798011210053       </t>
  </si>
  <si>
    <t xml:space="preserve">BANDEJA 103 MICRO COTNYL X100U     </t>
  </si>
  <si>
    <t>BARBACOA</t>
  </si>
  <si>
    <t xml:space="preserve">7794000007826       </t>
  </si>
  <si>
    <t xml:space="preserve">SALSA BBQ 1KG HELLMANS             </t>
  </si>
  <si>
    <t xml:space="preserve">7798188651178       </t>
  </si>
  <si>
    <t>PAPEL HIGIENICO 300 M CONO GRANDE X</t>
  </si>
  <si>
    <t xml:space="preserve">7797234000328       </t>
  </si>
  <si>
    <t xml:space="preserve">AJO EN POLVO X25GR LA PERGOLA      </t>
  </si>
  <si>
    <t xml:space="preserve">7791476021011       </t>
  </si>
  <si>
    <t xml:space="preserve">GARBANZOS SECOS 400GR EGRAN        </t>
  </si>
  <si>
    <t xml:space="preserve">BAZ001329           </t>
  </si>
  <si>
    <t xml:space="preserve">TABL PICAR USO SANI 35X50 CELEST   </t>
  </si>
  <si>
    <t xml:space="preserve">UNIF000075          </t>
  </si>
  <si>
    <t xml:space="preserve">CAMISA BLANCA LISA 42 S. LOGO      </t>
  </si>
  <si>
    <t xml:space="preserve">4040337565625       </t>
  </si>
  <si>
    <t xml:space="preserve">PASTILLA AZUL ABRILLANT X150U      </t>
  </si>
  <si>
    <t xml:space="preserve">UNIF000470          </t>
  </si>
  <si>
    <t xml:space="preserve">PANTALON GRAF S. LOGO VERD 56      </t>
  </si>
  <si>
    <t xml:space="preserve">BAZ001252           </t>
  </si>
  <si>
    <t xml:space="preserve">COMPOTE CERE PORC. VERBANORRECTO   </t>
  </si>
  <si>
    <t>EMPANADA CONG CARNE</t>
  </si>
  <si>
    <t xml:space="preserve">77902113030049      </t>
  </si>
  <si>
    <t xml:space="preserve">EMPANADA CONGELADA CARNE X50U      </t>
  </si>
  <si>
    <t xml:space="preserve">7791113001888       </t>
  </si>
  <si>
    <t xml:space="preserve">GELATINA ANANA LIGHT X25G EMETH    </t>
  </si>
  <si>
    <t xml:space="preserve">UNIF000489          </t>
  </si>
  <si>
    <t xml:space="preserve">PANTAL. GRAFA S. LOGO BLANCO 58    </t>
  </si>
  <si>
    <t xml:space="preserve">7790321719169       </t>
  </si>
  <si>
    <t xml:space="preserve">CAJA DOBLE BASE 40X30X27 M PAZ SAE </t>
  </si>
  <si>
    <t xml:space="preserve">7790199603757       </t>
  </si>
  <si>
    <t xml:space="preserve">ACEITE OLIVA X500CC MORIXE         </t>
  </si>
  <si>
    <t xml:space="preserve">UNIF000298          </t>
  </si>
  <si>
    <t xml:space="preserve">CHOMB PIQUE A.FRANC B CAFE H XL    </t>
  </si>
  <si>
    <t>TOMATE PERITA</t>
  </si>
  <si>
    <t xml:space="preserve">7790580567903       </t>
  </si>
  <si>
    <t>TOMATE PERITA EN LATA X 400 G ARCOR</t>
  </si>
  <si>
    <t xml:space="preserve">BUSAT000919         </t>
  </si>
  <si>
    <t xml:space="preserve">PLATO PARA MICROONDAS              </t>
  </si>
  <si>
    <t xml:space="preserve">BUSAT000860         </t>
  </si>
  <si>
    <t xml:space="preserve">BARRAL DE ACERO LARGO              </t>
  </si>
  <si>
    <t xml:space="preserve">BUSAT000393         </t>
  </si>
  <si>
    <t xml:space="preserve">GUANTES AMARILLOS T7               </t>
  </si>
  <si>
    <t xml:space="preserve">BUSAT000362         </t>
  </si>
  <si>
    <t xml:space="preserve">BANCOS PLEGABLES/ SAND 01          </t>
  </si>
  <si>
    <t xml:space="preserve">BUSAT000352         </t>
  </si>
  <si>
    <t xml:space="preserve">CAJA PLASTICA GRANDE ART. VARIOS   </t>
  </si>
  <si>
    <t xml:space="preserve">BUSAT000912         </t>
  </si>
  <si>
    <t xml:space="preserve">ASADERA NEGRA GRANDE               </t>
  </si>
  <si>
    <t xml:space="preserve">BUSAT000057         </t>
  </si>
  <si>
    <t xml:space="preserve">VASO TRAGO LARGO                   </t>
  </si>
  <si>
    <t xml:space="preserve">BUM00216            </t>
  </si>
  <si>
    <t xml:space="preserve">SILLA DE MADERA                    </t>
  </si>
  <si>
    <t xml:space="preserve">BUSAT000601         </t>
  </si>
  <si>
    <t xml:space="preserve">CHOMBA GRIS  M/L XXL               </t>
  </si>
  <si>
    <t xml:space="preserve">7790971002426       </t>
  </si>
  <si>
    <t xml:space="preserve">FLAN CHOC X 60 GR RAVANA           </t>
  </si>
  <si>
    <t xml:space="preserve">LIM000569           </t>
  </si>
  <si>
    <t xml:space="preserve">BAR DISC                           </t>
  </si>
  <si>
    <t xml:space="preserve">BUSAT000336         </t>
  </si>
  <si>
    <t xml:space="preserve">BICI CANASTO FLORES SAND BIS       </t>
  </si>
  <si>
    <t xml:space="preserve">BUSAT000988         </t>
  </si>
  <si>
    <t xml:space="preserve">TETERA CON TAPA ACERO INOX CHICA   </t>
  </si>
  <si>
    <t xml:space="preserve">BUSAT000066         </t>
  </si>
  <si>
    <t xml:space="preserve">ACEITERO DOBLE                     </t>
  </si>
  <si>
    <t xml:space="preserve">BUSAT001100         </t>
  </si>
  <si>
    <t xml:space="preserve">TOLBA CAFE                         </t>
  </si>
  <si>
    <t xml:space="preserve">705958              </t>
  </si>
  <si>
    <t xml:space="preserve">MIC DIG AT 20L                     </t>
  </si>
  <si>
    <t xml:space="preserve">BUSAT000894         </t>
  </si>
  <si>
    <t xml:space="preserve">BOWL INDUSTRIAL ACERO              </t>
  </si>
  <si>
    <t xml:space="preserve">BUSAT000318         </t>
  </si>
  <si>
    <t xml:space="preserve">ESTRUCTURA DE MESA                 </t>
  </si>
  <si>
    <t xml:space="preserve">BUSAT000087         </t>
  </si>
  <si>
    <t xml:space="preserve">ESPUMADERA                         </t>
  </si>
  <si>
    <t xml:space="preserve">BUSAT000381         </t>
  </si>
  <si>
    <t xml:space="preserve">DELANTAL CUERO DESCARNE            </t>
  </si>
  <si>
    <t xml:space="preserve">BUSAT000014         </t>
  </si>
  <si>
    <t xml:space="preserve">RAYADOR ELECTRICA                  </t>
  </si>
  <si>
    <t xml:space="preserve">BUSAT000351         </t>
  </si>
  <si>
    <t xml:space="preserve">POZO FRIO - ART.VARIOS/ SAND 02 B  </t>
  </si>
  <si>
    <t xml:space="preserve">BUSAT000855         </t>
  </si>
  <si>
    <t xml:space="preserve">BANDEJAS PLASTICAS BLANCA          </t>
  </si>
  <si>
    <t xml:space="preserve">BUM314              </t>
  </si>
  <si>
    <t xml:space="preserve">AEREADOR PARA MANOS                </t>
  </si>
  <si>
    <t xml:space="preserve">BUSAT001117         </t>
  </si>
  <si>
    <t xml:space="preserve">HORNO ELECTRICO                    </t>
  </si>
  <si>
    <t xml:space="preserve">BUSAT000173         </t>
  </si>
  <si>
    <t xml:space="preserve">BAUL CON ART VARIOS P/ CAZUELA 04  </t>
  </si>
  <si>
    <t xml:space="preserve">BUSAT000198         </t>
  </si>
  <si>
    <t xml:space="preserve">CARRO POCHOCLERO 05 (EXPERENCIAS Y </t>
  </si>
  <si>
    <t xml:space="preserve">BUSAT000183         </t>
  </si>
  <si>
    <t>MUEBLE VALLIJERO C/ ART P/ CARRO DE</t>
  </si>
  <si>
    <t xml:space="preserve">2006255             </t>
  </si>
  <si>
    <t xml:space="preserve">UNIF000134          </t>
  </si>
  <si>
    <t xml:space="preserve">BUZO GRIS FRISA GL SUPPORT L       </t>
  </si>
  <si>
    <t xml:space="preserve">7798028021598       </t>
  </si>
  <si>
    <t>YERBA MATE SUAVE X 500GR LA POSADEÑ</t>
  </si>
  <si>
    <t xml:space="preserve">UNIF000480          </t>
  </si>
  <si>
    <t xml:space="preserve">PANTAL. GRAFA S. LOGO A. MAR 58    </t>
  </si>
  <si>
    <t xml:space="preserve">UNIF000157          </t>
  </si>
  <si>
    <t xml:space="preserve">CAMI. BLAN.M. LARG 44 GL SUP       </t>
  </si>
  <si>
    <t xml:space="preserve">7790321000042       </t>
  </si>
  <si>
    <t>BOLSA RESIDUO 45X60 VERDE 30MICRONE</t>
  </si>
  <si>
    <t xml:space="preserve">7790503199082       </t>
  </si>
  <si>
    <t>ARROZ LARGO FINO X 1 KG DOS HERMANO</t>
  </si>
  <si>
    <t xml:space="preserve">UNIF000054          </t>
  </si>
  <si>
    <t xml:space="preserve">BUZO A. MAR. FRISA GL SUP M        </t>
  </si>
  <si>
    <t xml:space="preserve">BAZ001264           </t>
  </si>
  <si>
    <t xml:space="preserve">OLLA ALUM C/TAP HOTEL N°32 26L     </t>
  </si>
  <si>
    <t xml:space="preserve">7790321719168       </t>
  </si>
  <si>
    <t xml:space="preserve">CAJA DOBLE BASE 40X30X27 LANUS	    </t>
  </si>
  <si>
    <t xml:space="preserve">UNIF000446          </t>
  </si>
  <si>
    <t xml:space="preserve">CAMPERA TRUCK A. MAR. 2XL GL       </t>
  </si>
  <si>
    <t xml:space="preserve">UNIF000420          </t>
  </si>
  <si>
    <t xml:space="preserve">CAMISA GRAFA-AZUL MARINO 44 ELEV   </t>
  </si>
  <si>
    <t>JUGO POLVO MANZANA LIGHT</t>
  </si>
  <si>
    <t xml:space="preserve">7790580129972       </t>
  </si>
  <si>
    <t xml:space="preserve">JUGO POLVO MANZ LIGHT X7G BC       </t>
  </si>
  <si>
    <t xml:space="preserve">UNIF000300          </t>
  </si>
  <si>
    <t xml:space="preserve">REMERA VERDE M CR GL SUP LIMP S    </t>
  </si>
  <si>
    <t>CARNE PICADA VACUNA</t>
  </si>
  <si>
    <t xml:space="preserve">7790212031240       </t>
  </si>
  <si>
    <t xml:space="preserve">CARNE PICADA X KG                  </t>
  </si>
  <si>
    <t xml:space="preserve">UNIF000473          </t>
  </si>
  <si>
    <t xml:space="preserve">PANTAL. GRAFA S. LOGO A. MAR 44    </t>
  </si>
  <si>
    <t xml:space="preserve">7790250066163       </t>
  </si>
  <si>
    <t xml:space="preserve">PAPEL HIG DH 30MTX4U ELITE         </t>
  </si>
  <si>
    <t xml:space="preserve">7798366740298       </t>
  </si>
  <si>
    <t xml:space="preserve">ACEITE GIR STACC X900CC LA MANCE   </t>
  </si>
  <si>
    <t xml:space="preserve">7798188650508       </t>
  </si>
  <si>
    <t xml:space="preserve">LAVANDINA BIO X5L THAMES           </t>
  </si>
  <si>
    <t>TOSTADA ARROZ IND S/S</t>
  </si>
  <si>
    <t xml:space="preserve">7790412000417       </t>
  </si>
  <si>
    <t xml:space="preserve">TOSTADA ARROZ S/SAL X17G LEIVA     </t>
  </si>
  <si>
    <t xml:space="preserve">A1607C25T13         </t>
  </si>
  <si>
    <t xml:space="preserve">ZAPATO SEG. NEG. 46 ATT CHUBUT     </t>
  </si>
  <si>
    <t xml:space="preserve">UNIF000636          </t>
  </si>
  <si>
    <t xml:space="preserve">CHOMBA PIQUE GR L CHEF G           </t>
  </si>
  <si>
    <t xml:space="preserve">LIM000311           </t>
  </si>
  <si>
    <t xml:space="preserve">BOLSA RESID 60X90X50UN ROJA 30MIC  </t>
  </si>
  <si>
    <t xml:space="preserve">UNIF000147          </t>
  </si>
  <si>
    <t xml:space="preserve">CAMI.3/4 BLAN SALUD MUJ 4 C.GOUR   </t>
  </si>
  <si>
    <t xml:space="preserve">7797470006986       </t>
  </si>
  <si>
    <t xml:space="preserve">FIDEO SOP CAB ANG X500G MAROLIO    </t>
  </si>
  <si>
    <t xml:space="preserve">7798035492039       </t>
  </si>
  <si>
    <t xml:space="preserve">GL REJILLA GRUESA XU               </t>
  </si>
  <si>
    <t xml:space="preserve">UNIF000194          </t>
  </si>
  <si>
    <t xml:space="preserve">PANTA. CARGO NEGRO 42 GL SUPPORT   </t>
  </si>
  <si>
    <t xml:space="preserve">MOD20298            </t>
  </si>
  <si>
    <t xml:space="preserve">REGALO VINO STATE MALBEC           </t>
  </si>
  <si>
    <t xml:space="preserve">UNIF000316          </t>
  </si>
  <si>
    <t xml:space="preserve">REM CUELLO RED A. MAR. ELEVA. M    </t>
  </si>
  <si>
    <t xml:space="preserve">UNIF000536          </t>
  </si>
  <si>
    <t xml:space="preserve">ROMPEVIENTOS-AZUL MARINO 2XL       </t>
  </si>
  <si>
    <t xml:space="preserve">714604058533        </t>
  </si>
  <si>
    <t xml:space="preserve">POSTRE DULCE DE LECHE 1KG POREC    </t>
  </si>
  <si>
    <t xml:space="preserve">7798011944128       </t>
  </si>
  <si>
    <t xml:space="preserve">PAÑO DIAMANTADO P/PISO 20¨XU       </t>
  </si>
  <si>
    <t xml:space="preserve">LIM000453           </t>
  </si>
  <si>
    <t xml:space="preserve">PAPEL HIGIEN X300MX8U CONO 3.5KG   </t>
  </si>
  <si>
    <t xml:space="preserve">7797470199817       </t>
  </si>
  <si>
    <t xml:space="preserve">PURE INST MIX PAPAR 100GR MAROLI   </t>
  </si>
  <si>
    <t xml:space="preserve">7790321020147       </t>
  </si>
  <si>
    <t xml:space="preserve">BOLSA CAMISETA NEG 40X50X60U       </t>
  </si>
  <si>
    <t>DISPEMSER ROLLO</t>
  </si>
  <si>
    <t xml:space="preserve">BAZ000398           </t>
  </si>
  <si>
    <t>DISPENSER ROLLO COCINA INDUSTRIAL X</t>
  </si>
  <si>
    <t xml:space="preserve">UNIF000141          </t>
  </si>
  <si>
    <t xml:space="preserve">CAMISA 3/4 BCA. SALUD MUJER - 4    </t>
  </si>
  <si>
    <t>LECHE POLVO PEPTI JR HE</t>
  </si>
  <si>
    <t xml:space="preserve">7795323776109       </t>
  </si>
  <si>
    <t xml:space="preserve">LECHE NUTRILON PEPTI JR HE X400GR  </t>
  </si>
  <si>
    <t xml:space="preserve">7790499017667       </t>
  </si>
  <si>
    <t xml:space="preserve">TOMATE TRITURADO X500 GR LA BANDA  </t>
  </si>
  <si>
    <t xml:space="preserve">7798057860472       </t>
  </si>
  <si>
    <t xml:space="preserve">DESENGR. EMEREL 5L X4U JOHNSON     </t>
  </si>
  <si>
    <t xml:space="preserve">BUSAT001102         </t>
  </si>
  <si>
    <t xml:space="preserve">TAZA CAFE LOGO GRUPO L             </t>
  </si>
  <si>
    <t xml:space="preserve">BUSAT000625         </t>
  </si>
  <si>
    <t xml:space="preserve">CAMISA GRIS CAFETERIA T5           </t>
  </si>
  <si>
    <t xml:space="preserve">OBR000107           </t>
  </si>
  <si>
    <t xml:space="preserve">YESO TRAD                          </t>
  </si>
  <si>
    <t xml:space="preserve">BUSAT000186         </t>
  </si>
  <si>
    <t>CARROS CAZUELA 05 (EXPERENCIAS Y SA</t>
  </si>
  <si>
    <t xml:space="preserve">BUSAT001099         </t>
  </si>
  <si>
    <t xml:space="preserve">PROCESADORA VEGETALES MORETTI      </t>
  </si>
  <si>
    <t xml:space="preserve">BUSAT000070         </t>
  </si>
  <si>
    <t xml:space="preserve">AZUCARERO LOZA RENACENTISTA S/TAPA </t>
  </si>
  <si>
    <t xml:space="preserve">BUSAT000273         </t>
  </si>
  <si>
    <t xml:space="preserve">SEPARADORES LARGOS                 </t>
  </si>
  <si>
    <t xml:space="preserve">BUSAT000622         </t>
  </si>
  <si>
    <t xml:space="preserve"> SWERTER CARDIGAN T5               </t>
  </si>
  <si>
    <t xml:space="preserve">BUSAT000368         </t>
  </si>
  <si>
    <t xml:space="preserve">GORRAS DE E Y S / SANDWICHES       </t>
  </si>
  <si>
    <t xml:space="preserve">OBR000111           </t>
  </si>
  <si>
    <t xml:space="preserve">MEZ CONCRETO                       </t>
  </si>
  <si>
    <t xml:space="preserve">7790070318398       </t>
  </si>
  <si>
    <t xml:space="preserve">FIDEO SOP DEDALITOS X 500 G LU     </t>
  </si>
  <si>
    <t xml:space="preserve">7798156760659       </t>
  </si>
  <si>
    <t xml:space="preserve">LENTEJA S/TACC X340G SAB DEL VALLE </t>
  </si>
  <si>
    <t xml:space="preserve">UNIF000306          </t>
  </si>
  <si>
    <t xml:space="preserve">REME VERDE M CR GL SUP LIMP 4XL    </t>
  </si>
  <si>
    <t xml:space="preserve">BAZ001291           </t>
  </si>
  <si>
    <t xml:space="preserve">FRA.ACEITER 500CC PICO VERT.CIER   </t>
  </si>
  <si>
    <t xml:space="preserve">UNIF000148          </t>
  </si>
  <si>
    <t xml:space="preserve">CAMI.3/4 BLAN SALUD MUJ 5 C.GOUR   </t>
  </si>
  <si>
    <t>HELADO PALITO AGUA</t>
  </si>
  <si>
    <t xml:space="preserve">7798131012438       </t>
  </si>
  <si>
    <t xml:space="preserve">PALITO AGUA SURT X64G MONDIAL      </t>
  </si>
  <si>
    <t xml:space="preserve">BAZ001266           </t>
  </si>
  <si>
    <t xml:space="preserve">VASO OCTOGONAL POLICAR SAN 300CC   </t>
  </si>
  <si>
    <t xml:space="preserve">7790040139176       </t>
  </si>
  <si>
    <t xml:space="preserve">GALLETITAS POLVORITA X81GRS        </t>
  </si>
  <si>
    <t xml:space="preserve">7794782000374       </t>
  </si>
  <si>
    <t xml:space="preserve">DESODORANTE X 5 LT CHERRY SERVID   </t>
  </si>
  <si>
    <t xml:space="preserve">BAZ001306           </t>
  </si>
  <si>
    <t xml:space="preserve">PINZA AC INOX 30CM PLUS 1.20 MM    </t>
  </si>
  <si>
    <t xml:space="preserve">UNIF000089          </t>
  </si>
  <si>
    <t>CAMISA BLANCA LISA 50 BLUE CATERING</t>
  </si>
  <si>
    <t xml:space="preserve">7793875312158       </t>
  </si>
  <si>
    <t>CANELA MOLIDA X1KG AROMAS Y SABORES</t>
  </si>
  <si>
    <t xml:space="preserve">7798016195478       </t>
  </si>
  <si>
    <t xml:space="preserve">JARDINERA X300GR AGROMAR           </t>
  </si>
  <si>
    <t xml:space="preserve">BAZ001173           </t>
  </si>
  <si>
    <t xml:space="preserve">COMPOT PORC. VERBANO TAVOLA        </t>
  </si>
  <si>
    <t xml:space="preserve">LIM000249           </t>
  </si>
  <si>
    <t xml:space="preserve">TRAPO DE PISO BLANCO GRANDE X U	   </t>
  </si>
  <si>
    <t xml:space="preserve">UNIF000013          </t>
  </si>
  <si>
    <t xml:space="preserve">AMBO A. MAR. ESCO.-V 3XL GL SUP.   </t>
  </si>
  <si>
    <t xml:space="preserve">UNIF000742          </t>
  </si>
  <si>
    <t xml:space="preserve">GORRO CHEF BLUE CAFÉ U             </t>
  </si>
  <si>
    <t>LEVADURA SECA</t>
  </si>
  <si>
    <t xml:space="preserve">7798018850184       </t>
  </si>
  <si>
    <t xml:space="preserve">LEVADURA EN POLVO 2 X 10 G LEVEX   </t>
  </si>
  <si>
    <t>PERA LATA</t>
  </si>
  <si>
    <t xml:space="preserve">7798132920428       </t>
  </si>
  <si>
    <t xml:space="preserve">PERA EN MITADES X820G ALCO         </t>
  </si>
  <si>
    <t xml:space="preserve">BAZ001277           </t>
  </si>
  <si>
    <t xml:space="preserve">CONTENEDOR PLASTICO VIRGEN BCO 5   </t>
  </si>
  <si>
    <t xml:space="preserve">UNIF000743          </t>
  </si>
  <si>
    <t xml:space="preserve">DELANTAL BLUE CAFÉ U               </t>
  </si>
  <si>
    <t xml:space="preserve">UNIF000458          </t>
  </si>
  <si>
    <t xml:space="preserve">CAMPE. BLANCO TRUCKER NUTRIRE L    </t>
  </si>
  <si>
    <t xml:space="preserve">UNIF000457          </t>
  </si>
  <si>
    <t xml:space="preserve">CAMPE. BLANCO TRUCKER NUTRIRE M    </t>
  </si>
  <si>
    <t xml:space="preserve">7790212060879       </t>
  </si>
  <si>
    <t xml:space="preserve">QUESO CREMOSO X KG                 </t>
  </si>
  <si>
    <t xml:space="preserve">UNIF000751          </t>
  </si>
  <si>
    <t xml:space="preserve">CHOMBA PIQ GRIS MELANGE BLUECAFÉ S </t>
  </si>
  <si>
    <t xml:space="preserve">5000753             </t>
  </si>
  <si>
    <t xml:space="preserve">7793875360050       </t>
  </si>
  <si>
    <t xml:space="preserve">PROVENZAL X 25 G AROMAS Y SABORES  </t>
  </si>
  <si>
    <t xml:space="preserve">LIM000248           </t>
  </si>
  <si>
    <t xml:space="preserve">CABO MADERA X 2.20MT               </t>
  </si>
  <si>
    <t xml:space="preserve">7793875360074       </t>
  </si>
  <si>
    <t xml:space="preserve">OREGANO X 25 G AROMAS Y SAB        </t>
  </si>
  <si>
    <t xml:space="preserve">UNIF000244          </t>
  </si>
  <si>
    <t xml:space="preserve">PANTAL NAUT BLANCO SIN LOGO - T6   </t>
  </si>
  <si>
    <t>CALDO CUBOS VERDURA</t>
  </si>
  <si>
    <t xml:space="preserve">7790989004290       </t>
  </si>
  <si>
    <t xml:space="preserve">CALDO VERDURA X12U LA MERE MIC     </t>
  </si>
  <si>
    <t xml:space="preserve">7792280000377       </t>
  </si>
  <si>
    <t xml:space="preserve">TE SOB MANZANILLA X20U CACHAMAI    </t>
  </si>
  <si>
    <t xml:space="preserve">7798011944131       </t>
  </si>
  <si>
    <t xml:space="preserve">PANO BLANCO P/PISO 20"XU           </t>
  </si>
  <si>
    <t>COPOS CEREAL S/AZUCAR</t>
  </si>
  <si>
    <t xml:space="preserve">7790045001591       </t>
  </si>
  <si>
    <t xml:space="preserve">COPOS MAIZ S/AZUCAR X400G GRANIX   </t>
  </si>
  <si>
    <t xml:space="preserve">7798451390018       </t>
  </si>
  <si>
    <t>PURE PAPA E/ESCAMAS X2KG LE BURGUET</t>
  </si>
  <si>
    <t xml:space="preserve">UNIF000201          </t>
  </si>
  <si>
    <t xml:space="preserve">PANTA. CARGO NEGRO 56 GL SUPPORT   </t>
  </si>
  <si>
    <t xml:space="preserve">GALLE ARROZ DULCES </t>
  </si>
  <si>
    <t xml:space="preserve">7798082000485       </t>
  </si>
  <si>
    <t xml:space="preserve">GALLE ARRO DUL X95GR ARROZEN       </t>
  </si>
  <si>
    <t xml:space="preserve">7790000000162       </t>
  </si>
  <si>
    <t xml:space="preserve">BARBIJOS N95 MARCA PROPIA 50UN     </t>
  </si>
  <si>
    <t xml:space="preserve">LIM000156           </t>
  </si>
  <si>
    <t xml:space="preserve">SECADOR DE PISO X 80 CM X U        </t>
  </si>
  <si>
    <t xml:space="preserve">7790216020090       </t>
  </si>
  <si>
    <t xml:space="preserve">CIRUELA X KG                       </t>
  </si>
  <si>
    <t xml:space="preserve">UNIF000639          </t>
  </si>
  <si>
    <t xml:space="preserve">CHOMBA PIQUE GR XL CHEF G          </t>
  </si>
  <si>
    <t xml:space="preserve">7797470124581       </t>
  </si>
  <si>
    <t xml:space="preserve">AVENA ARROLLADA X400G MAROLIO	     </t>
  </si>
  <si>
    <t xml:space="preserve">7798224212080       </t>
  </si>
  <si>
    <t xml:space="preserve">AJI MOLIDO X15G PARMESANA          </t>
  </si>
  <si>
    <t xml:space="preserve">7793875360241       </t>
  </si>
  <si>
    <t xml:space="preserve">PIMIENTA BLANCA x 1 KG AROMAS      </t>
  </si>
  <si>
    <t xml:space="preserve">BAZ001169           </t>
  </si>
  <si>
    <t xml:space="preserve">BAND PLAST FAST-FOOD 450X35 NEGR   </t>
  </si>
  <si>
    <t xml:space="preserve">UNIF000330          </t>
  </si>
  <si>
    <t xml:space="preserve">REME. CUELLO RED BLAN NUTRI 5XL    </t>
  </si>
  <si>
    <t xml:space="preserve">4040337565359       </t>
  </si>
  <si>
    <t xml:space="preserve">PASTILLA VERDE X 150               </t>
  </si>
  <si>
    <t>AJI AMARRILLO</t>
  </si>
  <si>
    <t xml:space="preserve">7790216012612       </t>
  </si>
  <si>
    <t xml:space="preserve">AJI PIMIENTO AMARILLO x KG         </t>
  </si>
  <si>
    <t xml:space="preserve">7798092964043       </t>
  </si>
  <si>
    <t xml:space="preserve">FIBRA ESPONJA MAKE XU              </t>
  </si>
  <si>
    <t xml:space="preserve">UNIF000108          </t>
  </si>
  <si>
    <t xml:space="preserve">PANTALON CARGO NEGRO 50            </t>
  </si>
  <si>
    <t xml:space="preserve">BUSAT000187         </t>
  </si>
  <si>
    <t>CARROS CAZUELA 01 (EXPERENCIAS Y SA</t>
  </si>
  <si>
    <t xml:space="preserve">BUSAT000165         </t>
  </si>
  <si>
    <t>BLA DE CORTE 35X50 CM VARIOS COLORE</t>
  </si>
  <si>
    <t xml:space="preserve">BUSAT000083         </t>
  </si>
  <si>
    <t xml:space="preserve">MOLDE DE TARTA C/ AUJERO X U       </t>
  </si>
  <si>
    <t xml:space="preserve">BUSAT000010         </t>
  </si>
  <si>
    <t xml:space="preserve">COLADOR CHICO ACERO INOXIDABLE X U </t>
  </si>
  <si>
    <t xml:space="preserve">BUSAT000724         </t>
  </si>
  <si>
    <t xml:space="preserve">CHOMBA GRIS CUELLO AZUL M/CORTA S  </t>
  </si>
  <si>
    <t xml:space="preserve">BUSAT000859         </t>
  </si>
  <si>
    <t xml:space="preserve">CESTO FREIDORA GRANDE              </t>
  </si>
  <si>
    <t xml:space="preserve">BUSAT000627         </t>
  </si>
  <si>
    <t xml:space="preserve">BUZO AZUL UNILEVER XXL             </t>
  </si>
  <si>
    <t xml:space="preserve">BUSAT001019         </t>
  </si>
  <si>
    <t xml:space="preserve">ZAPATO CHUBUT TALLE 39             </t>
  </si>
  <si>
    <t xml:space="preserve">BUSAT000605         </t>
  </si>
  <si>
    <t xml:space="preserve">CHOMBA GRIS M/C M                  </t>
  </si>
  <si>
    <t xml:space="preserve">BUSAT000296         </t>
  </si>
  <si>
    <t xml:space="preserve">FENTE DE ESTACION CHEF             </t>
  </si>
  <si>
    <t xml:space="preserve">BUSAT000710         </t>
  </si>
  <si>
    <t xml:space="preserve">CAMPERAS TASLAN MANGA COMUN XXXL   </t>
  </si>
  <si>
    <t xml:space="preserve">BUSAT000450         </t>
  </si>
  <si>
    <t>PANTALON CARGO GRIS FRANJA VERDE	58</t>
  </si>
  <si>
    <t xml:space="preserve">BUSAT001104         </t>
  </si>
  <si>
    <t xml:space="preserve">MINI PIMER                         </t>
  </si>
  <si>
    <t xml:space="preserve">BUSAT001103         </t>
  </si>
  <si>
    <t xml:space="preserve">TAZA POZILLO CAFE LOGO GRUPO L     </t>
  </si>
  <si>
    <t xml:space="preserve">BUSAT000275         </t>
  </si>
  <si>
    <t xml:space="preserve">BANDEJERO 12                       </t>
  </si>
  <si>
    <t xml:space="preserve">BUSAT001002         </t>
  </si>
  <si>
    <t xml:space="preserve">CHOMBA AZUL MANGA LARGA XXXL       </t>
  </si>
  <si>
    <t xml:space="preserve">BUSAT000549         </t>
  </si>
  <si>
    <t xml:space="preserve">JEANS RAIZEN	50                    </t>
  </si>
  <si>
    <t xml:space="preserve">UNIF000560          </t>
  </si>
  <si>
    <t xml:space="preserve">PANTALON JEAN 56                   </t>
  </si>
  <si>
    <t xml:space="preserve">7793071002488       </t>
  </si>
  <si>
    <t xml:space="preserve">BALDE C/ESCURRIDOR XUN MPROPIA     </t>
  </si>
  <si>
    <t xml:space="preserve">7793875360098       </t>
  </si>
  <si>
    <t xml:space="preserve">PIMENTON EXTRA X 25 G AROMAS Y     </t>
  </si>
  <si>
    <t xml:space="preserve">UNIF000118          </t>
  </si>
  <si>
    <t xml:space="preserve">PANTALON NAUTICO GRIS 8            </t>
  </si>
  <si>
    <t xml:space="preserve">7790580138738       </t>
  </si>
  <si>
    <t xml:space="preserve">POLENTA X490G PRESTO PRONTA	       </t>
  </si>
  <si>
    <t xml:space="preserve">BUSAT000177         </t>
  </si>
  <si>
    <t xml:space="preserve">POZO FRIO ART.VARIOS/SAND 03 BIS   </t>
  </si>
  <si>
    <t xml:space="preserve">BUSAT000374         </t>
  </si>
  <si>
    <t xml:space="preserve">MESA METALICA TIPO DIAMANTE        </t>
  </si>
  <si>
    <t xml:space="preserve">BUSAT000909         </t>
  </si>
  <si>
    <t xml:space="preserve">PORTA FOTO ACRILICO                </t>
  </si>
  <si>
    <t xml:space="preserve">BUSAT000190         </t>
  </si>
  <si>
    <t>CARROS ENSALADA 03 (EXPERENCIAS Y S</t>
  </si>
  <si>
    <t xml:space="preserve">BUSAT000100         </t>
  </si>
  <si>
    <t xml:space="preserve">PLATO POCILLO LISO                 </t>
  </si>
  <si>
    <t xml:space="preserve">BUSAT0011006        </t>
  </si>
  <si>
    <t xml:space="preserve">TABLA DE CORTAR GRANDE MARRON      </t>
  </si>
  <si>
    <t xml:space="preserve">BUSAT000436         </t>
  </si>
  <si>
    <t xml:space="preserve">BUSAT000448         </t>
  </si>
  <si>
    <t>PANTALON CARGO GRIS FRANJA VERDE	54</t>
  </si>
  <si>
    <t xml:space="preserve">BUSAT000564         </t>
  </si>
  <si>
    <t xml:space="preserve">PANTALON CARGO GRIS	40             </t>
  </si>
  <si>
    <t xml:space="preserve">BUSAT000092         </t>
  </si>
  <si>
    <t xml:space="preserve">JARRA PLASTICA CON TAPA            </t>
  </si>
  <si>
    <t xml:space="preserve">BUSAT000889         </t>
  </si>
  <si>
    <t xml:space="preserve">PIREX 26 CM                        </t>
  </si>
  <si>
    <t xml:space="preserve">BUSAT000004         </t>
  </si>
  <si>
    <t xml:space="preserve">BATIDOR GRANDE  X U                </t>
  </si>
  <si>
    <t xml:space="preserve">BUSAT000875         </t>
  </si>
  <si>
    <t xml:space="preserve">TACHO PLASTICO DE BASURA GRIS      </t>
  </si>
  <si>
    <t xml:space="preserve">BUSAT000063         </t>
  </si>
  <si>
    <t xml:space="preserve">CAJA FUERTE ROICA                  </t>
  </si>
  <si>
    <t xml:space="preserve">BUSAT000124         </t>
  </si>
  <si>
    <t xml:space="preserve">BOWL BATIDORA GRANDE               </t>
  </si>
  <si>
    <t xml:space="preserve">BUSAT000574         </t>
  </si>
  <si>
    <t xml:space="preserve">PANTALON CARGO GRIS	60             </t>
  </si>
  <si>
    <t xml:space="preserve">7798188650393       </t>
  </si>
  <si>
    <t xml:space="preserve">DESINFECTANTE P/PISO  X 5LT FLOWER </t>
  </si>
  <si>
    <t xml:space="preserve">BAZ001356           </t>
  </si>
  <si>
    <t xml:space="preserve">LECHERA AC INOX P/3 PER MODPYG     </t>
  </si>
  <si>
    <t xml:space="preserve">UNIF000544          </t>
  </si>
  <si>
    <t xml:space="preserve">CHOMBA GRIS NEG MANG CORTA NAR M   </t>
  </si>
  <si>
    <t xml:space="preserve">UNIF000238          </t>
  </si>
  <si>
    <t xml:space="preserve">7790212030093       </t>
  </si>
  <si>
    <t xml:space="preserve">PALETA C XKG                       </t>
  </si>
  <si>
    <t xml:space="preserve">UNIF000660          </t>
  </si>
  <si>
    <t xml:space="preserve">PANTALON CARGO NEGRO 48            </t>
  </si>
  <si>
    <t>ACEITUNA VERDE S/C</t>
  </si>
  <si>
    <t xml:space="preserve">7791675909547       </t>
  </si>
  <si>
    <t xml:space="preserve">ACEITUNA VDE DESC 140G NICANOR     </t>
  </si>
  <si>
    <t xml:space="preserve">UNIF000081          </t>
  </si>
  <si>
    <t xml:space="preserve">CAMISA BLANCA LISA 54 S. LOGO      </t>
  </si>
  <si>
    <t xml:space="preserve">BAZ001212           </t>
  </si>
  <si>
    <t xml:space="preserve">PALA PARA TORTA TRIANG ACE.INOX    </t>
  </si>
  <si>
    <t xml:space="preserve">7798113400390       </t>
  </si>
  <si>
    <t xml:space="preserve">VO DESOD FLORAL 5LT ZELNOVA        </t>
  </si>
  <si>
    <t xml:space="preserve">UNIF000419          </t>
  </si>
  <si>
    <t xml:space="preserve">CAMISA GRAFA-AZUL MARINO 42 ELEV   </t>
  </si>
  <si>
    <t xml:space="preserve">7796322010904       </t>
  </si>
  <si>
    <t xml:space="preserve">TRAPO PANO BALLERINA VERDE XU SI   </t>
  </si>
  <si>
    <t>ALMENDRA SIN TACC</t>
  </si>
  <si>
    <t xml:space="preserve">7791885409417       </t>
  </si>
  <si>
    <t xml:space="preserve">ALMENDRA S/TACC XKG CUMANA         </t>
  </si>
  <si>
    <t xml:space="preserve">7790499000768       </t>
  </si>
  <si>
    <t xml:space="preserve">TOMATE TRIT X340GR LA BANDA        </t>
  </si>
  <si>
    <t xml:space="preserve">7791473000019       </t>
  </si>
  <si>
    <t xml:space="preserve">PIONONO VAINILLA X200G BON MASE    </t>
  </si>
  <si>
    <t xml:space="preserve">7792350067514       </t>
  </si>
  <si>
    <t xml:space="preserve">LENTEJAS REMOJ 350G ALTO PAVON     </t>
  </si>
  <si>
    <t xml:space="preserve">7790216020080       </t>
  </si>
  <si>
    <t xml:space="preserve">FRUTA BANANA X KG                  </t>
  </si>
  <si>
    <t>MAYONESA LIGHT</t>
  </si>
  <si>
    <t xml:space="preserve">7790580135454       </t>
  </si>
  <si>
    <t xml:space="preserve">MAYONESA X500GR BC                 </t>
  </si>
  <si>
    <t xml:space="preserve">7798011210060       </t>
  </si>
  <si>
    <t xml:space="preserve">TAPA BAND 103 MICRO COTNYL X50UN   </t>
  </si>
  <si>
    <t xml:space="preserve">7792198006713       </t>
  </si>
  <si>
    <t xml:space="preserve">TE EN SOB X100U HURLINGHAM         </t>
  </si>
  <si>
    <t xml:space="preserve">610000108746        </t>
  </si>
  <si>
    <t xml:space="preserve">BANDEJA ALUM R3/F275 X500U         </t>
  </si>
  <si>
    <t xml:space="preserve">7790971000194       </t>
  </si>
  <si>
    <t xml:space="preserve">BIZCOCHUELO CHOC 540G RAVANA       </t>
  </si>
  <si>
    <t xml:space="preserve">UNIF000374          </t>
  </si>
  <si>
    <t xml:space="preserve">SWEATER NEGRO BLUE CATERING M      </t>
  </si>
  <si>
    <t xml:space="preserve">UNIF000496          </t>
  </si>
  <si>
    <t xml:space="preserve">CAMI GRIS CAMAR. RET. T50 C GOUR   </t>
  </si>
  <si>
    <t>TAPA P/EMP ROTIS</t>
  </si>
  <si>
    <t xml:space="preserve">7795711002353       </t>
  </si>
  <si>
    <t>TAPA P/EMPANADA ROT X12U VILLA DAGR</t>
  </si>
  <si>
    <t>ALMOHADITAS</t>
  </si>
  <si>
    <t xml:space="preserve">7791078022713       </t>
  </si>
  <si>
    <t>ALMOHADITA AVENA-TRIGO X180G GRANIX</t>
  </si>
  <si>
    <t xml:space="preserve">7798121853126       </t>
  </si>
  <si>
    <t xml:space="preserve">LIQUIDO LIMPIAVIDRIOS X1LGPO JAC   </t>
  </si>
  <si>
    <t xml:space="preserve">UNIF000448          </t>
  </si>
  <si>
    <t xml:space="preserve">CAMPE. TRUCK A. MAR GRUPO L 4XL    </t>
  </si>
  <si>
    <t xml:space="preserve">BAZ001331           </t>
  </si>
  <si>
    <t xml:space="preserve">TUBO SALSA INOX 430 N°12.5 X25CM   </t>
  </si>
  <si>
    <t xml:space="preserve">7790212031242       </t>
  </si>
  <si>
    <t xml:space="preserve">CUADRADA X KG                      </t>
  </si>
  <si>
    <t xml:space="preserve">7790314152882       </t>
  </si>
  <si>
    <t xml:space="preserve">AJO X KG.                          </t>
  </si>
  <si>
    <t xml:space="preserve">7795323141175       </t>
  </si>
  <si>
    <t xml:space="preserve">MICROFIBRA DE MANO ROSA XU         </t>
  </si>
  <si>
    <t xml:space="preserve">7790321626939       </t>
  </si>
  <si>
    <t>CAJA C/L MESA 300X280X260 HURLINGHA</t>
  </si>
  <si>
    <t xml:space="preserve">LIM000115           </t>
  </si>
  <si>
    <t>CEPILLO BARRENDERO CERDA DURA P/PIS</t>
  </si>
  <si>
    <t xml:space="preserve">UNIF000497          </t>
  </si>
  <si>
    <t xml:space="preserve">CAMI GRIS CAMAR. RET. T52 C GOUR   </t>
  </si>
  <si>
    <t>REPASADORES</t>
  </si>
  <si>
    <t xml:space="preserve">7798040051920       </t>
  </si>
  <si>
    <t xml:space="preserve">REPASADOR GRANDE X UNIDAD          </t>
  </si>
  <si>
    <t xml:space="preserve">BUSAT000164         </t>
  </si>
  <si>
    <t xml:space="preserve">TAPER S/ TAPA                      </t>
  </si>
  <si>
    <t xml:space="preserve">2007078             </t>
  </si>
  <si>
    <t xml:space="preserve">VO DESENGR DESINFEC METAQUART LIMP </t>
  </si>
  <si>
    <t xml:space="preserve">BUSAT000360         </t>
  </si>
  <si>
    <t xml:space="preserve">FUNDA/SAND BIS                     </t>
  </si>
  <si>
    <t xml:space="preserve">BUSAT000200         </t>
  </si>
  <si>
    <t xml:space="preserve">FARDO 03 (EXPERIENCIA Y SABORES)   </t>
  </si>
  <si>
    <t xml:space="preserve">7790045826637       </t>
  </si>
  <si>
    <t xml:space="preserve">GRANOLA CROC X350GR GRANIX         </t>
  </si>
  <si>
    <t xml:space="preserve">7795933000298       </t>
  </si>
  <si>
    <t xml:space="preserve">ATUN A/N DESM X170 G BAHIA         </t>
  </si>
  <si>
    <t xml:space="preserve">UNIF000435          </t>
  </si>
  <si>
    <t xml:space="preserve">CAMPERA TRUCKER A. MAR GL SUP S    </t>
  </si>
  <si>
    <t xml:space="preserve">7792900092676       </t>
  </si>
  <si>
    <t xml:space="preserve">SAL GRUESA X500GR DOS ANCLAS       </t>
  </si>
  <si>
    <t>GALLE LIMON INDIV</t>
  </si>
  <si>
    <t xml:space="preserve">7798188380214       </t>
  </si>
  <si>
    <t xml:space="preserve">GALLE IND LIMON 25G CAUTIVA        </t>
  </si>
  <si>
    <t xml:space="preserve">7798090050236       </t>
  </si>
  <si>
    <t xml:space="preserve">DETERGENTE LAVAVAJILLA 5LTX4U      </t>
  </si>
  <si>
    <t>MANZANA 100-125</t>
  </si>
  <si>
    <t xml:space="preserve">7790216020036       </t>
  </si>
  <si>
    <t xml:space="preserve">FRUTA MANZANA 100-125 XU           </t>
  </si>
  <si>
    <t>GALLE DULCES CELIACO</t>
  </si>
  <si>
    <t xml:space="preserve">7798082000492       </t>
  </si>
  <si>
    <t>RUEDITAS DE VAINILLA CEL X 180 G NA</t>
  </si>
  <si>
    <t>VINAGRE INDIV</t>
  </si>
  <si>
    <t xml:space="preserve">7798011976485       </t>
  </si>
  <si>
    <t xml:space="preserve">VINAGRE IND X8CC X198U ABEDUL      </t>
  </si>
  <si>
    <t xml:space="preserve">BAZ001261           </t>
  </si>
  <si>
    <t xml:space="preserve">MAXI TERMOS 6LT 292X270X255        </t>
  </si>
  <si>
    <t>BATATA</t>
  </si>
  <si>
    <t xml:space="preserve">7790216010012       </t>
  </si>
  <si>
    <t xml:space="preserve">BATATA X KG                        </t>
  </si>
  <si>
    <t xml:space="preserve">UNIF000711          </t>
  </si>
  <si>
    <t xml:space="preserve">CAMP. NARAN TRUCKER ELEVARE M      </t>
  </si>
  <si>
    <t xml:space="preserve">7790000000415       </t>
  </si>
  <si>
    <t xml:space="preserve">CARNE PICADA ESP.CONG. AL VACIO KG </t>
  </si>
  <si>
    <t xml:space="preserve">UNIF000503          </t>
  </si>
  <si>
    <t xml:space="preserve">CAMPERA POLAR NEGRA M C. GOUR      </t>
  </si>
  <si>
    <t xml:space="preserve">7797906054482       </t>
  </si>
  <si>
    <t xml:space="preserve">ACELGA CONG X2KG MCCAIN            </t>
  </si>
  <si>
    <t xml:space="preserve">UNIF000056          </t>
  </si>
  <si>
    <t xml:space="preserve">BUZO A. MAR. FRISA GL SUP XL       </t>
  </si>
  <si>
    <t xml:space="preserve">7798256423459       </t>
  </si>
  <si>
    <t xml:space="preserve">JAMON COCIDO XKG CAMPO AUSTRAL     </t>
  </si>
  <si>
    <t>NUEZ PELADA</t>
  </si>
  <si>
    <t xml:space="preserve">724751080226        </t>
  </si>
  <si>
    <t xml:space="preserve">NUECES PEL MARIPOSA GOURMET 1KG    </t>
  </si>
  <si>
    <t xml:space="preserve">UNIF000747          </t>
  </si>
  <si>
    <t xml:space="preserve">CAMISA POPLIN ML BLUE CAFÉ L       </t>
  </si>
  <si>
    <t xml:space="preserve">7796236000961       </t>
  </si>
  <si>
    <t>GALLE ANILLITOS LIMON X400G RIEDMAR</t>
  </si>
  <si>
    <t>MERLUZA A/N</t>
  </si>
  <si>
    <t xml:space="preserve">7792750001606       </t>
  </si>
  <si>
    <t xml:space="preserve">MERLUZA NATURAL X340G MARBELLA     </t>
  </si>
  <si>
    <t xml:space="preserve">BAZ001310           </t>
  </si>
  <si>
    <t xml:space="preserve">CONTENED RECT 29.5X17X6.6CM2.4LT   </t>
  </si>
  <si>
    <t xml:space="preserve">UNIF000482          </t>
  </si>
  <si>
    <t xml:space="preserve">PANTAL. GRAFA S. LOGO BLANCO 44    </t>
  </si>
  <si>
    <t xml:space="preserve">790757899490        </t>
  </si>
  <si>
    <t xml:space="preserve">GELATINA MANZANA 1KG POREC         </t>
  </si>
  <si>
    <t xml:space="preserve">UNIF000528          </t>
  </si>
  <si>
    <t>CHIPA</t>
  </si>
  <si>
    <t xml:space="preserve">7792180009104       </t>
  </si>
  <si>
    <t xml:space="preserve">VO CHIPA 20GR X150UN CANUELAS      </t>
  </si>
  <si>
    <t>SAL FINA INDIVIDUAL</t>
  </si>
  <si>
    <t xml:space="preserve">7798011970384       </t>
  </si>
  <si>
    <t xml:space="preserve">SAL FINA X 0.5 X 1000 U ABEDUL     </t>
  </si>
  <si>
    <t xml:space="preserve">7797390190505       </t>
  </si>
  <si>
    <t xml:space="preserve">ANTORCHITAS X24U                   </t>
  </si>
  <si>
    <t xml:space="preserve">BUSAT000616         </t>
  </si>
  <si>
    <t xml:space="preserve">BUSAT000896         </t>
  </si>
  <si>
    <t xml:space="preserve">ASADERA CHICA CUADRADA             </t>
  </si>
  <si>
    <t xml:space="preserve">BUSAT001118         </t>
  </si>
  <si>
    <t xml:space="preserve">MOSTRADOR BAÑO MARIA CHICO         </t>
  </si>
  <si>
    <t xml:space="preserve">BUSAT000890         </t>
  </si>
  <si>
    <t xml:space="preserve">POSILLO CAFE                       </t>
  </si>
  <si>
    <t xml:space="preserve">BUSAT0011014        </t>
  </si>
  <si>
    <t xml:space="preserve">ESPUMADERA GRANDE DE ALAMBRE       </t>
  </si>
  <si>
    <t xml:space="preserve">7790000000228       </t>
  </si>
  <si>
    <t xml:space="preserve">FILM PVC 38 CM 3.390KG X1UN        </t>
  </si>
  <si>
    <t>LECHE POLVO NUTRI 2</t>
  </si>
  <si>
    <t xml:space="preserve">7795323002437       </t>
  </si>
  <si>
    <t xml:space="preserve">LECHE EN POLVO x 800 NUTRILON2     </t>
  </si>
  <si>
    <t>POROTOS SECOS</t>
  </si>
  <si>
    <t xml:space="preserve">7791476057058       </t>
  </si>
  <si>
    <t xml:space="preserve">POROTOS ALUBIA X5KG EGRAN          </t>
  </si>
  <si>
    <t xml:space="preserve">BUSAT0011017        </t>
  </si>
  <si>
    <t>FREIDORA CUADRADA GRANDE DE ALAMBRE</t>
  </si>
  <si>
    <t xml:space="preserve">BUSAT000947         </t>
  </si>
  <si>
    <t xml:space="preserve">GUANTES NITRILO VERDE T11          </t>
  </si>
  <si>
    <t xml:space="preserve">BUSAT000367         </t>
  </si>
  <si>
    <t xml:space="preserve">REMITO DE DEVOLUCION/SANWICHES     </t>
  </si>
  <si>
    <t xml:space="preserve">BUSAT000246         </t>
  </si>
  <si>
    <t>MAQUINA DE GASEOSAS DIXIE NARCO 134</t>
  </si>
  <si>
    <t xml:space="preserve">BUSAT000171         </t>
  </si>
  <si>
    <t xml:space="preserve">BAUL CON ART VARIOS P/ CAZUELA 01  </t>
  </si>
  <si>
    <t xml:space="preserve">BUSAT000714         </t>
  </si>
  <si>
    <t xml:space="preserve">CAMPERAS TRUCKER TRICAPA EX T/M    </t>
  </si>
  <si>
    <t xml:space="preserve">BUSAT000118         </t>
  </si>
  <si>
    <t xml:space="preserve">BANDEJA DE MOZO                    </t>
  </si>
  <si>
    <t xml:space="preserve">BUSAT000050         </t>
  </si>
  <si>
    <t xml:space="preserve">JARRA DE VIDRIO                    </t>
  </si>
  <si>
    <t xml:space="preserve">BUSAT000581         </t>
  </si>
  <si>
    <t xml:space="preserve">CHALECO SUPERVISOR                 </t>
  </si>
  <si>
    <t xml:space="preserve">BUSAT000272         </t>
  </si>
  <si>
    <t xml:space="preserve">GN 1/6 100MM                       </t>
  </si>
  <si>
    <t xml:space="preserve">BUSAT000306         </t>
  </si>
  <si>
    <t xml:space="preserve">COCINA 4H C/PLANCHA                </t>
  </si>
  <si>
    <t xml:space="preserve">BUSAT000347         </t>
  </si>
  <si>
    <t xml:space="preserve">MAMADERAS                          </t>
  </si>
  <si>
    <t xml:space="preserve">BUSAT000883         </t>
  </si>
  <si>
    <t xml:space="preserve">ESTANTE BLANCO DE MELAMINA         </t>
  </si>
  <si>
    <t xml:space="preserve">BUSAT000897         </t>
  </si>
  <si>
    <t xml:space="preserve">ASADERA MEADIANA CUADRADA          </t>
  </si>
  <si>
    <t xml:space="preserve">BUSAT000427         </t>
  </si>
  <si>
    <t xml:space="preserve">BUSAT000312         </t>
  </si>
  <si>
    <t xml:space="preserve">PARILLA A GAS AC INOX              </t>
  </si>
  <si>
    <t xml:space="preserve">BUSAT000409         </t>
  </si>
  <si>
    <t xml:space="preserve">SEMIMÁSCARA 3M 6200                </t>
  </si>
  <si>
    <t xml:space="preserve">BUSAT000188         </t>
  </si>
  <si>
    <t>CARROS CAZUELA 03 (EXPERENCIAS Y SA</t>
  </si>
  <si>
    <t xml:space="preserve">BUSAT000884         </t>
  </si>
  <si>
    <t xml:space="preserve">CILINDRO ACERO INOX GRANDE         </t>
  </si>
  <si>
    <t xml:space="preserve">2006183             </t>
  </si>
  <si>
    <t>TOALLA INTERCALADA BEIGE X 2500 UNI</t>
  </si>
  <si>
    <t xml:space="preserve">BUSAT0001134        </t>
  </si>
  <si>
    <t xml:space="preserve">MESADA DE MADERA Y HIERRO          </t>
  </si>
  <si>
    <t xml:space="preserve">UNIF000160          </t>
  </si>
  <si>
    <t xml:space="preserve">CAMI. BLAN.M. LARG 50 GL SUP       </t>
  </si>
  <si>
    <t xml:space="preserve">UNIF000186          </t>
  </si>
  <si>
    <t xml:space="preserve">PANTA. CARGO A.MAR 46 GL SUPPORT   </t>
  </si>
  <si>
    <t xml:space="preserve">7790748235187       </t>
  </si>
  <si>
    <t xml:space="preserve">MERLUZA AL NATURAL PUGLISI X 380   </t>
  </si>
  <si>
    <t xml:space="preserve">BAZ001185           </t>
  </si>
  <si>
    <t xml:space="preserve">CUCHARITA DE TE PLASTICO NEGRO     </t>
  </si>
  <si>
    <t xml:space="preserve">67794000006500      </t>
  </si>
  <si>
    <t xml:space="preserve">MOSTAZA IND X196U X8CC SAVORA      </t>
  </si>
  <si>
    <t xml:space="preserve">7797749000042       </t>
  </si>
  <si>
    <t xml:space="preserve">GUANTES DE GOMA TALLE G XPAR       </t>
  </si>
  <si>
    <t xml:space="preserve">BUM00245            </t>
  </si>
  <si>
    <t xml:space="preserve">CARRO L ESTADIO                    </t>
  </si>
  <si>
    <t>VAINILLAS INDIV</t>
  </si>
  <si>
    <t xml:space="preserve">77903884            </t>
  </si>
  <si>
    <t xml:space="preserve">VAINILLAS X 22 G MAURI             </t>
  </si>
  <si>
    <t xml:space="preserve">UNIF000085          </t>
  </si>
  <si>
    <t>CAMISA BLANCA LISA 42 BLUE CATERING</t>
  </si>
  <si>
    <t xml:space="preserve">BAZ001208           </t>
  </si>
  <si>
    <t xml:space="preserve">JARRO 1 LINEA RECTA BCO VERBANO    </t>
  </si>
  <si>
    <t xml:space="preserve">7790787201297       </t>
  </si>
  <si>
    <t>LECHE POLVO DESC IND X5G X30U ILOLA</t>
  </si>
  <si>
    <t>GALLE GRANOLA Y ALMENDR</t>
  </si>
  <si>
    <t xml:space="preserve">7798128000707       </t>
  </si>
  <si>
    <t xml:space="preserve">GALLE GRAN Y ALM X225G CACHAFAZ    </t>
  </si>
  <si>
    <t>MERMELADA DURAZNO</t>
  </si>
  <si>
    <t xml:space="preserve">7792260640203       </t>
  </si>
  <si>
    <t xml:space="preserve">MERME DURAZ 420G ORIETA            </t>
  </si>
  <si>
    <t xml:space="preserve">7798224212240       </t>
  </si>
  <si>
    <t xml:space="preserve">OREGANO X15G PARMESANA             </t>
  </si>
  <si>
    <t xml:space="preserve">7790279000032       </t>
  </si>
  <si>
    <t xml:space="preserve">GARBANZO X500G RAMONEDA	           </t>
  </si>
  <si>
    <t xml:space="preserve">7790316030027       </t>
  </si>
  <si>
    <t xml:space="preserve">CAJA DOBLE BASE 40X30X27 LOGO MESA </t>
  </si>
  <si>
    <t xml:space="preserve">7790530850109       </t>
  </si>
  <si>
    <t xml:space="preserve">FLAN CHOCOLATE X5KG BEDIAL         </t>
  </si>
  <si>
    <t>SAL GRUESA S/TACC</t>
  </si>
  <si>
    <t xml:space="preserve">7791004000082       </t>
  </si>
  <si>
    <t xml:space="preserve">SAL GRUESA X 1 KG CELUSAL          </t>
  </si>
  <si>
    <t xml:space="preserve">UNIF000386          </t>
  </si>
  <si>
    <t xml:space="preserve">PANTALON NAUTICO-JEAN 4            </t>
  </si>
  <si>
    <t xml:space="preserve">BUSAT000181         </t>
  </si>
  <si>
    <t>BAUL CON ART VARIOS P/ POCHOCLOS 06</t>
  </si>
  <si>
    <t xml:space="preserve">OBR000126           </t>
  </si>
  <si>
    <t xml:space="preserve">MAQ ENMARCADORAA                   </t>
  </si>
  <si>
    <t xml:space="preserve">BUSAT000020         </t>
  </si>
  <si>
    <t xml:space="preserve">POSA PLATO MICROONDAS              </t>
  </si>
  <si>
    <t xml:space="preserve">BUSAT000193         </t>
  </si>
  <si>
    <t xml:space="preserve">CARRO HEL/ SANDWICHES 03           </t>
  </si>
  <si>
    <t xml:space="preserve">F01005C2S/N103      </t>
  </si>
  <si>
    <t xml:space="preserve">SECARROPAS KOHINOOR                </t>
  </si>
  <si>
    <t xml:space="preserve">BUSAT000997         </t>
  </si>
  <si>
    <t xml:space="preserve">CHOMBA AZUL MANGA CORTA S          </t>
  </si>
  <si>
    <t xml:space="preserve">BUSAT000006         </t>
  </si>
  <si>
    <t xml:space="preserve">BATIDOR MEDIANO X U                </t>
  </si>
  <si>
    <t xml:space="preserve">BUSAT000413         </t>
  </si>
  <si>
    <t xml:space="preserve">PANTALON CARGO GRIS FRANJA AZUL	38 </t>
  </si>
  <si>
    <t xml:space="preserve">BUSAT000042         </t>
  </si>
  <si>
    <t xml:space="preserve">PINZA DE HIELO                     </t>
  </si>
  <si>
    <t xml:space="preserve">BUSAT000036         </t>
  </si>
  <si>
    <t xml:space="preserve">CILINDRO PARA SALSA CHICO          </t>
  </si>
  <si>
    <t xml:space="preserve">OBR000124           </t>
  </si>
  <si>
    <t xml:space="preserve">COMPCTADORA                        </t>
  </si>
  <si>
    <t xml:space="preserve">BUSAT000202         </t>
  </si>
  <si>
    <t xml:space="preserve">FARDO 04 (EXPERIENCIA Y SABORES)   </t>
  </si>
  <si>
    <t xml:space="preserve">BUSAT000126         </t>
  </si>
  <si>
    <t xml:space="preserve">SOPERO ELECTRICO GRANDE            </t>
  </si>
  <si>
    <t xml:space="preserve">BUSAT000019         </t>
  </si>
  <si>
    <t xml:space="preserve">DISPENSER PAPEL TORK  X U          </t>
  </si>
  <si>
    <t xml:space="preserve">BUSAT000081         </t>
  </si>
  <si>
    <t xml:space="preserve">COLADOR CHINO ACERO INOXIDABLE X U </t>
  </si>
  <si>
    <t xml:space="preserve">BUSAT000907         </t>
  </si>
  <si>
    <t xml:space="preserve">VENTILADOR DE PIE BLANCO           </t>
  </si>
  <si>
    <t xml:space="preserve">BUSAT001110         </t>
  </si>
  <si>
    <t xml:space="preserve">CARRO CANDY BAR (COLOR CREMA)      </t>
  </si>
  <si>
    <t xml:space="preserve">BUSAT000135         </t>
  </si>
  <si>
    <t xml:space="preserve">TONELES ( BARRIL)                  </t>
  </si>
  <si>
    <t xml:space="preserve">BUSAT000923         </t>
  </si>
  <si>
    <t xml:space="preserve">BANDEJA PLASTICA ROSADA            </t>
  </si>
  <si>
    <t xml:space="preserve">BUSAT000457         </t>
  </si>
  <si>
    <t xml:space="preserve">CAMPERA AZUL POLAR	XXXL            </t>
  </si>
  <si>
    <t xml:space="preserve">BUSAT000358         </t>
  </si>
  <si>
    <t xml:space="preserve">CAJA PLA G/ ART. VARIOS/ SAND 04 B </t>
  </si>
  <si>
    <t xml:space="preserve">BUSAT000182         </t>
  </si>
  <si>
    <t xml:space="preserve">BUSAT000364         </t>
  </si>
  <si>
    <t xml:space="preserve">GUIA OPERATIVA / SANDWICHES        </t>
  </si>
  <si>
    <t xml:space="preserve">BUSAT000098         </t>
  </si>
  <si>
    <t xml:space="preserve">JARRA ACRILICO CON TAPA            </t>
  </si>
  <si>
    <t xml:space="preserve">BUSAT001106         </t>
  </si>
  <si>
    <t xml:space="preserve">MICRO ONDAS                        </t>
  </si>
  <si>
    <t xml:space="preserve">BUSAT000015         </t>
  </si>
  <si>
    <t xml:space="preserve">PORTA TABLAS MESA X U              </t>
  </si>
  <si>
    <t xml:space="preserve">BUSAT0011010        </t>
  </si>
  <si>
    <t xml:space="preserve">TABLA DE CORTAR CHICA BLANCA       </t>
  </si>
  <si>
    <t xml:space="preserve">BUSAT000936         </t>
  </si>
  <si>
    <t xml:space="preserve">CAJA PLASTICA BLANCA CHICA         </t>
  </si>
  <si>
    <t xml:space="preserve">BUSAT000354         </t>
  </si>
  <si>
    <t xml:space="preserve">HELADERA ART.VARIOS/ SAND 02 B     </t>
  </si>
  <si>
    <t xml:space="preserve">BUSAT000390         </t>
  </si>
  <si>
    <t>GUANTE NITRILO NARANJA/CELESTE - T8</t>
  </si>
  <si>
    <t xml:space="preserve">OBR000130           </t>
  </si>
  <si>
    <t xml:space="preserve">PINTURA TERMOVIAL                  </t>
  </si>
  <si>
    <t xml:space="preserve">BUSAT000195         </t>
  </si>
  <si>
    <t xml:space="preserve">CARRO HELADERA / SANDWICHES 01     </t>
  </si>
  <si>
    <t xml:space="preserve">BUSAT000510         </t>
  </si>
  <si>
    <t xml:space="preserve">ZAPATOS OMBU	46                    </t>
  </si>
  <si>
    <t xml:space="preserve">BUSAT000091         </t>
  </si>
  <si>
    <t>PORTA CUBERITO DE ACERO INOXCIDABLE</t>
  </si>
  <si>
    <t xml:space="preserve">OBR000122           </t>
  </si>
  <si>
    <t xml:space="preserve">PORTA TUBO ANCHO                   </t>
  </si>
  <si>
    <t xml:space="preserve">BUSAT001114         </t>
  </si>
  <si>
    <t xml:space="preserve">TERMOSELLADORA SEGUA               </t>
  </si>
  <si>
    <t xml:space="preserve">BUSAT000371         </t>
  </si>
  <si>
    <t xml:space="preserve">LETRAS CON BASE PICNIC /SAND (BL)  </t>
  </si>
  <si>
    <t xml:space="preserve">BUSAT000002         </t>
  </si>
  <si>
    <t xml:space="preserve">BANDEJA C/ASA  X U                 </t>
  </si>
  <si>
    <t xml:space="preserve">BUSAT000350         </t>
  </si>
  <si>
    <t xml:space="preserve">HELADERA ART. VARIOS               </t>
  </si>
  <si>
    <t xml:space="preserve">CD CIUDADELA                  </t>
  </si>
  <si>
    <t xml:space="preserve">7790387800050       </t>
  </si>
  <si>
    <t xml:space="preserve">MATE COCIDO SAQUITO X 25U TARAGUI  </t>
  </si>
  <si>
    <t>TOMATE</t>
  </si>
  <si>
    <t xml:space="preserve">7790216010112       </t>
  </si>
  <si>
    <t xml:space="preserve">TOMATE X KG                        </t>
  </si>
  <si>
    <t xml:space="preserve">OJO DE BIFE </t>
  </si>
  <si>
    <t xml:space="preserve">7790212031203       </t>
  </si>
  <si>
    <t xml:space="preserve">OJO DE BIFE XKG	                   </t>
  </si>
  <si>
    <t>YOGUR DESCR VAINILLA</t>
  </si>
  <si>
    <t xml:space="preserve">7794820902714       </t>
  </si>
  <si>
    <t xml:space="preserve">YOGUR DESC VAINILLA X900CC MILKAUT </t>
  </si>
  <si>
    <t>LIBRITOS DE GRASA</t>
  </si>
  <si>
    <t xml:space="preserve">7790213012188       </t>
  </si>
  <si>
    <t xml:space="preserve">LIBRITO DE GRASA x U               </t>
  </si>
  <si>
    <t xml:space="preserve">Unidad              </t>
  </si>
  <si>
    <t xml:space="preserve">7790971000842       </t>
  </si>
  <si>
    <t xml:space="preserve">POSTRE DE FRUTILLA 5KG ORLOC       </t>
  </si>
  <si>
    <t xml:space="preserve">7790629585651       </t>
  </si>
  <si>
    <t xml:space="preserve">SESAMO BLANCO X 1KG EL MATUCHO     </t>
  </si>
  <si>
    <t>QUESO UNTABLE INDIV LIGHT</t>
  </si>
  <si>
    <t xml:space="preserve">7798060852907       </t>
  </si>
  <si>
    <t xml:space="preserve">QUESO UNT.LIG.PATAG.20GX90 TONAD   </t>
  </si>
  <si>
    <t>RESMA A4</t>
  </si>
  <si>
    <t xml:space="preserve">LIB000427           </t>
  </si>
  <si>
    <t xml:space="preserve">RESMA A4 AUTOR X U                 </t>
  </si>
  <si>
    <t>GASEOSA LIMA</t>
  </si>
  <si>
    <t xml:space="preserve">7790895007248       </t>
  </si>
  <si>
    <t xml:space="preserve">GAS SPRITE X 1.75L                 </t>
  </si>
  <si>
    <t xml:space="preserve">7793360131400       </t>
  </si>
  <si>
    <t xml:space="preserve">MERMELADA DURAZN0 454G CAMPAGNOL   </t>
  </si>
  <si>
    <t>CIBOULETTE</t>
  </si>
  <si>
    <t xml:space="preserve">7790216012610       </t>
  </si>
  <si>
    <t xml:space="preserve">CIBOULETTE X KG                    </t>
  </si>
  <si>
    <t>POLLO T9 NO ADITIVADO</t>
  </si>
  <si>
    <t xml:space="preserve">779804920005        </t>
  </si>
  <si>
    <t xml:space="preserve">POLLO GOURMET REFRI T9 XUN         </t>
  </si>
  <si>
    <t>CARAMELOS PASTILLAS</t>
  </si>
  <si>
    <t xml:space="preserve">7790580468002       </t>
  </si>
  <si>
    <t xml:space="preserve">PASTI CHERRY S/AZ X12U MENTHOPLUS  </t>
  </si>
  <si>
    <t xml:space="preserve">7790000000636       </t>
  </si>
  <si>
    <t xml:space="preserve"> QUESO BARRA MD LA PAULINA  KG     </t>
  </si>
  <si>
    <t>CHIPS CHOCOLATE</t>
  </si>
  <si>
    <t xml:space="preserve">7790407031532       </t>
  </si>
  <si>
    <t xml:space="preserve">CHIPS CHOCOLATE X150GR AGUILA      </t>
  </si>
  <si>
    <t>GELATINA FRAMBUESA</t>
  </si>
  <si>
    <t xml:space="preserve">7791113001970       </t>
  </si>
  <si>
    <t xml:space="preserve">VO GELATINA FRAMBUESA X 70G EMETH  </t>
  </si>
  <si>
    <t>CEBOLLA DE VERDEO</t>
  </si>
  <si>
    <t xml:space="preserve">7790216012650       </t>
  </si>
  <si>
    <t xml:space="preserve">CEBOLLA DE VERDEO X KG             </t>
  </si>
  <si>
    <t>DULCE MEMBRILLO LIGHT</t>
  </si>
  <si>
    <t xml:space="preserve">7791113006401       </t>
  </si>
  <si>
    <t xml:space="preserve">DULCE MEMBRILLO LIGHT X480G EMETH  </t>
  </si>
  <si>
    <t>MORRONES EN LATA</t>
  </si>
  <si>
    <t xml:space="preserve">7790499000164       </t>
  </si>
  <si>
    <t xml:space="preserve">MORRONES ENTEROS X 780GR LA BANDA  </t>
  </si>
  <si>
    <t xml:space="preserve">7791270010280       </t>
  </si>
  <si>
    <t xml:space="preserve">CHIPS CHOCOLATE X1KG ALPINO        </t>
  </si>
  <si>
    <t xml:space="preserve">16110000A           </t>
  </si>
  <si>
    <t xml:space="preserve">FILM STREECH X ROLLO               </t>
  </si>
  <si>
    <t>AGUA SAB POMELO IND</t>
  </si>
  <si>
    <t xml:space="preserve">7790895009228       </t>
  </si>
  <si>
    <t xml:space="preserve">AGUA SAB X 600 CC POMEL AQUARI     </t>
  </si>
  <si>
    <t xml:space="preserve">7790036000565       </t>
  </si>
  <si>
    <t xml:space="preserve">JUGO NARANJA X 200 ML BAGGIO       </t>
  </si>
  <si>
    <t>PAN LACTAL SALVADO</t>
  </si>
  <si>
    <t xml:space="preserve">7798094229898       </t>
  </si>
  <si>
    <t xml:space="preserve">PAN CON SALVADO NEVARES 550 GR     </t>
  </si>
  <si>
    <t xml:space="preserve">7798156760994       </t>
  </si>
  <si>
    <t xml:space="preserve">CARBONADA X500GR SABORES DEL VALLE </t>
  </si>
  <si>
    <t xml:space="preserve">7790895645778       </t>
  </si>
  <si>
    <t xml:space="preserve">AGUA MIN S/GAS X591CC SMARTWAT     </t>
  </si>
  <si>
    <t>SERVILLETA NUTRIRE</t>
  </si>
  <si>
    <t xml:space="preserve">7790000000709       </t>
  </si>
  <si>
    <t xml:space="preserve">SERVILLETA 33X21.5 NUTRIRE X1000UN </t>
  </si>
  <si>
    <t xml:space="preserve">7792900950006       </t>
  </si>
  <si>
    <t>GUISO LENTEJA LISTO X390G DOS ANCLA</t>
  </si>
  <si>
    <t xml:space="preserve">16109000A           </t>
  </si>
  <si>
    <t xml:space="preserve">FILM PVC 38 CM X 1000 U            </t>
  </si>
  <si>
    <t>TE SAQUITO LIMON</t>
  </si>
  <si>
    <t xml:space="preserve">7790480089673       </t>
  </si>
  <si>
    <t xml:space="preserve">TE LIMON  X 20U GREEN HILLS        </t>
  </si>
  <si>
    <t>CHURRO DDL CONGELADO</t>
  </si>
  <si>
    <t xml:space="preserve">7790213012019       </t>
  </si>
  <si>
    <t xml:space="preserve">CHURRO RELLENO DDL X120U SELYGEL   </t>
  </si>
  <si>
    <t>JUGO NARANJA NATURAL</t>
  </si>
  <si>
    <t xml:space="preserve">7798085681506       </t>
  </si>
  <si>
    <t xml:space="preserve">JUGO NARANJ. VALENCIA X5L CITRIC   </t>
  </si>
  <si>
    <t xml:space="preserve">7790742363107       </t>
  </si>
  <si>
    <t xml:space="preserve">LECHE LV DESC 1% X1L LA SERENISIMA </t>
  </si>
  <si>
    <t xml:space="preserve">7790000000705       </t>
  </si>
  <si>
    <t xml:space="preserve">SERVILLETA 33X21.5 C.GOURMET X1000 </t>
  </si>
  <si>
    <t>EDULCORANTE SOBRE FINOCHIETTO</t>
  </si>
  <si>
    <t xml:space="preserve">7798011977260       </t>
  </si>
  <si>
    <t xml:space="preserve">EDULCORANTE FINOC X8GX400U ABEDUL  </t>
  </si>
  <si>
    <t xml:space="preserve">27790398000382      </t>
  </si>
  <si>
    <t xml:space="preserve">MANTECA PILON X5KG PAULINA	        </t>
  </si>
  <si>
    <t>POLLO T10 NO ADITIVADO</t>
  </si>
  <si>
    <t xml:space="preserve">779804920004        </t>
  </si>
  <si>
    <t xml:space="preserve">POLLO T10 NO ADITIVADO XU          </t>
  </si>
  <si>
    <t>EMPANADA CONG ACELGA</t>
  </si>
  <si>
    <t xml:space="preserve">7798357290351       </t>
  </si>
  <si>
    <t xml:space="preserve">EMP VERDURA X90GX48U SELYGEL       </t>
  </si>
  <si>
    <t xml:space="preserve">7798099030031       </t>
  </si>
  <si>
    <t xml:space="preserve">TAPA P/PASCUALINA 60X70 XU         </t>
  </si>
  <si>
    <t>PIMIENTA BLANCA IND</t>
  </si>
  <si>
    <t xml:space="preserve">7798011977048       </t>
  </si>
  <si>
    <t>PIMIENTA BLANCA IND 0.5GX 400U ABED</t>
  </si>
  <si>
    <t>TOSTADA ARROZ DULCE</t>
  </si>
  <si>
    <t xml:space="preserve">7790412000288       </t>
  </si>
  <si>
    <t>TOSTADA ARROZ DULCE S/TACC X150G LE</t>
  </si>
  <si>
    <t>TE CACHAMAI</t>
  </si>
  <si>
    <t xml:space="preserve">7798104307707       </t>
  </si>
  <si>
    <t xml:space="preserve">TE INTIZEN CACHAMCHAI X15UN        </t>
  </si>
  <si>
    <t>BEBIDA ISOTONICA FRUTOS TROP</t>
  </si>
  <si>
    <t xml:space="preserve">7790895641183       </t>
  </si>
  <si>
    <t xml:space="preserve">POWERADE FRUTA TROPICAL X500CC     </t>
  </si>
  <si>
    <t xml:space="preserve">7798188651181       </t>
  </si>
  <si>
    <t xml:space="preserve">PAPEL HAMBUR ALUMINIO X116U        </t>
  </si>
  <si>
    <t>NUTRICION ENTERAL</t>
  </si>
  <si>
    <t xml:space="preserve">4008976413400       </t>
  </si>
  <si>
    <t xml:space="preserve">SUPLEMENTO X300G ESPESAN           </t>
  </si>
  <si>
    <t>COCTAIL LIGHT</t>
  </si>
  <si>
    <t xml:space="preserve">7798132920442       </t>
  </si>
  <si>
    <t xml:space="preserve">COCTEL LIGHT X820G ALCO	           </t>
  </si>
  <si>
    <t>CAFE EN GRANO</t>
  </si>
  <si>
    <t xml:space="preserve">7798092900058       </t>
  </si>
  <si>
    <t xml:space="preserve">CAFE SANTOS GRANO BARISTA LA BOL   </t>
  </si>
  <si>
    <t>GALLE AVENA INDIV</t>
  </si>
  <si>
    <t xml:space="preserve">7798188380139       </t>
  </si>
  <si>
    <t xml:space="preserve">GALLETITA AVENA X25 GR CAUTIVA     </t>
  </si>
  <si>
    <t>EDULC SOB BLUE CATERING</t>
  </si>
  <si>
    <t xml:space="preserve">7798011977758       </t>
  </si>
  <si>
    <t>MARGARINA</t>
  </si>
  <si>
    <t xml:space="preserve">7791620187600       </t>
  </si>
  <si>
    <t xml:space="preserve">MARGARINA X5KG PRIMOR              </t>
  </si>
  <si>
    <t xml:space="preserve">7798161675702       </t>
  </si>
  <si>
    <t xml:space="preserve">GUANTE LATEX L X100UN EUROMIX      </t>
  </si>
  <si>
    <t>TE INTI ZEN</t>
  </si>
  <si>
    <t xml:space="preserve">7798104307905       </t>
  </si>
  <si>
    <t xml:space="preserve">TE ZEN INCA ROSE INTIZEN X15UN     </t>
  </si>
  <si>
    <t>CERDO DESHUESADO REF</t>
  </si>
  <si>
    <t xml:space="preserve">7790212031274       </t>
  </si>
  <si>
    <t xml:space="preserve">CARRE DESHUESADO REF X KG          </t>
  </si>
  <si>
    <t xml:space="preserve">17798398261331      </t>
  </si>
  <si>
    <t>EMP HUMITA CONG X48UN TIENDA DE EMP</t>
  </si>
  <si>
    <t>MORTADELA</t>
  </si>
  <si>
    <t xml:space="preserve">7790212050100       </t>
  </si>
  <si>
    <t xml:space="preserve">MORTADELA X KG                     </t>
  </si>
  <si>
    <t xml:space="preserve">7798011977789       </t>
  </si>
  <si>
    <t xml:space="preserve">EDULCO C/STEVIA 400UX0.08GR ABEDUL </t>
  </si>
  <si>
    <t>HAMBURGUESAS</t>
  </si>
  <si>
    <t xml:space="preserve">7790670050681       </t>
  </si>
  <si>
    <t xml:space="preserve">HAMBURGUESAS X80GR 30PAQ X2U PATY  </t>
  </si>
  <si>
    <t>TORTILLA INTEGRAL</t>
  </si>
  <si>
    <t xml:space="preserve">7791218123805       </t>
  </si>
  <si>
    <t xml:space="preserve">TORTILLA INTEGRAL X6U ORALI        </t>
  </si>
  <si>
    <t>FIGAZA INTEGRAL</t>
  </si>
  <si>
    <t xml:space="preserve">7790213012185       </t>
  </si>
  <si>
    <t xml:space="preserve">FIGAZITA DE PAN INTEGRAL X U       </t>
  </si>
  <si>
    <t>MILA CERDO CONGELADA</t>
  </si>
  <si>
    <t xml:space="preserve">7790000000406       </t>
  </si>
  <si>
    <t xml:space="preserve">MILANESA CARRE CONG X6KG PROD AL   </t>
  </si>
  <si>
    <t>FIGAZA</t>
  </si>
  <si>
    <t xml:space="preserve">7790213012183       </t>
  </si>
  <si>
    <t xml:space="preserve">PAN DE FIGAZITA X U                </t>
  </si>
  <si>
    <t>MILA CARNE CONGELADA</t>
  </si>
  <si>
    <t xml:space="preserve">7790360967830       </t>
  </si>
  <si>
    <t xml:space="preserve">MILANESA CARNE X 6.2KG             </t>
  </si>
  <si>
    <t xml:space="preserve">7790000000009       </t>
  </si>
  <si>
    <t xml:space="preserve">CUADRADO COCO/DDL SELYGEL X12UN    </t>
  </si>
  <si>
    <t>ALBAHACA</t>
  </si>
  <si>
    <t xml:space="preserve">7790216012649       </t>
  </si>
  <si>
    <t xml:space="preserve">ALBAHACA X KG                      </t>
  </si>
  <si>
    <t>TORTELLETIS</t>
  </si>
  <si>
    <t xml:space="preserve">7795711000069       </t>
  </si>
  <si>
    <t>TORTELLETTIS CAR/POLLO/ESP X500 VIL</t>
  </si>
  <si>
    <t>CAFE SAQUITO</t>
  </si>
  <si>
    <t xml:space="preserve">7790550010255       </t>
  </si>
  <si>
    <t xml:space="preserve">CAFE LPC SAQUITOS 18X18X5G         </t>
  </si>
  <si>
    <t xml:space="preserve">9060090             </t>
  </si>
  <si>
    <t xml:space="preserve">DULCE DE MEMBRILLO X KG            </t>
  </si>
  <si>
    <t>RODHESIA</t>
  </si>
  <si>
    <t xml:space="preserve">77995681            </t>
  </si>
  <si>
    <t xml:space="preserve">GALLETITA DULCE X22G RHODESIA      </t>
  </si>
  <si>
    <t xml:space="preserve">7790150006375       </t>
  </si>
  <si>
    <t xml:space="preserve">CAFE MOLIDO X1KG LA VIRGINIA       </t>
  </si>
  <si>
    <t>TALITAS</t>
  </si>
  <si>
    <t xml:space="preserve">7795735000106       </t>
  </si>
  <si>
    <t xml:space="preserve">TALITAS 140GR DON SATUR            </t>
  </si>
  <si>
    <t>AZUCAR INDIV BLUE CAFE</t>
  </si>
  <si>
    <t xml:space="preserve">7798011977710       </t>
  </si>
  <si>
    <t xml:space="preserve">AZUCAR IND SOBRE X800U BLUE CAFÉ   </t>
  </si>
  <si>
    <t xml:space="preserve">7791388988495       </t>
  </si>
  <si>
    <t xml:space="preserve">ROLLO ALUMINIO 40CM X1KG           </t>
  </si>
  <si>
    <t>PICKLES</t>
  </si>
  <si>
    <t xml:space="preserve">7793275000457       </t>
  </si>
  <si>
    <t xml:space="preserve">PICKLES EN VINAGRE 3KG REYGAL      </t>
  </si>
  <si>
    <t>CONFITES</t>
  </si>
  <si>
    <t xml:space="preserve">7790580423414       </t>
  </si>
  <si>
    <t xml:space="preserve">CONFITE CHOCO 20GX24U ROCKLETS     </t>
  </si>
  <si>
    <t xml:space="preserve">7790212050104       </t>
  </si>
  <si>
    <t xml:space="preserve">SALAME X KG                        </t>
  </si>
  <si>
    <t>GALLETITA QUESO</t>
  </si>
  <si>
    <t xml:space="preserve">7790040003606       </t>
  </si>
  <si>
    <t xml:space="preserve">GALLETITA QUESO X75G KESITAS       </t>
  </si>
  <si>
    <t>GALLE DULCE</t>
  </si>
  <si>
    <t xml:space="preserve">7796236000633       </t>
  </si>
  <si>
    <t xml:space="preserve">SCONS X400G RIEDMAR                </t>
  </si>
  <si>
    <t xml:space="preserve">7790212031244       </t>
  </si>
  <si>
    <t xml:space="preserve">MATAMBRE X KG                      </t>
  </si>
  <si>
    <t>BANDEJA 101 TAPA BISAGRA</t>
  </si>
  <si>
    <t xml:space="preserve">BAZ00010            </t>
  </si>
  <si>
    <t>BAND 104 C/BIS OVAL X 50 U ECOFORMA</t>
  </si>
  <si>
    <t xml:space="preserve">7798060852679       </t>
  </si>
  <si>
    <t xml:space="preserve">QUESO UNT IND 20GX90U TONADITA     </t>
  </si>
  <si>
    <t xml:space="preserve">7790000000596       </t>
  </si>
  <si>
    <t xml:space="preserve">CARNE PICADA CONG ENV VAC XKG      </t>
  </si>
  <si>
    <t xml:space="preserve">754697526823        </t>
  </si>
  <si>
    <t xml:space="preserve">QUESO FRESCO X KG CASTELAR         </t>
  </si>
  <si>
    <t xml:space="preserve">640000108776        </t>
  </si>
  <si>
    <t xml:space="preserve">TAPA ALUM R3/F275X1000U VASSOI     </t>
  </si>
  <si>
    <t xml:space="preserve">77987877            </t>
  </si>
  <si>
    <t xml:space="preserve">ALF DE ARROZ LIMON/CHO 22GR LULE   </t>
  </si>
  <si>
    <t>GASEOSA LIMA LIGHT INDIVIDUAL</t>
  </si>
  <si>
    <t xml:space="preserve">7790895650895       </t>
  </si>
  <si>
    <t xml:space="preserve">GAS SPRITE ZERO 600CC              </t>
  </si>
  <si>
    <t xml:space="preserve">7798104880415       </t>
  </si>
  <si>
    <t xml:space="preserve">FECULA DE MAIZ 1KG DEWEY           </t>
  </si>
  <si>
    <t>ALMIDON DE MAIZ CELIACO</t>
  </si>
  <si>
    <t xml:space="preserve">7794000599468       </t>
  </si>
  <si>
    <t xml:space="preserve">ALMIDON DE MAIZ X 1.1 KG MAIZE     </t>
  </si>
  <si>
    <t>DURAZNO DH</t>
  </si>
  <si>
    <t xml:space="preserve">7791351138087       </t>
  </si>
  <si>
    <t xml:space="preserve">DURAZNO DESH X5KG EL PEONCITO      </t>
  </si>
  <si>
    <t xml:space="preserve">7790130002830       </t>
  </si>
  <si>
    <t xml:space="preserve">MOSTAZA X 250GR MENOYO             </t>
  </si>
  <si>
    <t xml:space="preserve">7790216020118       </t>
  </si>
  <si>
    <t xml:space="preserve">FRUTA BANANA ECUADOR XKG           </t>
  </si>
  <si>
    <t>MIX CEREALES</t>
  </si>
  <si>
    <t xml:space="preserve">7790040140912       </t>
  </si>
  <si>
    <t xml:space="preserve">SNACK MIX CEREAL X100G CEREAL MIX	 </t>
  </si>
  <si>
    <t>MANTEL LOGO SLL</t>
  </si>
  <si>
    <t xml:space="preserve">7790321190588       </t>
  </si>
  <si>
    <t xml:space="preserve">MANTEL IND 40X30X1000U SLL         </t>
  </si>
  <si>
    <t xml:space="preserve">7790000000480       </t>
  </si>
  <si>
    <t xml:space="preserve">ROLLO BOLSA ARRANQ 40X60 MPROP     </t>
  </si>
  <si>
    <t>EXTRACTO DE TOMATE</t>
  </si>
  <si>
    <t xml:space="preserve">7793360129889       </t>
  </si>
  <si>
    <t xml:space="preserve">EXTRACTO TOMATE X180G LA CAMPAÑOLA </t>
  </si>
  <si>
    <t xml:space="preserve">T748                </t>
  </si>
  <si>
    <t xml:space="preserve">PANINI 125GRX 40U SELYGEL          </t>
  </si>
  <si>
    <t>CIRUELA DESHIDRATADA</t>
  </si>
  <si>
    <t xml:space="preserve">724751080318        </t>
  </si>
  <si>
    <t xml:space="preserve">CIR DESC X5KG PTO GOURMET          </t>
  </si>
  <si>
    <t>BERENJENA</t>
  </si>
  <si>
    <t xml:space="preserve">7790216012615       </t>
  </si>
  <si>
    <t xml:space="preserve">BERENJENA X KG                     </t>
  </si>
  <si>
    <t xml:space="preserve">7794000599475       </t>
  </si>
  <si>
    <t xml:space="preserve">FECULA DE MAIZ X2KG MAIZENA        </t>
  </si>
  <si>
    <t xml:space="preserve">7790490998309       </t>
  </si>
  <si>
    <t xml:space="preserve">EDULCORANTE LIQ X500CC HILERET     </t>
  </si>
  <si>
    <t>OBLEAS BAÑADAS</t>
  </si>
  <si>
    <t xml:space="preserve">7790580110130       </t>
  </si>
  <si>
    <t>OBLEA RELL 45G X16U BON O BON O BON</t>
  </si>
  <si>
    <t>JUGO IND SOJA NARANJA</t>
  </si>
  <si>
    <t xml:space="preserve">7790895643750       </t>
  </si>
  <si>
    <t xml:space="preserve">JUGO SOJA NARANJA X200CC ADES      </t>
  </si>
  <si>
    <t>MERENGUITO</t>
  </si>
  <si>
    <t xml:space="preserve">7798177410113       </t>
  </si>
  <si>
    <t xml:space="preserve">MERENGUITOS X125G URQUIZA          </t>
  </si>
  <si>
    <t xml:space="preserve">7791324157022       </t>
  </si>
  <si>
    <t xml:space="preserve">GALLE VAINILLA X 160GR PITUSAS     </t>
  </si>
  <si>
    <t>LOMO AHUMADO</t>
  </si>
  <si>
    <t xml:space="preserve">7790625001220       </t>
  </si>
  <si>
    <t xml:space="preserve">LOMO AHUMADO MARCA PROPIA XKG      </t>
  </si>
  <si>
    <t xml:space="preserve">7790321020286       </t>
  </si>
  <si>
    <t xml:space="preserve">TAPA 105 RECT X 50 U COTNYL        </t>
  </si>
  <si>
    <t xml:space="preserve">7790580346508       </t>
  </si>
  <si>
    <t xml:space="preserve">OBLEA RELL 30G X20U BON O BON      </t>
  </si>
  <si>
    <t xml:space="preserve">7793875316132       </t>
  </si>
  <si>
    <t xml:space="preserve">PIMENTON X250G AROMAS Y SABORES    </t>
  </si>
  <si>
    <t>PREMEZCLA BIZCOCHUELO LIMON</t>
  </si>
  <si>
    <t xml:space="preserve">7791113004308       </t>
  </si>
  <si>
    <t xml:space="preserve">BIZCOCHUELO LIMON X450G EMETH      </t>
  </si>
  <si>
    <t>BANANA SAE X KG</t>
  </si>
  <si>
    <t xml:space="preserve">7790216020082       </t>
  </si>
  <si>
    <t xml:space="preserve">BANANA X KG SAE                    </t>
  </si>
  <si>
    <t xml:space="preserve">7798131130941       </t>
  </si>
  <si>
    <t xml:space="preserve">WRAP DE POLLO X 2 UNIDADES LA DE   </t>
  </si>
  <si>
    <t xml:space="preserve">7790279000551       </t>
  </si>
  <si>
    <t xml:space="preserve">POROTOS ALUBIA X5KG RAMONEDA       </t>
  </si>
  <si>
    <t xml:space="preserve">7790212031214       </t>
  </si>
  <si>
    <t xml:space="preserve">MORCILLA X KG                      </t>
  </si>
  <si>
    <t xml:space="preserve">7790503199129       </t>
  </si>
  <si>
    <t xml:space="preserve">ARROZ 00000 500GR DOS HERMANOS     </t>
  </si>
  <si>
    <t>PAN LACTAL TRIPLE SALVADO</t>
  </si>
  <si>
    <t xml:space="preserve">7790606000353       </t>
  </si>
  <si>
    <t xml:space="preserve">PAN LACTAL TRIPLE S X540G NOLY     </t>
  </si>
  <si>
    <t xml:space="preserve">7790606000391       </t>
  </si>
  <si>
    <t xml:space="preserve">PAN LACTAL BLANCOX600G DOÑA NOLY   </t>
  </si>
  <si>
    <t>EMPANADA CONG POLLO</t>
  </si>
  <si>
    <t xml:space="preserve">17798398261072      </t>
  </si>
  <si>
    <t>EMP POLLO CONG X48UN TIENDA DE EMP.</t>
  </si>
  <si>
    <t>AGUA SAB NARANJA</t>
  </si>
  <si>
    <t xml:space="preserve">7790895641237       </t>
  </si>
  <si>
    <t xml:space="preserve">AGUA SAB NARANJA x 1.5 L AQUARIUS  </t>
  </si>
  <si>
    <t xml:space="preserve">7790070318619       </t>
  </si>
  <si>
    <t xml:space="preserve">FIDEO CODITO X500GMATARAZZO        </t>
  </si>
  <si>
    <t>GALLE  AVENA C/CHOCO</t>
  </si>
  <si>
    <t xml:space="preserve">7790045824893       </t>
  </si>
  <si>
    <t xml:space="preserve">GALLE AVENA CHIPS X 250G FRUTIGRAN </t>
  </si>
  <si>
    <t xml:space="preserve">7790321020329       </t>
  </si>
  <si>
    <t xml:space="preserve">TAPA VASO TERMICO 240CCX50U        </t>
  </si>
  <si>
    <t>PALMERITA GDE CONGELADA</t>
  </si>
  <si>
    <t xml:space="preserve">7799132966558       </t>
  </si>
  <si>
    <t xml:space="preserve">PALMERITA GRANDE X240U SELYGEL     </t>
  </si>
  <si>
    <t>GELATINA DURAZNO</t>
  </si>
  <si>
    <t xml:space="preserve">790757899537        </t>
  </si>
  <si>
    <t xml:space="preserve">GELATINA DURAZNO 1KG POREC         </t>
  </si>
  <si>
    <t xml:space="preserve">7790212031238       </t>
  </si>
  <si>
    <t xml:space="preserve">BIFE DE CHORIZO X KG               </t>
  </si>
  <si>
    <t xml:space="preserve">77902113030048      </t>
  </si>
  <si>
    <t xml:space="preserve">EMPANADA CONGELADA VERDURA X50U    </t>
  </si>
  <si>
    <t xml:space="preserve">7798011977697       </t>
  </si>
  <si>
    <t xml:space="preserve">AZUCAR IND SOBRE X800UN NUTRIRE    </t>
  </si>
  <si>
    <t xml:space="preserve">7790000000801       </t>
  </si>
  <si>
    <t xml:space="preserve">LIBRITO GRASA XKG                  </t>
  </si>
  <si>
    <t xml:space="preserve">7791476021059       </t>
  </si>
  <si>
    <t xml:space="preserve">GARBANZOS X5KG EGRAN               </t>
  </si>
  <si>
    <t>PALMITO EN LATA</t>
  </si>
  <si>
    <t xml:space="preserve">7798071200797       </t>
  </si>
  <si>
    <t xml:space="preserve">PALMITOS E/TROZ X800G ABRA         </t>
  </si>
  <si>
    <t>GALLE CON CONFITES</t>
  </si>
  <si>
    <t xml:space="preserve">7790580327408       </t>
  </si>
  <si>
    <t xml:space="preserve">CONFIT CHOC 48GX18U ROCKLETS       </t>
  </si>
  <si>
    <t xml:space="preserve">7790150079904       </t>
  </si>
  <si>
    <t xml:space="preserve">CAFE EN SAQUITOS X20U LA VIRGINIA  </t>
  </si>
  <si>
    <t>GALLE SALADA</t>
  </si>
  <si>
    <t xml:space="preserve">7790040719804       </t>
  </si>
  <si>
    <t xml:space="preserve">GALLE SALADA X125G REX             </t>
  </si>
  <si>
    <t>PREPIZZA PLACA</t>
  </si>
  <si>
    <t xml:space="preserve">7790213010077       </t>
  </si>
  <si>
    <t xml:space="preserve">PRE-PIZZA PLACA 40X60 X U          </t>
  </si>
  <si>
    <t xml:space="preserve">7792350067538       </t>
  </si>
  <si>
    <t xml:space="preserve">GARBANZO REMOJ 350G ALTO PAVON     </t>
  </si>
  <si>
    <t>MATAMBRES CERDO CONGELADO</t>
  </si>
  <si>
    <t xml:space="preserve">7790212031273       </t>
  </si>
  <si>
    <t xml:space="preserve">MATAMBRE CERDO C X KG              </t>
  </si>
  <si>
    <t>YOGUR ENTERO FRUTILLA</t>
  </si>
  <si>
    <t xml:space="preserve">7794820902264       </t>
  </si>
  <si>
    <t xml:space="preserve">YOGUR ENT FRUTILLA X900G MILKAUT   </t>
  </si>
  <si>
    <t>PAN LACTAL CAMPO</t>
  </si>
  <si>
    <t xml:space="preserve">7790606000643       </t>
  </si>
  <si>
    <t xml:space="preserve">PAN LACTAL CAMPO X540G NOLY        </t>
  </si>
  <si>
    <t xml:space="preserve">7790212050099       </t>
  </si>
  <si>
    <t xml:space="preserve">JAMON CRUDO X KG                   </t>
  </si>
  <si>
    <t xml:space="preserve">7790321020328       </t>
  </si>
  <si>
    <t xml:space="preserve">TAPA VASO TERMICO 300CC X100U      </t>
  </si>
  <si>
    <t>POLLO ENTERO CONGELADO</t>
  </si>
  <si>
    <t xml:space="preserve">7790212031266       </t>
  </si>
  <si>
    <t xml:space="preserve">POLLO CONGELADO XKG GM             </t>
  </si>
  <si>
    <t>YOGUR DESCR INDIV VAINILLA</t>
  </si>
  <si>
    <t xml:space="preserve">7790787110513       </t>
  </si>
  <si>
    <t xml:space="preserve">YOGUR VAIN DESC X 190 CC ILOLA     </t>
  </si>
  <si>
    <t xml:space="preserve">7790040116955       </t>
  </si>
  <si>
    <t xml:space="preserve">GALLE CHOCO MANI X125G BLOCK       </t>
  </si>
  <si>
    <t xml:space="preserve">7790216020084       </t>
  </si>
  <si>
    <t xml:space="preserve">FRUTA MANZANA X KG SAE             </t>
  </si>
  <si>
    <t xml:space="preserve">7790787960521       </t>
  </si>
  <si>
    <t xml:space="preserve">YOGUR ENT VAINILLA X900G ILOLA     </t>
  </si>
  <si>
    <t>NUGGETS POLLO</t>
  </si>
  <si>
    <t xml:space="preserve">7798016105323       </t>
  </si>
  <si>
    <t xml:space="preserve">NUGGETS DE POLLO X1KG TRES ARROYOS	</t>
  </si>
  <si>
    <t xml:space="preserve">7790040137813       </t>
  </si>
  <si>
    <t xml:space="preserve">GALLE CON LECHE X136G MANA         </t>
  </si>
  <si>
    <t xml:space="preserve">7791113001536       </t>
  </si>
  <si>
    <t xml:space="preserve">FLAN VAINILLA X60G EMETH           </t>
  </si>
  <si>
    <t>POMELO</t>
  </si>
  <si>
    <t xml:space="preserve">7790216020100       </t>
  </si>
  <si>
    <t xml:space="preserve">POMELO X KG                        </t>
  </si>
  <si>
    <t>QUESO FONTINA</t>
  </si>
  <si>
    <t xml:space="preserve">7790000000896       </t>
  </si>
  <si>
    <t xml:space="preserve">QUESO FONTINA XKG MARCA PROPIA     </t>
  </si>
  <si>
    <t>ACEITE MAIZ INDIV</t>
  </si>
  <si>
    <t xml:space="preserve">7798011976461       </t>
  </si>
  <si>
    <t xml:space="preserve">ACEITE MAIZ 198SOBR X8CC ABEDUL    </t>
  </si>
  <si>
    <t>ACEITE MAIZ</t>
  </si>
  <si>
    <t xml:space="preserve">7790580160807       </t>
  </si>
  <si>
    <t xml:space="preserve">ACEITE MAIZ X900CC ARCOR           </t>
  </si>
  <si>
    <t xml:space="preserve">7790000000379       </t>
  </si>
  <si>
    <t xml:space="preserve">BANDEJA 102 BIODEG. X 1400U MPRO   </t>
  </si>
  <si>
    <t>GALLE ARROZ INTEGRAL</t>
  </si>
  <si>
    <t xml:space="preserve">7798082000133       </t>
  </si>
  <si>
    <t>GALL ARROZ INTEGRAL S/S ARROZEN X 1</t>
  </si>
  <si>
    <t>HONGOS PINO</t>
  </si>
  <si>
    <t xml:space="preserve">724751080523        </t>
  </si>
  <si>
    <t xml:space="preserve">HONGOS SECOS 1KG PTO.GOURMET       </t>
  </si>
  <si>
    <t>PASAS DE UVA RUBIA</t>
  </si>
  <si>
    <t xml:space="preserve">7790629895234       </t>
  </si>
  <si>
    <t xml:space="preserve">PASAS UVA RUBIA X1KG EL MATUCHO    </t>
  </si>
  <si>
    <t>MAIZ PISCINGALLO</t>
  </si>
  <si>
    <t xml:space="preserve">7793323000866       </t>
  </si>
  <si>
    <t xml:space="preserve">MAIZ PISINGALLO X5KG DICOMERE      </t>
  </si>
  <si>
    <t>BARRA DE CHOCOLATE</t>
  </si>
  <si>
    <t xml:space="preserve">7798401690083       </t>
  </si>
  <si>
    <t>BARRA QUINOA CHOCO BCO X20G WAKE UP</t>
  </si>
  <si>
    <t>MANZANA</t>
  </si>
  <si>
    <t xml:space="preserve">7790216020105       </t>
  </si>
  <si>
    <t xml:space="preserve">MANZANA x KG                       </t>
  </si>
  <si>
    <t>SAL FINA IND FINOCHIETTO</t>
  </si>
  <si>
    <t xml:space="preserve">7798011977253       </t>
  </si>
  <si>
    <t xml:space="preserve">SAL FINA FINOC X0.5GX1000U ABEDUL  </t>
  </si>
  <si>
    <t>GASEOSA LIMA LIGHT</t>
  </si>
  <si>
    <t xml:space="preserve">7790895012327       </t>
  </si>
  <si>
    <t xml:space="preserve">GAS SPRITE ZERO X 1.75L            </t>
  </si>
  <si>
    <t xml:space="preserve">9992015000094       </t>
  </si>
  <si>
    <t xml:space="preserve">GL ALUMINIO X1KG XU                </t>
  </si>
  <si>
    <t xml:space="preserve">7798044557721       </t>
  </si>
  <si>
    <t xml:space="preserve">ROLLO MANGA REPOS N5 25X28X25U     </t>
  </si>
  <si>
    <t>GALLE CHOCO RELLENA</t>
  </si>
  <si>
    <t xml:space="preserve">7790040143777       </t>
  </si>
  <si>
    <t xml:space="preserve">GALLE CHOCO RELL VAINI X85G COFLER </t>
  </si>
  <si>
    <t>GASEOSA COLA LIGHT INDIVIDUAL</t>
  </si>
  <si>
    <t xml:space="preserve">7790895650864       </t>
  </si>
  <si>
    <t xml:space="preserve">GAS COCA COLA LIGHT 600CC          </t>
  </si>
  <si>
    <t xml:space="preserve">7798096031703       </t>
  </si>
  <si>
    <t xml:space="preserve">GARBANZOS REMOJ X340GR PAPPETTI    </t>
  </si>
  <si>
    <t xml:space="preserve">7798132920343       </t>
  </si>
  <si>
    <t xml:space="preserve">DURAZNO MITAD X3KG COPA DE ORO	    </t>
  </si>
  <si>
    <t xml:space="preserve">7790070318374       </t>
  </si>
  <si>
    <t xml:space="preserve">FIDEO SOP AVE MARIA X500G LUCH     </t>
  </si>
  <si>
    <t xml:space="preserve">7790321020904       </t>
  </si>
  <si>
    <t xml:space="preserve">COLLARIN CARTON 8/12 OZ X100UN     </t>
  </si>
  <si>
    <t xml:space="preserve">7798934234563       </t>
  </si>
  <si>
    <t xml:space="preserve">VASO TERMICO 300CCX1000U           </t>
  </si>
  <si>
    <t xml:space="preserve">7790040139770       </t>
  </si>
  <si>
    <t xml:space="preserve">GALLETITA MIEL X 159G MELITAS      </t>
  </si>
  <si>
    <t>PECETO</t>
  </si>
  <si>
    <t xml:space="preserve">7790212031245       </t>
  </si>
  <si>
    <t xml:space="preserve">PECETO X KG                        </t>
  </si>
  <si>
    <t xml:space="preserve">7790522012560       </t>
  </si>
  <si>
    <t xml:space="preserve">VO TAPA P/PASCUALINA 60X70 X2U     </t>
  </si>
  <si>
    <t xml:space="preserve">7790895646027       </t>
  </si>
  <si>
    <t xml:space="preserve">AGUA MIN C/GAS X591CC SMARTWAT     </t>
  </si>
  <si>
    <t>GALLE SABORIZADAS</t>
  </si>
  <si>
    <t xml:space="preserve">7790040003569       </t>
  </si>
  <si>
    <t xml:space="preserve">GALLE SALADA X75G REX              </t>
  </si>
  <si>
    <t>PAN LACTAL MULTICEREAL</t>
  </si>
  <si>
    <t xml:space="preserve">7790606000360       </t>
  </si>
  <si>
    <t xml:space="preserve">PAN LACTAL MULTICEREAL X540G NOLY  </t>
  </si>
  <si>
    <t>JUGO MANZANA</t>
  </si>
  <si>
    <t xml:space="preserve">7798290580090       </t>
  </si>
  <si>
    <t xml:space="preserve">JUGO MANZANA X 1L TUTTI            </t>
  </si>
  <si>
    <t>FORMITAS DE PAPA</t>
  </si>
  <si>
    <t xml:space="preserve">7797906001028       </t>
  </si>
  <si>
    <t xml:space="preserve">PAPAS CONGE SMILES X1.5KG MC CAIN  </t>
  </si>
  <si>
    <t xml:space="preserve">7797234000366       </t>
  </si>
  <si>
    <t xml:space="preserve">OREGANO CEL X25G PERGOLA           </t>
  </si>
  <si>
    <t xml:space="preserve">7798011976966       </t>
  </si>
  <si>
    <t xml:space="preserve">MAYONESA X3KG ABEDUL               </t>
  </si>
  <si>
    <t xml:space="preserve">7794000008557       </t>
  </si>
  <si>
    <t xml:space="preserve">CALDO VERDURA CAJAX12U KNORR       </t>
  </si>
  <si>
    <t xml:space="preserve">7792260000533       </t>
  </si>
  <si>
    <t xml:space="preserve">DULCE BATATA VAINILLA 500G ORIET   </t>
  </si>
  <si>
    <t xml:space="preserve">7798181510106       </t>
  </si>
  <si>
    <t xml:space="preserve">BUDIN VAINILLA S/TACC X250G SM     </t>
  </si>
  <si>
    <t xml:space="preserve">7792198005341       </t>
  </si>
  <si>
    <t xml:space="preserve">MATE COC EN SOB X50U NATURA        </t>
  </si>
  <si>
    <t xml:space="preserve">7799132966513       </t>
  </si>
  <si>
    <t xml:space="preserve">ALFAJOR MAICENA X30U SELYGEL       </t>
  </si>
  <si>
    <t xml:space="preserve">7792900006949       </t>
  </si>
  <si>
    <t xml:space="preserve">7790212030062       </t>
  </si>
  <si>
    <t xml:space="preserve">NALGA SIN TAPA X KG                </t>
  </si>
  <si>
    <t xml:space="preserve">AGUA SAB POMELO IND LIGHT </t>
  </si>
  <si>
    <t xml:space="preserve">7791813402015       </t>
  </si>
  <si>
    <t xml:space="preserve">AGUA SAB S/G POMELADA H20H STIL    </t>
  </si>
  <si>
    <t xml:space="preserve">7790070336965       </t>
  </si>
  <si>
    <t xml:space="preserve">SEMOLA CLASICA X500G VITINA	       </t>
  </si>
  <si>
    <t xml:space="preserve">7793323004857       </t>
  </si>
  <si>
    <t xml:space="preserve">ALMIDON MAIZ STACC X450G DICOMER   </t>
  </si>
  <si>
    <t>ANANA TROZO LATA</t>
  </si>
  <si>
    <t xml:space="preserve">7797470132210       </t>
  </si>
  <si>
    <t xml:space="preserve">ANANA TROZOS X850G MAROLIO         </t>
  </si>
  <si>
    <t xml:space="preserve">7798071200780       </t>
  </si>
  <si>
    <t xml:space="preserve">PALMITOS ENT X800G ABRA            </t>
  </si>
  <si>
    <t xml:space="preserve">7790616000305       </t>
  </si>
  <si>
    <t xml:space="preserve">DULCE DE LECHE REPOS X4KG VACALIN  </t>
  </si>
  <si>
    <t>HUEVO DE PASCUA</t>
  </si>
  <si>
    <t xml:space="preserve">7792730019737       </t>
  </si>
  <si>
    <t xml:space="preserve">HUEVO PASCUA 50GR BIZNIKKE NEVAD   </t>
  </si>
  <si>
    <t xml:space="preserve">7793875322737       </t>
  </si>
  <si>
    <t xml:space="preserve">PROVENZAL X250G AROMAS             </t>
  </si>
  <si>
    <t xml:space="preserve">7790040143807       </t>
  </si>
  <si>
    <t xml:space="preserve">GALLE CHOCO RELL X85G BON O BON    </t>
  </si>
  <si>
    <t xml:space="preserve">7798131130798       </t>
  </si>
  <si>
    <t xml:space="preserve">EMPANADAS POLLO X2 LA DELFINA      </t>
  </si>
  <si>
    <t>TARTA POLLO Y PUERRO</t>
  </si>
  <si>
    <t xml:space="preserve">7798088625419       </t>
  </si>
  <si>
    <t>TARTA POLLO/PUERO X320G X10U SELYGE</t>
  </si>
  <si>
    <t>TAPA P/PASCUALINA REDONDA</t>
  </si>
  <si>
    <t xml:space="preserve">7795711000113       </t>
  </si>
  <si>
    <t xml:space="preserve">TAPA PASC REDONDA X2U VILLA DAGRI  </t>
  </si>
  <si>
    <t xml:space="preserve">7798104307950       </t>
  </si>
  <si>
    <t xml:space="preserve">TE INTIZEN DON JUAN 0.002K X15UN   </t>
  </si>
  <si>
    <t xml:space="preserve">17018002A           </t>
  </si>
  <si>
    <t xml:space="preserve">COFIAS DESCARTABLES X 100 U        </t>
  </si>
  <si>
    <t xml:space="preserve">BAZ000525           </t>
  </si>
  <si>
    <t xml:space="preserve">DEGUSTADOR X 2000 U                </t>
  </si>
  <si>
    <t>TE VERDE</t>
  </si>
  <si>
    <t xml:space="preserve">7798003740285       </t>
  </si>
  <si>
    <t xml:space="preserve"> TE VERDE ENSOBRADO HEREDIA X20UN  </t>
  </si>
  <si>
    <t xml:space="preserve">7790499000225       </t>
  </si>
  <si>
    <t xml:space="preserve">ARVEJA X 850 LA BANDA              </t>
  </si>
  <si>
    <t>SANDWICH DE MIGA TRIPLES JAMON</t>
  </si>
  <si>
    <t xml:space="preserve">7790000000402       </t>
  </si>
  <si>
    <t xml:space="preserve">SAND MIGA TRIP JYQ X3U CHEFGOURM   </t>
  </si>
  <si>
    <t>YOGUR ENTERO INDIV VAINILLA</t>
  </si>
  <si>
    <t xml:space="preserve">7790787960453       </t>
  </si>
  <si>
    <t>YOGUR VAINILLA ENTERO X190 G ILOLAY</t>
  </si>
  <si>
    <t xml:space="preserve">714604111849        </t>
  </si>
  <si>
    <t xml:space="preserve">CUCHARA SUNDAE BCA X1000U OASIS    </t>
  </si>
  <si>
    <t xml:space="preserve">7790971000859       </t>
  </si>
  <si>
    <t xml:space="preserve">POSTRE VAINILLA X 5 KG ORLOC       </t>
  </si>
  <si>
    <t xml:space="preserve">7790499017575       </t>
  </si>
  <si>
    <t>MORRONES EN CONSERVA X 220 G LA BAN</t>
  </si>
  <si>
    <t>GASEOSA COLA INDIVIDUAL</t>
  </si>
  <si>
    <t xml:space="preserve">7790895650833       </t>
  </si>
  <si>
    <t xml:space="preserve">GAS COCA COLA 600CC                </t>
  </si>
  <si>
    <t xml:space="preserve">7790530850208       </t>
  </si>
  <si>
    <t xml:space="preserve">GELATINA DURAZNO X1KG BEDIAL       </t>
  </si>
  <si>
    <t xml:space="preserve">7793890258752       </t>
  </si>
  <si>
    <t xml:space="preserve">PAN LACTAL BLANCO X460G LACTAL     </t>
  </si>
  <si>
    <t xml:space="preserve">7794820902257       </t>
  </si>
  <si>
    <t xml:space="preserve">YOGUR ENT VAINILLA X900G MILKAUT   </t>
  </si>
  <si>
    <t>QUESO FINLANDIA</t>
  </si>
  <si>
    <t xml:space="preserve">7790742374004       </t>
  </si>
  <si>
    <t xml:space="preserve">QUESO FINLANDIA X2KG	              </t>
  </si>
  <si>
    <t xml:space="preserve">4008976681854       </t>
  </si>
  <si>
    <t xml:space="preserve">COMPLEM ALIM 350G FORTISIPMAX NE   </t>
  </si>
  <si>
    <t>CALDO CELIACO</t>
  </si>
  <si>
    <t xml:space="preserve">7798146450027       </t>
  </si>
  <si>
    <t xml:space="preserve">CALDO VERD S/TACC X35GR ARGENDIE   </t>
  </si>
  <si>
    <t>BEBIDA ISOTONICA MANZANA</t>
  </si>
  <si>
    <t xml:space="preserve">7790895640018       </t>
  </si>
  <si>
    <t xml:space="preserve">POWERADE MANZANA X500CC            </t>
  </si>
  <si>
    <t>JALEA INDIV</t>
  </si>
  <si>
    <t xml:space="preserve">7798011976959       </t>
  </si>
  <si>
    <t xml:space="preserve">JALEA MEMBRILLO 20GX108U ABEDUL    </t>
  </si>
  <si>
    <t xml:space="preserve">7793323003973       </t>
  </si>
  <si>
    <t>NUEZ PELADA MARIPOSA X 1KG DICOMERE</t>
  </si>
  <si>
    <t>BEBIDA ISOTONICA MONTAIN BLAST</t>
  </si>
  <si>
    <t xml:space="preserve">7790895640025       </t>
  </si>
  <si>
    <t xml:space="preserve">POWERADE MOUNTAIN BLAST X500CC     </t>
  </si>
  <si>
    <t xml:space="preserve">7798011977703       </t>
  </si>
  <si>
    <t xml:space="preserve">SAL IND SOBRE X1000UN NUTRIRE      </t>
  </si>
  <si>
    <t xml:space="preserve">17030002A           </t>
  </si>
  <si>
    <t xml:space="preserve">GUANTES DE POLIPROPILENO X100U     </t>
  </si>
  <si>
    <t>BOCADITO CORTESIA</t>
  </si>
  <si>
    <t xml:space="preserve">7798182730732       </t>
  </si>
  <si>
    <t xml:space="preserve">BOCADITO CORTESIA X200UN LBDCF     </t>
  </si>
  <si>
    <t>AGUA SAB MANZANA</t>
  </si>
  <si>
    <t xml:space="preserve">7790895640483       </t>
  </si>
  <si>
    <t xml:space="preserve">AGUA SAB MANZANA X 1.5 L AQUA      </t>
  </si>
  <si>
    <t>LOMO</t>
  </si>
  <si>
    <t xml:space="preserve">7790212031248       </t>
  </si>
  <si>
    <t xml:space="preserve">LOMO X KG                          </t>
  </si>
  <si>
    <t xml:space="preserve">7791113002489       </t>
  </si>
  <si>
    <t xml:space="preserve">CACAO S/TACC X1KG EMETH            </t>
  </si>
  <si>
    <t>PASTA RELLENA CONGELADA</t>
  </si>
  <si>
    <t xml:space="preserve">724751055309        </t>
  </si>
  <si>
    <t xml:space="preserve">RAVIOL RICOTA MASA ESPINACA 500G   </t>
  </si>
  <si>
    <t xml:space="preserve">7790212030082       </t>
  </si>
  <si>
    <t xml:space="preserve">NALGA ENTERA  X KG                 </t>
  </si>
  <si>
    <t xml:space="preserve">7790130002847       </t>
  </si>
  <si>
    <t xml:space="preserve">MOSTAZA X2.70KG MENOYO	            </t>
  </si>
  <si>
    <t xml:space="preserve">7798104300036       </t>
  </si>
  <si>
    <t xml:space="preserve">TE INTIZEN EAR LGREY 0.002K X15UN  </t>
  </si>
  <si>
    <t>QUESO PATEGRAS</t>
  </si>
  <si>
    <t xml:space="preserve">7790212060882       </t>
  </si>
  <si>
    <t xml:space="preserve">QUESO PATEGRAS X KG                </t>
  </si>
  <si>
    <t xml:space="preserve">7796624012002       </t>
  </si>
  <si>
    <t xml:space="preserve">GALLE AGUA IND C/SAL X25G NEOSOL   </t>
  </si>
  <si>
    <t xml:space="preserve">7790530900750       </t>
  </si>
  <si>
    <t xml:space="preserve">POLVO DE HORNEAR BEDIAL X1KG       </t>
  </si>
  <si>
    <t xml:space="preserve">7790321020532       </t>
  </si>
  <si>
    <t>SERVILLETA BEIGE 18X18X1000U NUTRIR</t>
  </si>
  <si>
    <t xml:space="preserve">7794450008268       </t>
  </si>
  <si>
    <t xml:space="preserve">VINO CHARDONAY X750CC ANGELICA     </t>
  </si>
  <si>
    <t xml:space="preserve">7792260639573       </t>
  </si>
  <si>
    <t xml:space="preserve">MERMELADA CIRUELA VID X400G ORIETA </t>
  </si>
  <si>
    <t xml:space="preserve">BAZ00011            </t>
  </si>
  <si>
    <t xml:space="preserve">ENS. CRISTAL TAPA X600 U BANDEX    </t>
  </si>
  <si>
    <t xml:space="preserve">77980267            </t>
  </si>
  <si>
    <t xml:space="preserve">ALFAJOR TRIPLE BLANCO X70G GUAYM   </t>
  </si>
  <si>
    <t xml:space="preserve">7790580125530       </t>
  </si>
  <si>
    <t xml:space="preserve">OBLEA CHOCO 45G X 12U GRAFITTI     </t>
  </si>
  <si>
    <t>CEBOLLA DESHIDRATADA</t>
  </si>
  <si>
    <t xml:space="preserve">7793875322188       </t>
  </si>
  <si>
    <t xml:space="preserve">CEBOLLA ESCAMAS X5KG MYG           </t>
  </si>
  <si>
    <t>GALLE AVENA</t>
  </si>
  <si>
    <t xml:space="preserve">7790040135765       </t>
  </si>
  <si>
    <t>GALL CER AVE CHIA FRUT X150G CERALM</t>
  </si>
  <si>
    <t>SEMILLAS LINO</t>
  </si>
  <si>
    <t xml:space="preserve">7793323024473       </t>
  </si>
  <si>
    <t xml:space="preserve">SEMILLA LINO X1KG DICOMERE         </t>
  </si>
  <si>
    <t xml:space="preserve">7792590005192       </t>
  </si>
  <si>
    <t xml:space="preserve">PAN RALLADO X5KG RAYITO DE SOL     </t>
  </si>
  <si>
    <t xml:space="preserve">7790398100088       </t>
  </si>
  <si>
    <t xml:space="preserve">MANTECA X 200GR PAULINA            </t>
  </si>
  <si>
    <t xml:space="preserve">7798558162146       </t>
  </si>
  <si>
    <t xml:space="preserve">COLITA DE CUADRIL TECNOCAR X KG    </t>
  </si>
  <si>
    <t>GASEOSA NARANJA INDIVIDUAL</t>
  </si>
  <si>
    <t xml:space="preserve">7790895650888       </t>
  </si>
  <si>
    <t xml:space="preserve">GAS FANTA 600CC                    </t>
  </si>
  <si>
    <t>BANDEJA P/SANDWICH</t>
  </si>
  <si>
    <t xml:space="preserve">13003002A           </t>
  </si>
  <si>
    <t xml:space="preserve">BANDEJA P/SANDWICH X 75 U BANDEX   </t>
  </si>
  <si>
    <t>SALCHICHON</t>
  </si>
  <si>
    <t xml:space="preserve">7790625000846       </t>
  </si>
  <si>
    <t xml:space="preserve">SALCHICHON PRIMAVERA XKG           </t>
  </si>
  <si>
    <t xml:space="preserve">7790040110748       </t>
  </si>
  <si>
    <t xml:space="preserve">GALL VAINI CONF X118G ROCKLETS     </t>
  </si>
  <si>
    <t>GALLE CON CHIPS</t>
  </si>
  <si>
    <t xml:space="preserve">7790040127944       </t>
  </si>
  <si>
    <t xml:space="preserve">GALLE CHIPS CHOCO X120G COFLER     </t>
  </si>
  <si>
    <t>PIZETAS</t>
  </si>
  <si>
    <t xml:space="preserve">7790213010066       </t>
  </si>
  <si>
    <t xml:space="preserve">PIZZETA X U                        </t>
  </si>
  <si>
    <t>LECHE NUT AR</t>
  </si>
  <si>
    <t xml:space="preserve">7795323772804       </t>
  </si>
  <si>
    <t xml:space="preserve">LECHE EN POLVO X400G NUT AR1       </t>
  </si>
  <si>
    <t xml:space="preserve">7790971000835       </t>
  </si>
  <si>
    <t xml:space="preserve">POSTRE CHOCOLATE X 5 KG ORLOC      </t>
  </si>
  <si>
    <t xml:space="preserve">888277653934        </t>
  </si>
  <si>
    <t xml:space="preserve">GUANTE NITRILO M X100U MEDLINE     </t>
  </si>
  <si>
    <t>LIMA</t>
  </si>
  <si>
    <t xml:space="preserve">7790216020102       </t>
  </si>
  <si>
    <t xml:space="preserve">LIMA x KG                          </t>
  </si>
  <si>
    <t>VINO BLEND</t>
  </si>
  <si>
    <t xml:space="preserve">7794450092090       </t>
  </si>
  <si>
    <t xml:space="preserve">VINO BESO DANTE 750CC LUCA         </t>
  </si>
  <si>
    <t>MIEL INDIVIDUAL</t>
  </si>
  <si>
    <t xml:space="preserve">7798011976805       </t>
  </si>
  <si>
    <t xml:space="preserve">MIEL X20GX108U ABEDUL              </t>
  </si>
  <si>
    <t xml:space="preserve">7790279000605       </t>
  </si>
  <si>
    <t xml:space="preserve">POROTO DE SOJA BOLSA 5KG RAMONED   </t>
  </si>
  <si>
    <t>LECHE POLVO NIDINA 1</t>
  </si>
  <si>
    <t xml:space="preserve">8445290649744       </t>
  </si>
  <si>
    <t xml:space="preserve">LECHE EN POLVO X800G NIDINA1       </t>
  </si>
  <si>
    <t xml:space="preserve">7790000000218       </t>
  </si>
  <si>
    <t xml:space="preserve">BOWL COMPOST 17X7 960CC BIO X600   </t>
  </si>
  <si>
    <t>JUGO MULTIFRUTA</t>
  </si>
  <si>
    <t xml:space="preserve">7790895647123       </t>
  </si>
  <si>
    <t xml:space="preserve">CEPITA MULTIFRUTA TETRA 1LTR       </t>
  </si>
  <si>
    <t>TE SOBRE MANZ Y CANELA</t>
  </si>
  <si>
    <t xml:space="preserve">7790150250426       </t>
  </si>
  <si>
    <t xml:space="preserve">TE MANZ/CANELA X25U LA VIRGINIA    </t>
  </si>
  <si>
    <t xml:space="preserve">7790748235095       </t>
  </si>
  <si>
    <t xml:space="preserve">CABALLA  A/N X 380 G PUGL          </t>
  </si>
  <si>
    <t xml:space="preserve">TE ROYAL FRUIT </t>
  </si>
  <si>
    <t xml:space="preserve">7790150396186       </t>
  </si>
  <si>
    <t xml:space="preserve">TE FRUTILLA ENSOB X20U LA VIRGINIA </t>
  </si>
  <si>
    <t xml:space="preserve">7792360002383       </t>
  </si>
  <si>
    <t xml:space="preserve">CAFE BONAFIDE SUAVE                </t>
  </si>
  <si>
    <t xml:space="preserve">7798558162145       </t>
  </si>
  <si>
    <t xml:space="preserve">COLITA DE CUADRIL XKG ENTRE TODOS  </t>
  </si>
  <si>
    <t>AGUA MIN C/GAS</t>
  </si>
  <si>
    <t xml:space="preserve">7790895648861       </t>
  </si>
  <si>
    <t xml:space="preserve">AGUA C/GAS X1.5LT BENEDICTINO      </t>
  </si>
  <si>
    <t>GUINDAS ROJAS</t>
  </si>
  <si>
    <t xml:space="preserve">7791113002014       </t>
  </si>
  <si>
    <t xml:space="preserve">GUINDAS ROJAS X5KG EMETH           </t>
  </si>
  <si>
    <t>CARAMELOS DUROS</t>
  </si>
  <si>
    <t xml:space="preserve">7793360131103       </t>
  </si>
  <si>
    <t xml:space="preserve">CARAMELO BC SURT X420G ARCOR       </t>
  </si>
  <si>
    <t xml:space="preserve">7798146139090       </t>
  </si>
  <si>
    <t xml:space="preserve">MAYONESA C/AJO 300G TAU            </t>
  </si>
  <si>
    <t xml:space="preserve">7791885004810       </t>
  </si>
  <si>
    <t xml:space="preserve">ANANA EN CONS X836G CUMANA         </t>
  </si>
  <si>
    <t>BIFE CERDO</t>
  </si>
  <si>
    <t xml:space="preserve">7790213012031       </t>
  </si>
  <si>
    <t xml:space="preserve">BIFE CERDO CONG XKG	               </t>
  </si>
  <si>
    <t>CREMA CHANTILLY</t>
  </si>
  <si>
    <t xml:space="preserve">7798060852723       </t>
  </si>
  <si>
    <t>CREMA CHANTILLY AERO X250G TONADITA</t>
  </si>
  <si>
    <t>FIDEOS FUCCILE FRESCOS</t>
  </si>
  <si>
    <t xml:space="preserve">7795711000175       </t>
  </si>
  <si>
    <t>FIDEOS FUCCILES FRESCOS X500G VILLA</t>
  </si>
  <si>
    <t xml:space="preserve">AGUA SAB LIMON IND LIGHT </t>
  </si>
  <si>
    <t xml:space="preserve">7791813402022       </t>
  </si>
  <si>
    <t xml:space="preserve">AGUA SAB S/G LIMONETO H20H STIL    </t>
  </si>
  <si>
    <t>QUESO PROVOLONE</t>
  </si>
  <si>
    <t xml:space="preserve">7790212060917       </t>
  </si>
  <si>
    <t xml:space="preserve">QUESO PROVOLONE X KG	              </t>
  </si>
  <si>
    <t>BONIATO</t>
  </si>
  <si>
    <t xml:space="preserve">7790216010023       </t>
  </si>
  <si>
    <t xml:space="preserve">BATATA BONIATO XKG                 </t>
  </si>
  <si>
    <t xml:space="preserve">7790040133242       </t>
  </si>
  <si>
    <t xml:space="preserve">GALL CHOCO RELLENA X152G MANA      </t>
  </si>
  <si>
    <t>MADALENAS</t>
  </si>
  <si>
    <t xml:space="preserve">7793890261912       </t>
  </si>
  <si>
    <t xml:space="preserve">MADALENA VAIN X240G BIMBO          </t>
  </si>
  <si>
    <t>EDULCO SOB NUTRIRE</t>
  </si>
  <si>
    <t xml:space="preserve">7798011977680       </t>
  </si>
  <si>
    <t>EDULCORANTE IND SOBRE X400U NUTRIRE</t>
  </si>
  <si>
    <t>AGUA TONICA INDIVIDUAL</t>
  </si>
  <si>
    <t xml:space="preserve">7790895003202       </t>
  </si>
  <si>
    <t xml:space="preserve">AGUA TONICA LATA X310CC SCHWEPPES  </t>
  </si>
  <si>
    <t xml:space="preserve">7790321020276       </t>
  </si>
  <si>
    <t xml:space="preserve">TAPA 103 X 50 U                    </t>
  </si>
  <si>
    <t xml:space="preserve">AGUA SAB PERA IND </t>
  </si>
  <si>
    <t xml:space="preserve">7790895009204       </t>
  </si>
  <si>
    <t xml:space="preserve">AGUA SAB PERA X 600CC AQUARIUS     </t>
  </si>
  <si>
    <t>SAL FINA IND BLUE CAFE</t>
  </si>
  <si>
    <t xml:space="preserve">7798011977734       </t>
  </si>
  <si>
    <t xml:space="preserve">SAL IND SOBRE X1000U BLUE CAFÉ     </t>
  </si>
  <si>
    <t xml:space="preserve">7792540260138       </t>
  </si>
  <si>
    <t xml:space="preserve">AZUCAR X1KG S/TACC LEDESMA         </t>
  </si>
  <si>
    <t>ESENCIA FRUTILLA</t>
  </si>
  <si>
    <t xml:space="preserve">7791113003707       </t>
  </si>
  <si>
    <t xml:space="preserve">ESENCIA FRUTILLA X 1 LT            </t>
  </si>
  <si>
    <t xml:space="preserve">7790070320025       </t>
  </si>
  <si>
    <t xml:space="preserve">FIDEO DEDALITO X500G MATARAZZO     </t>
  </si>
  <si>
    <t xml:space="preserve">78600010            </t>
  </si>
  <si>
    <t xml:space="preserve">PASTILLAS MENTA XU TIC TAC         </t>
  </si>
  <si>
    <t xml:space="preserve">7790971002341       </t>
  </si>
  <si>
    <t xml:space="preserve">GELATINA MANZANA X40G RAVANA       </t>
  </si>
  <si>
    <t xml:space="preserve">17798038127096      </t>
  </si>
  <si>
    <t xml:space="preserve">VASO TERMICO 180CCX1000U ETISOL    </t>
  </si>
  <si>
    <t xml:space="preserve">7790580124045       </t>
  </si>
  <si>
    <t xml:space="preserve">OBLEA CHO BCO 45G X 12U GRAFITTI   </t>
  </si>
  <si>
    <t>PIZZA MUZZARELA</t>
  </si>
  <si>
    <t xml:space="preserve">7798131130729       </t>
  </si>
  <si>
    <t xml:space="preserve">PIZZA MUZZARELA LA DELFINA X UN    </t>
  </si>
  <si>
    <t>KETCHUP</t>
  </si>
  <si>
    <t xml:space="preserve">7794000006324       </t>
  </si>
  <si>
    <t xml:space="preserve">KETCHUP X 3K HELLMAN´S             </t>
  </si>
  <si>
    <t>GASEOSA COLA LIGHT</t>
  </si>
  <si>
    <t xml:space="preserve">7790895012259       </t>
  </si>
  <si>
    <t xml:space="preserve">GAS COCA COLA ZERO X1.75L	         </t>
  </si>
  <si>
    <t xml:space="preserve">7790212030072       </t>
  </si>
  <si>
    <t xml:space="preserve">NALGA  FETEADA X KG                </t>
  </si>
  <si>
    <t xml:space="preserve">7790971002471       </t>
  </si>
  <si>
    <t xml:space="preserve">POSTRE DULCE LECHE X5KG ORLOC      </t>
  </si>
  <si>
    <t xml:space="preserve">7798290581943       </t>
  </si>
  <si>
    <t xml:space="preserve">LECHE CHOCOLATADA LV X1L CHOCHOCO  </t>
  </si>
  <si>
    <t xml:space="preserve">1234567890          </t>
  </si>
  <si>
    <t xml:space="preserve">HUEVO EN POLVO X 3K                </t>
  </si>
  <si>
    <t>TARTA JAMON Y QUESO</t>
  </si>
  <si>
    <t xml:space="preserve">7798088625418       </t>
  </si>
  <si>
    <t xml:space="preserve">TARTA JAM/QUESO X340G X10U SELYGEL </t>
  </si>
  <si>
    <t xml:space="preserve">7798011976904       </t>
  </si>
  <si>
    <t xml:space="preserve">KETCHUP X3KG ABEDUL                </t>
  </si>
  <si>
    <t>JUGO POLVO ANANA</t>
  </si>
  <si>
    <t xml:space="preserve">7790971000965       </t>
  </si>
  <si>
    <t xml:space="preserve">JUGO ANANA X5KG ORLOC              </t>
  </si>
  <si>
    <t xml:space="preserve">7790040140929       </t>
  </si>
  <si>
    <t xml:space="preserve">SNACK CER CACAO X100G CEREAL MIX   </t>
  </si>
  <si>
    <t>MANZANA DESHIDRATADA</t>
  </si>
  <si>
    <t xml:space="preserve">7791351133044       </t>
  </si>
  <si>
    <t>MANZANA DESHIDRATADA X10K EL PEONCI</t>
  </si>
  <si>
    <t>GASEOSA COLA ZERO IND</t>
  </si>
  <si>
    <t xml:space="preserve">7790895650840       </t>
  </si>
  <si>
    <t xml:space="preserve">GAS COCA COLA ZERO 600CC           </t>
  </si>
  <si>
    <t xml:space="preserve">7790971000798       </t>
  </si>
  <si>
    <t xml:space="preserve">BIZCOCHUELO VAINILLA ORLOC 5KG     </t>
  </si>
  <si>
    <t xml:space="preserve">7798104307103       </t>
  </si>
  <si>
    <t xml:space="preserve">TE INTIZEN ILUMINE 0.002K X15UN    </t>
  </si>
  <si>
    <t xml:space="preserve">724751055279        </t>
  </si>
  <si>
    <t xml:space="preserve">RAV CALAB CONG 500GR CASERIANA     </t>
  </si>
  <si>
    <t xml:space="preserve">7790040143692       </t>
  </si>
  <si>
    <t xml:space="preserve">GALLE BAÑADA CHOCO X132G COFLER    </t>
  </si>
  <si>
    <t xml:space="preserve">7790580178208       </t>
  </si>
  <si>
    <t xml:space="preserve">CARAMELOS MASTICABLES X800GR ARCOR </t>
  </si>
  <si>
    <t xml:space="preserve">7791113004605       </t>
  </si>
  <si>
    <t xml:space="preserve">BIZCOCHUELO CHOCOLATE X450G EMETH  </t>
  </si>
  <si>
    <t xml:space="preserve">7790150570180       </t>
  </si>
  <si>
    <t xml:space="preserve">PROVENZAL X 25G ALICANTE           </t>
  </si>
  <si>
    <t xml:space="preserve">7798082000539       </t>
  </si>
  <si>
    <t xml:space="preserve">RUEDITAS CHOCO S/TACC X180G NATU   </t>
  </si>
  <si>
    <t xml:space="preserve">7790321020408       </t>
  </si>
  <si>
    <t xml:space="preserve">VASO PLASTICO X180CCX100U          </t>
  </si>
  <si>
    <t>SAL FINA IND BLUE CATERING</t>
  </si>
  <si>
    <t xml:space="preserve">7798011977741       </t>
  </si>
  <si>
    <t xml:space="preserve">SAL IND SOBRE X1000U BLUE CATERING </t>
  </si>
  <si>
    <t>GASEOSA LIMA INDIVIDUAL</t>
  </si>
  <si>
    <t xml:space="preserve">7790895650871       </t>
  </si>
  <si>
    <t xml:space="preserve">GAS SPRITE 600CC                   </t>
  </si>
  <si>
    <t xml:space="preserve">7790070320155       </t>
  </si>
  <si>
    <t xml:space="preserve">FIDEO SOP CAB ANG X 500 G LUCH     </t>
  </si>
  <si>
    <t>TARTA IND CALABAZA</t>
  </si>
  <si>
    <t xml:space="preserve">7798131130453       </t>
  </si>
  <si>
    <t xml:space="preserve">TARTA CALABAZA CONG. LA DELFINA    </t>
  </si>
  <si>
    <t>SALAMIN</t>
  </si>
  <si>
    <t xml:space="preserve">7796804002021       </t>
  </si>
  <si>
    <t xml:space="preserve">SALAMIN PICADO GRUESO XKG          </t>
  </si>
  <si>
    <t>ARROZ CARNAROLI</t>
  </si>
  <si>
    <t xml:space="preserve">7791880001647       </t>
  </si>
  <si>
    <t xml:space="preserve">ARROZ CARNAROLI X5KG GALLO         </t>
  </si>
  <si>
    <t>ZAPALLO CABUTIA</t>
  </si>
  <si>
    <t xml:space="preserve">7790000000363       </t>
  </si>
  <si>
    <t xml:space="preserve">ZAPALLO CABUTIA XKG MARCA PROPIA   </t>
  </si>
  <si>
    <t xml:space="preserve">7792378001439       </t>
  </si>
  <si>
    <t xml:space="preserve">VINAGRE MANZANA 5LT COMENSAL       </t>
  </si>
  <si>
    <t>PAN SUPER PACHO</t>
  </si>
  <si>
    <t xml:space="preserve">7793890259995       </t>
  </si>
  <si>
    <t xml:space="preserve">PAN SUPER PANCHO X6UN FARGO        </t>
  </si>
  <si>
    <t>GASEOSA COLA</t>
  </si>
  <si>
    <t xml:space="preserve">7790895007217       </t>
  </si>
  <si>
    <t xml:space="preserve">GAS COCA COLA X1.75L MA            </t>
  </si>
  <si>
    <t>AZUCAR INDIV FINOCHIETTO</t>
  </si>
  <si>
    <t xml:space="preserve">7798011977246       </t>
  </si>
  <si>
    <t xml:space="preserve">AZUCAR FINOC X6,25GX800U ABEDUL    </t>
  </si>
  <si>
    <t>JUGO NARANJA</t>
  </si>
  <si>
    <t xml:space="preserve">7790895648267       </t>
  </si>
  <si>
    <t xml:space="preserve">JUGO NARANJA X1L CEPITA            </t>
  </si>
  <si>
    <t xml:space="preserve">7790802000010       </t>
  </si>
  <si>
    <t xml:space="preserve">YERBA MATE X500G ROMANCE	          </t>
  </si>
  <si>
    <t>TURRON MANI INDIV</t>
  </si>
  <si>
    <t xml:space="preserve">77940131            </t>
  </si>
  <si>
    <t xml:space="preserve">TURRON OBLEA X 25 GR ARCOR         </t>
  </si>
  <si>
    <t xml:space="preserve">7799132966522       </t>
  </si>
  <si>
    <t xml:space="preserve">EMP CARNE X90G X48U SELYGEL        </t>
  </si>
  <si>
    <t xml:space="preserve">7797906001943       </t>
  </si>
  <si>
    <t xml:space="preserve">BROCOLI CONGELADO X2KG             </t>
  </si>
  <si>
    <t>FIAMBRE PATA DE CERDO</t>
  </si>
  <si>
    <t xml:space="preserve">7790000000895       </t>
  </si>
  <si>
    <t xml:space="preserve">FIAMBRE PATA DE CERDO XKG 214      </t>
  </si>
  <si>
    <t>GASEOSA NARANJA</t>
  </si>
  <si>
    <t xml:space="preserve">7790895007255       </t>
  </si>
  <si>
    <t xml:space="preserve">GAS NARANJA X1.75L FANTA           </t>
  </si>
  <si>
    <t xml:space="preserve">7790040147720       </t>
  </si>
  <si>
    <t xml:space="preserve">GALLE SURTIDA X400G BAGLEY	        </t>
  </si>
  <si>
    <t>MENTA</t>
  </si>
  <si>
    <t xml:space="preserve">7790216012622       </t>
  </si>
  <si>
    <t xml:space="preserve">MENTA X PAQUETE                    </t>
  </si>
  <si>
    <t xml:space="preserve">7793875321327       </t>
  </si>
  <si>
    <t xml:space="preserve">AJO POLVO X250G AROMAS Y SABORES   </t>
  </si>
  <si>
    <t>PREMEZCLA P/BROWNIE</t>
  </si>
  <si>
    <t xml:space="preserve">7794000003910       </t>
  </si>
  <si>
    <t xml:space="preserve">POLVO P/BROWNIE CARTEDOR 1KG       </t>
  </si>
  <si>
    <t>GRISIN</t>
  </si>
  <si>
    <t xml:space="preserve">7790071011113       </t>
  </si>
  <si>
    <t xml:space="preserve">GRISIN C/SAL X15GRS RIERA          </t>
  </si>
  <si>
    <t>PASTILLAS PAQUET INDIV</t>
  </si>
  <si>
    <t xml:space="preserve">7790580101299       </t>
  </si>
  <si>
    <t xml:space="preserve">PASTILLAS CHERRY X12U MENTHOPL     </t>
  </si>
  <si>
    <t xml:space="preserve">7793875314749       </t>
  </si>
  <si>
    <t xml:space="preserve">LAUREL X500G AROMAS Y SABORES      </t>
  </si>
  <si>
    <t xml:space="preserve">7790000000519       </t>
  </si>
  <si>
    <t xml:space="preserve">AGITAD MADE ECO 15CM X500 BIOPAC   </t>
  </si>
  <si>
    <t xml:space="preserve">7790321020196       </t>
  </si>
  <si>
    <t xml:space="preserve">CUCHARA SUNDAE DESC X 1000 U       </t>
  </si>
  <si>
    <t>QUESO UNTABLE INDIV S/SAL</t>
  </si>
  <si>
    <t xml:space="preserve">7798011976263       </t>
  </si>
  <si>
    <t xml:space="preserve">QUESO UNT IND 20GX120U ABEDUL      </t>
  </si>
  <si>
    <t xml:space="preserve">7790787960514       </t>
  </si>
  <si>
    <t xml:space="preserve">YOGUR ENT FRUTILLA X900G ILOLAY    </t>
  </si>
  <si>
    <t>TOSTADA INDIVIDUAL S/SAL</t>
  </si>
  <si>
    <t xml:space="preserve">7798120180728       </t>
  </si>
  <si>
    <t xml:space="preserve">TOSTADA IND S/SAL X17G MANIERI     </t>
  </si>
  <si>
    <t>GELATINA NARANJA</t>
  </si>
  <si>
    <t xml:space="preserve">790757899551        </t>
  </si>
  <si>
    <t xml:space="preserve">GELATINA NARANJA 1KG POREC         </t>
  </si>
  <si>
    <t>AVELLANAS PELADAS ENT</t>
  </si>
  <si>
    <t xml:space="preserve">7793323025074       </t>
  </si>
  <si>
    <t xml:space="preserve">AVELLANA PELADA X500GR DICOMERE    </t>
  </si>
  <si>
    <t xml:space="preserve">7791113006296       </t>
  </si>
  <si>
    <t xml:space="preserve">CACAO X 180GR EMETH                </t>
  </si>
  <si>
    <t>PANCETA</t>
  </si>
  <si>
    <t xml:space="preserve">7790212050101       </t>
  </si>
  <si>
    <t xml:space="preserve">PANCETA X KG                       </t>
  </si>
  <si>
    <t xml:space="preserve">7798290580120       </t>
  </si>
  <si>
    <t xml:space="preserve">JUGO MULTIFRUTA X 1L TUTTI         </t>
  </si>
  <si>
    <t xml:space="preserve">7790213012197       </t>
  </si>
  <si>
    <t xml:space="preserve">PAN SALVADO X KG                   </t>
  </si>
  <si>
    <t>MANZANA 90-113</t>
  </si>
  <si>
    <t xml:space="preserve">7790216020112       </t>
  </si>
  <si>
    <t xml:space="preserve">FRUTA MANZANA 90-113 XKG           </t>
  </si>
  <si>
    <t>PAN LACTAL DOBLE SALVADO</t>
  </si>
  <si>
    <t xml:space="preserve">7793890258783       </t>
  </si>
  <si>
    <t>PAN LACTAL DOBLE SALVADO 560G LACTA</t>
  </si>
  <si>
    <t>HAMBURGUESA POLLO</t>
  </si>
  <si>
    <t xml:space="preserve">7798346030364       </t>
  </si>
  <si>
    <t xml:space="preserve">HAMBURGUESAS POLLO 160GX2U BRA	    </t>
  </si>
  <si>
    <t>EDULCORANTE SOBRE 9 DICIEMBRE</t>
  </si>
  <si>
    <t xml:space="preserve">7798011977437       </t>
  </si>
  <si>
    <t xml:space="preserve">EDULCO. IND 9 DE DICIEMBRE X400U   </t>
  </si>
  <si>
    <t>FIDEOS LARGO FRESCOS</t>
  </si>
  <si>
    <t xml:space="preserve">7795711000052       </t>
  </si>
  <si>
    <t>FIDEOS TALLARIN FRESCOS X500G VILLA</t>
  </si>
  <si>
    <t>TARTA VERDURA</t>
  </si>
  <si>
    <t xml:space="preserve">7799132966524       </t>
  </si>
  <si>
    <t xml:space="preserve">TARTA VERDU X320G X10U SELYGEL     </t>
  </si>
  <si>
    <t>BOLLITO X KG</t>
  </si>
  <si>
    <t xml:space="preserve">7790213012320       </t>
  </si>
  <si>
    <t xml:space="preserve">BOLLITO X40G                       </t>
  </si>
  <si>
    <t xml:space="preserve">7790216020104       </t>
  </si>
  <si>
    <t xml:space="preserve">FRUTA MANZANA 100-125 XKG          </t>
  </si>
  <si>
    <t xml:space="preserve">7790000000399       </t>
  </si>
  <si>
    <t xml:space="preserve">CIBOULETTE 100GR M.PROPIA          </t>
  </si>
  <si>
    <t>LEBERWURST</t>
  </si>
  <si>
    <t xml:space="preserve">7796953215303       </t>
  </si>
  <si>
    <t xml:space="preserve">LEBERWURST X200G CALCHAQUI         </t>
  </si>
  <si>
    <t>HIELO</t>
  </si>
  <si>
    <t xml:space="preserve">7630236784664       </t>
  </si>
  <si>
    <t xml:space="preserve">HIELO ONETO BOLSA X15 KG           </t>
  </si>
  <si>
    <t xml:space="preserve">7791218000144       </t>
  </si>
  <si>
    <t xml:space="preserve">TAPA PASC REDONDA X2U ORALI        </t>
  </si>
  <si>
    <t>LECHE CON PREBIOTICOS</t>
  </si>
  <si>
    <t xml:space="preserve">7790742358509       </t>
  </si>
  <si>
    <t xml:space="preserve">LECHE C/PREBIOTICOS PET 1LT LS     </t>
  </si>
  <si>
    <t xml:space="preserve">7799132966562       </t>
  </si>
  <si>
    <t xml:space="preserve">COOKIE CHOCO C/CHIPS DDL X30U SELY </t>
  </si>
  <si>
    <t xml:space="preserve">7797234082096       </t>
  </si>
  <si>
    <t xml:space="preserve">CURCUMA X25G PERGOLA               </t>
  </si>
  <si>
    <t>AZUCAR MASCABO</t>
  </si>
  <si>
    <t xml:space="preserve">7798186161679       </t>
  </si>
  <si>
    <t xml:space="preserve">AZUCAR MASCABO X1KG V.D.NORTE      </t>
  </si>
  <si>
    <t>NACHOS</t>
  </si>
  <si>
    <t xml:space="preserve">7790538010291       </t>
  </si>
  <si>
    <t xml:space="preserve">NACHOS X250GR MACRITAS             </t>
  </si>
  <si>
    <t xml:space="preserve">7790971002358       </t>
  </si>
  <si>
    <t xml:space="preserve">GEL ANANA RAVANA 40GR              </t>
  </si>
  <si>
    <t>DULCE DE LECHE GRANEL</t>
  </si>
  <si>
    <t xml:space="preserve">7798001562742       </t>
  </si>
  <si>
    <t xml:space="preserve">DULCE DE LECHE 5KG CREMIGAL        </t>
  </si>
  <si>
    <t xml:space="preserve">7798039590229       </t>
  </si>
  <si>
    <t xml:space="preserve">VINO BLANCO X750CC TOCORNAL	       </t>
  </si>
  <si>
    <t xml:space="preserve">7790040173200       </t>
  </si>
  <si>
    <t xml:space="preserve">GALLETITA QUESO X125G KESITAS      </t>
  </si>
  <si>
    <t>BAY BISCUIT INDIVIDUAL</t>
  </si>
  <si>
    <t xml:space="preserve">7798004240111       </t>
  </si>
  <si>
    <t xml:space="preserve">BAY BISCUIT X35G                   </t>
  </si>
  <si>
    <t>DULCE BATATA LIGHT</t>
  </si>
  <si>
    <t xml:space="preserve">7791113006395       </t>
  </si>
  <si>
    <t xml:space="preserve">DULCE BATATA LIGHT X500G EMETH     </t>
  </si>
  <si>
    <t xml:space="preserve">7795323775331       </t>
  </si>
  <si>
    <t xml:space="preserve">LECHE NUTRILON PRO FUT2 X200CC     </t>
  </si>
  <si>
    <t xml:space="preserve">7794820004159       </t>
  </si>
  <si>
    <t xml:space="preserve">LECHE CHOC X 200 ML MILKAUT        </t>
  </si>
  <si>
    <t>BATATA CONGELADA</t>
  </si>
  <si>
    <t xml:space="preserve">7798184271356       </t>
  </si>
  <si>
    <t xml:space="preserve">BATATA CUBOS IQF X1KG BIOMAC       </t>
  </si>
  <si>
    <t>AGUA SAB POMELO</t>
  </si>
  <si>
    <t xml:space="preserve">7790895640490       </t>
  </si>
  <si>
    <t xml:space="preserve">AGUA SAB POMELO X 1.5 L AQUARIUS   </t>
  </si>
  <si>
    <t xml:space="preserve">7798011976928       </t>
  </si>
  <si>
    <t xml:space="preserve">MOSTAZA X3KG ABEDUL                </t>
  </si>
  <si>
    <t xml:space="preserve">7790212030143       </t>
  </si>
  <si>
    <t xml:space="preserve">VACIO REF X KG                     </t>
  </si>
  <si>
    <t xml:space="preserve">7792750001590       </t>
  </si>
  <si>
    <t xml:space="preserve">CABALLA AL NATURAL X380G MARBELLA  </t>
  </si>
  <si>
    <t>COLIFLOR</t>
  </si>
  <si>
    <t xml:space="preserve">7790216012607       </t>
  </si>
  <si>
    <t xml:space="preserve">COLIFLOR x KG                      </t>
  </si>
  <si>
    <t>GASEOSA POMELO</t>
  </si>
  <si>
    <t xml:space="preserve">7790895010088       </t>
  </si>
  <si>
    <t xml:space="preserve">SCHWEPPES POMELO ZERO X1.5L        </t>
  </si>
  <si>
    <t xml:space="preserve">7790070335982       </t>
  </si>
  <si>
    <t xml:space="preserve">FIDEO TIRAB S/TACC X500G MATARA    </t>
  </si>
  <si>
    <t xml:space="preserve">7792360002390       </t>
  </si>
  <si>
    <t xml:space="preserve">CAFE X 1KG BONAFIDE                </t>
  </si>
  <si>
    <t>CHOCOLATE</t>
  </si>
  <si>
    <t xml:space="preserve">7790580119133       </t>
  </si>
  <si>
    <t xml:space="preserve">BONOBON ORIGINAL 30U X 15GRS       </t>
  </si>
  <si>
    <t xml:space="preserve">7799132966511       </t>
  </si>
  <si>
    <t xml:space="preserve">BUDIN MARMOLADO X30U SELYGEL       </t>
  </si>
  <si>
    <t xml:space="preserve">7793360131417       </t>
  </si>
  <si>
    <t xml:space="preserve">MERM FRUT X454GR LA CAMPAGNOLA     </t>
  </si>
  <si>
    <t xml:space="preserve">7799132966561       </t>
  </si>
  <si>
    <t xml:space="preserve">COOKIE VAINI C/CHIPS DDL X30U SELY </t>
  </si>
  <si>
    <t>TOSTADA INDIVIDUAL</t>
  </si>
  <si>
    <t xml:space="preserve">7798120180742       </t>
  </si>
  <si>
    <t xml:space="preserve">TOSTADAS DE MESA X15G MANIERI      </t>
  </si>
  <si>
    <t>DONAS ROSA DDL</t>
  </si>
  <si>
    <t xml:space="preserve">7799132966519       </t>
  </si>
  <si>
    <t xml:space="preserve">DONA BAÑADA ROSA DDL X48U SELY     </t>
  </si>
  <si>
    <t xml:space="preserve">7905512648255       </t>
  </si>
  <si>
    <t xml:space="preserve">BOLSA CRISTAL PERFORADA 100X60XU   </t>
  </si>
  <si>
    <t xml:space="preserve">7798075280559       </t>
  </si>
  <si>
    <t xml:space="preserve">REBOZADOR S/TACC X500G GLUTAL      </t>
  </si>
  <si>
    <t>LATA DE CERVEZA</t>
  </si>
  <si>
    <t xml:space="preserve">7792798012923       </t>
  </si>
  <si>
    <t xml:space="preserve">CERVEZA X 473CC QUILMES	           </t>
  </si>
  <si>
    <t xml:space="preserve">97795917027719      </t>
  </si>
  <si>
    <t xml:space="preserve">SALAME MILAN XKG CAUSTRAL          </t>
  </si>
  <si>
    <t>AZUCAR NEGRA</t>
  </si>
  <si>
    <t xml:space="preserve">7798104880286       </t>
  </si>
  <si>
    <t xml:space="preserve">AZUCAR NEGRA X1KG DEWEY            </t>
  </si>
  <si>
    <t>BARRAS CEREAL LIGHT</t>
  </si>
  <si>
    <t xml:space="preserve">77915818            </t>
  </si>
  <si>
    <t xml:space="preserve">BARRA CEREAL MIX LIGHT MANZANA 2   </t>
  </si>
  <si>
    <t>MILA POLLO CONGELADA</t>
  </si>
  <si>
    <t xml:space="preserve">7798132273166       </t>
  </si>
  <si>
    <t xml:space="preserve">MILANESA DE POLLO XKG ALIMAX       </t>
  </si>
  <si>
    <t>LECHE POLVO DESLACTOSADA</t>
  </si>
  <si>
    <t xml:space="preserve">7790742436504       </t>
  </si>
  <si>
    <t xml:space="preserve">LECHE POLVO S/ LACTOSA X400G SERE  </t>
  </si>
  <si>
    <t>PAN HAMBURGUESA</t>
  </si>
  <si>
    <t xml:space="preserve">7793890258998       </t>
  </si>
  <si>
    <t xml:space="preserve">PAN HAMBURGUESA ARTESANO X4U BIMBO </t>
  </si>
  <si>
    <t xml:space="preserve">16208001A           </t>
  </si>
  <si>
    <t xml:space="preserve">ROLLO BOLSA ARRANQUE 20 X 30       </t>
  </si>
  <si>
    <t>AZUCAR INDIV BLUE CATERING</t>
  </si>
  <si>
    <t xml:space="preserve">7790150805015       </t>
  </si>
  <si>
    <t>AZUCAR SOB X800U BLUE CATER LA VIRG</t>
  </si>
  <si>
    <t xml:space="preserve">4021760             </t>
  </si>
  <si>
    <t xml:space="preserve">PATA/MUSLO S/H IQF M.PROP CONG K   </t>
  </si>
  <si>
    <t xml:space="preserve">7790036000572       </t>
  </si>
  <si>
    <t xml:space="preserve">JUGO MANZANA X 200 ML BAGGIO       </t>
  </si>
  <si>
    <t xml:space="preserve">7790499000744       </t>
  </si>
  <si>
    <t xml:space="preserve">CHOCLO GRANO X 810G LA BANDA       </t>
  </si>
  <si>
    <t>JUGO INDIVIDUAL MULTIFRUTA</t>
  </si>
  <si>
    <t xml:space="preserve">7790895000737       </t>
  </si>
  <si>
    <t xml:space="preserve">JUGO MULTIFRUTAS X200 CC CEPITA    </t>
  </si>
  <si>
    <t>BASTON DE MERLUZA</t>
  </si>
  <si>
    <t xml:space="preserve">7794058703206       </t>
  </si>
  <si>
    <t xml:space="preserve">BASTON MERLUZA CJX6KG ARTICO       </t>
  </si>
  <si>
    <t xml:space="preserve">7791113001239       </t>
  </si>
  <si>
    <t xml:space="preserve">MERMELADA FRU LIGHT X420G EMET     </t>
  </si>
  <si>
    <t xml:space="preserve">7790040143364       </t>
  </si>
  <si>
    <t xml:space="preserve">GALLE SURTIDAS X400G DIVERSION     </t>
  </si>
  <si>
    <t xml:space="preserve">77987846            </t>
  </si>
  <si>
    <t xml:space="preserve">ALFAJOR CHOCOARROZ D/L 22G LULEMUU </t>
  </si>
  <si>
    <t xml:space="preserve">648260488628        </t>
  </si>
  <si>
    <t xml:space="preserve">ESCARBADIENTES X500UN              </t>
  </si>
  <si>
    <t xml:space="preserve">7791113000959       </t>
  </si>
  <si>
    <t xml:space="preserve">MERMELADA DURAZ X390GR EMETH       </t>
  </si>
  <si>
    <t xml:space="preserve">7790000000802       </t>
  </si>
  <si>
    <t xml:space="preserve"> BANDEJA 102 PE X100U              </t>
  </si>
  <si>
    <t xml:space="preserve">4023964             </t>
  </si>
  <si>
    <t xml:space="preserve">MANZANA GRANNY ELEGIDA XKG         </t>
  </si>
  <si>
    <t>GASEOSA POMELO INDIVIDUAL</t>
  </si>
  <si>
    <t xml:space="preserve">7791813420385       </t>
  </si>
  <si>
    <t xml:space="preserve">PASO DE LOS TOROS POM X500CC       </t>
  </si>
  <si>
    <t>PAPAS NOISETTE</t>
  </si>
  <si>
    <t xml:space="preserve">7797906000984       </t>
  </si>
  <si>
    <t xml:space="preserve">PAPAS NOISETTES X2.5KG MC CAIN     </t>
  </si>
  <si>
    <t>TOSTADA ARROZ C/S</t>
  </si>
  <si>
    <t xml:space="preserve">7790412000271       </t>
  </si>
  <si>
    <t xml:space="preserve">TOSTADA ARROZX150G LEIVA           </t>
  </si>
  <si>
    <t xml:space="preserve">7791324157466       </t>
  </si>
  <si>
    <t xml:space="preserve">GALLE FRUTILLA X 160GR PITUSAS     </t>
  </si>
  <si>
    <t xml:space="preserve">7799132966521       </t>
  </si>
  <si>
    <t xml:space="preserve">EMP JAM Y MUZZ X48U SELYGEL        </t>
  </si>
  <si>
    <t xml:space="preserve">7790216020116       </t>
  </si>
  <si>
    <t xml:space="preserve">FRUTA NARANJA SAE 100-130 XKG      </t>
  </si>
  <si>
    <t xml:space="preserve">7790580346515       </t>
  </si>
  <si>
    <t xml:space="preserve">CHOCO.OBLEA C/LECHE 30G BONOBON    </t>
  </si>
  <si>
    <t xml:space="preserve">7790787153664       </t>
  </si>
  <si>
    <t xml:space="preserve">DULCE DE LECHE X 400 G ILOLAY      </t>
  </si>
  <si>
    <t>PEPINOS EN VINAGRE</t>
  </si>
  <si>
    <t xml:space="preserve">7793275016069       </t>
  </si>
  <si>
    <t xml:space="preserve">PEPINILLOS VINAGRE 3KG REYG        </t>
  </si>
  <si>
    <t>AGUA SAB MANZANA IND LIGHT</t>
  </si>
  <si>
    <t xml:space="preserve">7791813402039       </t>
  </si>
  <si>
    <t xml:space="preserve">AGUA SAB S/G MANZANELL H20H STIL   </t>
  </si>
  <si>
    <t>QUESO MUZARELLA</t>
  </si>
  <si>
    <t xml:space="preserve">7790212060881       </t>
  </si>
  <si>
    <t xml:space="preserve">QUESO MUZZARELLA X KG              </t>
  </si>
  <si>
    <t>JUGO IND SOJA MANZANA</t>
  </si>
  <si>
    <t xml:space="preserve">7790895643743       </t>
  </si>
  <si>
    <t xml:space="preserve">JUGO SOJA MANZANA X200CC ADES      </t>
  </si>
  <si>
    <t xml:space="preserve">7793875317535       </t>
  </si>
  <si>
    <t xml:space="preserve">TOMILLO X250G AROMAS               </t>
  </si>
  <si>
    <t xml:space="preserve">7798060851818       </t>
  </si>
  <si>
    <t xml:space="preserve">MANTECA IND X10GX100U TONADITA     </t>
  </si>
  <si>
    <t xml:space="preserve">7790000000523       </t>
  </si>
  <si>
    <t xml:space="preserve">TENEDOR COMPOST 16CM X100 BIOPAC   </t>
  </si>
  <si>
    <t>QUESO PARMESANO</t>
  </si>
  <si>
    <t xml:space="preserve">7790212060893       </t>
  </si>
  <si>
    <t xml:space="preserve">QUESO PARMESANO X KG               </t>
  </si>
  <si>
    <t>MADALENA IND RELL</t>
  </si>
  <si>
    <t xml:space="preserve">47790726000408      </t>
  </si>
  <si>
    <t xml:space="preserve">MADALENAS X 32 G DULCYPAS RELL     </t>
  </si>
  <si>
    <t>UVA</t>
  </si>
  <si>
    <t xml:space="preserve">7798662008447       </t>
  </si>
  <si>
    <t xml:space="preserve">UVA NEGRA XKG                      </t>
  </si>
  <si>
    <t xml:space="preserve">7790279000049       </t>
  </si>
  <si>
    <t xml:space="preserve">POROTOS ALUBIA X500GR RAMONEDA     </t>
  </si>
  <si>
    <t xml:space="preserve">7790895647017       </t>
  </si>
  <si>
    <t xml:space="preserve">JUGO MANZANA 25% X1L CEPITA        </t>
  </si>
  <si>
    <t>NARANJA 90-100</t>
  </si>
  <si>
    <t xml:space="preserve">7790216020107       </t>
  </si>
  <si>
    <t xml:space="preserve">FRUTA NARANJA 90-110 XKG           </t>
  </si>
  <si>
    <t xml:space="preserve">7798290580083       </t>
  </si>
  <si>
    <t xml:space="preserve">JUGO MANZANA X200CC TUTTI          </t>
  </si>
  <si>
    <t xml:space="preserve">105445B             </t>
  </si>
  <si>
    <t xml:space="preserve">ENSALADERA CRISTAL X600U BANDEX	   </t>
  </si>
  <si>
    <t>AZUCAR INDIV 9 DE DICIEMBRE</t>
  </si>
  <si>
    <t xml:space="preserve">7798011977444       </t>
  </si>
  <si>
    <t xml:space="preserve">AZUCAR IND 9 DE DICIEMBRE X800U    </t>
  </si>
  <si>
    <t xml:space="preserve">7798011977765       </t>
  </si>
  <si>
    <t>AZUCAR IND SOBRE X800U BLUE CATERIN</t>
  </si>
  <si>
    <t>RUCULA</t>
  </si>
  <si>
    <t xml:space="preserve">7790216012657       </t>
  </si>
  <si>
    <t xml:space="preserve">RUCULA X KG                        </t>
  </si>
  <si>
    <t>SALSA TABASCO</t>
  </si>
  <si>
    <t xml:space="preserve">8410422407011       </t>
  </si>
  <si>
    <t xml:space="preserve">SALSA PIM RJO CHOVI X60G TABASCO   </t>
  </si>
  <si>
    <t>Prov</t>
  </si>
  <si>
    <t>7798934234563</t>
  </si>
  <si>
    <t>17798038127096</t>
  </si>
  <si>
    <t xml:space="preserve">GL_VASO TERMICO 180CCX1000U ETISOL </t>
  </si>
  <si>
    <t xml:space="preserve">7790000000676       </t>
  </si>
  <si>
    <t xml:space="preserve">VASO 8OZ POLIP BLUE X100U ESTISO   </t>
  </si>
  <si>
    <t>VASO 8 OZ BLUE</t>
  </si>
  <si>
    <t>7790321008513</t>
  </si>
  <si>
    <t xml:space="preserve">TAPA BAND. ALUMINIO R5/2100 X	     </t>
  </si>
  <si>
    <t>640000108778</t>
  </si>
  <si>
    <t>7790000000736</t>
  </si>
  <si>
    <t xml:space="preserve">BANDEJA 121 MICRO COTNYL X100U     </t>
  </si>
  <si>
    <t xml:space="preserve">SERVILLETA BAR X 10000U BARMAN     </t>
  </si>
  <si>
    <t>7798044557231</t>
  </si>
  <si>
    <t xml:space="preserve">SERVILLE BEIGE 33X33X1000U BLUE    </t>
  </si>
  <si>
    <t>9992016801782</t>
  </si>
  <si>
    <t xml:space="preserve">SERVILLETA 18X18 X1000U BLUE       </t>
  </si>
  <si>
    <t>SERVILLETA 18X18 BLUE</t>
  </si>
  <si>
    <t>7790042181189</t>
  </si>
  <si>
    <t>BAZ001209</t>
  </si>
  <si>
    <t>7790321190588</t>
  </si>
  <si>
    <t>7790000000231</t>
  </si>
  <si>
    <t xml:space="preserve">INDIV GL SUPPORT X1000U            </t>
  </si>
  <si>
    <t>1112017200010</t>
  </si>
  <si>
    <t>GUANTES DESC POLIETILENO X100U ALUM</t>
  </si>
  <si>
    <t>7798161676433</t>
  </si>
  <si>
    <t xml:space="preserve">GUANTE NITRILO M AZUL X100UN       </t>
  </si>
  <si>
    <t>7798209711881</t>
  </si>
  <si>
    <t>GUANTES DESCART TOPSAL NITRILO NEGR</t>
  </si>
  <si>
    <t>16110000A</t>
  </si>
  <si>
    <t>7790000000229</t>
  </si>
  <si>
    <t xml:space="preserve">FILM PVC 45 CM 4,3 KG MPROP X1UN   </t>
  </si>
  <si>
    <t>7790000000735</t>
  </si>
  <si>
    <t xml:space="preserve">SERVILLETA 33X33X1000U GL          </t>
  </si>
  <si>
    <t>7790321020307</t>
  </si>
  <si>
    <t>7797474512684</t>
  </si>
  <si>
    <t>CAJA MESA M.PAZ</t>
  </si>
  <si>
    <t>CAJA MESA INTERMEDIA</t>
  </si>
  <si>
    <t>CAJA MESA HURLINGHAM 90L</t>
  </si>
  <si>
    <t>CAJA MESA GRANDE</t>
  </si>
  <si>
    <t>CAJA MESA CHICA</t>
  </si>
  <si>
    <t>7790316030036</t>
  </si>
  <si>
    <t xml:space="preserve">CAJA CARTON 500X420X380 ELECCION   </t>
  </si>
  <si>
    <t>CAJA ELECCION 500X420X380</t>
  </si>
  <si>
    <t>CAJA DOBLE BASE 40x30x27 MESA LOGO</t>
  </si>
  <si>
    <t>VO CAJA DOBLE BASE 40X30X27 LANUS</t>
  </si>
  <si>
    <t>CAJA DOBLE BASE 40X30X27 LANUS</t>
  </si>
  <si>
    <t>7790316030028</t>
  </si>
  <si>
    <t>CAJA BASE DOBLE 40X32X27 HUR</t>
  </si>
  <si>
    <t>7790321020914</t>
  </si>
  <si>
    <t>CAJA 245X200X90 ELECCION</t>
  </si>
  <si>
    <t xml:space="preserve">BARBIJOS N95 X U MPROPIA           </t>
  </si>
  <si>
    <t>BUSAT000375</t>
  </si>
  <si>
    <t>610000108738</t>
  </si>
  <si>
    <t>13003002A</t>
  </si>
  <si>
    <t>779561800063</t>
  </si>
  <si>
    <t>7790000000222</t>
  </si>
  <si>
    <t xml:space="preserve">BSA DE ARRANQUE MD  40X50 A/D X12U </t>
  </si>
  <si>
    <t>7795618000094</t>
  </si>
  <si>
    <t>FEPROL</t>
  </si>
  <si>
    <t>7790000000191</t>
  </si>
  <si>
    <t xml:space="preserve">GL AGITAD. PLAST BCOS 9CM X1000U   </t>
  </si>
  <si>
    <t>714604111788</t>
  </si>
  <si>
    <t xml:space="preserve">BANDEJA 101 X100U COTNYL           </t>
  </si>
  <si>
    <t>7790000000705</t>
  </si>
  <si>
    <t>7790000000708</t>
  </si>
  <si>
    <t>7798353362403</t>
  </si>
  <si>
    <t>17798038127102</t>
  </si>
  <si>
    <t>7790000000676</t>
  </si>
  <si>
    <t>SERVILLETA C/ LOGO HEALTH 33X21.5</t>
  </si>
  <si>
    <t>7798353361802</t>
  </si>
  <si>
    <t xml:space="preserve">VASO TERMICO  MD ESTISOL 0,18 LT   </t>
  </si>
  <si>
    <t>7794459003066</t>
  </si>
  <si>
    <t>7790000000709</t>
  </si>
  <si>
    <t>9992015000094</t>
  </si>
  <si>
    <t>714604111849</t>
  </si>
  <si>
    <t>7790900031701</t>
  </si>
  <si>
    <t>7790900031725</t>
  </si>
  <si>
    <t>7790000000251</t>
  </si>
  <si>
    <t>ACHAPLAST</t>
  </si>
  <si>
    <t>7790000000894</t>
  </si>
  <si>
    <t>PAPELERA COLON</t>
  </si>
  <si>
    <t>888277653934</t>
  </si>
  <si>
    <t>7790000000710</t>
  </si>
  <si>
    <t>7790000000711</t>
  </si>
  <si>
    <t>Revisar</t>
  </si>
  <si>
    <t>Ingreso 28.04</t>
  </si>
  <si>
    <t xml:space="preserve">779090000501        </t>
  </si>
  <si>
    <t xml:space="preserve">FILTRO URINAL XUN IBERIA           </t>
  </si>
  <si>
    <t>DURAZNO</t>
  </si>
  <si>
    <t xml:space="preserve">7790216020085       </t>
  </si>
  <si>
    <t xml:space="preserve">FRUTA DURAZNO X KG                 </t>
  </si>
  <si>
    <t xml:space="preserve">77909930            </t>
  </si>
  <si>
    <t xml:space="preserve">ALFAJOR BLANCO 38G TURIMAR         </t>
  </si>
  <si>
    <t xml:space="preserve">UNIF000525          </t>
  </si>
  <si>
    <t xml:space="preserve">CORBATIN SALUD CAMARERA NEGRO      </t>
  </si>
  <si>
    <t xml:space="preserve">MOD21157            </t>
  </si>
  <si>
    <t xml:space="preserve">MOD CELIACO LUJAN MAR26            </t>
  </si>
  <si>
    <t xml:space="preserve">7793123160548       </t>
  </si>
  <si>
    <t xml:space="preserve">OBLEA SAB LIMON X100GR OBLITA      </t>
  </si>
  <si>
    <t xml:space="preserve">MOD21134            </t>
  </si>
  <si>
    <t xml:space="preserve">MOD ALIMEN LUJAN ABR26             </t>
  </si>
  <si>
    <t xml:space="preserve">MOD21135            </t>
  </si>
  <si>
    <t xml:space="preserve">MOD CELIACO LUJAN ABR26            </t>
  </si>
  <si>
    <t>PULVERIZADOR</t>
  </si>
  <si>
    <t xml:space="preserve">7798150311534       </t>
  </si>
  <si>
    <t xml:space="preserve">PULVERIZADOR X1LT                  </t>
  </si>
  <si>
    <t xml:space="preserve">MOD21156            </t>
  </si>
  <si>
    <t xml:space="preserve">MOD ALIMEN LUJAN MAR26             </t>
  </si>
  <si>
    <t>POLLO T11 NO ADITIVADO</t>
  </si>
  <si>
    <t xml:space="preserve">779804920006        </t>
  </si>
  <si>
    <t xml:space="preserve">POLLO T11 NO ADITIVADO XU          </t>
  </si>
  <si>
    <t xml:space="preserve">7790212031209       </t>
  </si>
  <si>
    <t xml:space="preserve">CHORIZO COLORADO X KG              </t>
  </si>
  <si>
    <t>TOSTADA ARROZ S/S</t>
  </si>
  <si>
    <t xml:space="preserve">7790412000295       </t>
  </si>
  <si>
    <t xml:space="preserve">TOSTADA ARROZ S/SAL X150G LEIVA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</si>
</sst>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2"/>
      <color rgb="FF000000"/>
      <name val="Aptos"/>
      <family val="2"/>
    </font>
    <font>
      <sz val="11"/>
      <color rgb="FF000000"/>
      <name val="Calibri"/>
      <family val="2"/>
    </font>
    <font>
      <sz val="10"/>
      <name val="Calibri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93">
    <xf numFmtId="0" fontId="0" fillId="0" borderId="0" xfId="0"/>
    <xf numFmtId="0" fontId="0" fillId="0" borderId="2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2" fillId="6" borderId="2" xfId="0" applyFont="1" applyFill="1" applyBorder="1" applyAlignment="1">
      <alignment horizontal="centerContinuous" vertical="center"/>
    </xf>
    <xf numFmtId="0" fontId="0" fillId="6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Continuous" vertical="center"/>
    </xf>
    <xf numFmtId="0" fontId="0" fillId="7" borderId="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1" fontId="3" fillId="2" borderId="12" xfId="0" applyNumberFormat="1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" fillId="6" borderId="7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0" xfId="2" applyFont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9" borderId="0" xfId="0" applyFill="1" applyAlignment="1">
      <alignment horizontal="center" vertical="center"/>
    </xf>
    <xf numFmtId="0" fontId="4" fillId="0" borderId="16" xfId="0" applyFont="1" applyBorder="1" applyAlignment="1" applyProtection="1">
      <alignment horizontal="center" vertical="center"/>
      <protection locked="0"/>
    </xf>
    <xf numFmtId="0" fontId="0" fillId="6" borderId="1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9" fontId="4" fillId="0" borderId="0" xfId="2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3" fontId="0" fillId="4" borderId="17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1" fontId="8" fillId="0" borderId="17" xfId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0" borderId="14" xfId="0" applyBorder="1"/>
    <xf numFmtId="1" fontId="0" fillId="0" borderId="10" xfId="0" applyNumberFormat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1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rgb="FFFFFF99"/>
        </patternFill>
      </fill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fill>
        <patternFill patternType="solid">
          <fgColor indexed="64"/>
          <bgColor theme="5" tint="0.59999389629810485"/>
        </patternFill>
      </fill>
      <alignment horizontal="center" vertical="center"/>
    </dxf>
    <dxf>
      <fill>
        <patternFill patternType="solid">
          <fgColor indexed="64"/>
          <bgColor theme="5" tint="0.59999389629810485"/>
        </patternFill>
      </fill>
      <alignment horizontal="center" vertical="center"/>
    </dxf>
    <dxf>
      <fill>
        <patternFill patternType="solid">
          <fgColor indexed="64"/>
          <bgColor theme="5" tint="0.59999389629810485"/>
        </patternFill>
      </fill>
      <alignment horizontal="center" vertical="center"/>
    </dxf>
    <dxf>
      <fill>
        <patternFill patternType="solid">
          <fgColor indexed="64"/>
          <bgColor theme="5" tint="0.59999389629810485"/>
        </patternFill>
      </fill>
      <alignment horizontal="center" vertical="center"/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alignment horizontal="center" vertical="center"/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/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/>
      <border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2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 patternType="solid">
          <fgColor indexed="64"/>
          <bgColor theme="7" tint="0.79998168889431442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rgb="FFFFC000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fill>
        <patternFill patternType="solid">
          <fgColor indexed="64"/>
          <bgColor rgb="FFFFC000"/>
        </patternFill>
      </fill>
      <alignment horizontal="center" vertical="center"/>
    </dxf>
    <dxf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wrapText="1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1" formatCode="0"/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  <alignment horizontal="center" vertical="center"/>
      <border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</border>
    </dxf>
    <dxf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  <scheme val="minor"/>
      </font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  <protection locked="0" hidden="0"/>
    </dxf>
    <dxf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3" formatCode="0%"/>
      <alignment horizontal="center" vertical="center"/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W221" totalsRowShown="0" headerRowDxfId="85" dataDxfId="84" tableBorderDxfId="83">
  <autoFilter ref="A1:W221" xr:uid="{00000000-0009-0000-0100-000001000000}">
    <filterColumn colId="2">
      <filters>
        <filter val="BARBIJO N95 X 100U"/>
        <filter val="BARBIJO QUIRURGICO X 50 U"/>
        <filter val="BARBIJOS TRICAPA PR MARCA PROP X50U"/>
        <filter val="BARBIJOS X 100 U"/>
        <filter val="BARBIJOS x 25 UNID"/>
      </filters>
    </filterColumn>
  </autoFilter>
  <tableColumns count="23">
    <tableColumn id="22" xr3:uid="{00000000-0010-0000-0000-000016000000}" name="COD SAP" dataDxfId="82"/>
    <tableColumn id="1" xr3:uid="{00000000-0010-0000-0000-000001000000}" name="CodInternoArti" dataDxfId="81"/>
    <tableColumn id="2" xr3:uid="{00000000-0010-0000-0000-000002000000}" name="DescripcionArti" dataDxfId="80"/>
    <tableColumn id="3" xr3:uid="{00000000-0010-0000-0000-000003000000}" name="Nivel_Integracion_3" dataDxfId="79"/>
    <tableColumn id="4" xr3:uid="{00000000-0010-0000-0000-000004000000}" name="Nivel_Integracion_4" dataDxfId="78"/>
    <tableColumn id="5" xr3:uid="{00000000-0010-0000-0000-000005000000}" name="Nivel_Integracion_5" dataDxfId="77"/>
    <tableColumn id="6" xr3:uid="{00000000-0010-0000-0000-000006000000}" name="Ubicacion" dataDxfId="76"/>
    <tableColumn id="7" xr3:uid="{00000000-0010-0000-0000-000007000000}" name="52" dataDxfId="75"/>
    <tableColumn id="8" xr3:uid="{00000000-0010-0000-0000-000008000000}" name="53" dataDxfId="74"/>
    <tableColumn id="9" xr3:uid="{00000000-0010-0000-0000-000009000000}" name="1" dataDxfId="73"/>
    <tableColumn id="10" xr3:uid="{00000000-0010-0000-0000-00000A000000}" name="2" dataDxfId="72"/>
    <tableColumn id="11" xr3:uid="{00000000-0010-0000-0000-00000B000000}" name="55" dataDxfId="71"/>
    <tableColumn id="12" xr3:uid="{00000000-0010-0000-0000-00000C000000}" name="56" dataDxfId="70"/>
    <tableColumn id="13" xr3:uid="{00000000-0010-0000-0000-00000D000000}" name="TOTAL" dataDxfId="69"/>
    <tableColumn id="14" xr3:uid="{00000000-0010-0000-0000-00000E000000}" name="STK CIU" dataDxfId="68"/>
    <tableColumn id="15" xr3:uid="{00000000-0010-0000-0000-00000F000000}" name="STK MOR" dataDxfId="67"/>
    <tableColumn id="16" xr3:uid="{00000000-0010-0000-0000-000010000000}" name="STK MOR3" dataDxfId="66"/>
    <tableColumn id="17" xr3:uid="{00000000-0010-0000-0000-000011000000}" name="STATUS" dataDxfId="65"/>
    <tableColumn id="18" xr3:uid="{00000000-0010-0000-0000-000012000000}" name="DIFERENCIA" dataDxfId="64"/>
    <tableColumn id="19" xr3:uid="{00000000-0010-0000-0000-000013000000}" name="sem 1+2" dataDxfId="63"/>
    <tableColumn id="20" xr3:uid="{00000000-0010-0000-0000-000014000000}" name="CATEGORY" dataDxfId="62"/>
    <tableColumn id="21" xr3:uid="{00000000-0010-0000-0000-000015000000}" name="ESTA CONTEMPLADO?" dataDxfId="61">
      <calculatedColumnFormula>_xlfn.XMATCH(Tabla4[[#This Row],[EAN CORREGIDO]],'Calcular necesidad'!L:L)</calculatedColumnFormula>
    </tableColumn>
    <tableColumn id="23" xr3:uid="{00000000-0010-0000-0000-000017000000}" name="EAN CORREGIDO" dataDxfId="60">
      <calculatedColumnFormula>TRIM(Tabla4[[#This Row],[CodInternoArti]])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3" displayName="Tabla3" ref="A1:L259" totalsRowShown="0" headerRowDxfId="59" dataDxfId="57" headerRowBorderDxfId="58" tableBorderDxfId="56">
  <autoFilter ref="A1:L259" xr:uid="{00000000-0009-0000-0100-000002000000}">
    <filterColumn colId="4">
      <filters>
        <filter val="GUANTE NITRILO"/>
      </filters>
    </filterColumn>
  </autoFilter>
  <tableColumns count="12">
    <tableColumn id="1" xr3:uid="{00000000-0010-0000-0100-000001000000}" name="Esta en &quot;Tablar articulos&quot;?" dataDxfId="55">
      <calculatedColumnFormula>IF(ISNUMBER(_xlfn.XMATCH(Tabla3[[#This Row],[CodInternoArti]],'Tabla Articulos'!B:B)),"OK","NO ESTA")</calculatedColumnFormula>
    </tableColumn>
    <tableColumn id="11" xr3:uid="{00000000-0010-0000-0100-00000B000000}" name="&quot;Necesidad x Familia&quot;?" dataDxfId="54">
      <calculatedColumnFormula>IF(ISNUMBER(_xlfn.XMATCH('Calcular necesidad'!E:E,'Necesidad por familia'!A:A)),"OK","NO ESTA")</calculatedColumnFormula>
    </tableColumn>
    <tableColumn id="2" xr3:uid="{00000000-0010-0000-0100-000002000000}" name="CodInternoArti" dataDxfId="53"/>
    <tableColumn id="3" xr3:uid="{00000000-0010-0000-0100-000003000000}" name="DescripcionArti" dataDxfId="52"/>
    <tableColumn id="4" xr3:uid="{00000000-0010-0000-0100-000004000000}" name="Familia" dataDxfId="51">
      <calculatedColumnFormula>_xlfn.XLOOKUP(C2,'Tabla Articulos'!B:B,'Tabla Articulos'!D:D)</calculatedColumnFormula>
    </tableColumn>
    <tableColumn id="5" xr3:uid="{00000000-0010-0000-0100-000005000000}" name="UM" dataDxfId="50">
      <calculatedColumnFormula>_xlfn.XLOOKUP(C2,'Tabla Articulos'!B:B,'Tabla Articulos'!E:E)</calculatedColumnFormula>
    </tableColumn>
    <tableColumn id="6" xr3:uid="{00000000-0010-0000-0100-000006000000}" name="Moreno" dataDxfId="49">
      <calculatedColumnFormula>SUM(
    SUMIFS(MRP!$H$2:$H$221, MRP!$B$2:$B$221, $C2, MRP!$G$2:$G$221, G$1),
    SUMIFS(MRP!$I$2:$I$221, MRP!$B$2:$B$221, $C2, MRP!$G$2:$G$221, G$1),
    SUMIFS(MRP!$J$2:$J$221, MRP!$B$2:$B$221, $C2,  MRP!$G$2:$G$221, G$1),
    SUMIFS(MRP!$K$2:$K$221, MRP!$B$2:$B$221, $C2,  MRP!$G$2:$G$221, G$1),
    SUMIFS(MRP!$L$2:$L$221, MRP!$B$2:$B$221, $C2,  MRP!$G$2:$G$221, G$1)
)*F2</calculatedColumnFormula>
    </tableColumn>
    <tableColumn id="7" xr3:uid="{00000000-0010-0000-0100-000007000000}" name="Ciudadela" dataDxfId="48">
      <calculatedColumnFormula>SUM(
    SUMIFS(MRP!$H$2:$H$221, MRP!$B$2:$B$221, $C2, MRP!$G$2:$G$221, H$1),
    SUMIFS(MRP!$I$2:$I$221, MRP!$B$2:$B$221, $C2, MRP!$G$2:$G$221, H$1),
    SUMIFS(MRP!$J$2:$J$221, MRP!$B$2:$B$221, $C2,  MRP!$G$2:$G$221, H$1),
    SUMIFS(MRP!$K$2:$K$221, MRP!$B$2:$B$221, $C2,  MRP!$G$2:$G$221, H$1),
    SUMIFS(MRP!$L$2:$L$221, MRP!$B$2:$B$221, $C2,  MRP!$G$2:$G$221, H$1)
)*F2</calculatedColumnFormula>
    </tableColumn>
    <tableColumn id="8" xr3:uid="{00000000-0010-0000-0100-000008000000}" name="CD Moreno 2" dataDxfId="47">
      <calculatedColumnFormula>SUM(
    SUMIFS(MRP!$H$2:$H$221, MRP!$B$2:$B$221, $C2, MRP!$G$2:$G$221, I$1),
    SUMIFS(MRP!$I$2:$I$221, MRP!$B$2:$B$221, $C2, MRP!$G$2:$G$221, I$1),
    SUMIFS(MRP!$J$2:$J$221, MRP!$B$2:$B$221, $C2,  MRP!$G$2:$G$221, I$1),
    SUMIFS(MRP!$K$2:$K$221, MRP!$B$2:$B$221, $C2,  MRP!$G$2:$G$221, I$1),
    SUMIFS(MRP!$L$2:$L$221, MRP!$B$2:$B$221, $C2,  MRP!$G$2:$G$221, I$1)
)*F2</calculatedColumnFormula>
    </tableColumn>
    <tableColumn id="9" xr3:uid="{00000000-0010-0000-0100-000009000000}" name="Operador interior" dataDxfId="46">
      <calculatedColumnFormula>SUM(
    SUMIFS(MRP!$H$2:$H$221, MRP!$B$2:$B$221, $C2, MRP!$G$2:$G$221, J$1),
    SUMIFS(MRP!$I$2:$I$221, MRP!$B$2:$B$221, $C2, MRP!$G$2:$G$221, J$1),
    SUMIFS(MRP!$J$2:$J$221, MRP!$B$2:$B$221, $C2,  MRP!$G$2:$G$221, J$1),
    SUMIFS(MRP!$K$2:$K$221, MRP!$B$2:$B$221, $C2,  MRP!$G$2:$G$221, J$1),
    SUMIFS(MRP!$L$2:$L$221, MRP!$B$2:$B$221, $C2,  MRP!$G$2:$G$221, J$1)
)*F2</calculatedColumnFormula>
    </tableColumn>
    <tableColumn id="10" xr3:uid="{00000000-0010-0000-0100-00000A000000}" name="CD Moreno 3" dataDxfId="45">
      <calculatedColumnFormula>SUM(
    SUMIFS(MRP!$H$2:$H$221, MRP!$B$2:$B$221, $C2, MRP!$G$2:$G$221, K$1),
    SUMIFS(MRP!$I$2:$I$221, MRP!$B$2:$B$221, $C2, MRP!$G$2:$G$221, K$1),
    SUMIFS(MRP!$J$2:$J$221, MRP!$B$2:$B$221, $C2,  MRP!$G$2:$G$221, K$1),
    SUMIFS(MRP!$K$2:$K$221, MRP!$B$2:$B$221, $C2,  MRP!$G$2:$G$221, K$1),
    SUMIFS(MRP!$L$2:$L$221, MRP!$B$2:$B$221, $C2,  MRP!$G$2:$G$221, K$1)
)*F2</calculatedColumnFormula>
    </tableColumn>
    <tableColumn id="12" xr3:uid="{00000000-0010-0000-0100-00000C000000}" name="Ean Corregido" dataDxfId="44">
      <calculatedColumnFormula>TRIM(Tabla3[[#This Row],[CodInternoArti]])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5" displayName="Tabla5" ref="A1:S3328" totalsRowShown="0" headerRowDxfId="43" dataDxfId="42" tableBorderDxfId="41">
  <autoFilter ref="A1:S3328" xr:uid="{00000000-000C-0000-FFFF-FFFF02000000}">
    <filterColumn colId="6">
      <filters>
        <filter val="GUANTE LATEX L X100UN EUROMIX"/>
        <filter val="GUANTES LATEX M X100U ALUMAX"/>
      </filters>
    </filterColumn>
  </autoFilter>
  <tableColumns count="19">
    <tableColumn id="1" xr3:uid="{00000000-0010-0000-0200-000001000000}" name="CD" dataDxfId="40"/>
    <tableColumn id="2" xr3:uid="{00000000-0010-0000-0200-000002000000}" name="CtroDistrib" dataDxfId="39"/>
    <tableColumn id="3" xr3:uid="{00000000-0010-0000-0200-000003000000}" name="Empresa" dataDxfId="38"/>
    <tableColumn id="4" xr3:uid="{00000000-0010-0000-0200-000004000000}" name="DescrNivelInt5" dataDxfId="37"/>
    <tableColumn id="5" xr3:uid="{00000000-0010-0000-0200-000005000000}" name="Articulo" dataDxfId="36"/>
    <tableColumn id="19" xr3:uid="{00000000-0010-0000-0200-000013000000}" name="Cod Sap" dataDxfId="35"/>
    <tableColumn id="6" xr3:uid="{00000000-0010-0000-0200-000006000000}" name="GrpAbr" dataDxfId="34"/>
    <tableColumn id="7" xr3:uid="{00000000-0010-0000-0200-000007000000}" name="UM" dataDxfId="33"/>
    <tableColumn id="8" xr3:uid="{00000000-0010-0000-0200-000008000000}" name="Fisico" dataDxfId="32"/>
    <tableColumn id="9" xr3:uid="{00000000-0010-0000-0200-000009000000}" name="PendGuardar" dataDxfId="31"/>
    <tableColumn id="10" xr3:uid="{00000000-0010-0000-0200-00000A000000}" name="NoApto" dataDxfId="30"/>
    <tableColumn id="11" xr3:uid="{00000000-0010-0000-0200-00000B000000}" name="PedSinOP" dataDxfId="29"/>
    <tableColumn id="12" xr3:uid="{00000000-0010-0000-0200-00000C000000}" name="PendPreparar" dataDxfId="28"/>
    <tableColumn id="13" xr3:uid="{00000000-0010-0000-0200-00000D000000}" name="PendImportacion" dataDxfId="27"/>
    <tableColumn id="14" xr3:uid="{00000000-0010-0000-0200-00000E000000}" name="Stock disp" dataDxfId="26"/>
    <tableColumn id="15" xr3:uid="{00000000-0010-0000-0200-00000F000000}" name="FAMILIA" dataDxfId="25">
      <calculatedColumnFormula>_xlfn.XLOOKUP(Tabla5[[#This Row],[EAN CORREGIDO]],'Tabla Articulos'!B:B,'Tabla Articulos'!D:D)</calculatedColumnFormula>
    </tableColumn>
    <tableColumn id="16" xr3:uid="{00000000-0010-0000-0200-000010000000}" name="UM2" dataDxfId="24">
      <calculatedColumnFormula>_xlfn.XLOOKUP(S2,'Tabla Articulos'!B:B,'Tabla Articulos'!E:E)</calculatedColumnFormula>
    </tableColumn>
    <tableColumn id="17" xr3:uid="{00000000-0010-0000-0200-000011000000}" name="TOTAL" dataDxfId="23">
      <calculatedColumnFormula>O2*Q2</calculatedColumnFormula>
    </tableColumn>
    <tableColumn id="18" xr3:uid="{00000000-0010-0000-0200-000012000000}" name="EAN CORREGIDO" dataDxfId="22">
      <calculatedColumnFormula>TRIM(E2)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2" displayName="Tabla2" ref="A1:F314" totalsRowShown="0" headerRowDxfId="21" dataDxfId="19" headerRowBorderDxfId="20" tableBorderDxfId="18" totalsRowBorderDxfId="17">
  <autoFilter ref="A1:F314" xr:uid="{00000000-0009-0000-0100-000004000000}">
    <filterColumn colId="2">
      <filters>
        <filter val="GUANTE NITRILO M AZUL X100UN"/>
        <filter val="GUANTE NITRILO M X100U MEDLINE"/>
        <filter val="GUANTE NITRILO T.9 X PAR DE PASCALE"/>
        <filter val="GUANTE NITRILO TM X100U NIPRO"/>
        <filter val="GUANTE NITRILO X100U"/>
        <filter val="GUANTE ULTRA NITRILO T8 MAPA"/>
        <filter val="GUANTES DESCART TOPSAL NITRILO NEGR"/>
        <filter val="GUANTES NITRILO X100U ALUMAX"/>
      </filters>
    </filterColumn>
  </autoFilter>
  <tableColumns count="6">
    <tableColumn id="1" xr3:uid="{00000000-0010-0000-0300-000001000000}" name="COD SAP" dataDxfId="16"/>
    <tableColumn id="2" xr3:uid="{00000000-0010-0000-0300-000002000000}" name="CodInternoArti" dataDxfId="15"/>
    <tableColumn id="3" xr3:uid="{00000000-0010-0000-0300-000003000000}" name="DescripcionArti" dataDxfId="14"/>
    <tableColumn id="4" xr3:uid="{00000000-0010-0000-0300-000004000000}" name="Familia" dataDxfId="13"/>
    <tableColumn id="5" xr3:uid="{00000000-0010-0000-0300-000005000000}" name="UM" dataDxfId="12"/>
    <tableColumn id="6" xr3:uid="{00000000-0010-0000-0300-000006000000}" name="Prov" dataDxfId="11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1" displayName="Tabla1" ref="A2:M126" totalsRowShown="0" headerRowBorderDxfId="99" tableBorderDxfId="98" totalsRowBorderDxfId="97">
  <autoFilter ref="A2:M126" xr:uid="{00000000-000C-0000-FFFF-FFFF04000000}">
    <filterColumn colId="9">
      <customFilters>
        <customFilter operator="lessThan" val="0.5"/>
      </customFilters>
    </filterColumn>
  </autoFilter>
  <tableColumns count="13">
    <tableColumn id="1" xr3:uid="{00000000-0010-0000-0400-000001000000}" name="Familia" dataDxfId="96"/>
    <tableColumn id="2" xr3:uid="{00000000-0010-0000-0400-000002000000}" name="UM (ultima compra)" dataDxfId="95"/>
    <tableColumn id="3" xr3:uid="{00000000-0010-0000-0400-000003000000}" name="Esta en necesidad?" dataDxfId="94">
      <calculatedColumnFormula>IF(ISNUMBER(_xlfn.XMATCH(A3,'Calcular necesidad'!E:E,0)),"OK","NO ESTA")</calculatedColumnFormula>
    </tableColumn>
    <tableColumn id="4" xr3:uid="{00000000-0010-0000-0400-000004000000}" name="Moreno" dataDxfId="93">
      <calculatedColumnFormula>SUM(
SUMIF('Calcular necesidad'!E:E,'Necesidad por familia'!A3,'Calcular necesidad'!G:G) +
SUMIF('Calcular necesidad'!E:E,'Necesidad por familia'!A3,'Calcular necesidad'!I:I) +
SUMIF('Calcular necesidad'!E:E,'Necesidad por familia'!A3,'Calcular necesidad'!K:K) +
SUMIF('Calcular necesidad'!E:E,'Necesidad por familia'!A3,'Calcular necesidad'!J:J)
)/B3</calculatedColumnFormula>
    </tableColumn>
    <tableColumn id="5" xr3:uid="{00000000-0010-0000-0400-000005000000}" name="Ciudadela" dataDxfId="92">
      <calculatedColumnFormula>SUMIF('Calcular necesidad'!E:E,'Necesidad por familia'!A3,'Calcular necesidad'!$H:$H)/B3</calculatedColumnFormula>
    </tableColumn>
    <tableColumn id="6" xr3:uid="{00000000-0010-0000-0400-000006000000}" name="Moreno2" dataDxfId="91">
      <calculatedColumnFormula>SUMIFS(Stock!R:R,Stock!B:B,"&lt;&gt;CD CIUDADELA                  ",Stock!P:P,'Necesidad por familia'!A3)/B3</calculatedColumnFormula>
    </tableColumn>
    <tableColumn id="7" xr3:uid="{00000000-0010-0000-0400-000007000000}" name="Ciudadela3" dataDxfId="90">
      <calculatedColumnFormula>SUMIFS(Stock!R:R,Stock!B:B,"CD CIUDADELA                  ",Stock!P:P,'Necesidad por familia'!A3)/B3</calculatedColumnFormula>
    </tableColumn>
    <tableColumn id="12" xr3:uid="{00000000-0010-0000-0400-00000C000000}" name="Stock total" dataDxfId="89">
      <calculatedColumnFormula>Tabla1[[#This Row],[Moreno2]]+Tabla1[[#This Row],[Ciudadela3]]</calculatedColumnFormula>
    </tableColumn>
    <tableColumn id="8" xr3:uid="{00000000-0010-0000-0400-000008000000}" name="Diferencia" dataDxfId="88">
      <calculatedColumnFormula>IF((D3+E3)=0,"Sin consumo",(F3+G3)-(D3+E3))</calculatedColumnFormula>
    </tableColumn>
    <tableColumn id="9" xr3:uid="{00000000-0010-0000-0400-000009000000}" name="Cobertura" dataDxfId="87" dataCellStyle="Porcentaje">
      <calculatedColumnFormula>IF(Tabla1[[#This Row],[Diferencia]]="Sin Consumo","100%",Tabla1[[#This Row],[Stock total]]/(Tabla1[[#This Row],[Moreno]]+Tabla1[[#This Row],[Ciudadela]]))</calculatedColumnFormula>
    </tableColumn>
    <tableColumn id="11" xr3:uid="{00000000-0010-0000-0400-00000B000000}" name="Estado" dataDxfId="86"/>
    <tableColumn id="10" xr3:uid="{00000000-0010-0000-0400-00000A000000}" name="Ultima OC"/>
    <tableColumn id="13" xr3:uid="{00000000-0010-0000-0400-00000D000000}" name="Prove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A221"/>
  <sheetViews>
    <sheetView workbookViewId="0">
      <selection activeCell="C68" sqref="C68"/>
    </sheetView>
  </sheetViews>
  <sheetFormatPr baseColWidth="10" defaultColWidth="0" defaultRowHeight="14.5" zeroHeight="1" x14ac:dyDescent="0.35"/>
  <cols>
    <col min="1" max="1" width="20.1796875" style="16" bestFit="1" customWidth="1"/>
    <col min="2" max="2" width="16.453125" style="16" bestFit="1" customWidth="1"/>
    <col min="3" max="3" width="41.54296875" style="16" bestFit="1" customWidth="1"/>
    <col min="4" max="4" width="19.453125" style="16" customWidth="1"/>
    <col min="5" max="5" width="25.26953125" style="16" bestFit="1" customWidth="1"/>
    <col min="6" max="6" width="28.1796875" style="16" bestFit="1" customWidth="1"/>
    <col min="7" max="7" width="14.54296875" style="16" bestFit="1" customWidth="1"/>
    <col min="8" max="8" width="7.453125" style="16" customWidth="1"/>
    <col min="9" max="9" width="8.54296875" style="16" customWidth="1"/>
    <col min="10" max="12" width="6.453125" style="16" customWidth="1"/>
    <col min="13" max="13" width="4.81640625" style="16" customWidth="1"/>
    <col min="14" max="14" width="7.81640625" style="16" customWidth="1"/>
    <col min="15" max="15" width="9.1796875" style="16" customWidth="1"/>
    <col min="16" max="16" width="10.453125" style="16" customWidth="1"/>
    <col min="17" max="17" width="11.453125" style="16" customWidth="1"/>
    <col min="18" max="18" width="10.81640625" style="16" customWidth="1"/>
    <col min="19" max="19" width="13" style="16" customWidth="1"/>
    <col min="20" max="20" width="9.7265625" style="16" customWidth="1"/>
    <col min="21" max="21" width="15.81640625" style="16" customWidth="1"/>
    <col min="22" max="22" width="34.81640625" style="16" bestFit="1" customWidth="1"/>
    <col min="23" max="26" width="10.81640625" customWidth="1"/>
    <col min="27" max="27" width="13" hidden="1" customWidth="1"/>
    <col min="28" max="62" width="10.81640625" hidden="1" customWidth="1"/>
    <col min="63" max="16384" width="10.81640625" hidden="1"/>
  </cols>
  <sheetData>
    <row r="1" spans="1:23" x14ac:dyDescent="0.35">
      <c r="A1" s="34" t="s">
        <v>163</v>
      </c>
      <c r="B1" s="34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  <c r="L1" s="2" t="s">
        <v>174</v>
      </c>
      <c r="M1" s="2" t="s">
        <v>175</v>
      </c>
      <c r="N1" s="3" t="s">
        <v>176</v>
      </c>
      <c r="O1" s="2" t="s">
        <v>177</v>
      </c>
      <c r="P1" s="2" t="s">
        <v>178</v>
      </c>
      <c r="Q1" s="2" t="s">
        <v>179</v>
      </c>
      <c r="R1" s="4" t="s">
        <v>180</v>
      </c>
      <c r="S1" s="4" t="s">
        <v>181</v>
      </c>
      <c r="T1" s="4" t="s">
        <v>182</v>
      </c>
      <c r="U1" s="4" t="s">
        <v>183</v>
      </c>
      <c r="V1" s="16" t="s">
        <v>184</v>
      </c>
      <c r="W1" s="62" t="s">
        <v>185</v>
      </c>
    </row>
    <row r="2" spans="1:23" hidden="1" x14ac:dyDescent="0.35">
      <c r="A2" s="5">
        <v>2006407</v>
      </c>
      <c r="B2" s="35" t="s">
        <v>186</v>
      </c>
      <c r="C2" s="7" t="s">
        <v>187</v>
      </c>
      <c r="D2" s="7" t="s">
        <v>188</v>
      </c>
      <c r="E2" s="7" t="s">
        <v>189</v>
      </c>
      <c r="F2" s="7" t="s">
        <v>189</v>
      </c>
      <c r="G2" s="7" t="s">
        <v>6</v>
      </c>
      <c r="H2" s="6">
        <v>25</v>
      </c>
      <c r="I2" s="6">
        <v>11</v>
      </c>
      <c r="J2" s="6">
        <v>18</v>
      </c>
      <c r="K2" s="6">
        <v>5</v>
      </c>
      <c r="L2" s="6">
        <v>18</v>
      </c>
      <c r="M2" s="7">
        <v>9</v>
      </c>
      <c r="N2" s="8">
        <v>111.8</v>
      </c>
      <c r="O2" s="5">
        <v>0</v>
      </c>
      <c r="P2" s="5">
        <v>0</v>
      </c>
      <c r="Q2" s="5">
        <v>0</v>
      </c>
      <c r="R2" s="9" t="s">
        <v>190</v>
      </c>
      <c r="S2" s="5">
        <v>111.8</v>
      </c>
      <c r="T2" s="5">
        <v>-36</v>
      </c>
      <c r="U2" s="5" t="s">
        <v>191</v>
      </c>
      <c r="V2" s="61">
        <f>_xlfn.XMATCH(Tabla4[[#This Row],[EAN CORREGIDO]],'Calcular necesidad'!L:L)</f>
        <v>5</v>
      </c>
      <c r="W2" s="61" t="str">
        <f>TRIM(Tabla4[[#This Row],[CodInternoArti]])</f>
        <v>16204006A</v>
      </c>
    </row>
    <row r="3" spans="1:23" hidden="1" x14ac:dyDescent="0.35">
      <c r="A3" s="5">
        <v>2006442</v>
      </c>
      <c r="B3" s="35" t="s">
        <v>192</v>
      </c>
      <c r="C3" s="7" t="s">
        <v>193</v>
      </c>
      <c r="D3" s="7" t="s">
        <v>194</v>
      </c>
      <c r="E3" s="7" t="s">
        <v>195</v>
      </c>
      <c r="F3" s="7" t="s">
        <v>196</v>
      </c>
      <c r="G3" s="7" t="s">
        <v>6</v>
      </c>
      <c r="H3" s="6">
        <v>53</v>
      </c>
      <c r="I3" s="6">
        <v>35</v>
      </c>
      <c r="J3" s="6">
        <v>48</v>
      </c>
      <c r="K3" s="6">
        <v>47</v>
      </c>
      <c r="L3" s="6">
        <v>46</v>
      </c>
      <c r="M3" s="7">
        <v>35</v>
      </c>
      <c r="N3" s="8">
        <v>343.2</v>
      </c>
      <c r="O3" s="5">
        <v>0</v>
      </c>
      <c r="P3" s="5">
        <v>0</v>
      </c>
      <c r="Q3" s="5">
        <v>0</v>
      </c>
      <c r="R3" s="9" t="s">
        <v>190</v>
      </c>
      <c r="S3" s="5">
        <v>343.2</v>
      </c>
      <c r="T3" s="5">
        <v>-88</v>
      </c>
      <c r="U3" s="5" t="s">
        <v>191</v>
      </c>
      <c r="V3" s="61">
        <f>_xlfn.XMATCH(Tabla4[[#This Row],[EAN CORREGIDO]],'Calcular necesidad'!L:L)</f>
        <v>2</v>
      </c>
      <c r="W3" s="61" t="str">
        <f>TRIM(Tabla4[[#This Row],[CodInternoArti]])</f>
        <v>13044000A</v>
      </c>
    </row>
    <row r="4" spans="1:23" x14ac:dyDescent="0.35">
      <c r="A4" s="5">
        <v>2006265</v>
      </c>
      <c r="B4" s="35" t="s">
        <v>197</v>
      </c>
      <c r="C4" s="7" t="s">
        <v>198</v>
      </c>
      <c r="D4" s="7" t="s">
        <v>194</v>
      </c>
      <c r="E4" s="7" t="s">
        <v>199</v>
      </c>
      <c r="F4" s="7" t="s">
        <v>199</v>
      </c>
      <c r="G4" s="7" t="s">
        <v>6</v>
      </c>
      <c r="H4" s="6">
        <v>13</v>
      </c>
      <c r="I4" s="6">
        <v>2</v>
      </c>
      <c r="J4" s="6">
        <v>20</v>
      </c>
      <c r="K4" s="6"/>
      <c r="L4" s="6">
        <v>12</v>
      </c>
      <c r="M4" s="7">
        <v>2</v>
      </c>
      <c r="N4" s="8">
        <v>63.7</v>
      </c>
      <c r="O4" s="5">
        <v>0</v>
      </c>
      <c r="P4" s="5">
        <v>0</v>
      </c>
      <c r="Q4" s="5">
        <v>0</v>
      </c>
      <c r="R4" s="9" t="s">
        <v>190</v>
      </c>
      <c r="S4" s="5">
        <v>63.7</v>
      </c>
      <c r="T4" s="5">
        <v>-15</v>
      </c>
      <c r="U4" s="5" t="s">
        <v>191</v>
      </c>
      <c r="V4" s="61">
        <f>_xlfn.XMATCH(Tabla4[[#This Row],[EAN CORREGIDO]],'Calcular necesidad'!L:L)</f>
        <v>11</v>
      </c>
      <c r="W4" s="61" t="str">
        <f>TRIM(Tabla4[[#This Row],[CodInternoArti]])</f>
        <v>14004000A</v>
      </c>
    </row>
    <row r="5" spans="1:23" hidden="1" x14ac:dyDescent="0.35">
      <c r="A5" s="5">
        <v>2006406</v>
      </c>
      <c r="B5" s="35" t="s">
        <v>200</v>
      </c>
      <c r="C5" s="7" t="s">
        <v>201</v>
      </c>
      <c r="D5" s="7" t="s">
        <v>188</v>
      </c>
      <c r="E5" s="7" t="s">
        <v>189</v>
      </c>
      <c r="F5" s="7" t="s">
        <v>189</v>
      </c>
      <c r="G5" s="7" t="s">
        <v>6</v>
      </c>
      <c r="H5" s="6">
        <v>14</v>
      </c>
      <c r="I5" s="6">
        <v>11</v>
      </c>
      <c r="J5" s="6">
        <v>15</v>
      </c>
      <c r="K5" s="6">
        <v>29</v>
      </c>
      <c r="L5" s="6">
        <v>14</v>
      </c>
      <c r="M5" s="7">
        <v>11</v>
      </c>
      <c r="N5" s="8">
        <v>122.2</v>
      </c>
      <c r="O5" s="5">
        <v>0</v>
      </c>
      <c r="P5" s="5">
        <v>0</v>
      </c>
      <c r="Q5" s="5">
        <v>0</v>
      </c>
      <c r="R5" s="9" t="s">
        <v>190</v>
      </c>
      <c r="S5" s="5">
        <v>122.2</v>
      </c>
      <c r="T5" s="5">
        <v>-25</v>
      </c>
      <c r="U5" s="5" t="s">
        <v>191</v>
      </c>
      <c r="V5" s="61">
        <f>_xlfn.XMATCH(Tabla4[[#This Row],[EAN CORREGIDO]],'Calcular necesidad'!L:L)</f>
        <v>9</v>
      </c>
      <c r="W5" s="61" t="str">
        <f>TRIM(Tabla4[[#This Row],[CodInternoArti]])</f>
        <v>16204003A</v>
      </c>
    </row>
    <row r="6" spans="1:23" hidden="1" x14ac:dyDescent="0.35">
      <c r="A6" s="5">
        <v>2006408</v>
      </c>
      <c r="B6" s="35" t="s">
        <v>202</v>
      </c>
      <c r="C6" s="7" t="s">
        <v>203</v>
      </c>
      <c r="D6" s="7" t="s">
        <v>188</v>
      </c>
      <c r="E6" s="7" t="s">
        <v>189</v>
      </c>
      <c r="F6" s="7" t="s">
        <v>189</v>
      </c>
      <c r="G6" s="7" t="s">
        <v>6</v>
      </c>
      <c r="H6" s="6">
        <v>27</v>
      </c>
      <c r="I6" s="6">
        <v>18</v>
      </c>
      <c r="J6" s="6">
        <v>16</v>
      </c>
      <c r="K6" s="6">
        <v>23</v>
      </c>
      <c r="L6" s="6">
        <v>18</v>
      </c>
      <c r="M6" s="7">
        <v>18</v>
      </c>
      <c r="N6" s="8">
        <v>156</v>
      </c>
      <c r="O6" s="5">
        <v>0</v>
      </c>
      <c r="P6" s="5">
        <v>0</v>
      </c>
      <c r="Q6" s="5">
        <v>0</v>
      </c>
      <c r="R6" s="9" t="s">
        <v>190</v>
      </c>
      <c r="S6" s="5">
        <v>156</v>
      </c>
      <c r="T6" s="5">
        <v>-45</v>
      </c>
      <c r="U6" s="5" t="s">
        <v>191</v>
      </c>
      <c r="V6" s="61">
        <f>_xlfn.XMATCH(Tabla4[[#This Row],[EAN CORREGIDO]],'Calcular necesidad'!L:L)</f>
        <v>7</v>
      </c>
      <c r="W6" s="61" t="str">
        <f>TRIM(Tabla4[[#This Row],[CodInternoArti]])</f>
        <v>16208001A</v>
      </c>
    </row>
    <row r="7" spans="1:23" hidden="1" x14ac:dyDescent="0.35">
      <c r="A7" s="5">
        <v>2006353</v>
      </c>
      <c r="B7" s="35" t="s">
        <v>204</v>
      </c>
      <c r="C7" s="7" t="s">
        <v>205</v>
      </c>
      <c r="D7" s="7" t="s">
        <v>194</v>
      </c>
      <c r="E7" s="7" t="s">
        <v>206</v>
      </c>
      <c r="F7" s="7" t="s">
        <v>207</v>
      </c>
      <c r="G7" s="7" t="s">
        <v>6</v>
      </c>
      <c r="H7" s="6">
        <v>64</v>
      </c>
      <c r="I7" s="6">
        <v>77</v>
      </c>
      <c r="J7" s="6">
        <v>86</v>
      </c>
      <c r="K7" s="6">
        <v>95</v>
      </c>
      <c r="L7" s="6">
        <v>92</v>
      </c>
      <c r="M7" s="7">
        <v>79</v>
      </c>
      <c r="N7" s="8">
        <v>640.9</v>
      </c>
      <c r="O7" s="5">
        <v>0</v>
      </c>
      <c r="P7" s="5">
        <v>0</v>
      </c>
      <c r="Q7" s="5">
        <v>0</v>
      </c>
      <c r="R7" s="9" t="s">
        <v>190</v>
      </c>
      <c r="S7" s="5">
        <v>640.9</v>
      </c>
      <c r="T7" s="5">
        <v>-141</v>
      </c>
      <c r="U7" s="5" t="s">
        <v>191</v>
      </c>
      <c r="V7" s="61">
        <f>_xlfn.XMATCH(Tabla4[[#This Row],[EAN CORREGIDO]],'Calcular necesidad'!L:L)</f>
        <v>8</v>
      </c>
      <c r="W7" s="61" t="str">
        <f>TRIM(Tabla4[[#This Row],[CodInternoArti]])</f>
        <v>17030001A</v>
      </c>
    </row>
    <row r="8" spans="1:23" hidden="1" x14ac:dyDescent="0.35">
      <c r="A8" s="5">
        <v>2006151</v>
      </c>
      <c r="B8" s="35" t="s">
        <v>208</v>
      </c>
      <c r="C8" s="7" t="s">
        <v>209</v>
      </c>
      <c r="D8" s="7" t="s">
        <v>206</v>
      </c>
      <c r="E8" s="7" t="s">
        <v>206</v>
      </c>
      <c r="F8" s="7" t="s">
        <v>18</v>
      </c>
      <c r="G8" s="7" t="s">
        <v>6</v>
      </c>
      <c r="H8" s="6">
        <v>9</v>
      </c>
      <c r="I8" s="6">
        <v>12</v>
      </c>
      <c r="J8" s="6">
        <v>14</v>
      </c>
      <c r="K8" s="6">
        <v>12</v>
      </c>
      <c r="L8" s="6">
        <v>6</v>
      </c>
      <c r="M8" s="7">
        <v>6</v>
      </c>
      <c r="N8" s="8">
        <v>76.7</v>
      </c>
      <c r="O8" s="5">
        <v>0</v>
      </c>
      <c r="P8" s="5">
        <v>0</v>
      </c>
      <c r="Q8" s="5">
        <v>0</v>
      </c>
      <c r="R8" s="9" t="s">
        <v>190</v>
      </c>
      <c r="S8" s="5">
        <v>76.7</v>
      </c>
      <c r="T8" s="5">
        <v>-21</v>
      </c>
      <c r="U8" s="5" t="s">
        <v>191</v>
      </c>
      <c r="V8" s="61">
        <f>_xlfn.XMATCH(Tabla4[[#This Row],[EAN CORREGIDO]],'Calcular necesidad'!L:L)</f>
        <v>4</v>
      </c>
      <c r="W8" s="61" t="str">
        <f>TRIM(Tabla4[[#This Row],[CodInternoArti]])</f>
        <v>13069000A</v>
      </c>
    </row>
    <row r="9" spans="1:23" hidden="1" x14ac:dyDescent="0.35">
      <c r="A9" s="5">
        <v>2006657</v>
      </c>
      <c r="B9" s="35" t="s">
        <v>210</v>
      </c>
      <c r="C9" s="7" t="s">
        <v>211</v>
      </c>
      <c r="D9" s="7" t="s">
        <v>212</v>
      </c>
      <c r="E9" s="7" t="s">
        <v>213</v>
      </c>
      <c r="F9" s="7" t="s">
        <v>213</v>
      </c>
      <c r="G9" s="7" t="s">
        <v>6</v>
      </c>
      <c r="H9" s="6"/>
      <c r="I9" s="6">
        <v>2</v>
      </c>
      <c r="J9" s="6">
        <v>1</v>
      </c>
      <c r="K9" s="6">
        <v>2</v>
      </c>
      <c r="L9" s="6">
        <v>1</v>
      </c>
      <c r="M9" s="7">
        <v>2</v>
      </c>
      <c r="N9" s="8">
        <v>10.4</v>
      </c>
      <c r="O9" s="5">
        <v>0</v>
      </c>
      <c r="P9" s="5">
        <v>0</v>
      </c>
      <c r="Q9" s="5">
        <v>0</v>
      </c>
      <c r="R9" s="9" t="s">
        <v>190</v>
      </c>
      <c r="S9" s="5">
        <v>10.4</v>
      </c>
      <c r="T9" s="5">
        <v>-2</v>
      </c>
      <c r="U9" s="5" t="s">
        <v>191</v>
      </c>
      <c r="V9" s="61">
        <f>_xlfn.XMATCH(Tabla4[[#This Row],[EAN CORREGIDO]],'Calcular necesidad'!L:L)</f>
        <v>10</v>
      </c>
      <c r="W9" s="61" t="str">
        <f>TRIM(Tabla4[[#This Row],[CodInternoArti]])</f>
        <v>13072000A</v>
      </c>
    </row>
    <row r="10" spans="1:23" hidden="1" x14ac:dyDescent="0.35">
      <c r="A10" s="5">
        <v>2006461</v>
      </c>
      <c r="B10" s="35" t="s">
        <v>214</v>
      </c>
      <c r="C10" s="7" t="s">
        <v>215</v>
      </c>
      <c r="D10" s="7" t="s">
        <v>216</v>
      </c>
      <c r="E10" s="7" t="s">
        <v>217</v>
      </c>
      <c r="F10" s="7" t="s">
        <v>218</v>
      </c>
      <c r="G10" s="7" t="s">
        <v>6</v>
      </c>
      <c r="H10" s="6">
        <v>3</v>
      </c>
      <c r="I10" s="6">
        <v>4</v>
      </c>
      <c r="J10" s="6">
        <v>3</v>
      </c>
      <c r="K10" s="6">
        <v>4</v>
      </c>
      <c r="L10" s="6">
        <v>3</v>
      </c>
      <c r="M10" s="7">
        <v>4</v>
      </c>
      <c r="N10" s="8">
        <v>27.3</v>
      </c>
      <c r="O10" s="5">
        <v>0</v>
      </c>
      <c r="P10" s="5">
        <v>0</v>
      </c>
      <c r="Q10" s="5">
        <v>0</v>
      </c>
      <c r="R10" s="9" t="s">
        <v>190</v>
      </c>
      <c r="S10" s="5">
        <v>27.3</v>
      </c>
      <c r="T10" s="5">
        <v>-7</v>
      </c>
      <c r="U10" s="5" t="s">
        <v>191</v>
      </c>
      <c r="V10" s="61">
        <f>_xlfn.XMATCH(Tabla4[[#This Row],[EAN CORREGIDO]],'Calcular necesidad'!L:L)</f>
        <v>17</v>
      </c>
      <c r="W10" s="61" t="str">
        <f>TRIM(Tabla4[[#This Row],[CodInternoArti]])</f>
        <v>14047013A</v>
      </c>
    </row>
    <row r="11" spans="1:23" hidden="1" x14ac:dyDescent="0.35">
      <c r="A11" s="5">
        <v>2006486</v>
      </c>
      <c r="B11" s="35" t="s">
        <v>219</v>
      </c>
      <c r="C11" s="7" t="s">
        <v>220</v>
      </c>
      <c r="D11" s="7" t="s">
        <v>188</v>
      </c>
      <c r="E11" s="7" t="s">
        <v>189</v>
      </c>
      <c r="F11" s="7" t="s">
        <v>189</v>
      </c>
      <c r="G11" s="7" t="s">
        <v>6</v>
      </c>
      <c r="H11" s="6">
        <v>10</v>
      </c>
      <c r="I11" s="6">
        <v>8</v>
      </c>
      <c r="J11" s="6">
        <v>4</v>
      </c>
      <c r="K11" s="6">
        <v>4</v>
      </c>
      <c r="L11" s="6">
        <v>4</v>
      </c>
      <c r="M11" s="7">
        <v>4</v>
      </c>
      <c r="N11" s="8">
        <v>44.2</v>
      </c>
      <c r="O11" s="5">
        <v>0</v>
      </c>
      <c r="P11" s="5">
        <v>0</v>
      </c>
      <c r="Q11" s="5">
        <v>0</v>
      </c>
      <c r="R11" s="9" t="s">
        <v>190</v>
      </c>
      <c r="S11" s="5">
        <v>44.2</v>
      </c>
      <c r="T11" s="5">
        <v>-18</v>
      </c>
      <c r="U11" s="5" t="s">
        <v>191</v>
      </c>
      <c r="V11" s="61">
        <f>_xlfn.XMATCH(Tabla4[[#This Row],[EAN CORREGIDO]],'Calcular necesidad'!L:L)</f>
        <v>6</v>
      </c>
      <c r="W11" s="61" t="str">
        <f>TRIM(Tabla4[[#This Row],[CodInternoArti]])</f>
        <v>16204004A</v>
      </c>
    </row>
    <row r="12" spans="1:23" hidden="1" x14ac:dyDescent="0.35">
      <c r="A12" s="5">
        <v>2006779</v>
      </c>
      <c r="B12" s="35" t="s">
        <v>221</v>
      </c>
      <c r="C12" s="7" t="s">
        <v>222</v>
      </c>
      <c r="D12" s="7" t="s">
        <v>194</v>
      </c>
      <c r="E12" s="7" t="s">
        <v>206</v>
      </c>
      <c r="F12" s="7" t="s">
        <v>223</v>
      </c>
      <c r="G12" s="7" t="s">
        <v>6</v>
      </c>
      <c r="H12" s="6">
        <v>38</v>
      </c>
      <c r="I12" s="6">
        <v>32</v>
      </c>
      <c r="J12" s="6">
        <v>38</v>
      </c>
      <c r="K12" s="6">
        <v>36</v>
      </c>
      <c r="L12" s="6">
        <v>34</v>
      </c>
      <c r="M12" s="7">
        <v>32</v>
      </c>
      <c r="N12" s="8">
        <v>273</v>
      </c>
      <c r="O12" s="5">
        <v>0</v>
      </c>
      <c r="P12" s="5">
        <v>0</v>
      </c>
      <c r="Q12" s="5">
        <v>0</v>
      </c>
      <c r="R12" s="9" t="s">
        <v>190</v>
      </c>
      <c r="S12" s="5">
        <v>273</v>
      </c>
      <c r="T12" s="5">
        <v>-70</v>
      </c>
      <c r="U12" s="5" t="s">
        <v>191</v>
      </c>
      <c r="V12" s="61">
        <f>_xlfn.XMATCH(Tabla4[[#This Row],[EAN CORREGIDO]],'Calcular necesidad'!L:L)</f>
        <v>16</v>
      </c>
      <c r="W12" s="61" t="str">
        <f>TRIM(Tabla4[[#This Row],[CodInternoArti]])</f>
        <v>17018002A</v>
      </c>
    </row>
    <row r="13" spans="1:23" hidden="1" x14ac:dyDescent="0.35">
      <c r="A13" s="5">
        <v>2006234</v>
      </c>
      <c r="B13" s="35" t="s">
        <v>224</v>
      </c>
      <c r="C13" s="7" t="s">
        <v>225</v>
      </c>
      <c r="D13" s="7" t="s">
        <v>188</v>
      </c>
      <c r="E13" s="7" t="s">
        <v>189</v>
      </c>
      <c r="F13" s="7" t="s">
        <v>189</v>
      </c>
      <c r="G13" s="7" t="s">
        <v>6</v>
      </c>
      <c r="H13" s="6">
        <v>14</v>
      </c>
      <c r="I13" s="6">
        <v>18</v>
      </c>
      <c r="J13" s="6">
        <v>23</v>
      </c>
      <c r="K13" s="6">
        <v>5</v>
      </c>
      <c r="L13" s="6">
        <v>15</v>
      </c>
      <c r="M13" s="7">
        <v>15</v>
      </c>
      <c r="N13" s="8">
        <v>117</v>
      </c>
      <c r="O13" s="5">
        <v>0</v>
      </c>
      <c r="P13" s="5">
        <v>0</v>
      </c>
      <c r="Q13" s="5">
        <v>0</v>
      </c>
      <c r="R13" s="9" t="s">
        <v>190</v>
      </c>
      <c r="S13" s="5">
        <v>117</v>
      </c>
      <c r="T13" s="5">
        <v>-32</v>
      </c>
      <c r="U13" s="5" t="s">
        <v>191</v>
      </c>
      <c r="V13" s="61">
        <f>_xlfn.XMATCH(Tabla4[[#This Row],[EAN CORREGIDO]],'Calcular necesidad'!L:L)</f>
        <v>12</v>
      </c>
      <c r="W13" s="61" t="str">
        <f>TRIM(Tabla4[[#This Row],[CodInternoArti]])</f>
        <v>16204005A</v>
      </c>
    </row>
    <row r="14" spans="1:23" hidden="1" x14ac:dyDescent="0.35">
      <c r="A14" s="5">
        <v>2006671</v>
      </c>
      <c r="B14" s="35" t="s">
        <v>226</v>
      </c>
      <c r="C14" s="7" t="s">
        <v>227</v>
      </c>
      <c r="D14" s="7" t="s">
        <v>228</v>
      </c>
      <c r="E14" s="7" t="s">
        <v>229</v>
      </c>
      <c r="F14" s="7" t="s">
        <v>230</v>
      </c>
      <c r="G14" s="7" t="s">
        <v>6</v>
      </c>
      <c r="H14" s="6">
        <v>25</v>
      </c>
      <c r="I14" s="6"/>
      <c r="J14" s="6">
        <v>25</v>
      </c>
      <c r="K14" s="6">
        <v>10</v>
      </c>
      <c r="L14" s="6">
        <v>25</v>
      </c>
      <c r="M14" s="7"/>
      <c r="N14" s="8">
        <v>110.5</v>
      </c>
      <c r="O14" s="5">
        <v>0</v>
      </c>
      <c r="P14" s="5">
        <v>0</v>
      </c>
      <c r="Q14" s="5">
        <v>0</v>
      </c>
      <c r="R14" s="9" t="s">
        <v>190</v>
      </c>
      <c r="S14" s="5">
        <v>110.5</v>
      </c>
      <c r="T14" s="5">
        <v>-25</v>
      </c>
      <c r="U14" s="5" t="s">
        <v>191</v>
      </c>
      <c r="V14" s="61">
        <f>_xlfn.XMATCH(Tabla4[[#This Row],[EAN CORREGIDO]],'Calcular necesidad'!L:L)</f>
        <v>14</v>
      </c>
      <c r="W14" s="61" t="str">
        <f>TRIM(Tabla4[[#This Row],[CodInternoArti]])</f>
        <v>16032005A</v>
      </c>
    </row>
    <row r="15" spans="1:23" hidden="1" x14ac:dyDescent="0.35">
      <c r="A15" s="5">
        <v>2006404</v>
      </c>
      <c r="B15" s="35" t="s">
        <v>231</v>
      </c>
      <c r="C15" s="7" t="s">
        <v>232</v>
      </c>
      <c r="D15" s="7" t="s">
        <v>216</v>
      </c>
      <c r="E15" s="7" t="s">
        <v>233</v>
      </c>
      <c r="F15" s="7" t="s">
        <v>234</v>
      </c>
      <c r="G15" s="7" t="s">
        <v>6</v>
      </c>
      <c r="H15" s="6"/>
      <c r="I15" s="6"/>
      <c r="J15" s="6">
        <v>4</v>
      </c>
      <c r="K15" s="6"/>
      <c r="L15" s="6"/>
      <c r="M15" s="7"/>
      <c r="N15" s="8">
        <v>5.2</v>
      </c>
      <c r="O15" s="5">
        <v>0</v>
      </c>
      <c r="P15" s="5">
        <v>0</v>
      </c>
      <c r="Q15" s="5">
        <v>0</v>
      </c>
      <c r="R15" s="9" t="s">
        <v>190</v>
      </c>
      <c r="S15" s="5">
        <v>5.2</v>
      </c>
      <c r="T15" s="5">
        <v>0</v>
      </c>
      <c r="U15" s="5" t="s">
        <v>191</v>
      </c>
      <c r="V15" s="61">
        <f>_xlfn.XMATCH(Tabla4[[#This Row],[EAN CORREGIDO]],'Calcular necesidad'!L:L)</f>
        <v>19</v>
      </c>
      <c r="W15" s="61" t="str">
        <f>TRIM(Tabla4[[#This Row],[CodInternoArti]])</f>
        <v>14047015A</v>
      </c>
    </row>
    <row r="16" spans="1:23" hidden="1" x14ac:dyDescent="0.35">
      <c r="A16" s="5">
        <v>2006487</v>
      </c>
      <c r="B16" s="35" t="s">
        <v>235</v>
      </c>
      <c r="C16" s="7" t="s">
        <v>236</v>
      </c>
      <c r="D16" s="7" t="s">
        <v>188</v>
      </c>
      <c r="E16" s="7" t="s">
        <v>189</v>
      </c>
      <c r="F16" s="7" t="s">
        <v>189</v>
      </c>
      <c r="G16" s="7" t="s">
        <v>6</v>
      </c>
      <c r="H16" s="6">
        <v>32</v>
      </c>
      <c r="I16" s="6">
        <v>41</v>
      </c>
      <c r="J16" s="6">
        <v>41</v>
      </c>
      <c r="K16" s="6">
        <v>51</v>
      </c>
      <c r="L16" s="6">
        <v>26</v>
      </c>
      <c r="M16" s="7">
        <v>41</v>
      </c>
      <c r="N16" s="8">
        <v>301.60000000000002</v>
      </c>
      <c r="O16" s="5">
        <v>0</v>
      </c>
      <c r="P16" s="5">
        <v>0</v>
      </c>
      <c r="Q16" s="5">
        <v>0</v>
      </c>
      <c r="R16" s="9" t="s">
        <v>190</v>
      </c>
      <c r="S16" s="5">
        <v>301.60000000000002</v>
      </c>
      <c r="T16" s="5">
        <v>-73</v>
      </c>
      <c r="U16" s="5" t="s">
        <v>191</v>
      </c>
      <c r="V16" s="61">
        <f>_xlfn.XMATCH(Tabla4[[#This Row],[EAN CORREGIDO]],'Calcular necesidad'!L:L)</f>
        <v>23</v>
      </c>
      <c r="W16" s="61" t="str">
        <f>TRIM(Tabla4[[#This Row],[CodInternoArti]])</f>
        <v>16204014A</v>
      </c>
    </row>
    <row r="17" spans="1:23" hidden="1" x14ac:dyDescent="0.35">
      <c r="A17" s="5">
        <v>2006800</v>
      </c>
      <c r="B17" s="35" t="s">
        <v>237</v>
      </c>
      <c r="C17" s="7" t="s">
        <v>238</v>
      </c>
      <c r="D17" s="7" t="s">
        <v>216</v>
      </c>
      <c r="E17" s="7" t="s">
        <v>217</v>
      </c>
      <c r="F17" s="7" t="s">
        <v>218</v>
      </c>
      <c r="G17" s="7" t="s">
        <v>6</v>
      </c>
      <c r="H17" s="6">
        <v>84</v>
      </c>
      <c r="I17" s="6">
        <v>87</v>
      </c>
      <c r="J17" s="6">
        <v>88</v>
      </c>
      <c r="K17" s="6">
        <v>100</v>
      </c>
      <c r="L17" s="6">
        <v>81</v>
      </c>
      <c r="M17" s="7">
        <v>89</v>
      </c>
      <c r="N17" s="8">
        <v>687.7</v>
      </c>
      <c r="O17" s="5">
        <v>0</v>
      </c>
      <c r="P17" s="5">
        <v>0</v>
      </c>
      <c r="Q17" s="5">
        <v>0</v>
      </c>
      <c r="R17" s="9" t="s">
        <v>190</v>
      </c>
      <c r="S17" s="5">
        <v>687.7</v>
      </c>
      <c r="T17" s="5">
        <v>-171</v>
      </c>
      <c r="U17" s="5" t="s">
        <v>191</v>
      </c>
      <c r="V17" s="61">
        <f>_xlfn.XMATCH(Tabla4[[#This Row],[EAN CORREGIDO]],'Calcular necesidad'!L:L)</f>
        <v>3</v>
      </c>
      <c r="W17" s="61" t="str">
        <f>TRIM(Tabla4[[#This Row],[CodInternoArti]])</f>
        <v>14047000A</v>
      </c>
    </row>
    <row r="18" spans="1:23" hidden="1" x14ac:dyDescent="0.35">
      <c r="A18" s="5">
        <v>2006485</v>
      </c>
      <c r="B18" s="35" t="s">
        <v>239</v>
      </c>
      <c r="C18" s="7" t="s">
        <v>240</v>
      </c>
      <c r="D18" s="7" t="s">
        <v>188</v>
      </c>
      <c r="E18" s="7" t="s">
        <v>189</v>
      </c>
      <c r="F18" s="7" t="s">
        <v>189</v>
      </c>
      <c r="G18" s="7" t="s">
        <v>6</v>
      </c>
      <c r="H18" s="6">
        <v>11</v>
      </c>
      <c r="I18" s="6">
        <v>32</v>
      </c>
      <c r="J18" s="6">
        <v>28</v>
      </c>
      <c r="K18" s="6">
        <v>51</v>
      </c>
      <c r="L18" s="6">
        <v>11</v>
      </c>
      <c r="M18" s="7">
        <v>32</v>
      </c>
      <c r="N18" s="8">
        <v>214.5</v>
      </c>
      <c r="O18" s="5">
        <v>0</v>
      </c>
      <c r="P18" s="5">
        <v>0</v>
      </c>
      <c r="Q18" s="5">
        <v>0</v>
      </c>
      <c r="R18" s="9" t="s">
        <v>190</v>
      </c>
      <c r="S18" s="5">
        <v>214.5</v>
      </c>
      <c r="T18" s="5">
        <v>-43</v>
      </c>
      <c r="U18" s="5" t="s">
        <v>191</v>
      </c>
      <c r="V18" s="61">
        <f>_xlfn.XMATCH(Tabla4[[#This Row],[EAN CORREGIDO]],'Calcular necesidad'!L:L)</f>
        <v>15</v>
      </c>
      <c r="W18" s="61" t="str">
        <f>TRIM(Tabla4[[#This Row],[CodInternoArti]])</f>
        <v>16204001A</v>
      </c>
    </row>
    <row r="19" spans="1:23" hidden="1" x14ac:dyDescent="0.35">
      <c r="A19" s="5">
        <v>2006237</v>
      </c>
      <c r="B19" s="35" t="s">
        <v>241</v>
      </c>
      <c r="C19" s="7" t="s">
        <v>242</v>
      </c>
      <c r="D19" s="7" t="s">
        <v>188</v>
      </c>
      <c r="E19" s="7" t="s">
        <v>189</v>
      </c>
      <c r="F19" s="7" t="s">
        <v>189</v>
      </c>
      <c r="G19" s="7" t="s">
        <v>6</v>
      </c>
      <c r="H19" s="6">
        <v>24</v>
      </c>
      <c r="I19" s="6">
        <v>35</v>
      </c>
      <c r="J19" s="6">
        <v>35</v>
      </c>
      <c r="K19" s="6">
        <v>45</v>
      </c>
      <c r="L19" s="6">
        <v>22</v>
      </c>
      <c r="M19" s="7">
        <v>35</v>
      </c>
      <c r="N19" s="8">
        <v>254.8</v>
      </c>
      <c r="O19" s="5">
        <v>0</v>
      </c>
      <c r="P19" s="5">
        <v>0</v>
      </c>
      <c r="Q19" s="5">
        <v>0</v>
      </c>
      <c r="R19" s="9" t="s">
        <v>190</v>
      </c>
      <c r="S19" s="5">
        <v>254.8</v>
      </c>
      <c r="T19" s="5">
        <v>-59</v>
      </c>
      <c r="U19" s="5" t="s">
        <v>191</v>
      </c>
      <c r="V19" s="61">
        <f>_xlfn.XMATCH(Tabla4[[#This Row],[EAN CORREGIDO]],'Calcular necesidad'!L:L)</f>
        <v>24</v>
      </c>
      <c r="W19" s="61" t="str">
        <f>TRIM(Tabla4[[#This Row],[CodInternoArti]])</f>
        <v>EMB000036</v>
      </c>
    </row>
    <row r="20" spans="1:23" hidden="1" x14ac:dyDescent="0.35">
      <c r="A20" s="5">
        <v>2006663</v>
      </c>
      <c r="B20" s="35" t="s">
        <v>243</v>
      </c>
      <c r="C20" s="7" t="s">
        <v>244</v>
      </c>
      <c r="D20" s="7" t="s">
        <v>212</v>
      </c>
      <c r="E20" s="7" t="s">
        <v>245</v>
      </c>
      <c r="F20" s="7" t="s">
        <v>246</v>
      </c>
      <c r="G20" s="7" t="s">
        <v>6</v>
      </c>
      <c r="H20" s="6">
        <v>2</v>
      </c>
      <c r="I20" s="6"/>
      <c r="J20" s="6">
        <v>2</v>
      </c>
      <c r="K20" s="6"/>
      <c r="L20" s="6">
        <v>2</v>
      </c>
      <c r="M20" s="7"/>
      <c r="N20" s="8">
        <v>7.8000000000000007</v>
      </c>
      <c r="O20" s="5">
        <v>0</v>
      </c>
      <c r="P20" s="5">
        <v>0</v>
      </c>
      <c r="Q20" s="5">
        <v>0</v>
      </c>
      <c r="R20" s="9" t="s">
        <v>190</v>
      </c>
      <c r="S20" s="5">
        <v>7.8000000000000007</v>
      </c>
      <c r="T20" s="5">
        <v>-2</v>
      </c>
      <c r="U20" s="5" t="s">
        <v>191</v>
      </c>
      <c r="V20" s="61">
        <f>_xlfn.XMATCH(Tabla4[[#This Row],[EAN CORREGIDO]],'Calcular necesidad'!L:L)</f>
        <v>31</v>
      </c>
      <c r="W20" s="61" t="str">
        <f>TRIM(Tabla4[[#This Row],[CodInternoArti]])</f>
        <v>LIM000155</v>
      </c>
    </row>
    <row r="21" spans="1:23" hidden="1" x14ac:dyDescent="0.35">
      <c r="A21" s="5">
        <v>2006209</v>
      </c>
      <c r="B21" s="35" t="s">
        <v>247</v>
      </c>
      <c r="C21" s="7" t="s">
        <v>33</v>
      </c>
      <c r="D21" s="7" t="s">
        <v>212</v>
      </c>
      <c r="E21" s="7" t="s">
        <v>206</v>
      </c>
      <c r="F21" s="7" t="s">
        <v>248</v>
      </c>
      <c r="G21" s="7" t="s">
        <v>6</v>
      </c>
      <c r="H21" s="6"/>
      <c r="I21" s="6">
        <v>4</v>
      </c>
      <c r="J21" s="6"/>
      <c r="K21" s="6"/>
      <c r="L21" s="6"/>
      <c r="M21" s="7">
        <v>4</v>
      </c>
      <c r="N21" s="8">
        <v>10.4</v>
      </c>
      <c r="O21" s="5">
        <v>0</v>
      </c>
      <c r="P21" s="5">
        <v>0</v>
      </c>
      <c r="Q21" s="5">
        <v>0</v>
      </c>
      <c r="R21" s="9" t="s">
        <v>190</v>
      </c>
      <c r="S21" s="5">
        <v>10.4</v>
      </c>
      <c r="T21" s="5">
        <v>-4</v>
      </c>
      <c r="U21" s="5" t="s">
        <v>191</v>
      </c>
      <c r="V21" s="61">
        <f>_xlfn.XMATCH(Tabla4[[#This Row],[EAN CORREGIDO]],'Calcular necesidad'!L:L)</f>
        <v>22</v>
      </c>
      <c r="W21" s="61" t="str">
        <f>TRIM(Tabla4[[#This Row],[CodInternoArti]])</f>
        <v>14044013A</v>
      </c>
    </row>
    <row r="22" spans="1:23" hidden="1" x14ac:dyDescent="0.35">
      <c r="A22" s="5">
        <v>2006170</v>
      </c>
      <c r="B22" s="35" t="s">
        <v>249</v>
      </c>
      <c r="C22" s="7" t="s">
        <v>250</v>
      </c>
      <c r="D22" s="7" t="s">
        <v>206</v>
      </c>
      <c r="E22" s="7" t="s">
        <v>217</v>
      </c>
      <c r="F22" s="7" t="s">
        <v>218</v>
      </c>
      <c r="G22" s="7" t="s">
        <v>6</v>
      </c>
      <c r="H22" s="6">
        <v>1</v>
      </c>
      <c r="I22" s="6"/>
      <c r="J22" s="6"/>
      <c r="K22" s="6">
        <v>3</v>
      </c>
      <c r="L22" s="6">
        <v>1</v>
      </c>
      <c r="M22" s="7"/>
      <c r="N22" s="8">
        <v>6.5</v>
      </c>
      <c r="O22" s="5">
        <v>0</v>
      </c>
      <c r="P22" s="5">
        <v>0</v>
      </c>
      <c r="Q22" s="5">
        <v>0</v>
      </c>
      <c r="R22" s="9" t="s">
        <v>190</v>
      </c>
      <c r="S22" s="5">
        <v>6.5</v>
      </c>
      <c r="T22" s="5">
        <v>-1</v>
      </c>
      <c r="U22" s="5" t="s">
        <v>191</v>
      </c>
      <c r="V22" s="61">
        <f>_xlfn.XMATCH(Tabla4[[#This Row],[EAN CORREGIDO]],'Calcular necesidad'!L:L)</f>
        <v>18</v>
      </c>
      <c r="W22" s="61" t="str">
        <f>TRIM(Tabla4[[#This Row],[CodInternoArti]])</f>
        <v>14047009A</v>
      </c>
    </row>
    <row r="23" spans="1:23" hidden="1" x14ac:dyDescent="0.35">
      <c r="A23" s="5">
        <v>2006422</v>
      </c>
      <c r="B23" s="35" t="s">
        <v>251</v>
      </c>
      <c r="C23" s="7" t="s">
        <v>252</v>
      </c>
      <c r="D23" s="7" t="s">
        <v>206</v>
      </c>
      <c r="E23" s="7" t="s">
        <v>253</v>
      </c>
      <c r="F23" s="7" t="s">
        <v>32</v>
      </c>
      <c r="G23" s="7" t="s">
        <v>6</v>
      </c>
      <c r="H23" s="6">
        <v>10</v>
      </c>
      <c r="I23" s="6">
        <v>10</v>
      </c>
      <c r="J23" s="6">
        <v>10</v>
      </c>
      <c r="K23" s="6">
        <v>11</v>
      </c>
      <c r="L23" s="6">
        <v>10</v>
      </c>
      <c r="M23" s="7">
        <v>10</v>
      </c>
      <c r="N23" s="8">
        <v>79.3</v>
      </c>
      <c r="O23" s="5">
        <v>0</v>
      </c>
      <c r="P23" s="5">
        <v>0</v>
      </c>
      <c r="Q23" s="5">
        <v>0</v>
      </c>
      <c r="R23" s="9" t="s">
        <v>190</v>
      </c>
      <c r="S23" s="5">
        <v>79.3</v>
      </c>
      <c r="T23" s="5">
        <v>-20</v>
      </c>
      <c r="U23" s="5" t="s">
        <v>191</v>
      </c>
      <c r="V23" s="61">
        <f>_xlfn.XMATCH(Tabla4[[#This Row],[EAN CORREGIDO]],'Calcular necesidad'!L:L)</f>
        <v>20</v>
      </c>
      <c r="W23" s="61" t="str">
        <f>TRIM(Tabla4[[#This Row],[CodInternoArti]])</f>
        <v>BAZ000387</v>
      </c>
    </row>
    <row r="24" spans="1:23" hidden="1" x14ac:dyDescent="0.35">
      <c r="A24" s="5">
        <v>2006238</v>
      </c>
      <c r="B24" s="35" t="s">
        <v>254</v>
      </c>
      <c r="C24" s="7" t="s">
        <v>255</v>
      </c>
      <c r="D24" s="7" t="s">
        <v>188</v>
      </c>
      <c r="E24" s="7" t="s">
        <v>189</v>
      </c>
      <c r="F24" s="7" t="s">
        <v>189</v>
      </c>
      <c r="G24" s="7" t="s">
        <v>6</v>
      </c>
      <c r="H24" s="6">
        <v>3</v>
      </c>
      <c r="I24" s="6">
        <v>21</v>
      </c>
      <c r="J24" s="6">
        <v>3</v>
      </c>
      <c r="K24" s="6">
        <v>3</v>
      </c>
      <c r="L24" s="6">
        <v>3</v>
      </c>
      <c r="M24" s="7">
        <v>21</v>
      </c>
      <c r="N24" s="8">
        <v>70.2</v>
      </c>
      <c r="O24" s="5">
        <v>0</v>
      </c>
      <c r="P24" s="5">
        <v>0</v>
      </c>
      <c r="Q24" s="5">
        <v>0</v>
      </c>
      <c r="R24" s="9" t="s">
        <v>190</v>
      </c>
      <c r="S24" s="5">
        <v>70.2</v>
      </c>
      <c r="T24" s="5">
        <v>-24</v>
      </c>
      <c r="U24" s="5" t="s">
        <v>191</v>
      </c>
      <c r="V24" s="61">
        <f>_xlfn.XMATCH(Tabla4[[#This Row],[EAN CORREGIDO]],'Calcular necesidad'!L:L)</f>
        <v>27</v>
      </c>
      <c r="W24" s="61" t="str">
        <f>TRIM(Tabla4[[#This Row],[CodInternoArti]])</f>
        <v>EMB000037</v>
      </c>
    </row>
    <row r="25" spans="1:23" hidden="1" x14ac:dyDescent="0.35">
      <c r="A25" s="5">
        <v>2007032</v>
      </c>
      <c r="B25" s="35" t="s">
        <v>256</v>
      </c>
      <c r="C25" s="7" t="s">
        <v>257</v>
      </c>
      <c r="D25" s="7" t="s">
        <v>194</v>
      </c>
      <c r="E25" s="7" t="s">
        <v>258</v>
      </c>
      <c r="F25" s="7" t="s">
        <v>259</v>
      </c>
      <c r="G25" s="7" t="s">
        <v>6</v>
      </c>
      <c r="H25" s="6">
        <v>6</v>
      </c>
      <c r="I25" s="6">
        <v>3</v>
      </c>
      <c r="J25" s="6">
        <v>7</v>
      </c>
      <c r="K25" s="6">
        <v>4</v>
      </c>
      <c r="L25" s="6">
        <v>6</v>
      </c>
      <c r="M25" s="7">
        <v>3</v>
      </c>
      <c r="N25" s="8">
        <v>37.700000000000003</v>
      </c>
      <c r="O25" s="5">
        <v>0</v>
      </c>
      <c r="P25" s="5">
        <v>0</v>
      </c>
      <c r="Q25" s="5">
        <v>0</v>
      </c>
      <c r="R25" s="9" t="s">
        <v>190</v>
      </c>
      <c r="S25" s="5">
        <v>37.700000000000003</v>
      </c>
      <c r="T25" s="5">
        <v>-9</v>
      </c>
      <c r="U25" s="5" t="s">
        <v>191</v>
      </c>
      <c r="V25" s="61">
        <f>_xlfn.XMATCH(Tabla4[[#This Row],[EAN CORREGIDO]],'Calcular necesidad'!L:L)</f>
        <v>30</v>
      </c>
      <c r="W25" s="61" t="str">
        <f>TRIM(Tabla4[[#This Row],[CodInternoArti]])</f>
        <v>17030002A</v>
      </c>
    </row>
    <row r="26" spans="1:23" hidden="1" x14ac:dyDescent="0.35">
      <c r="A26" s="5">
        <v>2006740</v>
      </c>
      <c r="B26" s="35">
        <v>7796613305498</v>
      </c>
      <c r="C26" s="7" t="s">
        <v>260</v>
      </c>
      <c r="D26" s="7" t="s">
        <v>261</v>
      </c>
      <c r="E26" s="7" t="s">
        <v>261</v>
      </c>
      <c r="F26" s="7" t="s">
        <v>262</v>
      </c>
      <c r="G26" s="7" t="s">
        <v>6</v>
      </c>
      <c r="H26" s="6">
        <v>2</v>
      </c>
      <c r="I26" s="6">
        <v>2</v>
      </c>
      <c r="J26" s="6">
        <v>2</v>
      </c>
      <c r="K26" s="6">
        <v>2</v>
      </c>
      <c r="L26" s="6">
        <v>2</v>
      </c>
      <c r="M26" s="7">
        <v>2</v>
      </c>
      <c r="N26" s="8">
        <v>15.6</v>
      </c>
      <c r="O26" s="5">
        <v>0</v>
      </c>
      <c r="P26" s="5">
        <v>0</v>
      </c>
      <c r="Q26" s="5">
        <v>0</v>
      </c>
      <c r="R26" s="9" t="s">
        <v>190</v>
      </c>
      <c r="S26" s="5">
        <v>15.6</v>
      </c>
      <c r="T26" s="5">
        <v>-4</v>
      </c>
      <c r="U26" s="5" t="s">
        <v>191</v>
      </c>
      <c r="V26" s="61">
        <f>_xlfn.XMATCH(Tabla4[[#This Row],[EAN CORREGIDO]],'Calcular necesidad'!L:L)</f>
        <v>37</v>
      </c>
      <c r="W26" s="61" t="str">
        <f>TRIM(Tabla4[[#This Row],[CodInternoArti]])</f>
        <v>7796613305498</v>
      </c>
    </row>
    <row r="27" spans="1:23" hidden="1" x14ac:dyDescent="0.35">
      <c r="A27" s="5">
        <v>2006396</v>
      </c>
      <c r="B27" s="35" t="s">
        <v>263</v>
      </c>
      <c r="C27" s="7" t="s">
        <v>264</v>
      </c>
      <c r="D27" s="7" t="s">
        <v>212</v>
      </c>
      <c r="E27" s="7" t="s">
        <v>206</v>
      </c>
      <c r="F27" s="7" t="s">
        <v>246</v>
      </c>
      <c r="G27" s="7" t="s">
        <v>6</v>
      </c>
      <c r="H27" s="6">
        <v>12</v>
      </c>
      <c r="I27" s="6">
        <v>7</v>
      </c>
      <c r="J27" s="6">
        <v>8</v>
      </c>
      <c r="K27" s="6">
        <v>8</v>
      </c>
      <c r="L27" s="6">
        <v>11</v>
      </c>
      <c r="M27" s="7">
        <v>7</v>
      </c>
      <c r="N27" s="8">
        <v>68.900000000000006</v>
      </c>
      <c r="O27" s="5">
        <v>0</v>
      </c>
      <c r="P27" s="5">
        <v>0</v>
      </c>
      <c r="Q27" s="5">
        <v>0</v>
      </c>
      <c r="R27" s="9" t="s">
        <v>190</v>
      </c>
      <c r="S27" s="5">
        <v>68.900000000000006</v>
      </c>
      <c r="T27" s="5">
        <v>-19</v>
      </c>
      <c r="U27" s="5" t="s">
        <v>191</v>
      </c>
      <c r="V27" s="61">
        <f>_xlfn.XMATCH(Tabla4[[#This Row],[EAN CORREGIDO]],'Calcular necesidad'!L:L)</f>
        <v>26</v>
      </c>
      <c r="W27" s="61" t="str">
        <f>TRIM(Tabla4[[#This Row],[CodInternoArti]])</f>
        <v>17146007A</v>
      </c>
    </row>
    <row r="28" spans="1:23" hidden="1" x14ac:dyDescent="0.35">
      <c r="A28" s="5" t="s">
        <v>265</v>
      </c>
      <c r="B28" s="35" t="s">
        <v>266</v>
      </c>
      <c r="C28" s="7" t="s">
        <v>267</v>
      </c>
      <c r="D28" s="7" t="s">
        <v>268</v>
      </c>
      <c r="E28" s="7" t="s">
        <v>269</v>
      </c>
      <c r="F28" s="7" t="s">
        <v>270</v>
      </c>
      <c r="G28" s="7" t="s">
        <v>6</v>
      </c>
      <c r="H28" s="6"/>
      <c r="I28" s="6"/>
      <c r="J28" s="6">
        <v>2</v>
      </c>
      <c r="K28" s="6"/>
      <c r="L28" s="6">
        <v>2</v>
      </c>
      <c r="M28" s="7"/>
      <c r="N28" s="8">
        <v>5.2</v>
      </c>
      <c r="O28" s="5">
        <v>0</v>
      </c>
      <c r="P28" s="5">
        <v>0</v>
      </c>
      <c r="Q28" s="5">
        <v>0</v>
      </c>
      <c r="R28" s="9" t="s">
        <v>190</v>
      </c>
      <c r="S28" s="5">
        <v>5.2</v>
      </c>
      <c r="T28" s="5">
        <v>0</v>
      </c>
      <c r="U28" s="5" t="s">
        <v>191</v>
      </c>
      <c r="V28" s="61">
        <f>_xlfn.XMATCH(Tabla4[[#This Row],[EAN CORREGIDO]],'Calcular necesidad'!L:L)</f>
        <v>195</v>
      </c>
      <c r="W28" s="61" t="str">
        <f>TRIM(Tabla4[[#This Row],[CodInternoArti]])</f>
        <v>BAZ000524</v>
      </c>
    </row>
    <row r="29" spans="1:23" hidden="1" x14ac:dyDescent="0.35">
      <c r="A29" s="5">
        <v>2006272</v>
      </c>
      <c r="B29" s="35" t="s">
        <v>271</v>
      </c>
      <c r="C29" s="7" t="s">
        <v>272</v>
      </c>
      <c r="D29" s="7" t="s">
        <v>188</v>
      </c>
      <c r="E29" s="7" t="s">
        <v>189</v>
      </c>
      <c r="F29" s="7" t="s">
        <v>189</v>
      </c>
      <c r="G29" s="7" t="s">
        <v>6</v>
      </c>
      <c r="H29" s="6">
        <v>19</v>
      </c>
      <c r="I29" s="6">
        <v>18</v>
      </c>
      <c r="J29" s="6">
        <v>20</v>
      </c>
      <c r="K29" s="6">
        <v>19</v>
      </c>
      <c r="L29" s="6">
        <v>18</v>
      </c>
      <c r="M29" s="7">
        <v>18</v>
      </c>
      <c r="N29" s="8">
        <v>145.6</v>
      </c>
      <c r="O29" s="5">
        <v>0</v>
      </c>
      <c r="P29" s="5">
        <v>0</v>
      </c>
      <c r="Q29" s="5">
        <v>0</v>
      </c>
      <c r="R29" s="9" t="s">
        <v>190</v>
      </c>
      <c r="S29" s="5">
        <v>145.6</v>
      </c>
      <c r="T29" s="5">
        <v>-37</v>
      </c>
      <c r="U29" s="5" t="s">
        <v>191</v>
      </c>
      <c r="V29" s="61">
        <f>_xlfn.XMATCH(Tabla4[[#This Row],[EAN CORREGIDO]],'Calcular necesidad'!L:L)</f>
        <v>21</v>
      </c>
      <c r="W29" s="61" t="str">
        <f>TRIM(Tabla4[[#This Row],[CodInternoArti]])</f>
        <v>EMB000035</v>
      </c>
    </row>
    <row r="30" spans="1:23" hidden="1" x14ac:dyDescent="0.35">
      <c r="A30" s="5">
        <v>2006143</v>
      </c>
      <c r="B30" s="35" t="s">
        <v>273</v>
      </c>
      <c r="C30" s="7" t="s">
        <v>240</v>
      </c>
      <c r="D30" s="7" t="s">
        <v>188</v>
      </c>
      <c r="E30" s="7" t="s">
        <v>189</v>
      </c>
      <c r="F30" s="7" t="s">
        <v>189</v>
      </c>
      <c r="G30" s="7" t="s">
        <v>6</v>
      </c>
      <c r="H30" s="6">
        <v>1</v>
      </c>
      <c r="I30" s="6">
        <v>1</v>
      </c>
      <c r="J30" s="6">
        <v>1</v>
      </c>
      <c r="K30" s="6">
        <v>2</v>
      </c>
      <c r="L30" s="6"/>
      <c r="M30" s="7">
        <v>1</v>
      </c>
      <c r="N30" s="8">
        <v>7.8000000000000007</v>
      </c>
      <c r="O30" s="5">
        <v>0</v>
      </c>
      <c r="P30" s="5">
        <v>0</v>
      </c>
      <c r="Q30" s="5">
        <v>0</v>
      </c>
      <c r="R30" s="9" t="s">
        <v>190</v>
      </c>
      <c r="S30" s="5">
        <v>7.8000000000000007</v>
      </c>
      <c r="T30" s="5">
        <v>-2</v>
      </c>
      <c r="U30" s="5" t="s">
        <v>191</v>
      </c>
      <c r="V30" s="61">
        <f>_xlfn.XMATCH(Tabla4[[#This Row],[EAN CORREGIDO]],'Calcular necesidad'!L:L)</f>
        <v>34</v>
      </c>
      <c r="W30" s="61" t="str">
        <f>TRIM(Tabla4[[#This Row],[CodInternoArti]])</f>
        <v>EMB000034</v>
      </c>
    </row>
    <row r="31" spans="1:23" hidden="1" x14ac:dyDescent="0.35">
      <c r="A31" s="5">
        <v>2006176</v>
      </c>
      <c r="B31" s="35">
        <v>7790321020206</v>
      </c>
      <c r="C31" s="7" t="s">
        <v>274</v>
      </c>
      <c r="D31" s="7" t="s">
        <v>275</v>
      </c>
      <c r="E31" s="7" t="s">
        <v>276</v>
      </c>
      <c r="F31" s="7" t="s">
        <v>276</v>
      </c>
      <c r="G31" s="7" t="s">
        <v>6</v>
      </c>
      <c r="H31" s="6">
        <v>20</v>
      </c>
      <c r="I31" s="6">
        <v>37</v>
      </c>
      <c r="J31" s="6">
        <v>20</v>
      </c>
      <c r="K31" s="6">
        <v>38</v>
      </c>
      <c r="L31" s="6">
        <v>17</v>
      </c>
      <c r="M31" s="7">
        <v>36</v>
      </c>
      <c r="N31" s="8">
        <v>218.4</v>
      </c>
      <c r="O31" s="5">
        <v>0</v>
      </c>
      <c r="P31" s="5">
        <v>0</v>
      </c>
      <c r="Q31" s="5">
        <v>0</v>
      </c>
      <c r="R31" s="9" t="s">
        <v>190</v>
      </c>
      <c r="S31" s="5">
        <v>218.4</v>
      </c>
      <c r="T31" s="5">
        <v>-57</v>
      </c>
      <c r="U31" s="5" t="s">
        <v>191</v>
      </c>
      <c r="V31" s="61">
        <f>_xlfn.XMATCH(Tabla4[[#This Row],[EAN CORREGIDO]],'Calcular necesidad'!L:L)</f>
        <v>44</v>
      </c>
      <c r="W31" s="61" t="str">
        <f>TRIM(Tabla4[[#This Row],[CodInternoArti]])</f>
        <v>7790321020206</v>
      </c>
    </row>
    <row r="32" spans="1:23" hidden="1" x14ac:dyDescent="0.35">
      <c r="A32" s="5">
        <v>2006651</v>
      </c>
      <c r="B32" s="35">
        <v>7790321020256</v>
      </c>
      <c r="C32" s="7" t="s">
        <v>277</v>
      </c>
      <c r="D32" s="7" t="s">
        <v>278</v>
      </c>
      <c r="E32" s="7" t="s">
        <v>279</v>
      </c>
      <c r="F32" s="7" t="s">
        <v>55</v>
      </c>
      <c r="G32" s="7" t="s">
        <v>6</v>
      </c>
      <c r="H32" s="6">
        <v>198</v>
      </c>
      <c r="I32" s="6">
        <v>205</v>
      </c>
      <c r="J32" s="6">
        <v>195</v>
      </c>
      <c r="K32" s="6">
        <v>218</v>
      </c>
      <c r="L32" s="6">
        <v>169</v>
      </c>
      <c r="M32" s="7">
        <v>192</v>
      </c>
      <c r="N32" s="8">
        <v>1530.1</v>
      </c>
      <c r="O32" s="5">
        <v>0</v>
      </c>
      <c r="P32" s="5">
        <v>0</v>
      </c>
      <c r="Q32" s="5">
        <v>0</v>
      </c>
      <c r="R32" s="9" t="s">
        <v>190</v>
      </c>
      <c r="S32" s="5">
        <v>1530.1</v>
      </c>
      <c r="T32" s="5">
        <v>-403</v>
      </c>
      <c r="U32" s="5" t="s">
        <v>191</v>
      </c>
      <c r="V32" s="61">
        <f>_xlfn.XMATCH(Tabla4[[#This Row],[EAN CORREGIDO]],'Calcular necesidad'!L:L)</f>
        <v>45</v>
      </c>
      <c r="W32" s="61" t="str">
        <f>TRIM(Tabla4[[#This Row],[CodInternoArti]])</f>
        <v>7790321020256</v>
      </c>
    </row>
    <row r="33" spans="1:23" hidden="1" x14ac:dyDescent="0.35">
      <c r="A33" s="5">
        <v>2006679</v>
      </c>
      <c r="B33" s="35">
        <v>7790321007512</v>
      </c>
      <c r="C33" s="7" t="s">
        <v>280</v>
      </c>
      <c r="D33" s="7" t="s">
        <v>281</v>
      </c>
      <c r="E33" s="7" t="s">
        <v>282</v>
      </c>
      <c r="F33" s="7" t="s">
        <v>283</v>
      </c>
      <c r="G33" s="7" t="s">
        <v>6</v>
      </c>
      <c r="H33" s="6">
        <v>30</v>
      </c>
      <c r="I33" s="6">
        <v>30</v>
      </c>
      <c r="J33" s="6">
        <v>30</v>
      </c>
      <c r="K33" s="6">
        <v>30</v>
      </c>
      <c r="L33" s="6">
        <v>30</v>
      </c>
      <c r="M33" s="7">
        <v>30</v>
      </c>
      <c r="N33" s="8">
        <v>234</v>
      </c>
      <c r="O33" s="5">
        <v>0</v>
      </c>
      <c r="P33" s="5">
        <v>0</v>
      </c>
      <c r="Q33" s="5">
        <v>0</v>
      </c>
      <c r="R33" s="9" t="s">
        <v>190</v>
      </c>
      <c r="S33" s="5">
        <v>234</v>
      </c>
      <c r="T33" s="5">
        <v>-60</v>
      </c>
      <c r="U33" s="5" t="s">
        <v>191</v>
      </c>
      <c r="V33" s="61">
        <f>_xlfn.XMATCH(Tabla4[[#This Row],[EAN CORREGIDO]],'Calcular necesidad'!L:L)</f>
        <v>48</v>
      </c>
      <c r="W33" s="61" t="str">
        <f>TRIM(Tabla4[[#This Row],[CodInternoArti]])</f>
        <v>7790321007512</v>
      </c>
    </row>
    <row r="34" spans="1:23" hidden="1" x14ac:dyDescent="0.35">
      <c r="A34" s="5">
        <v>2006379</v>
      </c>
      <c r="B34" s="35" t="s">
        <v>284</v>
      </c>
      <c r="C34" s="7" t="s">
        <v>285</v>
      </c>
      <c r="D34" s="7" t="s">
        <v>286</v>
      </c>
      <c r="E34" s="7" t="s">
        <v>287</v>
      </c>
      <c r="F34" s="7" t="s">
        <v>288</v>
      </c>
      <c r="G34" s="7" t="s">
        <v>6</v>
      </c>
      <c r="H34" s="6">
        <v>21</v>
      </c>
      <c r="I34" s="6">
        <v>19</v>
      </c>
      <c r="J34" s="6">
        <v>11</v>
      </c>
      <c r="K34" s="6">
        <v>25</v>
      </c>
      <c r="L34" s="6"/>
      <c r="M34" s="7">
        <v>12</v>
      </c>
      <c r="N34" s="8">
        <v>114.4</v>
      </c>
      <c r="O34" s="5">
        <v>0</v>
      </c>
      <c r="P34" s="5">
        <v>0</v>
      </c>
      <c r="Q34" s="5">
        <v>0</v>
      </c>
      <c r="R34" s="9" t="s">
        <v>190</v>
      </c>
      <c r="S34" s="5">
        <v>114.4</v>
      </c>
      <c r="T34" s="5">
        <v>-40</v>
      </c>
      <c r="U34" s="5" t="s">
        <v>191</v>
      </c>
      <c r="V34" s="61">
        <f>_xlfn.XMATCH(Tabla4[[#This Row],[EAN CORREGIDO]],'Calcular necesidad'!L:L)</f>
        <v>35</v>
      </c>
      <c r="W34" s="61" t="str">
        <f>TRIM(Tabla4[[#This Row],[CodInternoArti]])</f>
        <v>LIM000292</v>
      </c>
    </row>
    <row r="35" spans="1:23" hidden="1" x14ac:dyDescent="0.35">
      <c r="A35" s="5">
        <v>2006427</v>
      </c>
      <c r="B35" s="35">
        <v>7790321020106</v>
      </c>
      <c r="C35" s="7" t="s">
        <v>289</v>
      </c>
      <c r="D35" s="7" t="s">
        <v>281</v>
      </c>
      <c r="E35" s="7" t="s">
        <v>290</v>
      </c>
      <c r="F35" s="7" t="s">
        <v>291</v>
      </c>
      <c r="G35" s="7" t="s">
        <v>6</v>
      </c>
      <c r="H35" s="6">
        <v>51</v>
      </c>
      <c r="I35" s="6">
        <v>69</v>
      </c>
      <c r="J35" s="6">
        <v>72</v>
      </c>
      <c r="K35" s="6">
        <v>59</v>
      </c>
      <c r="L35" s="6">
        <v>77</v>
      </c>
      <c r="M35" s="7">
        <v>79</v>
      </c>
      <c r="N35" s="8">
        <v>529.1</v>
      </c>
      <c r="O35" s="5">
        <v>0</v>
      </c>
      <c r="P35" s="5">
        <v>0</v>
      </c>
      <c r="Q35" s="5">
        <v>0</v>
      </c>
      <c r="R35" s="9" t="s">
        <v>190</v>
      </c>
      <c r="S35" s="5">
        <v>529.1</v>
      </c>
      <c r="T35" s="5">
        <v>-120</v>
      </c>
      <c r="U35" s="5" t="s">
        <v>191</v>
      </c>
      <c r="V35" s="61">
        <f>_xlfn.XMATCH(Tabla4[[#This Row],[EAN CORREGIDO]],'Calcular necesidad'!L:L)</f>
        <v>40</v>
      </c>
      <c r="W35" s="61" t="str">
        <f>TRIM(Tabla4[[#This Row],[CodInternoArti]])</f>
        <v>7790321020106</v>
      </c>
    </row>
    <row r="36" spans="1:23" hidden="1" x14ac:dyDescent="0.35">
      <c r="A36" s="5">
        <v>2006410</v>
      </c>
      <c r="B36" s="35">
        <v>7790321020156</v>
      </c>
      <c r="C36" s="7" t="s">
        <v>292</v>
      </c>
      <c r="D36" s="7" t="s">
        <v>188</v>
      </c>
      <c r="E36" s="7" t="s">
        <v>293</v>
      </c>
      <c r="F36" s="7" t="s">
        <v>293</v>
      </c>
      <c r="G36" s="7" t="s">
        <v>6</v>
      </c>
      <c r="H36" s="6">
        <v>2</v>
      </c>
      <c r="I36" s="6">
        <v>2</v>
      </c>
      <c r="J36" s="6"/>
      <c r="K36" s="6"/>
      <c r="L36" s="6"/>
      <c r="M36" s="7"/>
      <c r="N36" s="8">
        <v>5.2</v>
      </c>
      <c r="O36" s="5">
        <v>0</v>
      </c>
      <c r="P36" s="5">
        <v>0</v>
      </c>
      <c r="Q36" s="5">
        <v>0</v>
      </c>
      <c r="R36" s="9" t="s">
        <v>190</v>
      </c>
      <c r="S36" s="5">
        <v>5.2</v>
      </c>
      <c r="T36" s="5">
        <v>-4</v>
      </c>
      <c r="U36" s="5" t="s">
        <v>191</v>
      </c>
      <c r="V36" s="61">
        <f>_xlfn.XMATCH(Tabla4[[#This Row],[EAN CORREGIDO]],'Calcular necesidad'!L:L)</f>
        <v>50</v>
      </c>
      <c r="W36" s="61" t="str">
        <f>TRIM(Tabla4[[#This Row],[CodInternoArti]])</f>
        <v>7790321020156</v>
      </c>
    </row>
    <row r="37" spans="1:23" x14ac:dyDescent="0.35">
      <c r="A37" s="5">
        <v>2006383</v>
      </c>
      <c r="B37" s="35" t="s">
        <v>294</v>
      </c>
      <c r="C37" s="7" t="s">
        <v>295</v>
      </c>
      <c r="D37" s="7" t="s">
        <v>194</v>
      </c>
      <c r="E37" s="7" t="s">
        <v>206</v>
      </c>
      <c r="F37" s="7" t="s">
        <v>199</v>
      </c>
      <c r="G37" s="7" t="s">
        <v>6</v>
      </c>
      <c r="H37" s="6">
        <v>3</v>
      </c>
      <c r="I37" s="6">
        <v>14</v>
      </c>
      <c r="J37" s="6">
        <v>1</v>
      </c>
      <c r="K37" s="6">
        <v>4</v>
      </c>
      <c r="L37" s="6">
        <v>1</v>
      </c>
      <c r="M37" s="7">
        <v>4</v>
      </c>
      <c r="N37" s="8">
        <v>35.1</v>
      </c>
      <c r="O37" s="5">
        <v>0</v>
      </c>
      <c r="P37" s="5">
        <v>0</v>
      </c>
      <c r="Q37" s="5">
        <v>0</v>
      </c>
      <c r="R37" s="9" t="s">
        <v>190</v>
      </c>
      <c r="S37" s="5">
        <v>35.1</v>
      </c>
      <c r="T37" s="5">
        <v>-17</v>
      </c>
      <c r="U37" s="5" t="s">
        <v>191</v>
      </c>
      <c r="V37" s="61">
        <f>_xlfn.XMATCH(Tabla4[[#This Row],[EAN CORREGIDO]],'Calcular necesidad'!L:L)</f>
        <v>29</v>
      </c>
      <c r="W37" s="61" t="str">
        <f>TRIM(Tabla4[[#This Row],[CodInternoArti]])</f>
        <v>LIM000324</v>
      </c>
    </row>
    <row r="38" spans="1:23" hidden="1" x14ac:dyDescent="0.35">
      <c r="A38" s="5">
        <v>2006424</v>
      </c>
      <c r="B38" s="35">
        <v>7790321006512</v>
      </c>
      <c r="C38" s="7" t="s">
        <v>296</v>
      </c>
      <c r="D38" s="7" t="s">
        <v>281</v>
      </c>
      <c r="E38" s="7" t="s">
        <v>282</v>
      </c>
      <c r="F38" s="7" t="s">
        <v>297</v>
      </c>
      <c r="G38" s="7" t="s">
        <v>6</v>
      </c>
      <c r="H38" s="6">
        <v>2</v>
      </c>
      <c r="I38" s="6">
        <v>2</v>
      </c>
      <c r="J38" s="6">
        <v>2</v>
      </c>
      <c r="K38" s="6">
        <v>2</v>
      </c>
      <c r="L38" s="6">
        <v>2</v>
      </c>
      <c r="M38" s="7">
        <v>4</v>
      </c>
      <c r="N38" s="8">
        <v>18.2</v>
      </c>
      <c r="O38" s="5">
        <v>0</v>
      </c>
      <c r="P38" s="5">
        <v>0</v>
      </c>
      <c r="Q38" s="5">
        <v>0</v>
      </c>
      <c r="R38" s="9" t="s">
        <v>190</v>
      </c>
      <c r="S38" s="5">
        <v>18.2</v>
      </c>
      <c r="T38" s="5">
        <v>-4</v>
      </c>
      <c r="U38" s="5" t="s">
        <v>191</v>
      </c>
      <c r="V38" s="61">
        <f>_xlfn.XMATCH(Tabla4[[#This Row],[EAN CORREGIDO]],'Calcular necesidad'!L:L)</f>
        <v>52</v>
      </c>
      <c r="W38" s="61" t="str">
        <f>TRIM(Tabla4[[#This Row],[CodInternoArti]])</f>
        <v>7790321006512</v>
      </c>
    </row>
    <row r="39" spans="1:23" hidden="1" x14ac:dyDescent="0.35">
      <c r="A39" s="5">
        <v>2006489</v>
      </c>
      <c r="B39" s="35" t="s">
        <v>298</v>
      </c>
      <c r="C39" s="7" t="s">
        <v>299</v>
      </c>
      <c r="D39" s="7" t="s">
        <v>188</v>
      </c>
      <c r="E39" s="7" t="s">
        <v>189</v>
      </c>
      <c r="F39" s="7" t="s">
        <v>189</v>
      </c>
      <c r="G39" s="7" t="s">
        <v>6</v>
      </c>
      <c r="H39" s="6">
        <v>9</v>
      </c>
      <c r="I39" s="6">
        <v>21</v>
      </c>
      <c r="J39" s="6">
        <v>29</v>
      </c>
      <c r="K39" s="6">
        <v>38</v>
      </c>
      <c r="L39" s="6">
        <v>9</v>
      </c>
      <c r="M39" s="7">
        <v>21</v>
      </c>
      <c r="N39" s="8">
        <v>165.1</v>
      </c>
      <c r="O39" s="5">
        <v>0</v>
      </c>
      <c r="P39" s="5">
        <v>0</v>
      </c>
      <c r="Q39" s="5">
        <v>0</v>
      </c>
      <c r="R39" s="9" t="s">
        <v>190</v>
      </c>
      <c r="S39" s="5">
        <v>165.1</v>
      </c>
      <c r="T39" s="5">
        <v>-30</v>
      </c>
      <c r="U39" s="5" t="s">
        <v>191</v>
      </c>
      <c r="V39" s="61">
        <f>_xlfn.XMATCH(Tabla4[[#This Row],[EAN CORREGIDO]],'Calcular necesidad'!L:L)</f>
        <v>28</v>
      </c>
      <c r="W39" s="61" t="str">
        <f>TRIM(Tabla4[[#This Row],[CodInternoArti]])</f>
        <v>EMB000038</v>
      </c>
    </row>
    <row r="40" spans="1:23" hidden="1" x14ac:dyDescent="0.35">
      <c r="A40" s="5">
        <v>2006739</v>
      </c>
      <c r="B40" s="35">
        <v>7790321020237</v>
      </c>
      <c r="C40" s="7" t="s">
        <v>300</v>
      </c>
      <c r="D40" s="7" t="s">
        <v>194</v>
      </c>
      <c r="E40" s="7" t="s">
        <v>206</v>
      </c>
      <c r="F40" s="7" t="s">
        <v>301</v>
      </c>
      <c r="G40" s="7" t="s">
        <v>6</v>
      </c>
      <c r="H40" s="6"/>
      <c r="I40" s="6"/>
      <c r="J40" s="6">
        <v>1</v>
      </c>
      <c r="K40" s="6"/>
      <c r="L40" s="6"/>
      <c r="M40" s="7"/>
      <c r="N40" s="8">
        <v>1.3</v>
      </c>
      <c r="O40" s="5">
        <v>0</v>
      </c>
      <c r="P40" s="5">
        <v>0</v>
      </c>
      <c r="Q40" s="5">
        <v>0</v>
      </c>
      <c r="R40" s="9" t="s">
        <v>190</v>
      </c>
      <c r="S40" s="5">
        <v>1.3</v>
      </c>
      <c r="T40" s="5">
        <v>0</v>
      </c>
      <c r="U40" s="5" t="s">
        <v>191</v>
      </c>
      <c r="V40" s="61">
        <f>_xlfn.XMATCH(Tabla4[[#This Row],[EAN CORREGIDO]],'Calcular necesidad'!L:L)</f>
        <v>75</v>
      </c>
      <c r="W40" s="61" t="str">
        <f>TRIM(Tabla4[[#This Row],[CodInternoArti]])</f>
        <v>7790321020237</v>
      </c>
    </row>
    <row r="41" spans="1:23" hidden="1" x14ac:dyDescent="0.35">
      <c r="A41" s="5">
        <v>2006393</v>
      </c>
      <c r="B41" s="35">
        <v>7790321020326</v>
      </c>
      <c r="C41" s="7" t="s">
        <v>302</v>
      </c>
      <c r="D41" s="7" t="s">
        <v>303</v>
      </c>
      <c r="E41" s="7" t="s">
        <v>279</v>
      </c>
      <c r="F41" s="7" t="s">
        <v>304</v>
      </c>
      <c r="G41" s="7" t="s">
        <v>6</v>
      </c>
      <c r="H41" s="6"/>
      <c r="I41" s="6">
        <v>2</v>
      </c>
      <c r="J41" s="6">
        <v>2</v>
      </c>
      <c r="K41" s="6">
        <v>4</v>
      </c>
      <c r="L41" s="6"/>
      <c r="M41" s="7">
        <v>2</v>
      </c>
      <c r="N41" s="8">
        <v>13</v>
      </c>
      <c r="O41" s="5">
        <v>0</v>
      </c>
      <c r="P41" s="5">
        <v>0</v>
      </c>
      <c r="Q41" s="5">
        <v>309</v>
      </c>
      <c r="R41" s="9" t="s">
        <v>305</v>
      </c>
      <c r="S41" s="5">
        <v>0</v>
      </c>
      <c r="T41" s="5">
        <v>-2</v>
      </c>
      <c r="U41" s="5" t="s">
        <v>191</v>
      </c>
      <c r="V41" s="61">
        <f>_xlfn.XMATCH(Tabla4[[#This Row],[EAN CORREGIDO]],'Calcular necesidad'!L:L)</f>
        <v>56</v>
      </c>
      <c r="W41" s="61" t="str">
        <f>TRIM(Tabla4[[#This Row],[CodInternoArti]])</f>
        <v>7790321020326</v>
      </c>
    </row>
    <row r="42" spans="1:23" hidden="1" x14ac:dyDescent="0.35">
      <c r="A42" s="5">
        <v>2006224</v>
      </c>
      <c r="B42" s="35">
        <v>7790321020146</v>
      </c>
      <c r="C42" s="7" t="s">
        <v>306</v>
      </c>
      <c r="D42" s="7" t="s">
        <v>188</v>
      </c>
      <c r="E42" s="7" t="s">
        <v>293</v>
      </c>
      <c r="F42" s="7" t="s">
        <v>307</v>
      </c>
      <c r="G42" s="7" t="s">
        <v>6</v>
      </c>
      <c r="H42" s="6">
        <v>3</v>
      </c>
      <c r="I42" s="6">
        <v>87</v>
      </c>
      <c r="J42" s="6"/>
      <c r="K42" s="6">
        <v>75</v>
      </c>
      <c r="L42" s="6"/>
      <c r="M42" s="7">
        <v>85</v>
      </c>
      <c r="N42" s="8">
        <v>325</v>
      </c>
      <c r="O42" s="5">
        <v>0</v>
      </c>
      <c r="P42" s="5">
        <v>0</v>
      </c>
      <c r="Q42" s="5">
        <v>0</v>
      </c>
      <c r="R42" s="9" t="s">
        <v>190</v>
      </c>
      <c r="S42" s="5">
        <v>325</v>
      </c>
      <c r="T42" s="5">
        <v>-90</v>
      </c>
      <c r="U42" s="5" t="s">
        <v>191</v>
      </c>
      <c r="V42" s="61">
        <f>_xlfn.XMATCH(Tabla4[[#This Row],[EAN CORREGIDO]],'Calcular necesidad'!L:L)</f>
        <v>64</v>
      </c>
      <c r="W42" s="61" t="str">
        <f>TRIM(Tabla4[[#This Row],[CodInternoArti]])</f>
        <v>7790321020146</v>
      </c>
    </row>
    <row r="43" spans="1:23" hidden="1" x14ac:dyDescent="0.35">
      <c r="A43" s="5">
        <v>2006778</v>
      </c>
      <c r="B43" s="35" t="s">
        <v>308</v>
      </c>
      <c r="C43" s="7" t="s">
        <v>309</v>
      </c>
      <c r="D43" s="7" t="s">
        <v>194</v>
      </c>
      <c r="E43" s="7" t="s">
        <v>36</v>
      </c>
      <c r="F43" s="7" t="s">
        <v>310</v>
      </c>
      <c r="G43" s="7" t="s">
        <v>6</v>
      </c>
      <c r="H43" s="6">
        <v>1</v>
      </c>
      <c r="I43" s="6">
        <v>2</v>
      </c>
      <c r="J43" s="6"/>
      <c r="K43" s="6"/>
      <c r="L43" s="6"/>
      <c r="M43" s="7"/>
      <c r="N43" s="8">
        <v>3.9</v>
      </c>
      <c r="O43" s="5">
        <v>0</v>
      </c>
      <c r="P43" s="5">
        <v>0</v>
      </c>
      <c r="Q43" s="5">
        <v>0</v>
      </c>
      <c r="R43" s="9" t="s">
        <v>190</v>
      </c>
      <c r="S43" s="5">
        <v>3.9</v>
      </c>
      <c r="T43" s="5">
        <v>-3</v>
      </c>
      <c r="U43" s="5" t="s">
        <v>191</v>
      </c>
      <c r="V43" s="61">
        <f>_xlfn.XMATCH(Tabla4[[#This Row],[EAN CORREGIDO]],'Calcular necesidad'!L:L)</f>
        <v>25</v>
      </c>
      <c r="W43" s="61" t="str">
        <f>TRIM(Tabla4[[#This Row],[CodInternoArti]])</f>
        <v>13014007A</v>
      </c>
    </row>
    <row r="44" spans="1:23" hidden="1" x14ac:dyDescent="0.35">
      <c r="A44" s="5">
        <v>2006220</v>
      </c>
      <c r="B44" s="35" t="s">
        <v>311</v>
      </c>
      <c r="C44" s="7" t="s">
        <v>312</v>
      </c>
      <c r="D44" s="7" t="s">
        <v>188</v>
      </c>
      <c r="E44" s="7" t="s">
        <v>189</v>
      </c>
      <c r="F44" s="7" t="s">
        <v>189</v>
      </c>
      <c r="G44" s="7" t="s">
        <v>6</v>
      </c>
      <c r="H44" s="6">
        <v>5</v>
      </c>
      <c r="I44" s="6">
        <v>10</v>
      </c>
      <c r="J44" s="6">
        <v>5</v>
      </c>
      <c r="K44" s="6">
        <v>10</v>
      </c>
      <c r="L44" s="6">
        <v>5</v>
      </c>
      <c r="M44" s="7">
        <v>10</v>
      </c>
      <c r="N44" s="8">
        <v>58.5</v>
      </c>
      <c r="O44" s="5">
        <v>0</v>
      </c>
      <c r="P44" s="5">
        <v>0</v>
      </c>
      <c r="Q44" s="5">
        <v>0</v>
      </c>
      <c r="R44" s="9" t="s">
        <v>190</v>
      </c>
      <c r="S44" s="5">
        <v>58.5</v>
      </c>
      <c r="T44" s="5">
        <v>-15</v>
      </c>
      <c r="U44" s="5" t="s">
        <v>191</v>
      </c>
      <c r="V44" s="61">
        <f>_xlfn.XMATCH(Tabla4[[#This Row],[EAN CORREGIDO]],'Calcular necesidad'!L:L)</f>
        <v>13</v>
      </c>
      <c r="W44" s="61" t="str">
        <f>TRIM(Tabla4[[#This Row],[CodInternoArti]])</f>
        <v>16208000A</v>
      </c>
    </row>
    <row r="45" spans="1:23" hidden="1" x14ac:dyDescent="0.35">
      <c r="A45" s="5">
        <v>2006649</v>
      </c>
      <c r="B45" s="35">
        <v>7790321020176</v>
      </c>
      <c r="C45" s="7" t="s">
        <v>313</v>
      </c>
      <c r="D45" s="7" t="s">
        <v>275</v>
      </c>
      <c r="E45" s="7" t="s">
        <v>314</v>
      </c>
      <c r="F45" s="7" t="s">
        <v>314</v>
      </c>
      <c r="G45" s="7" t="s">
        <v>6</v>
      </c>
      <c r="H45" s="6">
        <v>3</v>
      </c>
      <c r="I45" s="6">
        <v>6</v>
      </c>
      <c r="J45" s="6">
        <v>5</v>
      </c>
      <c r="K45" s="6">
        <v>9</v>
      </c>
      <c r="L45" s="6">
        <v>2</v>
      </c>
      <c r="M45" s="7">
        <v>6</v>
      </c>
      <c r="N45" s="8">
        <v>40.299999999999997</v>
      </c>
      <c r="O45" s="5">
        <v>0</v>
      </c>
      <c r="P45" s="5">
        <v>0</v>
      </c>
      <c r="Q45" s="5">
        <v>0</v>
      </c>
      <c r="R45" s="9" t="s">
        <v>190</v>
      </c>
      <c r="S45" s="5">
        <v>40.299999999999997</v>
      </c>
      <c r="T45" s="5">
        <v>-9</v>
      </c>
      <c r="U45" s="5" t="s">
        <v>191</v>
      </c>
      <c r="V45" s="61">
        <f>_xlfn.XMATCH(Tabla4[[#This Row],[EAN CORREGIDO]],'Calcular necesidad'!L:L)</f>
        <v>41</v>
      </c>
      <c r="W45" s="61" t="str">
        <f>TRIM(Tabla4[[#This Row],[CodInternoArti]])</f>
        <v>7790321020176</v>
      </c>
    </row>
    <row r="46" spans="1:23" hidden="1" x14ac:dyDescent="0.35">
      <c r="A46" s="5">
        <v>2006449</v>
      </c>
      <c r="B46" s="35">
        <v>7790321020186</v>
      </c>
      <c r="C46" s="7" t="s">
        <v>315</v>
      </c>
      <c r="D46" s="7" t="s">
        <v>275</v>
      </c>
      <c r="E46" s="7" t="s">
        <v>314</v>
      </c>
      <c r="F46" s="7" t="s">
        <v>314</v>
      </c>
      <c r="G46" s="7" t="s">
        <v>6</v>
      </c>
      <c r="H46" s="6">
        <v>9</v>
      </c>
      <c r="I46" s="6">
        <v>9</v>
      </c>
      <c r="J46" s="6">
        <v>6</v>
      </c>
      <c r="K46" s="6">
        <v>10</v>
      </c>
      <c r="L46" s="6">
        <v>6</v>
      </c>
      <c r="M46" s="7">
        <v>9</v>
      </c>
      <c r="N46" s="8">
        <v>63.7</v>
      </c>
      <c r="O46" s="5">
        <v>36</v>
      </c>
      <c r="P46" s="5">
        <v>0</v>
      </c>
      <c r="Q46" s="5">
        <v>20</v>
      </c>
      <c r="R46" s="9" t="s">
        <v>190</v>
      </c>
      <c r="S46" s="5">
        <v>7.7000000000000028</v>
      </c>
      <c r="T46" s="5">
        <v>18</v>
      </c>
      <c r="U46" s="5" t="s">
        <v>191</v>
      </c>
      <c r="V46" s="61">
        <f>_xlfn.XMATCH(Tabla4[[#This Row],[EAN CORREGIDO]],'Calcular necesidad'!L:L)</f>
        <v>53</v>
      </c>
      <c r="W46" s="61" t="str">
        <f>TRIM(Tabla4[[#This Row],[CodInternoArti]])</f>
        <v>7790321020186</v>
      </c>
    </row>
    <row r="47" spans="1:23" hidden="1" x14ac:dyDescent="0.35">
      <c r="A47" s="5">
        <v>2006690</v>
      </c>
      <c r="B47" s="35">
        <v>7790321020526</v>
      </c>
      <c r="C47" s="7" t="s">
        <v>316</v>
      </c>
      <c r="D47" s="7" t="s">
        <v>216</v>
      </c>
      <c r="E47" s="7" t="s">
        <v>217</v>
      </c>
      <c r="F47" s="7" t="s">
        <v>218</v>
      </c>
      <c r="G47" s="7" t="s">
        <v>6</v>
      </c>
      <c r="H47" s="6">
        <v>1</v>
      </c>
      <c r="I47" s="6">
        <v>3</v>
      </c>
      <c r="J47" s="6">
        <v>1</v>
      </c>
      <c r="K47" s="6">
        <v>3</v>
      </c>
      <c r="L47" s="6">
        <v>1</v>
      </c>
      <c r="M47" s="7">
        <v>3</v>
      </c>
      <c r="N47" s="8">
        <v>15.6</v>
      </c>
      <c r="O47" s="5">
        <v>0</v>
      </c>
      <c r="P47" s="5">
        <v>0</v>
      </c>
      <c r="Q47" s="5">
        <v>0</v>
      </c>
      <c r="R47" s="9" t="s">
        <v>190</v>
      </c>
      <c r="S47" s="5">
        <v>15.6</v>
      </c>
      <c r="T47" s="5">
        <v>-4</v>
      </c>
      <c r="U47" s="5" t="s">
        <v>191</v>
      </c>
      <c r="V47" s="61">
        <f>_xlfn.XMATCH(Tabla4[[#This Row],[EAN CORREGIDO]],'Calcular necesidad'!L:L)</f>
        <v>55</v>
      </c>
      <c r="W47" s="61" t="str">
        <f>TRIM(Tabla4[[#This Row],[CodInternoArti]])</f>
        <v>7790321020526</v>
      </c>
    </row>
    <row r="48" spans="1:23" hidden="1" x14ac:dyDescent="0.35">
      <c r="A48" s="5">
        <v>2006223</v>
      </c>
      <c r="B48" s="35">
        <v>7790321020126</v>
      </c>
      <c r="C48" s="7" t="s">
        <v>317</v>
      </c>
      <c r="D48" s="7" t="s">
        <v>188</v>
      </c>
      <c r="E48" s="7" t="s">
        <v>293</v>
      </c>
      <c r="F48" s="7" t="s">
        <v>318</v>
      </c>
      <c r="G48" s="7" t="s">
        <v>5</v>
      </c>
      <c r="H48" s="6"/>
      <c r="I48" s="6">
        <v>5</v>
      </c>
      <c r="J48" s="6"/>
      <c r="K48" s="6">
        <v>5</v>
      </c>
      <c r="L48" s="6"/>
      <c r="M48" s="7">
        <v>5</v>
      </c>
      <c r="N48" s="8">
        <v>19.5</v>
      </c>
      <c r="O48" s="5">
        <v>0</v>
      </c>
      <c r="P48" s="5">
        <v>0</v>
      </c>
      <c r="Q48" s="5">
        <v>0</v>
      </c>
      <c r="R48" s="9" t="s">
        <v>190</v>
      </c>
      <c r="S48" s="5">
        <v>19.5</v>
      </c>
      <c r="T48" s="5">
        <v>-5</v>
      </c>
      <c r="U48" s="5" t="s">
        <v>191</v>
      </c>
      <c r="V48" s="61">
        <f>_xlfn.XMATCH(Tabla4[[#This Row],[EAN CORREGIDO]],'Calcular necesidad'!L:L)</f>
        <v>38</v>
      </c>
      <c r="W48" s="61" t="str">
        <f>TRIM(Tabla4[[#This Row],[CodInternoArti]])</f>
        <v>7790321020126</v>
      </c>
    </row>
    <row r="49" spans="1:23" hidden="1" x14ac:dyDescent="0.35">
      <c r="A49" s="5">
        <v>2006475</v>
      </c>
      <c r="B49" s="35">
        <v>7790321020346</v>
      </c>
      <c r="C49" s="7" t="s">
        <v>319</v>
      </c>
      <c r="D49" s="7" t="s">
        <v>320</v>
      </c>
      <c r="E49" s="7" t="s">
        <v>321</v>
      </c>
      <c r="F49" s="7" t="s">
        <v>322</v>
      </c>
      <c r="G49" s="7" t="s">
        <v>6</v>
      </c>
      <c r="H49" s="6">
        <v>24</v>
      </c>
      <c r="I49" s="6">
        <v>27</v>
      </c>
      <c r="J49" s="6">
        <v>24</v>
      </c>
      <c r="K49" s="6">
        <v>34</v>
      </c>
      <c r="L49" s="6">
        <v>14</v>
      </c>
      <c r="M49" s="7">
        <v>25</v>
      </c>
      <c r="N49" s="8">
        <v>192.4</v>
      </c>
      <c r="O49" s="5">
        <v>0</v>
      </c>
      <c r="P49" s="5">
        <v>0</v>
      </c>
      <c r="Q49" s="5">
        <v>160</v>
      </c>
      <c r="R49" s="9" t="s">
        <v>190</v>
      </c>
      <c r="S49" s="5">
        <v>32.400000000000013</v>
      </c>
      <c r="T49" s="5">
        <v>-51</v>
      </c>
      <c r="U49" s="5" t="s">
        <v>191</v>
      </c>
      <c r="V49" s="61">
        <f>_xlfn.XMATCH(Tabla4[[#This Row],[EAN CORREGIDO]],'Calcular necesidad'!L:L)</f>
        <v>33</v>
      </c>
      <c r="W49" s="61" t="str">
        <f>TRIM(Tabla4[[#This Row],[CodInternoArti]])</f>
        <v>7790321020346</v>
      </c>
    </row>
    <row r="50" spans="1:23" hidden="1" x14ac:dyDescent="0.35">
      <c r="A50" s="5">
        <v>2006795</v>
      </c>
      <c r="B50" s="35">
        <v>7790321020066</v>
      </c>
      <c r="C50" s="7" t="s">
        <v>323</v>
      </c>
      <c r="D50" s="7" t="s">
        <v>281</v>
      </c>
      <c r="E50" s="7" t="s">
        <v>282</v>
      </c>
      <c r="F50" s="7" t="s">
        <v>297</v>
      </c>
      <c r="G50" s="7" t="s">
        <v>6</v>
      </c>
      <c r="H50" s="6"/>
      <c r="I50" s="6">
        <v>1</v>
      </c>
      <c r="J50" s="6">
        <v>2</v>
      </c>
      <c r="K50" s="6">
        <v>3</v>
      </c>
      <c r="L50" s="6"/>
      <c r="M50" s="7">
        <v>1</v>
      </c>
      <c r="N50" s="8">
        <v>9.1</v>
      </c>
      <c r="O50" s="5">
        <v>0</v>
      </c>
      <c r="P50" s="5">
        <v>0</v>
      </c>
      <c r="Q50" s="5">
        <v>477</v>
      </c>
      <c r="R50" s="9" t="s">
        <v>305</v>
      </c>
      <c r="S50" s="5">
        <v>0</v>
      </c>
      <c r="T50" s="5">
        <v>-1</v>
      </c>
      <c r="U50" s="5" t="s">
        <v>191</v>
      </c>
      <c r="V50" s="61">
        <f>_xlfn.XMATCH(Tabla4[[#This Row],[EAN CORREGIDO]],'Calcular necesidad'!L:L)</f>
        <v>72</v>
      </c>
      <c r="W50" s="61" t="str">
        <f>TRIM(Tabla4[[#This Row],[CodInternoArti]])</f>
        <v>7790321020066</v>
      </c>
    </row>
    <row r="51" spans="1:23" hidden="1" x14ac:dyDescent="0.35">
      <c r="A51" s="5">
        <v>2006391</v>
      </c>
      <c r="B51" s="35">
        <v>7790321020276</v>
      </c>
      <c r="C51" s="7" t="s">
        <v>324</v>
      </c>
      <c r="D51" s="7" t="s">
        <v>278</v>
      </c>
      <c r="E51" s="7" t="s">
        <v>279</v>
      </c>
      <c r="F51" s="7" t="s">
        <v>77</v>
      </c>
      <c r="G51" s="7" t="s">
        <v>6</v>
      </c>
      <c r="H51" s="6">
        <v>93</v>
      </c>
      <c r="I51" s="6">
        <v>89</v>
      </c>
      <c r="J51" s="6">
        <v>95</v>
      </c>
      <c r="K51" s="6">
        <v>100</v>
      </c>
      <c r="L51" s="6">
        <v>90</v>
      </c>
      <c r="M51" s="7">
        <v>89</v>
      </c>
      <c r="N51" s="8">
        <v>722.80000000000007</v>
      </c>
      <c r="O51" s="5">
        <v>362</v>
      </c>
      <c r="P51" s="5">
        <v>0</v>
      </c>
      <c r="Q51" s="5">
        <v>0</v>
      </c>
      <c r="R51" s="9" t="s">
        <v>190</v>
      </c>
      <c r="S51" s="5">
        <v>360.80000000000013</v>
      </c>
      <c r="T51" s="5">
        <v>180</v>
      </c>
      <c r="U51" s="5" t="s">
        <v>191</v>
      </c>
      <c r="V51" s="61">
        <f>_xlfn.XMATCH(Tabla4[[#This Row],[EAN CORREGIDO]],'Calcular necesidad'!L:L)</f>
        <v>73</v>
      </c>
      <c r="W51" s="61" t="str">
        <f>TRIM(Tabla4[[#This Row],[CodInternoArti]])</f>
        <v>7790321020276</v>
      </c>
    </row>
    <row r="52" spans="1:23" hidden="1" x14ac:dyDescent="0.35">
      <c r="A52" s="5">
        <v>2006476</v>
      </c>
      <c r="B52" s="35">
        <v>7790321020356</v>
      </c>
      <c r="C52" s="7" t="s">
        <v>325</v>
      </c>
      <c r="D52" s="7" t="s">
        <v>320</v>
      </c>
      <c r="E52" s="7" t="s">
        <v>321</v>
      </c>
      <c r="F52" s="7" t="s">
        <v>322</v>
      </c>
      <c r="G52" s="7" t="s">
        <v>6</v>
      </c>
      <c r="H52" s="6">
        <v>9</v>
      </c>
      <c r="I52" s="6">
        <v>2</v>
      </c>
      <c r="J52" s="6">
        <v>2</v>
      </c>
      <c r="K52" s="6">
        <v>4</v>
      </c>
      <c r="L52" s="6"/>
      <c r="M52" s="7">
        <v>2</v>
      </c>
      <c r="N52" s="8">
        <v>24.7</v>
      </c>
      <c r="O52" s="5">
        <v>0</v>
      </c>
      <c r="P52" s="5">
        <v>4</v>
      </c>
      <c r="Q52" s="5">
        <v>0</v>
      </c>
      <c r="R52" s="9" t="s">
        <v>190</v>
      </c>
      <c r="S52" s="5">
        <v>20.7</v>
      </c>
      <c r="T52" s="5">
        <v>-11</v>
      </c>
      <c r="U52" s="5" t="s">
        <v>191</v>
      </c>
      <c r="V52" s="61">
        <f>_xlfn.XMATCH(Tabla4[[#This Row],[EAN CORREGIDO]],'Calcular necesidad'!L:L)</f>
        <v>74</v>
      </c>
      <c r="W52" s="61" t="str">
        <f>TRIM(Tabla4[[#This Row],[CodInternoArti]])</f>
        <v>7790321020356</v>
      </c>
    </row>
    <row r="53" spans="1:23" hidden="1" x14ac:dyDescent="0.35">
      <c r="A53" s="5">
        <v>2006201</v>
      </c>
      <c r="B53" s="35">
        <v>7790321008512</v>
      </c>
      <c r="C53" s="7" t="s">
        <v>326</v>
      </c>
      <c r="D53" s="7" t="s">
        <v>278</v>
      </c>
      <c r="E53" s="7" t="s">
        <v>327</v>
      </c>
      <c r="F53" s="7" t="s">
        <v>328</v>
      </c>
      <c r="G53" s="7" t="s">
        <v>6</v>
      </c>
      <c r="H53" s="6">
        <v>2</v>
      </c>
      <c r="I53" s="6">
        <v>2</v>
      </c>
      <c r="J53" s="6">
        <v>2</v>
      </c>
      <c r="K53" s="6">
        <v>2</v>
      </c>
      <c r="L53" s="6">
        <v>2</v>
      </c>
      <c r="M53" s="7">
        <v>4</v>
      </c>
      <c r="N53" s="8">
        <v>18.2</v>
      </c>
      <c r="O53" s="5">
        <v>0</v>
      </c>
      <c r="P53" s="5">
        <v>0</v>
      </c>
      <c r="Q53" s="5">
        <v>0</v>
      </c>
      <c r="R53" s="9" t="s">
        <v>190</v>
      </c>
      <c r="S53" s="5">
        <v>18.2</v>
      </c>
      <c r="T53" s="5">
        <v>-4</v>
      </c>
      <c r="U53" s="5" t="s">
        <v>191</v>
      </c>
      <c r="V53" s="61">
        <f>_xlfn.XMATCH(Tabla4[[#This Row],[EAN CORREGIDO]],'Calcular necesidad'!L:L)</f>
        <v>63</v>
      </c>
      <c r="W53" s="61" t="str">
        <f>TRIM(Tabla4[[#This Row],[CodInternoArti]])</f>
        <v>7790321008512</v>
      </c>
    </row>
    <row r="54" spans="1:23" hidden="1" x14ac:dyDescent="0.35">
      <c r="A54" s="5">
        <v>2006793</v>
      </c>
      <c r="B54" s="35">
        <v>7790321020316</v>
      </c>
      <c r="C54" s="7" t="s">
        <v>329</v>
      </c>
      <c r="D54" s="7" t="s">
        <v>206</v>
      </c>
      <c r="E54" s="7" t="s">
        <v>321</v>
      </c>
      <c r="F54" s="7" t="s">
        <v>330</v>
      </c>
      <c r="G54" s="7" t="s">
        <v>6</v>
      </c>
      <c r="H54" s="6">
        <v>5</v>
      </c>
      <c r="I54" s="6"/>
      <c r="J54" s="6">
        <v>5</v>
      </c>
      <c r="K54" s="6"/>
      <c r="L54" s="6">
        <v>5</v>
      </c>
      <c r="M54" s="7"/>
      <c r="N54" s="8">
        <v>19.5</v>
      </c>
      <c r="O54" s="5">
        <v>0</v>
      </c>
      <c r="P54" s="5">
        <v>0</v>
      </c>
      <c r="Q54" s="5">
        <v>0</v>
      </c>
      <c r="R54" s="9" t="s">
        <v>190</v>
      </c>
      <c r="S54" s="5">
        <v>19.5</v>
      </c>
      <c r="T54" s="5">
        <v>-5</v>
      </c>
      <c r="U54" s="5" t="s">
        <v>191</v>
      </c>
      <c r="V54" s="61">
        <f>_xlfn.XMATCH(Tabla4[[#This Row],[EAN CORREGIDO]],'Calcular necesidad'!L:L)</f>
        <v>62</v>
      </c>
      <c r="W54" s="61" t="str">
        <f>TRIM(Tabla4[[#This Row],[CodInternoArti]])</f>
        <v>7790321020316</v>
      </c>
    </row>
    <row r="55" spans="1:23" hidden="1" x14ac:dyDescent="0.35">
      <c r="A55" s="5">
        <v>2006394</v>
      </c>
      <c r="B55" s="35">
        <v>7790321020396</v>
      </c>
      <c r="C55" s="7" t="s">
        <v>331</v>
      </c>
      <c r="D55" s="7" t="s">
        <v>320</v>
      </c>
      <c r="E55" s="7" t="s">
        <v>332</v>
      </c>
      <c r="F55" s="7" t="s">
        <v>333</v>
      </c>
      <c r="G55" s="7" t="s">
        <v>6</v>
      </c>
      <c r="H55" s="6">
        <v>696</v>
      </c>
      <c r="I55" s="6">
        <v>811</v>
      </c>
      <c r="J55" s="6">
        <v>831</v>
      </c>
      <c r="K55" s="6">
        <v>935</v>
      </c>
      <c r="L55" s="6">
        <v>702</v>
      </c>
      <c r="M55" s="7">
        <v>803</v>
      </c>
      <c r="N55" s="8">
        <v>6211.4000000000005</v>
      </c>
      <c r="O55" s="5">
        <v>0</v>
      </c>
      <c r="P55" s="5">
        <v>0</v>
      </c>
      <c r="Q55" s="5">
        <v>0</v>
      </c>
      <c r="R55" s="9" t="s">
        <v>190</v>
      </c>
      <c r="S55" s="5">
        <v>6211.4000000000005</v>
      </c>
      <c r="T55" s="5">
        <v>-1507</v>
      </c>
      <c r="U55" s="5" t="s">
        <v>191</v>
      </c>
      <c r="V55" s="61">
        <f>_xlfn.XMATCH(Tabla4[[#This Row],[EAN CORREGIDO]],'Calcular necesidad'!L:L)</f>
        <v>61</v>
      </c>
      <c r="W55" s="61" t="str">
        <f>TRIM(Tabla4[[#This Row],[CodInternoArti]])</f>
        <v>7790321020396</v>
      </c>
    </row>
    <row r="56" spans="1:23" hidden="1" x14ac:dyDescent="0.35">
      <c r="A56" s="5">
        <v>2006645</v>
      </c>
      <c r="B56" s="35">
        <v>7790321020047</v>
      </c>
      <c r="C56" s="7" t="s">
        <v>334</v>
      </c>
      <c r="D56" s="7" t="s">
        <v>281</v>
      </c>
      <c r="E56" s="7" t="s">
        <v>290</v>
      </c>
      <c r="F56" s="7" t="s">
        <v>335</v>
      </c>
      <c r="G56" s="7" t="s">
        <v>6</v>
      </c>
      <c r="H56" s="6">
        <v>1</v>
      </c>
      <c r="I56" s="6">
        <v>10</v>
      </c>
      <c r="J56" s="6"/>
      <c r="K56" s="6">
        <v>10</v>
      </c>
      <c r="L56" s="6">
        <v>1</v>
      </c>
      <c r="M56" s="7">
        <v>10</v>
      </c>
      <c r="N56" s="8">
        <v>41.6</v>
      </c>
      <c r="O56" s="5">
        <v>0</v>
      </c>
      <c r="P56" s="5">
        <v>0</v>
      </c>
      <c r="Q56" s="5">
        <v>0</v>
      </c>
      <c r="R56" s="9" t="s">
        <v>190</v>
      </c>
      <c r="S56" s="5">
        <v>41.6</v>
      </c>
      <c r="T56" s="5">
        <v>-11</v>
      </c>
      <c r="U56" s="5" t="s">
        <v>191</v>
      </c>
      <c r="V56" s="61">
        <f>_xlfn.XMATCH(Tabla4[[#This Row],[EAN CORREGIDO]],'Calcular necesidad'!L:L)</f>
        <v>65</v>
      </c>
      <c r="W56" s="61" t="str">
        <f>TRIM(Tabla4[[#This Row],[CodInternoArti]])</f>
        <v>7790321020047</v>
      </c>
    </row>
    <row r="57" spans="1:23" hidden="1" x14ac:dyDescent="0.35">
      <c r="A57" s="5">
        <v>2006451</v>
      </c>
      <c r="B57" s="35">
        <v>7790321000063</v>
      </c>
      <c r="C57" s="7" t="s">
        <v>336</v>
      </c>
      <c r="D57" s="7" t="s">
        <v>278</v>
      </c>
      <c r="E57" s="7" t="s">
        <v>279</v>
      </c>
      <c r="F57" s="7" t="s">
        <v>337</v>
      </c>
      <c r="G57" s="7" t="s">
        <v>6</v>
      </c>
      <c r="H57" s="6"/>
      <c r="I57" s="6"/>
      <c r="J57" s="6"/>
      <c r="K57" s="6">
        <v>7</v>
      </c>
      <c r="L57" s="6"/>
      <c r="M57" s="7"/>
      <c r="N57" s="8">
        <v>9.1</v>
      </c>
      <c r="O57" s="5">
        <v>74</v>
      </c>
      <c r="P57" s="5">
        <v>0</v>
      </c>
      <c r="Q57" s="5">
        <v>185</v>
      </c>
      <c r="R57" s="9" t="s">
        <v>338</v>
      </c>
      <c r="S57" s="5">
        <v>0</v>
      </c>
      <c r="T57" s="5">
        <v>74</v>
      </c>
      <c r="U57" s="5" t="s">
        <v>191</v>
      </c>
      <c r="V57" s="61">
        <f>_xlfn.XMATCH(Tabla4[[#This Row],[EAN CORREGIDO]],'Calcular necesidad'!L:L)</f>
        <v>76</v>
      </c>
      <c r="W57" s="61" t="str">
        <f>TRIM(Tabla4[[#This Row],[CodInternoArti]])</f>
        <v>7790321000063</v>
      </c>
    </row>
    <row r="58" spans="1:23" hidden="1" x14ac:dyDescent="0.35">
      <c r="A58" s="5">
        <v>2006865</v>
      </c>
      <c r="B58" s="35" t="s">
        <v>339</v>
      </c>
      <c r="C58" s="7" t="s">
        <v>340</v>
      </c>
      <c r="D58" s="7" t="s">
        <v>188</v>
      </c>
      <c r="E58" s="7" t="s">
        <v>189</v>
      </c>
      <c r="F58" s="7" t="s">
        <v>189</v>
      </c>
      <c r="G58" s="7" t="s">
        <v>6</v>
      </c>
      <c r="H58" s="6">
        <v>1</v>
      </c>
      <c r="I58" s="6"/>
      <c r="J58" s="6"/>
      <c r="K58" s="6"/>
      <c r="L58" s="6">
        <v>1</v>
      </c>
      <c r="M58" s="7"/>
      <c r="N58" s="8">
        <v>2.6</v>
      </c>
      <c r="O58" s="5">
        <v>0</v>
      </c>
      <c r="P58" s="5">
        <v>0</v>
      </c>
      <c r="Q58" s="5">
        <v>0</v>
      </c>
      <c r="R58" s="9" t="s">
        <v>190</v>
      </c>
      <c r="S58" s="5">
        <v>2.6</v>
      </c>
      <c r="T58" s="5">
        <v>-1</v>
      </c>
      <c r="U58" s="5" t="s">
        <v>191</v>
      </c>
      <c r="V58" s="61">
        <f>_xlfn.XMATCH(Tabla4[[#This Row],[EAN CORREGIDO]],'Calcular necesidad'!L:L)</f>
        <v>78</v>
      </c>
      <c r="W58" s="61" t="str">
        <f>TRIM(Tabla4[[#This Row],[CodInternoArti]])</f>
        <v>EMB000055</v>
      </c>
    </row>
    <row r="59" spans="1:23" hidden="1" x14ac:dyDescent="0.35">
      <c r="A59" s="5">
        <v>2006644</v>
      </c>
      <c r="B59" s="35" t="s">
        <v>341</v>
      </c>
      <c r="C59" s="7" t="s">
        <v>342</v>
      </c>
      <c r="D59" s="7" t="s">
        <v>206</v>
      </c>
      <c r="E59" s="7" t="s">
        <v>206</v>
      </c>
      <c r="F59" s="7" t="s">
        <v>39</v>
      </c>
      <c r="G59" s="7" t="s">
        <v>6</v>
      </c>
      <c r="H59" s="6">
        <v>15</v>
      </c>
      <c r="I59" s="6">
        <v>22</v>
      </c>
      <c r="J59" s="6">
        <v>22</v>
      </c>
      <c r="K59" s="6">
        <v>22</v>
      </c>
      <c r="L59" s="6">
        <v>24</v>
      </c>
      <c r="M59" s="7">
        <v>22</v>
      </c>
      <c r="N59" s="8">
        <v>165.1</v>
      </c>
      <c r="O59" s="5">
        <v>0</v>
      </c>
      <c r="P59" s="5">
        <v>0</v>
      </c>
      <c r="Q59" s="5">
        <v>0</v>
      </c>
      <c r="R59" s="9" t="s">
        <v>190</v>
      </c>
      <c r="S59" s="5">
        <v>165.1</v>
      </c>
      <c r="T59" s="5">
        <v>-37</v>
      </c>
      <c r="U59" s="5" t="s">
        <v>191</v>
      </c>
      <c r="V59" s="61">
        <f>_xlfn.XMATCH(Tabla4[[#This Row],[EAN CORREGIDO]],'Calcular necesidad'!L:L)</f>
        <v>32</v>
      </c>
      <c r="W59" s="61" t="str">
        <f>TRIM(Tabla4[[#This Row],[CodInternoArti]])</f>
        <v>EMB000042</v>
      </c>
    </row>
    <row r="60" spans="1:23" hidden="1" x14ac:dyDescent="0.35">
      <c r="A60" s="5">
        <v>2006846</v>
      </c>
      <c r="B60" s="35">
        <v>7790321020904</v>
      </c>
      <c r="C60" s="7" t="s">
        <v>343</v>
      </c>
      <c r="D60" s="7" t="s">
        <v>206</v>
      </c>
      <c r="E60" s="7" t="s">
        <v>344</v>
      </c>
      <c r="F60" s="7" t="s">
        <v>345</v>
      </c>
      <c r="G60" s="7" t="s">
        <v>6</v>
      </c>
      <c r="H60" s="6">
        <v>7</v>
      </c>
      <c r="I60" s="6"/>
      <c r="J60" s="6"/>
      <c r="K60" s="6"/>
      <c r="L60" s="6">
        <v>7</v>
      </c>
      <c r="M60" s="7"/>
      <c r="N60" s="8">
        <v>18.2</v>
      </c>
      <c r="O60" s="5">
        <v>20</v>
      </c>
      <c r="P60" s="5">
        <v>0</v>
      </c>
      <c r="Q60" s="5">
        <v>0</v>
      </c>
      <c r="R60" s="9" t="s">
        <v>338</v>
      </c>
      <c r="S60" s="5">
        <v>0</v>
      </c>
      <c r="T60" s="5">
        <v>13</v>
      </c>
      <c r="U60" s="5" t="s">
        <v>191</v>
      </c>
      <c r="V60" s="61">
        <f>_xlfn.XMATCH(Tabla4[[#This Row],[EAN CORREGIDO]],'Calcular necesidad'!L:L)</f>
        <v>46</v>
      </c>
      <c r="W60" s="61" t="str">
        <f>TRIM(Tabla4[[#This Row],[CodInternoArti]])</f>
        <v>7790321020904</v>
      </c>
    </row>
    <row r="61" spans="1:23" hidden="1" x14ac:dyDescent="0.35">
      <c r="A61" s="5">
        <v>2006483</v>
      </c>
      <c r="B61" s="35">
        <v>7790321020529</v>
      </c>
      <c r="C61" s="7" t="s">
        <v>346</v>
      </c>
      <c r="D61" s="7" t="s">
        <v>216</v>
      </c>
      <c r="E61" s="7" t="s">
        <v>233</v>
      </c>
      <c r="F61" s="7" t="s">
        <v>234</v>
      </c>
      <c r="G61" s="7" t="s">
        <v>6</v>
      </c>
      <c r="H61" s="6">
        <v>4</v>
      </c>
      <c r="I61" s="6">
        <v>7</v>
      </c>
      <c r="J61" s="6">
        <v>12</v>
      </c>
      <c r="K61" s="6">
        <v>5</v>
      </c>
      <c r="L61" s="6">
        <v>9</v>
      </c>
      <c r="M61" s="7">
        <v>7</v>
      </c>
      <c r="N61" s="8">
        <v>57.2</v>
      </c>
      <c r="O61" s="5">
        <v>0</v>
      </c>
      <c r="P61" s="5">
        <v>0</v>
      </c>
      <c r="Q61" s="5">
        <v>0</v>
      </c>
      <c r="R61" s="9" t="s">
        <v>190</v>
      </c>
      <c r="S61" s="5">
        <v>57.2</v>
      </c>
      <c r="T61" s="5">
        <v>-11</v>
      </c>
      <c r="U61" s="5" t="s">
        <v>191</v>
      </c>
      <c r="V61" s="61">
        <f>_xlfn.XMATCH(Tabla4[[#This Row],[EAN CORREGIDO]],'Calcular necesidad'!L:L)</f>
        <v>82</v>
      </c>
      <c r="W61" s="61" t="str">
        <f>TRIM(Tabla4[[#This Row],[CodInternoArti]])</f>
        <v>7790321020529</v>
      </c>
    </row>
    <row r="62" spans="1:23" hidden="1" x14ac:dyDescent="0.35">
      <c r="A62" s="5">
        <v>2006426</v>
      </c>
      <c r="B62" s="35">
        <v>7790321020056</v>
      </c>
      <c r="C62" s="7" t="s">
        <v>347</v>
      </c>
      <c r="D62" s="7" t="s">
        <v>281</v>
      </c>
      <c r="E62" s="7" t="s">
        <v>282</v>
      </c>
      <c r="F62" s="7" t="s">
        <v>283</v>
      </c>
      <c r="G62" s="7" t="s">
        <v>6</v>
      </c>
      <c r="H62" s="6">
        <v>4</v>
      </c>
      <c r="I62" s="6">
        <v>4</v>
      </c>
      <c r="J62" s="6">
        <v>4</v>
      </c>
      <c r="K62" s="6">
        <v>4</v>
      </c>
      <c r="L62" s="6"/>
      <c r="M62" s="7"/>
      <c r="N62" s="8">
        <v>20.8</v>
      </c>
      <c r="O62" s="5">
        <v>0</v>
      </c>
      <c r="P62" s="5">
        <v>0</v>
      </c>
      <c r="Q62" s="5">
        <v>0</v>
      </c>
      <c r="R62" s="9" t="s">
        <v>190</v>
      </c>
      <c r="S62" s="5">
        <v>20.8</v>
      </c>
      <c r="T62" s="5">
        <v>-8</v>
      </c>
      <c r="U62" s="5" t="s">
        <v>191</v>
      </c>
      <c r="V62" s="61">
        <f>_xlfn.XMATCH(Tabla4[[#This Row],[EAN CORREGIDO]],'Calcular necesidad'!L:L)</f>
        <v>57</v>
      </c>
      <c r="W62" s="61" t="str">
        <f>TRIM(Tabla4[[#This Row],[CodInternoArti]])</f>
        <v>7790321020056</v>
      </c>
    </row>
    <row r="63" spans="1:23" hidden="1" x14ac:dyDescent="0.35">
      <c r="A63" s="5">
        <v>2006684</v>
      </c>
      <c r="B63" s="35">
        <v>7790321020286</v>
      </c>
      <c r="C63" s="7" t="s">
        <v>348</v>
      </c>
      <c r="D63" s="7" t="s">
        <v>278</v>
      </c>
      <c r="E63" s="7" t="s">
        <v>279</v>
      </c>
      <c r="F63" s="7" t="s">
        <v>69</v>
      </c>
      <c r="G63" s="7" t="s">
        <v>6</v>
      </c>
      <c r="H63" s="6">
        <v>30</v>
      </c>
      <c r="I63" s="6">
        <v>42</v>
      </c>
      <c r="J63" s="6">
        <v>48</v>
      </c>
      <c r="K63" s="6">
        <v>62</v>
      </c>
      <c r="L63" s="6">
        <v>28</v>
      </c>
      <c r="M63" s="7">
        <v>42</v>
      </c>
      <c r="N63" s="8">
        <v>327.60000000000002</v>
      </c>
      <c r="O63" s="5">
        <v>155</v>
      </c>
      <c r="P63" s="5">
        <v>0</v>
      </c>
      <c r="Q63" s="5">
        <v>0</v>
      </c>
      <c r="R63" s="9" t="s">
        <v>190</v>
      </c>
      <c r="S63" s="5">
        <v>172.6</v>
      </c>
      <c r="T63" s="5">
        <v>83</v>
      </c>
      <c r="U63" s="5" t="s">
        <v>191</v>
      </c>
      <c r="V63" s="61">
        <f>_xlfn.XMATCH(Tabla4[[#This Row],[EAN CORREGIDO]],'Calcular necesidad'!L:L)</f>
        <v>60</v>
      </c>
      <c r="W63" s="61" t="str">
        <f>TRIM(Tabla4[[#This Row],[CodInternoArti]])</f>
        <v>7790321020286</v>
      </c>
    </row>
    <row r="64" spans="1:23" hidden="1" x14ac:dyDescent="0.35">
      <c r="A64" s="5">
        <v>2006683</v>
      </c>
      <c r="B64" s="35">
        <v>7790321020336</v>
      </c>
      <c r="C64" s="7" t="s">
        <v>349</v>
      </c>
      <c r="D64" s="7" t="s">
        <v>275</v>
      </c>
      <c r="E64" s="7" t="s">
        <v>350</v>
      </c>
      <c r="F64" s="7" t="s">
        <v>351</v>
      </c>
      <c r="G64" s="7" t="s">
        <v>6</v>
      </c>
      <c r="H64" s="6">
        <v>21</v>
      </c>
      <c r="I64" s="6">
        <v>35</v>
      </c>
      <c r="J64" s="6">
        <v>21</v>
      </c>
      <c r="K64" s="6">
        <v>36</v>
      </c>
      <c r="L64" s="6">
        <v>16</v>
      </c>
      <c r="M64" s="7">
        <v>34</v>
      </c>
      <c r="N64" s="8">
        <v>211.9</v>
      </c>
      <c r="O64" s="5">
        <v>0</v>
      </c>
      <c r="P64" s="5">
        <v>0</v>
      </c>
      <c r="Q64" s="5">
        <v>0</v>
      </c>
      <c r="R64" s="9" t="s">
        <v>190</v>
      </c>
      <c r="S64" s="5">
        <v>211.9</v>
      </c>
      <c r="T64" s="5">
        <v>-56</v>
      </c>
      <c r="U64" s="5" t="s">
        <v>191</v>
      </c>
      <c r="V64" s="61">
        <f>_xlfn.XMATCH(Tabla4[[#This Row],[EAN CORREGIDO]],'Calcular necesidad'!L:L)</f>
        <v>51</v>
      </c>
      <c r="W64" s="61" t="str">
        <f>TRIM(Tabla4[[#This Row],[CodInternoArti]])</f>
        <v>7790321020336</v>
      </c>
    </row>
    <row r="65" spans="1:23" hidden="1" x14ac:dyDescent="0.35">
      <c r="A65" s="5">
        <v>2006682</v>
      </c>
      <c r="B65" s="35">
        <v>7790321020196</v>
      </c>
      <c r="C65" s="7" t="s">
        <v>352</v>
      </c>
      <c r="D65" s="7" t="s">
        <v>275</v>
      </c>
      <c r="E65" s="7" t="s">
        <v>314</v>
      </c>
      <c r="F65" s="7" t="s">
        <v>314</v>
      </c>
      <c r="G65" s="7" t="s">
        <v>6</v>
      </c>
      <c r="H65" s="6">
        <v>28</v>
      </c>
      <c r="I65" s="6">
        <v>40</v>
      </c>
      <c r="J65" s="6">
        <v>24</v>
      </c>
      <c r="K65" s="6">
        <v>26</v>
      </c>
      <c r="L65" s="6">
        <v>21</v>
      </c>
      <c r="M65" s="7">
        <v>36</v>
      </c>
      <c r="N65" s="8">
        <v>227.5</v>
      </c>
      <c r="O65" s="5">
        <v>0</v>
      </c>
      <c r="P65" s="5">
        <v>0</v>
      </c>
      <c r="Q65" s="5">
        <v>15</v>
      </c>
      <c r="R65" s="9" t="s">
        <v>190</v>
      </c>
      <c r="S65" s="5">
        <v>212.5</v>
      </c>
      <c r="T65" s="5">
        <v>-68</v>
      </c>
      <c r="U65" s="5" t="s">
        <v>191</v>
      </c>
      <c r="V65" s="61">
        <f>_xlfn.XMATCH(Tabla4[[#This Row],[EAN CORREGIDO]],'Calcular necesidad'!L:L)</f>
        <v>54</v>
      </c>
      <c r="W65" s="61" t="str">
        <f>TRIM(Tabla4[[#This Row],[CodInternoArti]])</f>
        <v>7790321020196</v>
      </c>
    </row>
    <row r="66" spans="1:23" hidden="1" x14ac:dyDescent="0.35">
      <c r="A66" s="5">
        <v>2006652</v>
      </c>
      <c r="B66" s="35">
        <v>7790321020266</v>
      </c>
      <c r="C66" s="7" t="s">
        <v>353</v>
      </c>
      <c r="D66" s="7" t="s">
        <v>278</v>
      </c>
      <c r="E66" s="7" t="s">
        <v>279</v>
      </c>
      <c r="F66" s="7" t="s">
        <v>75</v>
      </c>
      <c r="G66" s="7" t="s">
        <v>6</v>
      </c>
      <c r="H66" s="6">
        <v>150</v>
      </c>
      <c r="I66" s="6">
        <v>170</v>
      </c>
      <c r="J66" s="6">
        <v>184</v>
      </c>
      <c r="K66" s="6">
        <v>210</v>
      </c>
      <c r="L66" s="6">
        <v>154</v>
      </c>
      <c r="M66" s="7">
        <v>180</v>
      </c>
      <c r="N66" s="8">
        <v>1362.4</v>
      </c>
      <c r="O66" s="5">
        <v>119</v>
      </c>
      <c r="P66" s="5">
        <v>0</v>
      </c>
      <c r="Q66" s="5">
        <v>612</v>
      </c>
      <c r="R66" s="9" t="s">
        <v>190</v>
      </c>
      <c r="S66" s="5">
        <v>631.40000000000009</v>
      </c>
      <c r="T66" s="5">
        <v>-201</v>
      </c>
      <c r="U66" s="5" t="s">
        <v>191</v>
      </c>
      <c r="V66" s="61">
        <f>_xlfn.XMATCH(Tabla4[[#This Row],[EAN CORREGIDO]],'Calcular necesidad'!L:L)</f>
        <v>69</v>
      </c>
      <c r="W66" s="61" t="str">
        <f>TRIM(Tabla4[[#This Row],[CodInternoArti]])</f>
        <v>7790321020266</v>
      </c>
    </row>
    <row r="67" spans="1:23" hidden="1" x14ac:dyDescent="0.35">
      <c r="A67" s="5">
        <v>2006827</v>
      </c>
      <c r="B67" s="35">
        <v>7790321020306</v>
      </c>
      <c r="C67" s="7" t="s">
        <v>354</v>
      </c>
      <c r="D67" s="7" t="s">
        <v>278</v>
      </c>
      <c r="E67" s="7" t="s">
        <v>327</v>
      </c>
      <c r="F67" s="7" t="s">
        <v>328</v>
      </c>
      <c r="G67" s="7" t="s">
        <v>6</v>
      </c>
      <c r="H67" s="6"/>
      <c r="I67" s="6"/>
      <c r="J67" s="6">
        <v>2</v>
      </c>
      <c r="K67" s="6">
        <v>2</v>
      </c>
      <c r="L67" s="6"/>
      <c r="M67" s="7"/>
      <c r="N67" s="8">
        <v>5.2</v>
      </c>
      <c r="O67" s="5">
        <v>8</v>
      </c>
      <c r="P67" s="5">
        <v>0</v>
      </c>
      <c r="Q67" s="5">
        <v>65</v>
      </c>
      <c r="R67" s="9" t="s">
        <v>338</v>
      </c>
      <c r="S67" s="5">
        <v>0</v>
      </c>
      <c r="T67" s="5">
        <v>8</v>
      </c>
      <c r="U67" s="5" t="s">
        <v>191</v>
      </c>
      <c r="V67" s="61">
        <f>_xlfn.XMATCH(Tabla4[[#This Row],[EAN CORREGIDO]],'Calcular necesidad'!L:L)</f>
        <v>70</v>
      </c>
      <c r="W67" s="61" t="str">
        <f>TRIM(Tabla4[[#This Row],[CodInternoArti]])</f>
        <v>7790321020306</v>
      </c>
    </row>
    <row r="68" spans="1:23" x14ac:dyDescent="0.35">
      <c r="A68" s="5">
        <v>2006678</v>
      </c>
      <c r="B68" s="35" t="s">
        <v>355</v>
      </c>
      <c r="C68" s="7" t="s">
        <v>356</v>
      </c>
      <c r="D68" s="7" t="s">
        <v>206</v>
      </c>
      <c r="E68" s="7" t="s">
        <v>206</v>
      </c>
      <c r="F68" s="7" t="s">
        <v>199</v>
      </c>
      <c r="G68" s="7" t="s">
        <v>6</v>
      </c>
      <c r="H68" s="6">
        <v>20</v>
      </c>
      <c r="I68" s="6">
        <v>20</v>
      </c>
      <c r="J68" s="6">
        <v>20</v>
      </c>
      <c r="K68" s="6">
        <v>20</v>
      </c>
      <c r="L68" s="6">
        <v>20</v>
      </c>
      <c r="M68" s="7">
        <v>20</v>
      </c>
      <c r="N68" s="8">
        <v>156</v>
      </c>
      <c r="O68" s="5">
        <v>0</v>
      </c>
      <c r="P68" s="5">
        <v>0</v>
      </c>
      <c r="Q68" s="5">
        <v>0</v>
      </c>
      <c r="R68" s="9" t="s">
        <v>190</v>
      </c>
      <c r="S68" s="5">
        <v>156</v>
      </c>
      <c r="T68" s="5">
        <v>-40</v>
      </c>
      <c r="U68" s="5" t="s">
        <v>191</v>
      </c>
      <c r="V68" s="61">
        <f>_xlfn.XMATCH(Tabla4[[#This Row],[EAN CORREGIDO]],'Calcular necesidad'!L:L)</f>
        <v>68</v>
      </c>
      <c r="W68" s="61" t="str">
        <f>TRIM(Tabla4[[#This Row],[CodInternoArti]])</f>
        <v>LIM000461</v>
      </c>
    </row>
    <row r="69" spans="1:23" hidden="1" x14ac:dyDescent="0.35">
      <c r="A69" s="5">
        <v>2006633</v>
      </c>
      <c r="B69" s="35">
        <v>7790321123456</v>
      </c>
      <c r="C69" s="7" t="s">
        <v>357</v>
      </c>
      <c r="D69" s="7" t="s">
        <v>194</v>
      </c>
      <c r="E69" s="7" t="s">
        <v>358</v>
      </c>
      <c r="F69" s="7" t="s">
        <v>358</v>
      </c>
      <c r="G69" s="7" t="s">
        <v>6</v>
      </c>
      <c r="H69" s="6"/>
      <c r="I69" s="6">
        <v>3</v>
      </c>
      <c r="J69" s="6">
        <v>2</v>
      </c>
      <c r="K69" s="6"/>
      <c r="L69" s="6"/>
      <c r="M69" s="7">
        <v>1</v>
      </c>
      <c r="N69" s="8">
        <v>7.8000000000000007</v>
      </c>
      <c r="O69" s="5">
        <v>13</v>
      </c>
      <c r="P69" s="5">
        <v>0</v>
      </c>
      <c r="Q69" s="5">
        <v>29</v>
      </c>
      <c r="R69" s="9" t="s">
        <v>338</v>
      </c>
      <c r="S69" s="5">
        <v>0</v>
      </c>
      <c r="T69" s="5">
        <v>10</v>
      </c>
      <c r="U69" s="5" t="s">
        <v>191</v>
      </c>
      <c r="V69" s="61">
        <f>_xlfn.XMATCH(Tabla4[[#This Row],[EAN CORREGIDO]],'Calcular necesidad'!L:L)</f>
        <v>224</v>
      </c>
      <c r="W69" s="61" t="str">
        <f>TRIM(Tabla4[[#This Row],[CodInternoArti]])</f>
        <v>7790321123456</v>
      </c>
    </row>
    <row r="70" spans="1:23" hidden="1" x14ac:dyDescent="0.35">
      <c r="A70" s="5">
        <v>2006472</v>
      </c>
      <c r="B70" s="35">
        <v>7790321020328</v>
      </c>
      <c r="C70" s="7" t="s">
        <v>359</v>
      </c>
      <c r="D70" s="7" t="s">
        <v>303</v>
      </c>
      <c r="E70" s="7" t="s">
        <v>279</v>
      </c>
      <c r="F70" s="7" t="s">
        <v>330</v>
      </c>
      <c r="G70" s="7" t="s">
        <v>6</v>
      </c>
      <c r="H70" s="6">
        <v>5</v>
      </c>
      <c r="I70" s="6">
        <v>5</v>
      </c>
      <c r="J70" s="6">
        <v>5</v>
      </c>
      <c r="K70" s="6">
        <v>5</v>
      </c>
      <c r="L70" s="6">
        <v>5</v>
      </c>
      <c r="M70" s="7">
        <v>5</v>
      </c>
      <c r="N70" s="8">
        <v>39</v>
      </c>
      <c r="O70" s="5">
        <v>19</v>
      </c>
      <c r="P70" s="5">
        <v>0</v>
      </c>
      <c r="Q70" s="5">
        <v>0</v>
      </c>
      <c r="R70" s="9" t="s">
        <v>190</v>
      </c>
      <c r="S70" s="5">
        <v>20</v>
      </c>
      <c r="T70" s="5">
        <v>9</v>
      </c>
      <c r="U70" s="5" t="s">
        <v>191</v>
      </c>
      <c r="V70" s="61">
        <f>_xlfn.XMATCH(Tabla4[[#This Row],[EAN CORREGIDO]],'Calcular necesidad'!L:L)</f>
        <v>84</v>
      </c>
      <c r="W70" s="61" t="str">
        <f>TRIM(Tabla4[[#This Row],[CodInternoArti]])</f>
        <v>7790321020328</v>
      </c>
    </row>
    <row r="71" spans="1:23" x14ac:dyDescent="0.35">
      <c r="A71" s="5">
        <v>2006638</v>
      </c>
      <c r="B71" s="35" t="s">
        <v>360</v>
      </c>
      <c r="C71" s="7" t="s">
        <v>361</v>
      </c>
      <c r="D71" s="7" t="s">
        <v>194</v>
      </c>
      <c r="E71" s="7" t="s">
        <v>206</v>
      </c>
      <c r="F71" s="7" t="s">
        <v>199</v>
      </c>
      <c r="G71" s="7" t="s">
        <v>6</v>
      </c>
      <c r="H71" s="6">
        <v>33</v>
      </c>
      <c r="I71" s="6">
        <v>31</v>
      </c>
      <c r="J71" s="6">
        <v>37</v>
      </c>
      <c r="K71" s="6">
        <v>32</v>
      </c>
      <c r="L71" s="6">
        <v>31</v>
      </c>
      <c r="M71" s="7">
        <v>31</v>
      </c>
      <c r="N71" s="8">
        <v>253.5</v>
      </c>
      <c r="O71" s="5">
        <v>0</v>
      </c>
      <c r="P71" s="5">
        <v>0</v>
      </c>
      <c r="Q71" s="5">
        <v>0</v>
      </c>
      <c r="R71" s="9" t="s">
        <v>190</v>
      </c>
      <c r="S71" s="5">
        <v>253.5</v>
      </c>
      <c r="T71" s="5">
        <v>-64</v>
      </c>
      <c r="U71" s="5" t="s">
        <v>191</v>
      </c>
      <c r="V71" s="61">
        <f>_xlfn.XMATCH(Tabla4[[#This Row],[EAN CORREGIDO]],'Calcular necesidad'!L:L)</f>
        <v>66</v>
      </c>
      <c r="W71" s="61" t="str">
        <f>TRIM(Tabla4[[#This Row],[CodInternoArti]])</f>
        <v>LIM000462</v>
      </c>
    </row>
    <row r="72" spans="1:23" hidden="1" x14ac:dyDescent="0.35">
      <c r="A72" s="5">
        <v>2006175</v>
      </c>
      <c r="B72" s="35">
        <v>7790321020116</v>
      </c>
      <c r="C72" s="7" t="s">
        <v>362</v>
      </c>
      <c r="D72" s="7" t="s">
        <v>281</v>
      </c>
      <c r="E72" s="7" t="s">
        <v>290</v>
      </c>
      <c r="F72" s="7" t="s">
        <v>363</v>
      </c>
      <c r="G72" s="7" t="s">
        <v>6</v>
      </c>
      <c r="H72" s="6">
        <v>27</v>
      </c>
      <c r="I72" s="6">
        <v>34</v>
      </c>
      <c r="J72" s="6">
        <v>24</v>
      </c>
      <c r="K72" s="6">
        <v>30</v>
      </c>
      <c r="L72" s="6">
        <v>49</v>
      </c>
      <c r="M72" s="7">
        <v>62</v>
      </c>
      <c r="N72" s="8">
        <v>293.8</v>
      </c>
      <c r="O72" s="5">
        <v>0</v>
      </c>
      <c r="P72" s="5">
        <v>0</v>
      </c>
      <c r="Q72" s="5">
        <v>0</v>
      </c>
      <c r="R72" s="9" t="s">
        <v>190</v>
      </c>
      <c r="S72" s="5">
        <v>293.8</v>
      </c>
      <c r="T72" s="5">
        <v>-61</v>
      </c>
      <c r="U72" s="5" t="s">
        <v>191</v>
      </c>
      <c r="V72" s="61">
        <f>_xlfn.XMATCH(Tabla4[[#This Row],[EAN CORREGIDO]],'Calcular necesidad'!L:L)</f>
        <v>67</v>
      </c>
      <c r="W72" s="61" t="str">
        <f>TRIM(Tabla4[[#This Row],[CodInternoArti]])</f>
        <v>7790321020116</v>
      </c>
    </row>
    <row r="73" spans="1:23" hidden="1" x14ac:dyDescent="0.35">
      <c r="A73" s="5">
        <v>2006153</v>
      </c>
      <c r="B73" s="35">
        <v>7790321020406</v>
      </c>
      <c r="C73" s="7" t="s">
        <v>364</v>
      </c>
      <c r="D73" s="7" t="s">
        <v>320</v>
      </c>
      <c r="E73" s="7" t="s">
        <v>332</v>
      </c>
      <c r="F73" s="7" t="s">
        <v>333</v>
      </c>
      <c r="G73" s="7" t="s">
        <v>6</v>
      </c>
      <c r="H73" s="6">
        <v>81</v>
      </c>
      <c r="I73" s="6">
        <v>52</v>
      </c>
      <c r="J73" s="6">
        <v>81</v>
      </c>
      <c r="K73" s="6">
        <v>52</v>
      </c>
      <c r="L73" s="6">
        <v>81</v>
      </c>
      <c r="M73" s="7">
        <v>52</v>
      </c>
      <c r="N73" s="8">
        <v>518.70000000000005</v>
      </c>
      <c r="O73" s="5">
        <v>0</v>
      </c>
      <c r="P73" s="5">
        <v>0</v>
      </c>
      <c r="Q73" s="5">
        <v>1</v>
      </c>
      <c r="R73" s="9" t="s">
        <v>190</v>
      </c>
      <c r="S73" s="5">
        <v>517.70000000000005</v>
      </c>
      <c r="T73" s="5">
        <v>-133</v>
      </c>
      <c r="U73" s="5" t="s">
        <v>191</v>
      </c>
      <c r="V73" s="61">
        <f>_xlfn.XMATCH(Tabla4[[#This Row],[EAN CORREGIDO]],'Calcular necesidad'!L:L)</f>
        <v>71</v>
      </c>
      <c r="W73" s="61" t="str">
        <f>TRIM(Tabla4[[#This Row],[CodInternoArti]])</f>
        <v>7790321020406</v>
      </c>
    </row>
    <row r="74" spans="1:23" hidden="1" x14ac:dyDescent="0.35">
      <c r="A74" s="5">
        <v>2006452</v>
      </c>
      <c r="B74" s="35">
        <v>7790231050180</v>
      </c>
      <c r="C74" s="7" t="s">
        <v>365</v>
      </c>
      <c r="D74" s="7" t="s">
        <v>303</v>
      </c>
      <c r="E74" s="7" t="s">
        <v>279</v>
      </c>
      <c r="F74" s="7" t="s">
        <v>80</v>
      </c>
      <c r="G74" s="7" t="s">
        <v>6</v>
      </c>
      <c r="H74" s="6">
        <v>1</v>
      </c>
      <c r="I74" s="6"/>
      <c r="J74" s="6">
        <v>1</v>
      </c>
      <c r="K74" s="6"/>
      <c r="L74" s="6"/>
      <c r="M74" s="7"/>
      <c r="N74" s="8">
        <v>2.6</v>
      </c>
      <c r="O74" s="5">
        <v>0</v>
      </c>
      <c r="P74" s="5">
        <v>0</v>
      </c>
      <c r="Q74" s="5">
        <v>0</v>
      </c>
      <c r="R74" s="9" t="s">
        <v>190</v>
      </c>
      <c r="S74" s="5">
        <v>2.6</v>
      </c>
      <c r="T74" s="5">
        <v>-1</v>
      </c>
      <c r="U74" s="5" t="s">
        <v>191</v>
      </c>
      <c r="V74" s="61">
        <f>_xlfn.XMATCH(Tabla4[[#This Row],[EAN CORREGIDO]],'Calcular necesidad'!L:L)</f>
        <v>227</v>
      </c>
      <c r="W74" s="61" t="str">
        <f>TRIM(Tabla4[[#This Row],[CodInternoArti]])</f>
        <v>7790231050180</v>
      </c>
    </row>
    <row r="75" spans="1:23" hidden="1" x14ac:dyDescent="0.35">
      <c r="A75" s="5">
        <v>2006653</v>
      </c>
      <c r="B75" s="35">
        <v>7790321020287</v>
      </c>
      <c r="C75" s="7" t="s">
        <v>366</v>
      </c>
      <c r="D75" s="7" t="s">
        <v>278</v>
      </c>
      <c r="E75" s="7" t="s">
        <v>279</v>
      </c>
      <c r="F75" s="7" t="s">
        <v>69</v>
      </c>
      <c r="G75" s="7" t="s">
        <v>6</v>
      </c>
      <c r="H75" s="6"/>
      <c r="I75" s="6">
        <v>3</v>
      </c>
      <c r="J75" s="6"/>
      <c r="K75" s="6">
        <v>11</v>
      </c>
      <c r="L75" s="6"/>
      <c r="M75" s="7">
        <v>3</v>
      </c>
      <c r="N75" s="8">
        <v>22.1</v>
      </c>
      <c r="O75" s="5">
        <v>0</v>
      </c>
      <c r="P75" s="5">
        <v>0</v>
      </c>
      <c r="Q75" s="5">
        <v>0</v>
      </c>
      <c r="R75" s="9" t="s">
        <v>190</v>
      </c>
      <c r="S75" s="5">
        <v>22.1</v>
      </c>
      <c r="T75" s="5">
        <v>-3</v>
      </c>
      <c r="U75" s="5" t="s">
        <v>191</v>
      </c>
      <c r="V75" s="61">
        <f>_xlfn.XMATCH(Tabla4[[#This Row],[EAN CORREGIDO]],'Calcular necesidad'!L:L)</f>
        <v>105</v>
      </c>
      <c r="W75" s="61" t="str">
        <f>TRIM(Tabla4[[#This Row],[CodInternoArti]])</f>
        <v>7790321020287</v>
      </c>
    </row>
    <row r="76" spans="1:23" hidden="1" x14ac:dyDescent="0.35">
      <c r="A76" s="5">
        <v>2006482</v>
      </c>
      <c r="B76" s="35">
        <v>140470001</v>
      </c>
      <c r="C76" s="7" t="s">
        <v>367</v>
      </c>
      <c r="D76" s="7" t="s">
        <v>216</v>
      </c>
      <c r="E76" s="7" t="s">
        <v>217</v>
      </c>
      <c r="F76" s="7" t="s">
        <v>218</v>
      </c>
      <c r="G76" s="7" t="s">
        <v>6</v>
      </c>
      <c r="H76" s="6">
        <v>2</v>
      </c>
      <c r="I76" s="6">
        <v>6</v>
      </c>
      <c r="J76" s="6">
        <v>1</v>
      </c>
      <c r="K76" s="6">
        <v>2</v>
      </c>
      <c r="L76" s="6"/>
      <c r="M76" s="7">
        <v>1</v>
      </c>
      <c r="N76" s="8">
        <v>15.6</v>
      </c>
      <c r="O76" s="5">
        <v>0</v>
      </c>
      <c r="P76" s="5">
        <v>0</v>
      </c>
      <c r="Q76" s="5">
        <v>0</v>
      </c>
      <c r="R76" s="9" t="s">
        <v>190</v>
      </c>
      <c r="S76" s="5">
        <v>15.6</v>
      </c>
      <c r="T76" s="5">
        <v>-8</v>
      </c>
      <c r="U76" s="5" t="s">
        <v>191</v>
      </c>
      <c r="V76" s="61">
        <f>_xlfn.XMATCH(Tabla4[[#This Row],[EAN CORREGIDO]],'Calcular necesidad'!L:L)</f>
        <v>193</v>
      </c>
      <c r="W76" s="61" t="str">
        <f>TRIM(Tabla4[[#This Row],[CodInternoArti]])</f>
        <v>140470001</v>
      </c>
    </row>
    <row r="77" spans="1:23" hidden="1" x14ac:dyDescent="0.35">
      <c r="A77" s="5">
        <v>2006661</v>
      </c>
      <c r="B77" s="35">
        <v>7798188651181</v>
      </c>
      <c r="C77" s="7" t="s">
        <v>368</v>
      </c>
      <c r="D77" s="7" t="s">
        <v>212</v>
      </c>
      <c r="E77" s="7" t="s">
        <v>246</v>
      </c>
      <c r="F77" s="7" t="s">
        <v>369</v>
      </c>
      <c r="G77" s="7" t="s">
        <v>6</v>
      </c>
      <c r="H77" s="6">
        <v>3</v>
      </c>
      <c r="I77" s="6"/>
      <c r="J77" s="6"/>
      <c r="K77" s="6">
        <v>1</v>
      </c>
      <c r="L77" s="6"/>
      <c r="M77" s="7"/>
      <c r="N77" s="8">
        <v>5.2</v>
      </c>
      <c r="O77" s="5">
        <v>0</v>
      </c>
      <c r="P77" s="5">
        <v>0</v>
      </c>
      <c r="Q77" s="5">
        <v>0</v>
      </c>
      <c r="R77" s="9" t="s">
        <v>190</v>
      </c>
      <c r="S77" s="5">
        <v>5.2</v>
      </c>
      <c r="T77" s="5">
        <v>-3</v>
      </c>
      <c r="U77" s="5" t="s">
        <v>191</v>
      </c>
      <c r="V77" s="61">
        <f>_xlfn.XMATCH(Tabla4[[#This Row],[EAN CORREGIDO]],'Calcular necesidad'!L:L)</f>
        <v>91</v>
      </c>
      <c r="W77" s="61" t="str">
        <f>TRIM(Tabla4[[#This Row],[CodInternoArti]])</f>
        <v>7798188651181</v>
      </c>
    </row>
    <row r="78" spans="1:23" hidden="1" x14ac:dyDescent="0.35">
      <c r="A78" s="5">
        <v>2006388</v>
      </c>
      <c r="B78" s="35">
        <v>7790321020291</v>
      </c>
      <c r="C78" s="7" t="s">
        <v>370</v>
      </c>
      <c r="D78" s="7" t="s">
        <v>281</v>
      </c>
      <c r="E78" s="7" t="s">
        <v>290</v>
      </c>
      <c r="F78" s="7" t="s">
        <v>371</v>
      </c>
      <c r="G78" s="7" t="s">
        <v>6</v>
      </c>
      <c r="H78" s="6"/>
      <c r="I78" s="6">
        <v>2</v>
      </c>
      <c r="J78" s="6"/>
      <c r="K78" s="6">
        <v>1</v>
      </c>
      <c r="L78" s="6"/>
      <c r="M78" s="7">
        <v>2</v>
      </c>
      <c r="N78" s="8">
        <v>6.5</v>
      </c>
      <c r="O78" s="5">
        <v>0</v>
      </c>
      <c r="P78" s="5">
        <v>0</v>
      </c>
      <c r="Q78" s="5">
        <v>0</v>
      </c>
      <c r="R78" s="9" t="s">
        <v>190</v>
      </c>
      <c r="S78" s="5">
        <v>6.5</v>
      </c>
      <c r="T78" s="5">
        <v>-2</v>
      </c>
      <c r="U78" s="5" t="s">
        <v>191</v>
      </c>
      <c r="V78" s="61">
        <f>_xlfn.XMATCH(Tabla4[[#This Row],[EAN CORREGIDO]],'Calcular necesidad'!L:L)</f>
        <v>93</v>
      </c>
      <c r="W78" s="61" t="str">
        <f>TRIM(Tabla4[[#This Row],[CodInternoArti]])</f>
        <v>7790321020291</v>
      </c>
    </row>
    <row r="79" spans="1:23" hidden="1" x14ac:dyDescent="0.35">
      <c r="A79" s="5" t="s">
        <v>265</v>
      </c>
      <c r="B79" s="35" t="s">
        <v>372</v>
      </c>
      <c r="C79" s="7" t="s">
        <v>373</v>
      </c>
      <c r="D79" s="7" t="s">
        <v>268</v>
      </c>
      <c r="E79" s="7" t="s">
        <v>269</v>
      </c>
      <c r="F79" s="7" t="s">
        <v>270</v>
      </c>
      <c r="G79" s="7" t="s">
        <v>6</v>
      </c>
      <c r="H79" s="6">
        <v>1</v>
      </c>
      <c r="I79" s="6"/>
      <c r="J79" s="6">
        <v>1</v>
      </c>
      <c r="K79" s="6"/>
      <c r="L79" s="6"/>
      <c r="M79" s="7"/>
      <c r="N79" s="8">
        <v>2.6</v>
      </c>
      <c r="O79" s="5">
        <v>0</v>
      </c>
      <c r="P79" s="5">
        <v>0</v>
      </c>
      <c r="Q79" s="5">
        <v>0</v>
      </c>
      <c r="R79" s="9" t="s">
        <v>190</v>
      </c>
      <c r="S79" s="5">
        <v>2.6</v>
      </c>
      <c r="T79" s="5">
        <v>-1</v>
      </c>
      <c r="U79" s="5" t="s">
        <v>191</v>
      </c>
      <c r="V79" s="61">
        <f>_xlfn.XMATCH(Tabla4[[#This Row],[EAN CORREGIDO]],'Calcular necesidad'!L:L)</f>
        <v>168</v>
      </c>
      <c r="W79" s="61" t="str">
        <f>TRIM(Tabla4[[#This Row],[CodInternoArti]])</f>
        <v>BAZ000525</v>
      </c>
    </row>
    <row r="80" spans="1:23" hidden="1" x14ac:dyDescent="0.35">
      <c r="A80" s="5">
        <v>2006796</v>
      </c>
      <c r="B80" s="35">
        <v>7790321130874</v>
      </c>
      <c r="C80" s="7" t="s">
        <v>374</v>
      </c>
      <c r="D80" s="7" t="s">
        <v>281</v>
      </c>
      <c r="E80" s="7" t="s">
        <v>290</v>
      </c>
      <c r="F80" s="7" t="s">
        <v>375</v>
      </c>
      <c r="G80" s="7" t="s">
        <v>6</v>
      </c>
      <c r="H80" s="6"/>
      <c r="I80" s="6">
        <v>1</v>
      </c>
      <c r="J80" s="6"/>
      <c r="K80" s="6">
        <v>7</v>
      </c>
      <c r="L80" s="6"/>
      <c r="M80" s="7">
        <v>1</v>
      </c>
      <c r="N80" s="8">
        <v>11.7</v>
      </c>
      <c r="O80" s="5">
        <v>0</v>
      </c>
      <c r="P80" s="5">
        <v>0</v>
      </c>
      <c r="Q80" s="5">
        <v>65</v>
      </c>
      <c r="R80" s="9" t="s">
        <v>305</v>
      </c>
      <c r="S80" s="5">
        <v>0</v>
      </c>
      <c r="T80" s="5">
        <v>-1</v>
      </c>
      <c r="U80" s="5" t="s">
        <v>191</v>
      </c>
      <c r="V80" s="61">
        <f>_xlfn.XMATCH(Tabla4[[#This Row],[EAN CORREGIDO]],'Calcular necesidad'!L:L)</f>
        <v>96</v>
      </c>
      <c r="W80" s="61" t="str">
        <f>TRIM(Tabla4[[#This Row],[CodInternoArti]])</f>
        <v>7790321130874</v>
      </c>
    </row>
    <row r="81" spans="1:23" hidden="1" x14ac:dyDescent="0.35">
      <c r="A81" s="5">
        <v>2006637</v>
      </c>
      <c r="B81" s="35">
        <v>7790321020530</v>
      </c>
      <c r="C81" s="7" t="s">
        <v>376</v>
      </c>
      <c r="D81" s="7" t="s">
        <v>194</v>
      </c>
      <c r="E81" s="7" t="s">
        <v>206</v>
      </c>
      <c r="F81" s="7" t="s">
        <v>377</v>
      </c>
      <c r="G81" s="7" t="s">
        <v>6</v>
      </c>
      <c r="H81" s="6">
        <v>2</v>
      </c>
      <c r="I81" s="6">
        <v>1</v>
      </c>
      <c r="J81" s="6">
        <v>3</v>
      </c>
      <c r="K81" s="6">
        <v>2</v>
      </c>
      <c r="L81" s="6">
        <v>2</v>
      </c>
      <c r="M81" s="7"/>
      <c r="N81" s="8">
        <v>13</v>
      </c>
      <c r="O81" s="5">
        <v>28</v>
      </c>
      <c r="P81" s="5">
        <v>0</v>
      </c>
      <c r="Q81" s="5">
        <v>95</v>
      </c>
      <c r="R81" s="9" t="s">
        <v>338</v>
      </c>
      <c r="S81" s="5">
        <v>0</v>
      </c>
      <c r="T81" s="5">
        <v>25</v>
      </c>
      <c r="U81" s="5" t="s">
        <v>191</v>
      </c>
      <c r="V81" s="61">
        <f>_xlfn.XMATCH(Tabla4[[#This Row],[EAN CORREGIDO]],'Calcular necesidad'!L:L)</f>
        <v>231</v>
      </c>
      <c r="W81" s="61" t="str">
        <f>TRIM(Tabla4[[#This Row],[CodInternoArti]])</f>
        <v>7790321020530</v>
      </c>
    </row>
    <row r="82" spans="1:23" hidden="1" x14ac:dyDescent="0.35">
      <c r="A82" s="5">
        <v>2006355</v>
      </c>
      <c r="B82" s="35">
        <v>7790122000219</v>
      </c>
      <c r="C82" s="7" t="s">
        <v>378</v>
      </c>
      <c r="D82" s="7" t="s">
        <v>194</v>
      </c>
      <c r="E82" s="7" t="s">
        <v>36</v>
      </c>
      <c r="F82" s="7" t="s">
        <v>310</v>
      </c>
      <c r="G82" s="7" t="s">
        <v>6</v>
      </c>
      <c r="H82" s="6"/>
      <c r="I82" s="6"/>
      <c r="J82" s="6">
        <v>1</v>
      </c>
      <c r="K82" s="6"/>
      <c r="L82" s="6"/>
      <c r="M82" s="7"/>
      <c r="N82" s="8">
        <v>1.3</v>
      </c>
      <c r="O82" s="5">
        <v>0</v>
      </c>
      <c r="P82" s="5">
        <v>0</v>
      </c>
      <c r="Q82" s="5">
        <v>0</v>
      </c>
      <c r="R82" s="9" t="s">
        <v>190</v>
      </c>
      <c r="S82" s="5">
        <v>1.3</v>
      </c>
      <c r="T82" s="5">
        <v>0</v>
      </c>
      <c r="U82" s="5" t="s">
        <v>191</v>
      </c>
      <c r="V82" s="61">
        <f>_xlfn.XMATCH(Tabla4[[#This Row],[EAN CORREGIDO]],'Calcular necesidad'!L:L)</f>
        <v>85</v>
      </c>
      <c r="W82" s="61" t="str">
        <f>TRIM(Tabla4[[#This Row],[CodInternoArti]])</f>
        <v>7790122000219</v>
      </c>
    </row>
    <row r="83" spans="1:23" hidden="1" x14ac:dyDescent="0.35">
      <c r="A83" s="5">
        <v>2006180</v>
      </c>
      <c r="B83" s="35">
        <v>7790321020408</v>
      </c>
      <c r="C83" s="7" t="s">
        <v>379</v>
      </c>
      <c r="D83" s="7" t="s">
        <v>320</v>
      </c>
      <c r="E83" s="7" t="s">
        <v>321</v>
      </c>
      <c r="F83" s="7" t="s">
        <v>322</v>
      </c>
      <c r="G83" s="7" t="s">
        <v>6</v>
      </c>
      <c r="H83" s="6">
        <v>56</v>
      </c>
      <c r="I83" s="6">
        <v>62</v>
      </c>
      <c r="J83" s="6">
        <v>62</v>
      </c>
      <c r="K83" s="6">
        <v>71</v>
      </c>
      <c r="L83" s="6">
        <v>53</v>
      </c>
      <c r="M83" s="7">
        <v>62</v>
      </c>
      <c r="N83" s="8">
        <v>475.8</v>
      </c>
      <c r="O83" s="5">
        <v>9</v>
      </c>
      <c r="P83" s="5">
        <v>0</v>
      </c>
      <c r="Q83" s="5">
        <v>0</v>
      </c>
      <c r="R83" s="9" t="s">
        <v>190</v>
      </c>
      <c r="S83" s="5">
        <v>466.8</v>
      </c>
      <c r="T83" s="5">
        <v>-109</v>
      </c>
      <c r="U83" s="5" t="s">
        <v>191</v>
      </c>
      <c r="V83" s="61">
        <f>_xlfn.XMATCH(Tabla4[[#This Row],[EAN CORREGIDO]],'Calcular necesidad'!L:L)</f>
        <v>86</v>
      </c>
      <c r="W83" s="61" t="str">
        <f>TRIM(Tabla4[[#This Row],[CodInternoArti]])</f>
        <v>7790321020408</v>
      </c>
    </row>
    <row r="84" spans="1:23" hidden="1" x14ac:dyDescent="0.35">
      <c r="A84" s="5">
        <v>2006676</v>
      </c>
      <c r="B84" s="35">
        <v>7790321020996</v>
      </c>
      <c r="C84" s="7" t="s">
        <v>380</v>
      </c>
      <c r="D84" s="7" t="s">
        <v>206</v>
      </c>
      <c r="E84" s="7" t="s">
        <v>381</v>
      </c>
      <c r="F84" s="7" t="s">
        <v>381</v>
      </c>
      <c r="G84" s="7" t="s">
        <v>6</v>
      </c>
      <c r="H84" s="6">
        <v>1</v>
      </c>
      <c r="I84" s="6">
        <v>1</v>
      </c>
      <c r="J84" s="6">
        <v>1</v>
      </c>
      <c r="K84" s="6">
        <v>1</v>
      </c>
      <c r="L84" s="6">
        <v>1</v>
      </c>
      <c r="M84" s="7">
        <v>1</v>
      </c>
      <c r="N84" s="8">
        <v>7.8000000000000007</v>
      </c>
      <c r="O84" s="5">
        <v>0</v>
      </c>
      <c r="P84" s="5">
        <v>0</v>
      </c>
      <c r="Q84" s="5">
        <v>80</v>
      </c>
      <c r="R84" s="9" t="s">
        <v>305</v>
      </c>
      <c r="S84" s="5">
        <v>0</v>
      </c>
      <c r="T84" s="5">
        <v>-2</v>
      </c>
      <c r="U84" s="5" t="s">
        <v>191</v>
      </c>
      <c r="V84" s="61">
        <f>_xlfn.XMATCH(Tabla4[[#This Row],[EAN CORREGIDO]],'Calcular necesidad'!L:L)</f>
        <v>99</v>
      </c>
      <c r="W84" s="61" t="str">
        <f>TRIM(Tabla4[[#This Row],[CodInternoArti]])</f>
        <v>7790321020996</v>
      </c>
    </row>
    <row r="85" spans="1:23" hidden="1" x14ac:dyDescent="0.35">
      <c r="A85" s="5">
        <v>2006269</v>
      </c>
      <c r="B85" s="35">
        <v>7797749103867</v>
      </c>
      <c r="C85" s="7" t="s">
        <v>382</v>
      </c>
      <c r="D85" s="7" t="s">
        <v>194</v>
      </c>
      <c r="E85" s="7" t="s">
        <v>206</v>
      </c>
      <c r="F85" s="7" t="s">
        <v>207</v>
      </c>
      <c r="G85" s="7" t="s">
        <v>6</v>
      </c>
      <c r="H85" s="6">
        <v>27</v>
      </c>
      <c r="I85" s="6">
        <v>26</v>
      </c>
      <c r="J85" s="6">
        <v>19</v>
      </c>
      <c r="K85" s="6">
        <v>27</v>
      </c>
      <c r="L85" s="6">
        <v>15</v>
      </c>
      <c r="M85" s="7">
        <v>26</v>
      </c>
      <c r="N85" s="8">
        <v>182</v>
      </c>
      <c r="O85" s="5">
        <v>0</v>
      </c>
      <c r="P85" s="5">
        <v>0</v>
      </c>
      <c r="Q85" s="5">
        <v>0</v>
      </c>
      <c r="R85" s="9" t="s">
        <v>190</v>
      </c>
      <c r="S85" s="5">
        <v>182</v>
      </c>
      <c r="T85" s="5">
        <v>-53</v>
      </c>
      <c r="U85" s="5" t="s">
        <v>191</v>
      </c>
      <c r="V85" s="61">
        <f>_xlfn.XMATCH(Tabla4[[#This Row],[EAN CORREGIDO]],'Calcular necesidad'!L:L)</f>
        <v>98</v>
      </c>
      <c r="W85" s="61" t="str">
        <f>TRIM(Tabla4[[#This Row],[CodInternoArti]])</f>
        <v>7797749103867</v>
      </c>
    </row>
    <row r="86" spans="1:23" hidden="1" x14ac:dyDescent="0.35">
      <c r="A86" s="5">
        <v>2006471</v>
      </c>
      <c r="B86" s="35">
        <v>7790321020288</v>
      </c>
      <c r="C86" s="7" t="s">
        <v>383</v>
      </c>
      <c r="D86" s="7" t="s">
        <v>278</v>
      </c>
      <c r="E86" s="7" t="s">
        <v>279</v>
      </c>
      <c r="F86" s="7" t="s">
        <v>75</v>
      </c>
      <c r="G86" s="7" t="s">
        <v>6</v>
      </c>
      <c r="H86" s="6">
        <v>33</v>
      </c>
      <c r="I86" s="6">
        <v>31</v>
      </c>
      <c r="J86" s="6">
        <v>28</v>
      </c>
      <c r="K86" s="6">
        <v>32</v>
      </c>
      <c r="L86" s="6">
        <v>25</v>
      </c>
      <c r="M86" s="7">
        <v>26</v>
      </c>
      <c r="N86" s="8">
        <v>227.5</v>
      </c>
      <c r="O86" s="5">
        <v>0</v>
      </c>
      <c r="P86" s="5">
        <v>0</v>
      </c>
      <c r="Q86" s="5">
        <v>0</v>
      </c>
      <c r="R86" s="9" t="s">
        <v>190</v>
      </c>
      <c r="S86" s="5">
        <v>227.5</v>
      </c>
      <c r="T86" s="5">
        <v>-64</v>
      </c>
      <c r="U86" s="5" t="s">
        <v>191</v>
      </c>
      <c r="V86" s="61">
        <f>_xlfn.XMATCH(Tabla4[[#This Row],[EAN CORREGIDO]],'Calcular necesidad'!L:L)</f>
        <v>232</v>
      </c>
      <c r="W86" s="61" t="str">
        <f>TRIM(Tabla4[[#This Row],[CodInternoArti]])</f>
        <v>7790321020288</v>
      </c>
    </row>
    <row r="87" spans="1:23" hidden="1" x14ac:dyDescent="0.35">
      <c r="A87" s="5">
        <v>2006801</v>
      </c>
      <c r="B87" s="35">
        <v>7790321284502</v>
      </c>
      <c r="C87" s="7" t="s">
        <v>384</v>
      </c>
      <c r="D87" s="7" t="s">
        <v>216</v>
      </c>
      <c r="E87" s="7" t="s">
        <v>233</v>
      </c>
      <c r="F87" s="7" t="s">
        <v>234</v>
      </c>
      <c r="G87" s="7" t="s">
        <v>6</v>
      </c>
      <c r="H87" s="6">
        <v>33</v>
      </c>
      <c r="I87" s="6">
        <v>12</v>
      </c>
      <c r="J87" s="6">
        <v>13</v>
      </c>
      <c r="K87" s="6">
        <v>19</v>
      </c>
      <c r="L87" s="6">
        <v>4</v>
      </c>
      <c r="M87" s="7">
        <v>12</v>
      </c>
      <c r="N87" s="8">
        <v>120.9</v>
      </c>
      <c r="O87" s="5">
        <v>0</v>
      </c>
      <c r="P87" s="5">
        <v>0</v>
      </c>
      <c r="Q87" s="5">
        <v>0</v>
      </c>
      <c r="R87" s="9" t="s">
        <v>190</v>
      </c>
      <c r="S87" s="5">
        <v>120.9</v>
      </c>
      <c r="T87" s="5">
        <v>-45</v>
      </c>
      <c r="U87" s="5" t="s">
        <v>191</v>
      </c>
      <c r="V87" s="61">
        <f>_xlfn.XMATCH(Tabla4[[#This Row],[EAN CORREGIDO]],'Calcular necesidad'!L:L)</f>
        <v>233</v>
      </c>
      <c r="W87" s="61" t="str">
        <f>TRIM(Tabla4[[#This Row],[CodInternoArti]])</f>
        <v>7790321284502</v>
      </c>
    </row>
    <row r="88" spans="1:23" hidden="1" x14ac:dyDescent="0.35">
      <c r="A88" s="5">
        <v>2006692</v>
      </c>
      <c r="B88" s="35">
        <v>7790321020992</v>
      </c>
      <c r="C88" s="7" t="s">
        <v>385</v>
      </c>
      <c r="D88" s="7" t="s">
        <v>188</v>
      </c>
      <c r="E88" s="7" t="s">
        <v>386</v>
      </c>
      <c r="F88" s="7" t="s">
        <v>387</v>
      </c>
      <c r="G88" s="7" t="s">
        <v>6</v>
      </c>
      <c r="H88" s="6">
        <v>41</v>
      </c>
      <c r="I88" s="6">
        <v>29</v>
      </c>
      <c r="J88" s="6">
        <v>47</v>
      </c>
      <c r="K88" s="6">
        <v>41</v>
      </c>
      <c r="L88" s="6">
        <v>35</v>
      </c>
      <c r="M88" s="7">
        <v>29</v>
      </c>
      <c r="N88" s="8">
        <v>288.60000000000002</v>
      </c>
      <c r="O88" s="5">
        <v>0</v>
      </c>
      <c r="P88" s="5">
        <v>0</v>
      </c>
      <c r="Q88" s="5">
        <v>0</v>
      </c>
      <c r="R88" s="9" t="s">
        <v>190</v>
      </c>
      <c r="S88" s="5">
        <v>288.60000000000002</v>
      </c>
      <c r="T88" s="5">
        <v>-70</v>
      </c>
      <c r="U88" s="5" t="s">
        <v>191</v>
      </c>
      <c r="V88" s="61">
        <f>_xlfn.XMATCH(Tabla4[[#This Row],[EAN CORREGIDO]],'Calcular necesidad'!L:L)</f>
        <v>88</v>
      </c>
      <c r="W88" s="61" t="str">
        <f>TRIM(Tabla4[[#This Row],[CodInternoArti]])</f>
        <v>7790321020992</v>
      </c>
    </row>
    <row r="89" spans="1:23" hidden="1" x14ac:dyDescent="0.35">
      <c r="A89" s="5">
        <v>2006206</v>
      </c>
      <c r="B89" s="35">
        <v>7790321020388</v>
      </c>
      <c r="C89" s="7" t="s">
        <v>388</v>
      </c>
      <c r="D89" s="7" t="s">
        <v>320</v>
      </c>
      <c r="E89" s="7" t="s">
        <v>321</v>
      </c>
      <c r="F89" s="7" t="s">
        <v>389</v>
      </c>
      <c r="G89" s="7" t="s">
        <v>6</v>
      </c>
      <c r="H89" s="6"/>
      <c r="I89" s="6">
        <v>1</v>
      </c>
      <c r="J89" s="6">
        <v>1</v>
      </c>
      <c r="K89" s="6"/>
      <c r="L89" s="6"/>
      <c r="M89" s="7">
        <v>1</v>
      </c>
      <c r="N89" s="8">
        <v>3.9</v>
      </c>
      <c r="O89" s="5">
        <v>0</v>
      </c>
      <c r="P89" s="5">
        <v>0</v>
      </c>
      <c r="Q89" s="5">
        <v>0</v>
      </c>
      <c r="R89" s="9" t="s">
        <v>190</v>
      </c>
      <c r="S89" s="5">
        <v>3.9</v>
      </c>
      <c r="T89" s="5">
        <v>-1</v>
      </c>
      <c r="U89" s="5" t="s">
        <v>191</v>
      </c>
      <c r="V89" s="61">
        <f>_xlfn.XMATCH(Tabla4[[#This Row],[EAN CORREGIDO]],'Calcular necesidad'!L:L)</f>
        <v>81</v>
      </c>
      <c r="W89" s="61" t="str">
        <f>TRIM(Tabla4[[#This Row],[CodInternoArti]])</f>
        <v>7790321020388</v>
      </c>
    </row>
    <row r="90" spans="1:23" hidden="1" x14ac:dyDescent="0.35">
      <c r="A90" s="5">
        <v>2006680</v>
      </c>
      <c r="B90" s="35">
        <v>7790321020086</v>
      </c>
      <c r="C90" s="7" t="s">
        <v>390</v>
      </c>
      <c r="D90" s="7" t="s">
        <v>281</v>
      </c>
      <c r="E90" s="7" t="s">
        <v>290</v>
      </c>
      <c r="F90" s="7" t="s">
        <v>371</v>
      </c>
      <c r="G90" s="7" t="s">
        <v>6</v>
      </c>
      <c r="H90" s="6">
        <v>141</v>
      </c>
      <c r="I90" s="6">
        <v>145</v>
      </c>
      <c r="J90" s="6">
        <v>108</v>
      </c>
      <c r="K90" s="6">
        <v>100</v>
      </c>
      <c r="L90" s="6">
        <v>97</v>
      </c>
      <c r="M90" s="7">
        <v>106</v>
      </c>
      <c r="N90" s="8">
        <v>906.1</v>
      </c>
      <c r="O90" s="5">
        <v>0</v>
      </c>
      <c r="P90" s="5">
        <v>0</v>
      </c>
      <c r="Q90" s="5">
        <v>0</v>
      </c>
      <c r="R90" s="9" t="s">
        <v>190</v>
      </c>
      <c r="S90" s="5">
        <v>906.1</v>
      </c>
      <c r="T90" s="5">
        <v>-286</v>
      </c>
      <c r="U90" s="5" t="s">
        <v>191</v>
      </c>
      <c r="V90" s="61">
        <f>_xlfn.XMATCH(Tabla4[[#This Row],[EAN CORREGIDO]],'Calcular necesidad'!L:L)</f>
        <v>43</v>
      </c>
      <c r="W90" s="61" t="str">
        <f>TRIM(Tabla4[[#This Row],[CodInternoArti]])</f>
        <v>7790321020086</v>
      </c>
    </row>
    <row r="91" spans="1:23" hidden="1" x14ac:dyDescent="0.35">
      <c r="A91" s="5">
        <v>2006681</v>
      </c>
      <c r="B91" s="35">
        <v>7790321020096</v>
      </c>
      <c r="C91" s="7" t="s">
        <v>391</v>
      </c>
      <c r="D91" s="7" t="s">
        <v>281</v>
      </c>
      <c r="E91" s="7" t="s">
        <v>290</v>
      </c>
      <c r="F91" s="7" t="s">
        <v>335</v>
      </c>
      <c r="G91" s="7" t="s">
        <v>6</v>
      </c>
      <c r="H91" s="6">
        <v>43</v>
      </c>
      <c r="I91" s="6">
        <v>66</v>
      </c>
      <c r="J91" s="6">
        <v>52</v>
      </c>
      <c r="K91" s="6">
        <v>57</v>
      </c>
      <c r="L91" s="6">
        <v>46</v>
      </c>
      <c r="M91" s="7">
        <v>64</v>
      </c>
      <c r="N91" s="8">
        <v>426.4</v>
      </c>
      <c r="O91" s="5">
        <v>0</v>
      </c>
      <c r="P91" s="5">
        <v>0</v>
      </c>
      <c r="Q91" s="5">
        <v>0</v>
      </c>
      <c r="R91" s="9" t="s">
        <v>190</v>
      </c>
      <c r="S91" s="5">
        <v>426.4</v>
      </c>
      <c r="T91" s="5">
        <v>-109</v>
      </c>
      <c r="U91" s="5" t="s">
        <v>191</v>
      </c>
      <c r="V91" s="61">
        <f>_xlfn.XMATCH(Tabla4[[#This Row],[EAN CORREGIDO]],'Calcular necesidad'!L:L)</f>
        <v>49</v>
      </c>
      <c r="W91" s="61" t="str">
        <f>TRIM(Tabla4[[#This Row],[CodInternoArti]])</f>
        <v>7790321020096</v>
      </c>
    </row>
    <row r="92" spans="1:23" hidden="1" x14ac:dyDescent="0.35">
      <c r="A92" s="5">
        <v>2006798</v>
      </c>
      <c r="B92" s="35">
        <v>7790321020296</v>
      </c>
      <c r="C92" s="7" t="s">
        <v>392</v>
      </c>
      <c r="D92" s="7" t="s">
        <v>278</v>
      </c>
      <c r="E92" s="7" t="s">
        <v>327</v>
      </c>
      <c r="F92" s="7" t="s">
        <v>393</v>
      </c>
      <c r="G92" s="7" t="s">
        <v>6</v>
      </c>
      <c r="H92" s="6">
        <v>4</v>
      </c>
      <c r="I92" s="6">
        <v>4</v>
      </c>
      <c r="J92" s="6">
        <v>4</v>
      </c>
      <c r="K92" s="6">
        <v>4</v>
      </c>
      <c r="L92" s="6">
        <v>4</v>
      </c>
      <c r="M92" s="7">
        <v>4</v>
      </c>
      <c r="N92" s="8">
        <v>31.2</v>
      </c>
      <c r="O92" s="5">
        <v>0</v>
      </c>
      <c r="P92" s="5">
        <v>0</v>
      </c>
      <c r="Q92" s="5">
        <v>0</v>
      </c>
      <c r="R92" s="9" t="s">
        <v>190</v>
      </c>
      <c r="S92" s="5">
        <v>31.2</v>
      </c>
      <c r="T92" s="5">
        <v>-8</v>
      </c>
      <c r="U92" s="5" t="s">
        <v>191</v>
      </c>
      <c r="V92" s="61">
        <f>_xlfn.XMATCH(Tabla4[[#This Row],[EAN CORREGIDO]],'Calcular necesidad'!L:L)</f>
        <v>58</v>
      </c>
      <c r="W92" s="61" t="str">
        <f>TRIM(Tabla4[[#This Row],[CodInternoArti]])</f>
        <v>7790321020296</v>
      </c>
    </row>
    <row r="93" spans="1:23" hidden="1" x14ac:dyDescent="0.35">
      <c r="A93" s="5">
        <v>2006202</v>
      </c>
      <c r="B93" s="35">
        <v>7790321009512</v>
      </c>
      <c r="C93" s="7" t="s">
        <v>394</v>
      </c>
      <c r="D93" s="7" t="s">
        <v>278</v>
      </c>
      <c r="E93" s="7" t="s">
        <v>327</v>
      </c>
      <c r="F93" s="7" t="s">
        <v>393</v>
      </c>
      <c r="G93" s="7" t="s">
        <v>6</v>
      </c>
      <c r="H93" s="6">
        <v>18</v>
      </c>
      <c r="I93" s="6">
        <v>18</v>
      </c>
      <c r="J93" s="6">
        <v>18</v>
      </c>
      <c r="K93" s="6">
        <v>18</v>
      </c>
      <c r="L93" s="6">
        <v>18</v>
      </c>
      <c r="M93" s="7">
        <v>18</v>
      </c>
      <c r="N93" s="8">
        <v>140.4</v>
      </c>
      <c r="O93" s="5">
        <v>0</v>
      </c>
      <c r="P93" s="5">
        <v>0</v>
      </c>
      <c r="Q93" s="5">
        <v>0</v>
      </c>
      <c r="R93" s="9" t="s">
        <v>190</v>
      </c>
      <c r="S93" s="5">
        <v>140.4</v>
      </c>
      <c r="T93" s="5">
        <v>-36</v>
      </c>
      <c r="U93" s="5" t="s">
        <v>191</v>
      </c>
      <c r="V93" s="61">
        <f>_xlfn.XMATCH(Tabla4[[#This Row],[EAN CORREGIDO]],'Calcular necesidad'!L:L)</f>
        <v>59</v>
      </c>
      <c r="W93" s="61" t="str">
        <f>TRIM(Tabla4[[#This Row],[CodInternoArti]])</f>
        <v>7790321009512</v>
      </c>
    </row>
    <row r="94" spans="1:23" hidden="1" x14ac:dyDescent="0.35">
      <c r="A94" s="5">
        <v>2006219</v>
      </c>
      <c r="B94" s="35">
        <v>7790321020533</v>
      </c>
      <c r="C94" s="7" t="s">
        <v>395</v>
      </c>
      <c r="D94" s="7" t="s">
        <v>216</v>
      </c>
      <c r="E94" s="7" t="s">
        <v>233</v>
      </c>
      <c r="F94" s="7" t="s">
        <v>234</v>
      </c>
      <c r="G94" s="7" t="s">
        <v>6</v>
      </c>
      <c r="H94" s="6">
        <v>7</v>
      </c>
      <c r="I94" s="6">
        <v>12</v>
      </c>
      <c r="J94" s="6">
        <v>8</v>
      </c>
      <c r="K94" s="6">
        <v>10</v>
      </c>
      <c r="L94" s="6">
        <v>7</v>
      </c>
      <c r="M94" s="7">
        <v>12</v>
      </c>
      <c r="N94" s="8">
        <v>72.8</v>
      </c>
      <c r="O94" s="5">
        <v>0</v>
      </c>
      <c r="P94" s="5">
        <v>0</v>
      </c>
      <c r="Q94" s="5">
        <v>0</v>
      </c>
      <c r="R94" s="9" t="s">
        <v>190</v>
      </c>
      <c r="S94" s="5">
        <v>72.8</v>
      </c>
      <c r="T94" s="5">
        <v>-19</v>
      </c>
      <c r="U94" s="5" t="s">
        <v>191</v>
      </c>
      <c r="V94" s="61">
        <f>_xlfn.XMATCH(Tabla4[[#This Row],[EAN CORREGIDO]],'Calcular necesidad'!L:L)</f>
        <v>113</v>
      </c>
      <c r="W94" s="61" t="str">
        <f>TRIM(Tabla4[[#This Row],[CodInternoArti]])</f>
        <v>7790321020533</v>
      </c>
    </row>
    <row r="95" spans="1:23" hidden="1" x14ac:dyDescent="0.35">
      <c r="A95" s="5">
        <v>2006233</v>
      </c>
      <c r="B95" s="35" t="s">
        <v>396</v>
      </c>
      <c r="C95" s="7" t="s">
        <v>397</v>
      </c>
      <c r="D95" s="7" t="s">
        <v>216</v>
      </c>
      <c r="E95" s="7" t="s">
        <v>217</v>
      </c>
      <c r="F95" s="7" t="s">
        <v>105</v>
      </c>
      <c r="G95" s="7" t="s">
        <v>6</v>
      </c>
      <c r="H95" s="6"/>
      <c r="I95" s="6"/>
      <c r="J95" s="6"/>
      <c r="K95" s="6">
        <v>5</v>
      </c>
      <c r="L95" s="6"/>
      <c r="M95" s="7"/>
      <c r="N95" s="8">
        <v>6.5</v>
      </c>
      <c r="O95" s="5">
        <v>0</v>
      </c>
      <c r="P95" s="5">
        <v>0</v>
      </c>
      <c r="Q95" s="5">
        <v>0</v>
      </c>
      <c r="R95" s="9" t="s">
        <v>190</v>
      </c>
      <c r="S95" s="5">
        <v>6.5</v>
      </c>
      <c r="T95" s="5">
        <v>0</v>
      </c>
      <c r="U95" s="5" t="s">
        <v>191</v>
      </c>
      <c r="V95" s="61">
        <f>_xlfn.XMATCH(Tabla4[[#This Row],[EAN CORREGIDO]],'Calcular necesidad'!L:L)</f>
        <v>128</v>
      </c>
      <c r="W95" s="61" t="str">
        <f>TRIM(Tabla4[[#This Row],[CodInternoArti]])</f>
        <v>PS0241</v>
      </c>
    </row>
    <row r="96" spans="1:23" hidden="1" x14ac:dyDescent="0.35">
      <c r="A96" s="5">
        <v>2006441</v>
      </c>
      <c r="B96" s="35">
        <v>7797390190505</v>
      </c>
      <c r="C96" s="7" t="s">
        <v>398</v>
      </c>
      <c r="D96" s="7" t="s">
        <v>399</v>
      </c>
      <c r="E96" s="7" t="s">
        <v>399</v>
      </c>
      <c r="F96" s="7" t="s">
        <v>400</v>
      </c>
      <c r="G96" s="7" t="s">
        <v>6</v>
      </c>
      <c r="H96" s="6"/>
      <c r="I96" s="6">
        <v>2</v>
      </c>
      <c r="J96" s="6">
        <v>1</v>
      </c>
      <c r="K96" s="6">
        <v>3</v>
      </c>
      <c r="L96" s="6"/>
      <c r="M96" s="7">
        <v>1</v>
      </c>
      <c r="N96" s="8">
        <v>9.1</v>
      </c>
      <c r="O96" s="5">
        <v>60</v>
      </c>
      <c r="P96" s="5">
        <v>0</v>
      </c>
      <c r="Q96" s="5">
        <v>26</v>
      </c>
      <c r="R96" s="9" t="s">
        <v>338</v>
      </c>
      <c r="S96" s="5">
        <v>0</v>
      </c>
      <c r="T96" s="5">
        <v>58</v>
      </c>
      <c r="U96" s="5" t="s">
        <v>191</v>
      </c>
      <c r="V96" s="61">
        <f>_xlfn.XMATCH(Tabla4[[#This Row],[EAN CORREGIDO]],'Calcular necesidad'!L:L)</f>
        <v>83</v>
      </c>
      <c r="W96" s="61" t="str">
        <f>TRIM(Tabla4[[#This Row],[CodInternoArti]])</f>
        <v>7797390190505</v>
      </c>
    </row>
    <row r="97" spans="1:23" hidden="1" x14ac:dyDescent="0.35">
      <c r="A97" s="5">
        <v>2006218</v>
      </c>
      <c r="B97" s="35">
        <v>7790321020532</v>
      </c>
      <c r="C97" s="7" t="s">
        <v>401</v>
      </c>
      <c r="D97" s="7" t="s">
        <v>216</v>
      </c>
      <c r="E97" s="7" t="s">
        <v>233</v>
      </c>
      <c r="F97" s="7" t="s">
        <v>234</v>
      </c>
      <c r="G97" s="7" t="s">
        <v>6</v>
      </c>
      <c r="H97" s="6">
        <v>1</v>
      </c>
      <c r="I97" s="6"/>
      <c r="J97" s="6">
        <v>1</v>
      </c>
      <c r="K97" s="6"/>
      <c r="L97" s="6">
        <v>1</v>
      </c>
      <c r="M97" s="7"/>
      <c r="N97" s="8">
        <v>3.9</v>
      </c>
      <c r="O97" s="5">
        <v>0</v>
      </c>
      <c r="P97" s="5">
        <v>0</v>
      </c>
      <c r="Q97" s="5">
        <v>0</v>
      </c>
      <c r="R97" s="9" t="s">
        <v>190</v>
      </c>
      <c r="S97" s="5">
        <v>3.9</v>
      </c>
      <c r="T97" s="5">
        <v>-1</v>
      </c>
      <c r="U97" s="5" t="s">
        <v>191</v>
      </c>
      <c r="V97" s="61">
        <f>_xlfn.XMATCH(Tabla4[[#This Row],[EAN CORREGIDO]],'Calcular necesidad'!L:L)</f>
        <v>97</v>
      </c>
      <c r="W97" s="61" t="str">
        <f>TRIM(Tabla4[[#This Row],[CodInternoArti]])</f>
        <v>7790321020532</v>
      </c>
    </row>
    <row r="98" spans="1:23" hidden="1" x14ac:dyDescent="0.35">
      <c r="A98" s="5">
        <v>2006453</v>
      </c>
      <c r="B98" s="35">
        <v>7790321020390</v>
      </c>
      <c r="C98" s="7" t="s">
        <v>402</v>
      </c>
      <c r="D98" s="7" t="s">
        <v>303</v>
      </c>
      <c r="E98" s="7" t="s">
        <v>279</v>
      </c>
      <c r="F98" s="7" t="s">
        <v>403</v>
      </c>
      <c r="G98" s="7" t="s">
        <v>6</v>
      </c>
      <c r="H98" s="6">
        <v>3</v>
      </c>
      <c r="I98" s="6">
        <v>3</v>
      </c>
      <c r="J98" s="6"/>
      <c r="K98" s="6"/>
      <c r="L98" s="6">
        <v>2</v>
      </c>
      <c r="M98" s="7">
        <v>2</v>
      </c>
      <c r="N98" s="8">
        <v>13</v>
      </c>
      <c r="O98" s="5">
        <v>0</v>
      </c>
      <c r="P98" s="5">
        <v>0</v>
      </c>
      <c r="Q98" s="5">
        <v>0</v>
      </c>
      <c r="R98" s="9" t="s">
        <v>190</v>
      </c>
      <c r="S98" s="5">
        <v>13</v>
      </c>
      <c r="T98" s="5">
        <v>-6</v>
      </c>
      <c r="U98" s="5" t="s">
        <v>191</v>
      </c>
      <c r="V98" s="61">
        <f>_xlfn.XMATCH(Tabla4[[#This Row],[EAN CORREGIDO]],'Calcular necesidad'!L:L)</f>
        <v>94</v>
      </c>
      <c r="W98" s="61" t="str">
        <f>TRIM(Tabla4[[#This Row],[CodInternoArti]])</f>
        <v>7790321020390</v>
      </c>
    </row>
    <row r="99" spans="1:23" hidden="1" x14ac:dyDescent="0.35">
      <c r="A99" s="5">
        <v>2007090</v>
      </c>
      <c r="B99" s="35">
        <v>7798161675702</v>
      </c>
      <c r="C99" s="7" t="s">
        <v>404</v>
      </c>
      <c r="D99" s="7" t="s">
        <v>194</v>
      </c>
      <c r="E99" s="7" t="s">
        <v>206</v>
      </c>
      <c r="F99" s="7" t="s">
        <v>207</v>
      </c>
      <c r="G99" s="7" t="s">
        <v>6</v>
      </c>
      <c r="H99" s="6">
        <v>56</v>
      </c>
      <c r="I99" s="6">
        <v>71</v>
      </c>
      <c r="J99" s="6">
        <v>51</v>
      </c>
      <c r="K99" s="6">
        <v>133</v>
      </c>
      <c r="L99" s="6">
        <v>31</v>
      </c>
      <c r="M99" s="7">
        <v>81</v>
      </c>
      <c r="N99" s="8">
        <v>549.9</v>
      </c>
      <c r="O99" s="5">
        <v>58</v>
      </c>
      <c r="P99" s="5">
        <v>0</v>
      </c>
      <c r="Q99" s="5">
        <v>0</v>
      </c>
      <c r="R99" s="9" t="s">
        <v>190</v>
      </c>
      <c r="S99" s="5">
        <v>491.9</v>
      </c>
      <c r="T99" s="5">
        <v>-69</v>
      </c>
      <c r="U99" s="5" t="s">
        <v>191</v>
      </c>
      <c r="V99" s="61">
        <f>_xlfn.XMATCH(Tabla4[[#This Row],[EAN CORREGIDO]],'Calcular necesidad'!L:L)</f>
        <v>129</v>
      </c>
      <c r="W99" s="61" t="str">
        <f>TRIM(Tabla4[[#This Row],[CodInternoArti]])</f>
        <v>7798161675702</v>
      </c>
    </row>
    <row r="100" spans="1:23" hidden="1" x14ac:dyDescent="0.35">
      <c r="A100" s="5">
        <v>2006635</v>
      </c>
      <c r="B100" s="35">
        <v>9992017100464</v>
      </c>
      <c r="C100" s="7" t="s">
        <v>405</v>
      </c>
      <c r="D100" s="7" t="s">
        <v>194</v>
      </c>
      <c r="E100" s="7" t="s">
        <v>195</v>
      </c>
      <c r="F100" s="7" t="s">
        <v>406</v>
      </c>
      <c r="G100" s="7" t="s">
        <v>6</v>
      </c>
      <c r="H100" s="6">
        <v>23</v>
      </c>
      <c r="I100" s="6">
        <v>23</v>
      </c>
      <c r="J100" s="6">
        <v>35</v>
      </c>
      <c r="K100" s="6">
        <v>33</v>
      </c>
      <c r="L100" s="6">
        <v>12</v>
      </c>
      <c r="M100" s="7">
        <v>21</v>
      </c>
      <c r="N100" s="8">
        <v>191.1</v>
      </c>
      <c r="O100" s="5">
        <v>0</v>
      </c>
      <c r="P100" s="5">
        <v>0</v>
      </c>
      <c r="Q100" s="5">
        <v>0</v>
      </c>
      <c r="R100" s="9" t="s">
        <v>190</v>
      </c>
      <c r="S100" s="5">
        <v>191.1</v>
      </c>
      <c r="T100" s="5">
        <v>-46</v>
      </c>
      <c r="U100" s="5" t="s">
        <v>191</v>
      </c>
      <c r="V100" s="61">
        <f>_xlfn.XMATCH(Tabla4[[#This Row],[EAN CORREGIDO]],'Calcular necesidad'!L:L)</f>
        <v>118</v>
      </c>
      <c r="W100" s="61" t="str">
        <f>TRIM(Tabla4[[#This Row],[CodInternoArti]])</f>
        <v>9992017100464</v>
      </c>
    </row>
    <row r="101" spans="1:23" hidden="1" x14ac:dyDescent="0.35">
      <c r="A101" s="5">
        <v>2006477</v>
      </c>
      <c r="B101" s="35">
        <v>7790321020387</v>
      </c>
      <c r="C101" s="7" t="s">
        <v>407</v>
      </c>
      <c r="D101" s="7" t="s">
        <v>320</v>
      </c>
      <c r="E101" s="7" t="s">
        <v>332</v>
      </c>
      <c r="F101" s="7" t="s">
        <v>333</v>
      </c>
      <c r="G101" s="7" t="s">
        <v>6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  <c r="M101" s="7">
        <v>1</v>
      </c>
      <c r="N101" s="8">
        <v>7.8000000000000007</v>
      </c>
      <c r="O101" s="5">
        <v>0</v>
      </c>
      <c r="P101" s="5">
        <v>0</v>
      </c>
      <c r="Q101" s="5">
        <v>0</v>
      </c>
      <c r="R101" s="9" t="s">
        <v>190</v>
      </c>
      <c r="S101" s="5">
        <v>7.8000000000000007</v>
      </c>
      <c r="T101" s="5">
        <v>-2</v>
      </c>
      <c r="U101" s="5" t="s">
        <v>191</v>
      </c>
      <c r="V101" s="61">
        <f>_xlfn.XMATCH(Tabla4[[#This Row],[EAN CORREGIDO]],'Calcular necesidad'!L:L)</f>
        <v>119</v>
      </c>
      <c r="W101" s="61" t="str">
        <f>TRIM(Tabla4[[#This Row],[CodInternoArti]])</f>
        <v>7790321020387</v>
      </c>
    </row>
    <row r="102" spans="1:23" hidden="1" x14ac:dyDescent="0.35">
      <c r="A102" s="5">
        <v>2006207</v>
      </c>
      <c r="B102" s="35">
        <v>7790321020393</v>
      </c>
      <c r="C102" s="7" t="s">
        <v>408</v>
      </c>
      <c r="D102" s="7" t="s">
        <v>320</v>
      </c>
      <c r="E102" s="7" t="s">
        <v>321</v>
      </c>
      <c r="F102" s="7" t="s">
        <v>389</v>
      </c>
      <c r="G102" s="7" t="s">
        <v>6</v>
      </c>
      <c r="H102" s="6">
        <v>3</v>
      </c>
      <c r="I102" s="6">
        <v>3</v>
      </c>
      <c r="J102" s="6"/>
      <c r="K102" s="6"/>
      <c r="L102" s="6">
        <v>3</v>
      </c>
      <c r="M102" s="7">
        <v>3</v>
      </c>
      <c r="N102" s="8">
        <v>15.6</v>
      </c>
      <c r="O102" s="5">
        <v>0</v>
      </c>
      <c r="P102" s="5">
        <v>0</v>
      </c>
      <c r="Q102" s="5">
        <v>0</v>
      </c>
      <c r="R102" s="9" t="s">
        <v>190</v>
      </c>
      <c r="S102" s="5">
        <v>15.6</v>
      </c>
      <c r="T102" s="5">
        <v>-6</v>
      </c>
      <c r="U102" s="5" t="s">
        <v>191</v>
      </c>
      <c r="V102" s="61">
        <f>_xlfn.XMATCH(Tabla4[[#This Row],[EAN CORREGIDO]],'Calcular necesidad'!L:L)</f>
        <v>116</v>
      </c>
      <c r="W102" s="61" t="str">
        <f>TRIM(Tabla4[[#This Row],[CodInternoArti]])</f>
        <v>7790321020393</v>
      </c>
    </row>
    <row r="103" spans="1:23" hidden="1" x14ac:dyDescent="0.35">
      <c r="A103" s="5">
        <v>2006179</v>
      </c>
      <c r="B103" s="35">
        <v>7790321020329</v>
      </c>
      <c r="C103" s="7" t="s">
        <v>409</v>
      </c>
      <c r="D103" s="7" t="s">
        <v>303</v>
      </c>
      <c r="E103" s="7" t="s">
        <v>279</v>
      </c>
      <c r="F103" s="7" t="s">
        <v>304</v>
      </c>
      <c r="G103" s="7" t="s">
        <v>6</v>
      </c>
      <c r="H103" s="6">
        <v>70</v>
      </c>
      <c r="I103" s="6">
        <v>70</v>
      </c>
      <c r="J103" s="6">
        <v>70</v>
      </c>
      <c r="K103" s="6">
        <v>80</v>
      </c>
      <c r="L103" s="6">
        <v>60</v>
      </c>
      <c r="M103" s="7">
        <v>70</v>
      </c>
      <c r="N103" s="8">
        <v>546</v>
      </c>
      <c r="O103" s="5">
        <v>38</v>
      </c>
      <c r="P103" s="5">
        <v>0</v>
      </c>
      <c r="Q103" s="5">
        <v>0</v>
      </c>
      <c r="R103" s="9" t="s">
        <v>190</v>
      </c>
      <c r="S103" s="5">
        <v>508</v>
      </c>
      <c r="T103" s="5">
        <v>-102</v>
      </c>
      <c r="U103" s="5" t="s">
        <v>191</v>
      </c>
      <c r="V103" s="61">
        <f>_xlfn.XMATCH(Tabla4[[#This Row],[EAN CORREGIDO]],'Calcular necesidad'!L:L)</f>
        <v>117</v>
      </c>
      <c r="W103" s="61" t="str">
        <f>TRIM(Tabla4[[#This Row],[CodInternoArti]])</f>
        <v>7790321020329</v>
      </c>
    </row>
    <row r="104" spans="1:23" hidden="1" x14ac:dyDescent="0.35">
      <c r="A104" s="5">
        <v>2006780</v>
      </c>
      <c r="B104" s="35">
        <v>7790430132764</v>
      </c>
      <c r="C104" s="7" t="s">
        <v>410</v>
      </c>
      <c r="D104" s="7" t="s">
        <v>194</v>
      </c>
      <c r="E104" s="7" t="s">
        <v>206</v>
      </c>
      <c r="F104" s="7" t="s">
        <v>207</v>
      </c>
      <c r="G104" s="7" t="s">
        <v>6</v>
      </c>
      <c r="H104" s="6">
        <v>8</v>
      </c>
      <c r="I104" s="6">
        <v>10</v>
      </c>
      <c r="J104" s="6">
        <v>11</v>
      </c>
      <c r="K104" s="6">
        <v>9</v>
      </c>
      <c r="L104" s="6">
        <v>9</v>
      </c>
      <c r="M104" s="7">
        <v>9</v>
      </c>
      <c r="N104" s="8">
        <v>72.8</v>
      </c>
      <c r="O104" s="5">
        <v>0</v>
      </c>
      <c r="P104" s="5">
        <v>0</v>
      </c>
      <c r="Q104" s="5">
        <v>0</v>
      </c>
      <c r="R104" s="9" t="s">
        <v>190</v>
      </c>
      <c r="S104" s="5">
        <v>72.8</v>
      </c>
      <c r="T104" s="5">
        <v>-18</v>
      </c>
      <c r="U104" s="5" t="s">
        <v>191</v>
      </c>
      <c r="V104" s="61">
        <f>_xlfn.XMATCH(Tabla4[[#This Row],[EAN CORREGIDO]],'Calcular necesidad'!L:L)</f>
        <v>124</v>
      </c>
      <c r="W104" s="61" t="str">
        <f>TRIM(Tabla4[[#This Row],[CodInternoArti]])</f>
        <v>7790430132764</v>
      </c>
    </row>
    <row r="105" spans="1:23" hidden="1" x14ac:dyDescent="0.35">
      <c r="A105" s="5">
        <v>2006468</v>
      </c>
      <c r="B105" s="35">
        <v>7791165719767</v>
      </c>
      <c r="C105" s="7" t="s">
        <v>411</v>
      </c>
      <c r="D105" s="7" t="s">
        <v>188</v>
      </c>
      <c r="E105" s="7" t="s">
        <v>293</v>
      </c>
      <c r="F105" s="7" t="s">
        <v>318</v>
      </c>
      <c r="G105" s="7" t="s">
        <v>6</v>
      </c>
      <c r="H105" s="6">
        <v>8</v>
      </c>
      <c r="I105" s="6">
        <v>8</v>
      </c>
      <c r="J105" s="6">
        <v>8</v>
      </c>
      <c r="K105" s="6">
        <v>8</v>
      </c>
      <c r="L105" s="6">
        <v>8</v>
      </c>
      <c r="M105" s="7">
        <v>8</v>
      </c>
      <c r="N105" s="8">
        <v>62.400000000000013</v>
      </c>
      <c r="O105" s="5">
        <v>0</v>
      </c>
      <c r="P105" s="5">
        <v>0</v>
      </c>
      <c r="Q105" s="5">
        <v>0</v>
      </c>
      <c r="R105" s="9" t="s">
        <v>190</v>
      </c>
      <c r="S105" s="5">
        <v>62.400000000000013</v>
      </c>
      <c r="T105" s="5">
        <v>-16</v>
      </c>
      <c r="U105" s="5" t="s">
        <v>191</v>
      </c>
      <c r="V105" s="61">
        <f>_xlfn.XMATCH(Tabla4[[#This Row],[EAN CORREGIDO]],'Calcular necesidad'!L:L)</f>
        <v>90</v>
      </c>
      <c r="W105" s="61" t="str">
        <f>TRIM(Tabla4[[#This Row],[CodInternoArti]])</f>
        <v>7791165719767</v>
      </c>
    </row>
    <row r="106" spans="1:23" hidden="1" x14ac:dyDescent="0.35">
      <c r="A106" s="5">
        <v>2006647</v>
      </c>
      <c r="B106" s="35">
        <v>7798975326413</v>
      </c>
      <c r="C106" s="7" t="s">
        <v>412</v>
      </c>
      <c r="D106" s="7" t="s">
        <v>281</v>
      </c>
      <c r="E106" s="7" t="s">
        <v>290</v>
      </c>
      <c r="F106" s="7" t="s">
        <v>77</v>
      </c>
      <c r="G106" s="7" t="s">
        <v>6</v>
      </c>
      <c r="H106" s="6">
        <v>23</v>
      </c>
      <c r="I106" s="6">
        <v>20</v>
      </c>
      <c r="J106" s="6">
        <v>20</v>
      </c>
      <c r="K106" s="6">
        <v>40</v>
      </c>
      <c r="L106" s="6"/>
      <c r="M106" s="7">
        <v>20</v>
      </c>
      <c r="N106" s="8">
        <v>159.9</v>
      </c>
      <c r="O106" s="5">
        <v>0</v>
      </c>
      <c r="P106" s="5">
        <v>0</v>
      </c>
      <c r="Q106" s="5">
        <v>0</v>
      </c>
      <c r="R106" s="9" t="s">
        <v>190</v>
      </c>
      <c r="S106" s="5">
        <v>159.9</v>
      </c>
      <c r="T106" s="5">
        <v>-43</v>
      </c>
      <c r="U106" s="5" t="s">
        <v>191</v>
      </c>
      <c r="V106" s="61">
        <f>_xlfn.XMATCH(Tabla4[[#This Row],[EAN CORREGIDO]],'Calcular necesidad'!L:L)</f>
        <v>132</v>
      </c>
      <c r="W106" s="61" t="str">
        <f>TRIM(Tabla4[[#This Row],[CodInternoArti]])</f>
        <v>7798975326413</v>
      </c>
    </row>
    <row r="107" spans="1:23" hidden="1" x14ac:dyDescent="0.35">
      <c r="A107" s="5">
        <v>2006631</v>
      </c>
      <c r="B107" s="35">
        <v>7798188570219</v>
      </c>
      <c r="C107" s="7" t="s">
        <v>413</v>
      </c>
      <c r="D107" s="7" t="s">
        <v>194</v>
      </c>
      <c r="E107" s="7" t="s">
        <v>206</v>
      </c>
      <c r="F107" s="7" t="s">
        <v>207</v>
      </c>
      <c r="G107" s="7" t="s">
        <v>6</v>
      </c>
      <c r="H107" s="6">
        <v>3</v>
      </c>
      <c r="I107" s="6">
        <v>3</v>
      </c>
      <c r="J107" s="6">
        <v>3</v>
      </c>
      <c r="K107" s="6">
        <v>4</v>
      </c>
      <c r="L107" s="6"/>
      <c r="M107" s="7">
        <v>3</v>
      </c>
      <c r="N107" s="8">
        <v>20.8</v>
      </c>
      <c r="O107" s="5">
        <v>0</v>
      </c>
      <c r="P107" s="5">
        <v>0</v>
      </c>
      <c r="Q107" s="5">
        <v>0</v>
      </c>
      <c r="R107" s="9" t="s">
        <v>190</v>
      </c>
      <c r="S107" s="5">
        <v>20.8</v>
      </c>
      <c r="T107" s="5">
        <v>-6</v>
      </c>
      <c r="U107" s="5" t="s">
        <v>191</v>
      </c>
      <c r="V107" s="61">
        <f>_xlfn.XMATCH(Tabla4[[#This Row],[EAN CORREGIDO]],'Calcular necesidad'!L:L)</f>
        <v>102</v>
      </c>
      <c r="W107" s="61" t="str">
        <f>TRIM(Tabla4[[#This Row],[CodInternoArti]])</f>
        <v>7798188570219</v>
      </c>
    </row>
    <row r="108" spans="1:23" hidden="1" x14ac:dyDescent="0.35">
      <c r="A108" s="5" t="s">
        <v>265</v>
      </c>
      <c r="B108" s="35" t="s">
        <v>414</v>
      </c>
      <c r="C108" s="7" t="s">
        <v>415</v>
      </c>
      <c r="D108" s="7" t="s">
        <v>416</v>
      </c>
      <c r="E108" s="7" t="s">
        <v>269</v>
      </c>
      <c r="F108" s="7" t="s">
        <v>417</v>
      </c>
      <c r="G108" s="7" t="s">
        <v>6</v>
      </c>
      <c r="H108" s="6"/>
      <c r="I108" s="6"/>
      <c r="J108" s="6">
        <v>2</v>
      </c>
      <c r="K108" s="6">
        <v>2</v>
      </c>
      <c r="L108" s="6"/>
      <c r="M108" s="7"/>
      <c r="N108" s="8">
        <v>5.2</v>
      </c>
      <c r="O108" s="5">
        <v>0</v>
      </c>
      <c r="P108" s="5">
        <v>0</v>
      </c>
      <c r="Q108" s="5">
        <v>0</v>
      </c>
      <c r="R108" s="9" t="s">
        <v>190</v>
      </c>
      <c r="S108" s="5">
        <v>5.2</v>
      </c>
      <c r="T108" s="5">
        <v>0</v>
      </c>
      <c r="U108" s="5" t="s">
        <v>191</v>
      </c>
      <c r="V108" s="61">
        <f>_xlfn.XMATCH(Tabla4[[#This Row],[EAN CORREGIDO]],'Calcular necesidad'!L:L)</f>
        <v>110</v>
      </c>
      <c r="W108" s="61" t="str">
        <f>TRIM(Tabla4[[#This Row],[CodInternoArti]])</f>
        <v>BAZ000712</v>
      </c>
    </row>
    <row r="109" spans="1:23" hidden="1" x14ac:dyDescent="0.35">
      <c r="A109" s="5" t="s">
        <v>265</v>
      </c>
      <c r="B109" s="35">
        <v>779032011155</v>
      </c>
      <c r="C109" s="7" t="s">
        <v>418</v>
      </c>
      <c r="D109" s="7" t="s">
        <v>278</v>
      </c>
      <c r="E109" s="7" t="s">
        <v>279</v>
      </c>
      <c r="F109" s="7" t="s">
        <v>337</v>
      </c>
      <c r="G109" s="7" t="s">
        <v>6</v>
      </c>
      <c r="H109" s="6"/>
      <c r="I109" s="6">
        <v>100</v>
      </c>
      <c r="J109" s="6"/>
      <c r="K109" s="6">
        <v>100</v>
      </c>
      <c r="L109" s="6"/>
      <c r="M109" s="7">
        <v>100</v>
      </c>
      <c r="N109" s="8">
        <v>390</v>
      </c>
      <c r="O109" s="5">
        <v>0</v>
      </c>
      <c r="P109" s="5">
        <v>0</v>
      </c>
      <c r="Q109" s="5">
        <v>0</v>
      </c>
      <c r="R109" s="9" t="s">
        <v>190</v>
      </c>
      <c r="S109" s="5">
        <v>390</v>
      </c>
      <c r="T109" s="5">
        <v>-100</v>
      </c>
      <c r="U109" s="5" t="s">
        <v>191</v>
      </c>
      <c r="V109" s="61">
        <f>_xlfn.XMATCH(Tabla4[[#This Row],[EAN CORREGIDO]],'Calcular necesidad'!L:L)</f>
        <v>107</v>
      </c>
      <c r="W109" s="61" t="str">
        <f>TRIM(Tabla4[[#This Row],[CodInternoArti]])</f>
        <v>779032011155</v>
      </c>
    </row>
    <row r="110" spans="1:23" hidden="1" x14ac:dyDescent="0.35">
      <c r="A110" s="5">
        <v>2006665</v>
      </c>
      <c r="B110" s="35">
        <v>17790250912825</v>
      </c>
      <c r="C110" s="7" t="s">
        <v>419</v>
      </c>
      <c r="D110" s="7" t="s">
        <v>216</v>
      </c>
      <c r="E110" s="7" t="s">
        <v>217</v>
      </c>
      <c r="F110" s="7" t="s">
        <v>420</v>
      </c>
      <c r="G110" s="7" t="s">
        <v>6</v>
      </c>
      <c r="H110" s="6">
        <v>1</v>
      </c>
      <c r="I110" s="6"/>
      <c r="J110" s="6">
        <v>1</v>
      </c>
      <c r="K110" s="6"/>
      <c r="L110" s="6"/>
      <c r="M110" s="7"/>
      <c r="N110" s="8">
        <v>2.6</v>
      </c>
      <c r="O110" s="5">
        <v>0</v>
      </c>
      <c r="P110" s="5">
        <v>0</v>
      </c>
      <c r="Q110" s="5">
        <v>53</v>
      </c>
      <c r="R110" s="9" t="s">
        <v>305</v>
      </c>
      <c r="S110" s="5">
        <v>0</v>
      </c>
      <c r="T110" s="5">
        <v>-1</v>
      </c>
      <c r="U110" s="5" t="s">
        <v>191</v>
      </c>
      <c r="V110" s="61">
        <f>_xlfn.XMATCH(Tabla4[[#This Row],[EAN CORREGIDO]],'Calcular necesidad'!L:L)</f>
        <v>123</v>
      </c>
      <c r="W110" s="61" t="str">
        <f>TRIM(Tabla4[[#This Row],[CodInternoArti]])</f>
        <v>17790250912825</v>
      </c>
    </row>
    <row r="111" spans="1:23" hidden="1" x14ac:dyDescent="0.35">
      <c r="A111" s="5">
        <v>2006356</v>
      </c>
      <c r="B111" s="35">
        <v>7790430132763</v>
      </c>
      <c r="C111" s="7" t="s">
        <v>421</v>
      </c>
      <c r="D111" s="7" t="s">
        <v>194</v>
      </c>
      <c r="E111" s="7" t="s">
        <v>206</v>
      </c>
      <c r="F111" s="7" t="s">
        <v>207</v>
      </c>
      <c r="G111" s="7" t="s">
        <v>6</v>
      </c>
      <c r="H111" s="6"/>
      <c r="I111" s="6"/>
      <c r="J111" s="6">
        <v>2</v>
      </c>
      <c r="K111" s="6"/>
      <c r="L111" s="6"/>
      <c r="M111" s="7"/>
      <c r="N111" s="8">
        <v>2.6</v>
      </c>
      <c r="O111" s="5">
        <v>0</v>
      </c>
      <c r="P111" s="5">
        <v>0</v>
      </c>
      <c r="Q111" s="5">
        <v>0</v>
      </c>
      <c r="R111" s="9" t="s">
        <v>190</v>
      </c>
      <c r="S111" s="5">
        <v>2.6</v>
      </c>
      <c r="T111" s="5">
        <v>0</v>
      </c>
      <c r="U111" s="5" t="s">
        <v>191</v>
      </c>
      <c r="V111" s="61">
        <f>_xlfn.XMATCH(Tabla4[[#This Row],[EAN CORREGIDO]],'Calcular necesidad'!L:L)</f>
        <v>120</v>
      </c>
      <c r="W111" s="61" t="str">
        <f>TRIM(Tabla4[[#This Row],[CodInternoArti]])</f>
        <v>7790430132763</v>
      </c>
    </row>
    <row r="112" spans="1:23" hidden="1" x14ac:dyDescent="0.35">
      <c r="A112" s="5" t="s">
        <v>265</v>
      </c>
      <c r="B112" s="35">
        <v>7981889753416</v>
      </c>
      <c r="C112" s="7" t="s">
        <v>422</v>
      </c>
      <c r="D112" s="7" t="s">
        <v>416</v>
      </c>
      <c r="E112" s="7" t="s">
        <v>269</v>
      </c>
      <c r="F112" s="7" t="s">
        <v>417</v>
      </c>
      <c r="G112" s="7" t="s">
        <v>6</v>
      </c>
      <c r="H112" s="6">
        <v>2</v>
      </c>
      <c r="I112" s="6"/>
      <c r="J112" s="6">
        <v>2</v>
      </c>
      <c r="K112" s="6"/>
      <c r="L112" s="6">
        <v>2</v>
      </c>
      <c r="M112" s="7"/>
      <c r="N112" s="8">
        <v>7.8000000000000007</v>
      </c>
      <c r="O112" s="5">
        <v>0</v>
      </c>
      <c r="P112" s="5">
        <v>0</v>
      </c>
      <c r="Q112" s="5">
        <v>0</v>
      </c>
      <c r="R112" s="9" t="s">
        <v>190</v>
      </c>
      <c r="S112" s="5">
        <v>7.8000000000000007</v>
      </c>
      <c r="T112" s="5">
        <v>-2</v>
      </c>
      <c r="U112" s="5" t="s">
        <v>191</v>
      </c>
      <c r="V112" s="61">
        <f>_xlfn.XMATCH(Tabla4[[#This Row],[EAN CORREGIDO]],'Calcular necesidad'!L:L)</f>
        <v>108</v>
      </c>
      <c r="W112" s="61" t="str">
        <f>TRIM(Tabla4[[#This Row],[CodInternoArti]])</f>
        <v>7981889753416</v>
      </c>
    </row>
    <row r="113" spans="1:23" hidden="1" x14ac:dyDescent="0.35">
      <c r="A113" s="5">
        <v>2006825</v>
      </c>
      <c r="B113" s="35">
        <v>7790321020289</v>
      </c>
      <c r="C113" s="7" t="s">
        <v>423</v>
      </c>
      <c r="D113" s="7" t="s">
        <v>281</v>
      </c>
      <c r="E113" s="7" t="s">
        <v>290</v>
      </c>
      <c r="F113" s="7" t="s">
        <v>424</v>
      </c>
      <c r="G113" s="7" t="s">
        <v>6</v>
      </c>
      <c r="H113" s="6">
        <v>1</v>
      </c>
      <c r="I113" s="6">
        <v>2</v>
      </c>
      <c r="J113" s="6">
        <v>1</v>
      </c>
      <c r="K113" s="6">
        <v>2</v>
      </c>
      <c r="L113" s="6">
        <v>1</v>
      </c>
      <c r="M113" s="7">
        <v>2</v>
      </c>
      <c r="N113" s="8">
        <v>11.7</v>
      </c>
      <c r="O113" s="5">
        <v>0</v>
      </c>
      <c r="P113" s="5">
        <v>0</v>
      </c>
      <c r="Q113" s="5">
        <v>0</v>
      </c>
      <c r="R113" s="9" t="s">
        <v>190</v>
      </c>
      <c r="S113" s="5">
        <v>11.7</v>
      </c>
      <c r="T113" s="5">
        <v>-3</v>
      </c>
      <c r="U113" s="5" t="s">
        <v>191</v>
      </c>
      <c r="V113" s="61">
        <f>_xlfn.XMATCH(Tabla4[[#This Row],[EAN CORREGIDO]],'Calcular necesidad'!L:L)</f>
        <v>229</v>
      </c>
      <c r="W113" s="61" t="str">
        <f>TRIM(Tabla4[[#This Row],[CodInternoArti]])</f>
        <v>7790321020289</v>
      </c>
    </row>
    <row r="114" spans="1:23" hidden="1" x14ac:dyDescent="0.35">
      <c r="A114" s="5">
        <v>2006392</v>
      </c>
      <c r="B114" s="35">
        <v>7790321020302</v>
      </c>
      <c r="C114" s="7" t="s">
        <v>425</v>
      </c>
      <c r="D114" s="7" t="s">
        <v>278</v>
      </c>
      <c r="E114" s="7" t="s">
        <v>279</v>
      </c>
      <c r="F114" s="7" t="s">
        <v>69</v>
      </c>
      <c r="G114" s="7" t="s">
        <v>6</v>
      </c>
      <c r="H114" s="6">
        <v>3</v>
      </c>
      <c r="I114" s="6"/>
      <c r="J114" s="6"/>
      <c r="K114" s="6"/>
      <c r="L114" s="6"/>
      <c r="M114" s="7"/>
      <c r="N114" s="8">
        <v>3.9</v>
      </c>
      <c r="O114" s="5">
        <v>0</v>
      </c>
      <c r="P114" s="5">
        <v>0</v>
      </c>
      <c r="Q114" s="5">
        <v>72</v>
      </c>
      <c r="R114" s="9" t="s">
        <v>305</v>
      </c>
      <c r="S114" s="5">
        <v>0</v>
      </c>
      <c r="T114" s="5">
        <v>-3</v>
      </c>
      <c r="U114" s="5" t="s">
        <v>191</v>
      </c>
      <c r="V114" s="61">
        <f>_xlfn.XMATCH(Tabla4[[#This Row],[EAN CORREGIDO]],'Calcular necesidad'!L:L)</f>
        <v>234</v>
      </c>
      <c r="W114" s="61" t="str">
        <f>TRIM(Tabla4[[#This Row],[CodInternoArti]])</f>
        <v>7790321020302</v>
      </c>
    </row>
    <row r="115" spans="1:23" hidden="1" x14ac:dyDescent="0.35">
      <c r="A115" s="5">
        <v>2006473</v>
      </c>
      <c r="B115" s="35">
        <v>7790321020389</v>
      </c>
      <c r="C115" s="7" t="s">
        <v>426</v>
      </c>
      <c r="D115" s="7" t="s">
        <v>303</v>
      </c>
      <c r="E115" s="7" t="s">
        <v>279</v>
      </c>
      <c r="F115" s="7" t="s">
        <v>403</v>
      </c>
      <c r="G115" s="7" t="s">
        <v>6</v>
      </c>
      <c r="H115" s="6"/>
      <c r="I115" s="6">
        <v>1</v>
      </c>
      <c r="J115" s="6"/>
      <c r="K115" s="6"/>
      <c r="L115" s="6"/>
      <c r="M115" s="7">
        <v>1</v>
      </c>
      <c r="N115" s="8">
        <v>2.6</v>
      </c>
      <c r="O115" s="5">
        <v>30</v>
      </c>
      <c r="P115" s="5">
        <v>0</v>
      </c>
      <c r="Q115" s="5">
        <v>32</v>
      </c>
      <c r="R115" s="9" t="s">
        <v>338</v>
      </c>
      <c r="S115" s="5">
        <v>0</v>
      </c>
      <c r="T115" s="5">
        <v>29</v>
      </c>
      <c r="U115" s="5" t="s">
        <v>191</v>
      </c>
      <c r="V115" s="61">
        <f>_xlfn.XMATCH(Tabla4[[#This Row],[EAN CORREGIDO]],'Calcular necesidad'!L:L)</f>
        <v>121</v>
      </c>
      <c r="W115" s="61" t="str">
        <f>TRIM(Tabla4[[#This Row],[CodInternoArti]])</f>
        <v>7790321020389</v>
      </c>
    </row>
    <row r="116" spans="1:23" hidden="1" x14ac:dyDescent="0.35">
      <c r="A116" s="5">
        <v>2006646</v>
      </c>
      <c r="B116" s="35">
        <v>7790321020283</v>
      </c>
      <c r="C116" s="7" t="s">
        <v>427</v>
      </c>
      <c r="D116" s="7" t="s">
        <v>281</v>
      </c>
      <c r="E116" s="7" t="s">
        <v>290</v>
      </c>
      <c r="F116" s="7" t="s">
        <v>291</v>
      </c>
      <c r="G116" s="7" t="s">
        <v>6</v>
      </c>
      <c r="H116" s="6">
        <v>43</v>
      </c>
      <c r="I116" s="6">
        <v>33</v>
      </c>
      <c r="J116" s="6">
        <v>33</v>
      </c>
      <c r="K116" s="6">
        <v>51</v>
      </c>
      <c r="L116" s="6">
        <v>15</v>
      </c>
      <c r="M116" s="7">
        <v>33</v>
      </c>
      <c r="N116" s="8">
        <v>270.39999999999998</v>
      </c>
      <c r="O116" s="5">
        <v>0</v>
      </c>
      <c r="P116" s="5">
        <v>0</v>
      </c>
      <c r="Q116" s="5">
        <v>2296</v>
      </c>
      <c r="R116" s="9" t="s">
        <v>305</v>
      </c>
      <c r="S116" s="5">
        <v>0</v>
      </c>
      <c r="T116" s="5">
        <v>-76</v>
      </c>
      <c r="U116" s="5" t="s">
        <v>191</v>
      </c>
      <c r="V116" s="61">
        <f>_xlfn.XMATCH(Tabla4[[#This Row],[EAN CORREGIDO]],'Calcular necesidad'!L:L)</f>
        <v>230</v>
      </c>
      <c r="W116" s="61" t="str">
        <f>TRIM(Tabla4[[#This Row],[CodInternoArti]])</f>
        <v>7790321020283</v>
      </c>
    </row>
    <row r="117" spans="1:23" hidden="1" x14ac:dyDescent="0.35">
      <c r="A117" s="5">
        <v>2006474</v>
      </c>
      <c r="B117" s="35" t="s">
        <v>428</v>
      </c>
      <c r="C117" s="7" t="s">
        <v>429</v>
      </c>
      <c r="D117" s="7" t="s">
        <v>303</v>
      </c>
      <c r="E117" s="7" t="s">
        <v>279</v>
      </c>
      <c r="F117" s="7" t="s">
        <v>330</v>
      </c>
      <c r="G117" s="7" t="s">
        <v>6</v>
      </c>
      <c r="H117" s="6"/>
      <c r="I117" s="6">
        <v>1</v>
      </c>
      <c r="J117" s="6">
        <v>1</v>
      </c>
      <c r="K117" s="6"/>
      <c r="L117" s="6">
        <v>1</v>
      </c>
      <c r="M117" s="7"/>
      <c r="N117" s="8">
        <v>3.9</v>
      </c>
      <c r="O117" s="5">
        <v>0</v>
      </c>
      <c r="P117" s="5">
        <v>0</v>
      </c>
      <c r="Q117" s="5">
        <v>0</v>
      </c>
      <c r="R117" s="9" t="s">
        <v>190</v>
      </c>
      <c r="S117" s="5">
        <v>3.9</v>
      </c>
      <c r="T117" s="5">
        <v>-1</v>
      </c>
      <c r="U117" s="5" t="s">
        <v>191</v>
      </c>
      <c r="V117" s="61">
        <f>_xlfn.XMATCH(Tabla4[[#This Row],[EAN CORREGIDO]],'Calcular necesidad'!L:L)</f>
        <v>92</v>
      </c>
      <c r="W117" s="61" t="str">
        <f>TRIM(Tabla4[[#This Row],[CodInternoArti]])</f>
        <v>BAZ00012</v>
      </c>
    </row>
    <row r="118" spans="1:23" hidden="1" x14ac:dyDescent="0.35">
      <c r="A118" s="5">
        <v>2006411</v>
      </c>
      <c r="B118" s="35">
        <v>7790321020994</v>
      </c>
      <c r="C118" s="7" t="s">
        <v>430</v>
      </c>
      <c r="D118" s="7" t="s">
        <v>188</v>
      </c>
      <c r="E118" s="7" t="s">
        <v>386</v>
      </c>
      <c r="F118" s="7" t="s">
        <v>387</v>
      </c>
      <c r="G118" s="7" t="s">
        <v>6</v>
      </c>
      <c r="H118" s="6">
        <v>24</v>
      </c>
      <c r="I118" s="6">
        <v>25</v>
      </c>
      <c r="J118" s="6">
        <v>23</v>
      </c>
      <c r="K118" s="6">
        <v>24</v>
      </c>
      <c r="L118" s="6">
        <v>23</v>
      </c>
      <c r="M118" s="7">
        <v>24</v>
      </c>
      <c r="N118" s="8">
        <v>185.9</v>
      </c>
      <c r="O118" s="5">
        <v>0</v>
      </c>
      <c r="P118" s="5">
        <v>0</v>
      </c>
      <c r="Q118" s="5">
        <v>0</v>
      </c>
      <c r="R118" s="9" t="s">
        <v>190</v>
      </c>
      <c r="S118" s="5">
        <v>185.9</v>
      </c>
      <c r="T118" s="5">
        <v>-49</v>
      </c>
      <c r="U118" s="5" t="s">
        <v>191</v>
      </c>
      <c r="V118" s="61">
        <f>_xlfn.XMATCH(Tabla4[[#This Row],[EAN CORREGIDO]],'Calcular necesidad'!L:L)</f>
        <v>223</v>
      </c>
      <c r="W118" s="61" t="str">
        <f>TRIM(Tabla4[[#This Row],[CodInternoArti]])</f>
        <v>7790321020994</v>
      </c>
    </row>
    <row r="119" spans="1:23" hidden="1" x14ac:dyDescent="0.35">
      <c r="A119" s="5">
        <v>2006460</v>
      </c>
      <c r="B119" s="35">
        <v>7798188651182</v>
      </c>
      <c r="C119" s="7" t="s">
        <v>431</v>
      </c>
      <c r="D119" s="7" t="s">
        <v>212</v>
      </c>
      <c r="E119" s="7" t="s">
        <v>432</v>
      </c>
      <c r="F119" s="7" t="s">
        <v>432</v>
      </c>
      <c r="G119" s="7" t="s">
        <v>6</v>
      </c>
      <c r="H119" s="6"/>
      <c r="I119" s="6"/>
      <c r="J119" s="6">
        <v>1</v>
      </c>
      <c r="K119" s="6"/>
      <c r="L119" s="6"/>
      <c r="M119" s="7"/>
      <c r="N119" s="8">
        <v>1.3</v>
      </c>
      <c r="O119" s="5">
        <v>0</v>
      </c>
      <c r="P119" s="5">
        <v>0</v>
      </c>
      <c r="Q119" s="5">
        <v>0</v>
      </c>
      <c r="R119" s="9" t="s">
        <v>190</v>
      </c>
      <c r="S119" s="5">
        <v>1.3</v>
      </c>
      <c r="T119" s="5">
        <v>0</v>
      </c>
      <c r="U119" s="5" t="s">
        <v>191</v>
      </c>
      <c r="V119" s="61">
        <f>_xlfn.XMATCH(Tabla4[[#This Row],[EAN CORREGIDO]],'Calcular necesidad'!L:L)</f>
        <v>259</v>
      </c>
      <c r="W119" s="61" t="str">
        <f>TRIM(Tabla4[[#This Row],[CodInternoArti]])</f>
        <v>7798188651182</v>
      </c>
    </row>
    <row r="120" spans="1:23" hidden="1" x14ac:dyDescent="0.35">
      <c r="A120" s="5">
        <v>2006204</v>
      </c>
      <c r="B120" s="35" t="s">
        <v>433</v>
      </c>
      <c r="C120" s="7" t="s">
        <v>434</v>
      </c>
      <c r="D120" s="7" t="s">
        <v>278</v>
      </c>
      <c r="E120" s="7" t="s">
        <v>279</v>
      </c>
      <c r="F120" s="7" t="s">
        <v>337</v>
      </c>
      <c r="G120" s="7" t="s">
        <v>6</v>
      </c>
      <c r="H120" s="6"/>
      <c r="I120" s="6"/>
      <c r="J120" s="6">
        <v>2</v>
      </c>
      <c r="K120" s="6"/>
      <c r="L120" s="6"/>
      <c r="M120" s="7"/>
      <c r="N120" s="8">
        <v>2.6</v>
      </c>
      <c r="O120" s="5">
        <v>0</v>
      </c>
      <c r="P120" s="5">
        <v>0</v>
      </c>
      <c r="Q120" s="5">
        <v>0</v>
      </c>
      <c r="R120" s="9" t="s">
        <v>190</v>
      </c>
      <c r="S120" s="5">
        <v>2.6</v>
      </c>
      <c r="T120" s="5">
        <v>0</v>
      </c>
      <c r="U120" s="5" t="s">
        <v>191</v>
      </c>
      <c r="V120" s="61">
        <f>_xlfn.XMATCH(Tabla4[[#This Row],[EAN CORREGIDO]],'Calcular necesidad'!L:L)</f>
        <v>109</v>
      </c>
      <c r="W120" s="61" t="str">
        <f>TRIM(Tabla4[[#This Row],[CodInternoArti]])</f>
        <v>BAZ00011</v>
      </c>
    </row>
    <row r="121" spans="1:23" hidden="1" x14ac:dyDescent="0.35">
      <c r="A121" s="5">
        <v>2006390</v>
      </c>
      <c r="B121" s="35">
        <v>7790321130875</v>
      </c>
      <c r="C121" s="7" t="s">
        <v>435</v>
      </c>
      <c r="D121" s="7" t="s">
        <v>281</v>
      </c>
      <c r="E121" s="7" t="s">
        <v>290</v>
      </c>
      <c r="F121" s="7" t="s">
        <v>375</v>
      </c>
      <c r="G121" s="7" t="s">
        <v>6</v>
      </c>
      <c r="H121" s="6"/>
      <c r="I121" s="6">
        <v>1</v>
      </c>
      <c r="J121" s="6"/>
      <c r="K121" s="6">
        <v>1</v>
      </c>
      <c r="L121" s="6"/>
      <c r="M121" s="7">
        <v>1</v>
      </c>
      <c r="N121" s="8">
        <v>3.9</v>
      </c>
      <c r="O121" s="5">
        <v>0</v>
      </c>
      <c r="P121" s="5">
        <v>0</v>
      </c>
      <c r="Q121" s="5">
        <v>0</v>
      </c>
      <c r="R121" s="9" t="s">
        <v>190</v>
      </c>
      <c r="S121" s="5">
        <v>3.9</v>
      </c>
      <c r="T121" s="5">
        <v>-1</v>
      </c>
      <c r="U121" s="5" t="s">
        <v>191</v>
      </c>
      <c r="V121" s="61">
        <f>_xlfn.XMATCH(Tabla4[[#This Row],[EAN CORREGIDO]],'Calcular necesidad'!L:L)</f>
        <v>225</v>
      </c>
      <c r="W121" s="61" t="str">
        <f>TRIM(Tabla4[[#This Row],[CodInternoArti]])</f>
        <v>7790321130875</v>
      </c>
    </row>
    <row r="122" spans="1:23" hidden="1" x14ac:dyDescent="0.35">
      <c r="A122" s="5">
        <v>2006395</v>
      </c>
      <c r="B122" s="35">
        <v>7790430132765</v>
      </c>
      <c r="C122" s="7" t="s">
        <v>436</v>
      </c>
      <c r="D122" s="7" t="s">
        <v>320</v>
      </c>
      <c r="E122" s="7" t="s">
        <v>321</v>
      </c>
      <c r="F122" s="7" t="s">
        <v>322</v>
      </c>
      <c r="G122" s="7" t="s">
        <v>6</v>
      </c>
      <c r="H122" s="6">
        <v>1</v>
      </c>
      <c r="I122" s="6">
        <v>1</v>
      </c>
      <c r="J122" s="6">
        <v>27</v>
      </c>
      <c r="K122" s="6">
        <v>9</v>
      </c>
      <c r="L122" s="6">
        <v>27</v>
      </c>
      <c r="M122" s="7">
        <v>9</v>
      </c>
      <c r="N122" s="8">
        <v>96.2</v>
      </c>
      <c r="O122" s="5">
        <v>0</v>
      </c>
      <c r="P122" s="5">
        <v>0</v>
      </c>
      <c r="Q122" s="5">
        <v>0</v>
      </c>
      <c r="R122" s="9" t="s">
        <v>190</v>
      </c>
      <c r="S122" s="5">
        <v>96.2</v>
      </c>
      <c r="T122" s="5">
        <v>-2</v>
      </c>
      <c r="U122" s="5" t="s">
        <v>191</v>
      </c>
      <c r="V122" s="61">
        <f>_xlfn.XMATCH(Tabla4[[#This Row],[EAN CORREGIDO]],'Calcular necesidad'!L:L)</f>
        <v>239</v>
      </c>
      <c r="W122" s="61" t="str">
        <f>TRIM(Tabla4[[#This Row],[CodInternoArti]])</f>
        <v>7790430132765</v>
      </c>
    </row>
    <row r="123" spans="1:23" hidden="1" x14ac:dyDescent="0.35">
      <c r="A123" s="5">
        <v>2006354</v>
      </c>
      <c r="B123" s="35">
        <v>7790042181191</v>
      </c>
      <c r="C123" s="7" t="s">
        <v>437</v>
      </c>
      <c r="D123" s="7" t="s">
        <v>194</v>
      </c>
      <c r="E123" s="7" t="s">
        <v>195</v>
      </c>
      <c r="F123" s="7" t="s">
        <v>196</v>
      </c>
      <c r="G123" s="7" t="s">
        <v>6</v>
      </c>
      <c r="H123" s="6">
        <v>4</v>
      </c>
      <c r="I123" s="6">
        <v>4</v>
      </c>
      <c r="J123" s="6">
        <v>7</v>
      </c>
      <c r="K123" s="6">
        <v>11</v>
      </c>
      <c r="L123" s="6">
        <v>4</v>
      </c>
      <c r="M123" s="7">
        <v>4</v>
      </c>
      <c r="N123" s="8">
        <v>44.2</v>
      </c>
      <c r="O123" s="5">
        <v>0</v>
      </c>
      <c r="P123" s="5">
        <v>0</v>
      </c>
      <c r="Q123" s="5">
        <v>0</v>
      </c>
      <c r="R123" s="9" t="s">
        <v>190</v>
      </c>
      <c r="S123" s="5">
        <v>44.2</v>
      </c>
      <c r="T123" s="5">
        <v>-8</v>
      </c>
      <c r="U123" s="5" t="s">
        <v>191</v>
      </c>
      <c r="V123" s="61">
        <f>_xlfn.XMATCH(Tabla4[[#This Row],[EAN CORREGIDO]],'Calcular necesidad'!L:L)</f>
        <v>226</v>
      </c>
      <c r="W123" s="61" t="str">
        <f>TRIM(Tabla4[[#This Row],[CodInternoArti]])</f>
        <v>7790042181191</v>
      </c>
    </row>
    <row r="124" spans="1:23" hidden="1" x14ac:dyDescent="0.35">
      <c r="A124" s="5">
        <v>2006432</v>
      </c>
      <c r="B124" s="35" t="s">
        <v>438</v>
      </c>
      <c r="C124" s="7" t="s">
        <v>439</v>
      </c>
      <c r="D124" s="7" t="s">
        <v>281</v>
      </c>
      <c r="E124" s="7" t="s">
        <v>290</v>
      </c>
      <c r="F124" s="7" t="s">
        <v>375</v>
      </c>
      <c r="G124" s="7" t="s">
        <v>6</v>
      </c>
      <c r="H124" s="6"/>
      <c r="I124" s="6">
        <v>1</v>
      </c>
      <c r="J124" s="6">
        <v>1</v>
      </c>
      <c r="K124" s="6"/>
      <c r="L124" s="6"/>
      <c r="M124" s="7">
        <v>1</v>
      </c>
      <c r="N124" s="8">
        <v>3.9</v>
      </c>
      <c r="O124" s="5">
        <v>0</v>
      </c>
      <c r="P124" s="5">
        <v>0</v>
      </c>
      <c r="Q124" s="5">
        <v>0</v>
      </c>
      <c r="R124" s="9" t="s">
        <v>190</v>
      </c>
      <c r="S124" s="5">
        <v>3.9</v>
      </c>
      <c r="T124" s="5">
        <v>-1</v>
      </c>
      <c r="U124" s="5" t="s">
        <v>191</v>
      </c>
      <c r="V124" s="61">
        <f>_xlfn.XMATCH(Tabla4[[#This Row],[EAN CORREGIDO]],'Calcular necesidad'!L:L)</f>
        <v>112</v>
      </c>
      <c r="W124" s="61" t="str">
        <f>TRIM(Tabla4[[#This Row],[CodInternoArti]])</f>
        <v>105445B</v>
      </c>
    </row>
    <row r="125" spans="1:23" hidden="1" x14ac:dyDescent="0.35">
      <c r="A125" s="5">
        <v>2007287</v>
      </c>
      <c r="B125" s="35">
        <v>7790000000345</v>
      </c>
      <c r="C125" s="7" t="s">
        <v>440</v>
      </c>
      <c r="D125" s="7" t="s">
        <v>278</v>
      </c>
      <c r="E125" s="7" t="s">
        <v>279</v>
      </c>
      <c r="F125" s="7" t="s">
        <v>55</v>
      </c>
      <c r="G125" s="7" t="s">
        <v>6</v>
      </c>
      <c r="H125" s="6">
        <v>7</v>
      </c>
      <c r="I125" s="6">
        <v>7</v>
      </c>
      <c r="J125" s="6">
        <v>45</v>
      </c>
      <c r="K125" s="6">
        <v>18</v>
      </c>
      <c r="L125" s="6">
        <v>64</v>
      </c>
      <c r="M125" s="7">
        <v>33</v>
      </c>
      <c r="N125" s="8">
        <v>226.2</v>
      </c>
      <c r="O125" s="5">
        <v>0</v>
      </c>
      <c r="P125" s="5">
        <v>0</v>
      </c>
      <c r="Q125" s="5">
        <v>0</v>
      </c>
      <c r="R125" s="9" t="s">
        <v>190</v>
      </c>
      <c r="S125" s="5">
        <v>226.2</v>
      </c>
      <c r="T125" s="5">
        <v>-14</v>
      </c>
      <c r="U125" s="5" t="s">
        <v>191</v>
      </c>
      <c r="V125" s="61">
        <f>_xlfn.XMATCH(Tabla4[[#This Row],[EAN CORREGIDO]],'Calcular necesidad'!L:L)</f>
        <v>137</v>
      </c>
      <c r="W125" s="61" t="str">
        <f>TRIM(Tabla4[[#This Row],[CodInternoArti]])</f>
        <v>7790000000345</v>
      </c>
    </row>
    <row r="126" spans="1:23" hidden="1" x14ac:dyDescent="0.35">
      <c r="A126" s="5">
        <v>2007192</v>
      </c>
      <c r="B126" s="35">
        <v>7790000000236</v>
      </c>
      <c r="C126" s="7" t="s">
        <v>441</v>
      </c>
      <c r="D126" s="7" t="s">
        <v>194</v>
      </c>
      <c r="E126" s="7" t="s">
        <v>206</v>
      </c>
      <c r="F126" s="7" t="s">
        <v>442</v>
      </c>
      <c r="G126" s="7" t="s">
        <v>6</v>
      </c>
      <c r="H126" s="6">
        <v>13</v>
      </c>
      <c r="I126" s="6">
        <v>12</v>
      </c>
      <c r="J126" s="6">
        <v>16</v>
      </c>
      <c r="K126" s="6">
        <v>22</v>
      </c>
      <c r="L126" s="6">
        <v>9</v>
      </c>
      <c r="M126" s="7">
        <v>12</v>
      </c>
      <c r="N126" s="8">
        <v>109.2</v>
      </c>
      <c r="O126" s="5">
        <v>57</v>
      </c>
      <c r="P126" s="5">
        <v>0</v>
      </c>
      <c r="Q126" s="5">
        <v>904</v>
      </c>
      <c r="R126" s="9" t="s">
        <v>305</v>
      </c>
      <c r="S126" s="5">
        <v>0</v>
      </c>
      <c r="T126" s="5">
        <v>32</v>
      </c>
      <c r="U126" s="5" t="s">
        <v>191</v>
      </c>
      <c r="V126" s="61">
        <f>_xlfn.XMATCH(Tabla4[[#This Row],[EAN CORREGIDO]],'Calcular necesidad'!L:L)</f>
        <v>138</v>
      </c>
      <c r="W126" s="61" t="str">
        <f>TRIM(Tabla4[[#This Row],[CodInternoArti]])</f>
        <v>7790000000236</v>
      </c>
    </row>
    <row r="127" spans="1:23" hidden="1" x14ac:dyDescent="0.35">
      <c r="A127" s="5">
        <v>2006666</v>
      </c>
      <c r="B127" s="35">
        <v>7790013877012</v>
      </c>
      <c r="C127" s="7" t="s">
        <v>443</v>
      </c>
      <c r="D127" s="7" t="s">
        <v>216</v>
      </c>
      <c r="E127" s="7" t="s">
        <v>233</v>
      </c>
      <c r="F127" s="7" t="s">
        <v>234</v>
      </c>
      <c r="G127" s="7" t="s">
        <v>6</v>
      </c>
      <c r="H127" s="6"/>
      <c r="I127" s="6">
        <v>1</v>
      </c>
      <c r="J127" s="6"/>
      <c r="K127" s="6"/>
      <c r="L127" s="6"/>
      <c r="M127" s="7">
        <v>1</v>
      </c>
      <c r="N127" s="8">
        <v>2.6</v>
      </c>
      <c r="O127" s="5">
        <v>0</v>
      </c>
      <c r="P127" s="5">
        <v>0</v>
      </c>
      <c r="Q127" s="5">
        <v>0</v>
      </c>
      <c r="R127" s="9" t="s">
        <v>190</v>
      </c>
      <c r="S127" s="5">
        <v>2.6</v>
      </c>
      <c r="T127" s="5">
        <v>-1</v>
      </c>
      <c r="U127" s="5" t="s">
        <v>191</v>
      </c>
      <c r="V127" s="61">
        <f>_xlfn.XMATCH(Tabla4[[#This Row],[EAN CORREGIDO]],'Calcular necesidad'!L:L)</f>
        <v>147</v>
      </c>
      <c r="W127" s="61" t="str">
        <f>TRIM(Tabla4[[#This Row],[CodInternoArti]])</f>
        <v>7790013877012</v>
      </c>
    </row>
    <row r="128" spans="1:23" hidden="1" x14ac:dyDescent="0.35">
      <c r="A128" s="5">
        <v>2007321</v>
      </c>
      <c r="B128" s="35">
        <v>7790000000379</v>
      </c>
      <c r="C128" s="7" t="s">
        <v>444</v>
      </c>
      <c r="D128" s="7" t="s">
        <v>281</v>
      </c>
      <c r="E128" s="7" t="s">
        <v>290</v>
      </c>
      <c r="F128" s="7" t="s">
        <v>363</v>
      </c>
      <c r="G128" s="7" t="s">
        <v>6</v>
      </c>
      <c r="H128" s="6">
        <v>3</v>
      </c>
      <c r="I128" s="6">
        <v>3</v>
      </c>
      <c r="J128" s="6">
        <v>3</v>
      </c>
      <c r="K128" s="6">
        <v>3</v>
      </c>
      <c r="L128" s="6">
        <v>1</v>
      </c>
      <c r="M128" s="7"/>
      <c r="N128" s="8">
        <v>16.899999999999999</v>
      </c>
      <c r="O128" s="5">
        <v>9</v>
      </c>
      <c r="P128" s="5">
        <v>0</v>
      </c>
      <c r="Q128" s="5">
        <v>15</v>
      </c>
      <c r="R128" s="9" t="s">
        <v>305</v>
      </c>
      <c r="S128" s="5">
        <v>0</v>
      </c>
      <c r="T128" s="5">
        <v>3</v>
      </c>
      <c r="U128" s="5" t="s">
        <v>191</v>
      </c>
      <c r="V128" s="61">
        <f>_xlfn.XMATCH(Tabla4[[#This Row],[EAN CORREGIDO]],'Calcular necesidad'!L:L)</f>
        <v>140</v>
      </c>
      <c r="W128" s="61" t="str">
        <f>TRIM(Tabla4[[#This Row],[CodInternoArti]])</f>
        <v>7790000000379</v>
      </c>
    </row>
    <row r="129" spans="1:23" hidden="1" x14ac:dyDescent="0.35">
      <c r="A129" s="5">
        <v>2007316</v>
      </c>
      <c r="B129" s="35">
        <v>7790458657255</v>
      </c>
      <c r="C129" s="7" t="s">
        <v>445</v>
      </c>
      <c r="D129" s="7" t="s">
        <v>194</v>
      </c>
      <c r="E129" s="7" t="s">
        <v>206</v>
      </c>
      <c r="F129" s="7" t="s">
        <v>207</v>
      </c>
      <c r="G129" s="7" t="s">
        <v>6</v>
      </c>
      <c r="H129" s="6"/>
      <c r="I129" s="6">
        <v>5</v>
      </c>
      <c r="J129" s="6"/>
      <c r="K129" s="6"/>
      <c r="L129" s="6"/>
      <c r="M129" s="7">
        <v>5</v>
      </c>
      <c r="N129" s="8">
        <v>13</v>
      </c>
      <c r="O129" s="5">
        <v>0</v>
      </c>
      <c r="P129" s="5">
        <v>0</v>
      </c>
      <c r="Q129" s="5">
        <v>0</v>
      </c>
      <c r="R129" s="9" t="s">
        <v>190</v>
      </c>
      <c r="S129" s="5">
        <v>13</v>
      </c>
      <c r="T129" s="5">
        <v>-5</v>
      </c>
      <c r="U129" s="5" t="s">
        <v>191</v>
      </c>
      <c r="V129" s="61">
        <f>_xlfn.XMATCH(Tabla4[[#This Row],[EAN CORREGIDO]],'Calcular necesidad'!L:L)</f>
        <v>155</v>
      </c>
      <c r="W129" s="61" t="str">
        <f>TRIM(Tabla4[[#This Row],[CodInternoArti]])</f>
        <v>7790458657255</v>
      </c>
    </row>
    <row r="130" spans="1:23" hidden="1" x14ac:dyDescent="0.35">
      <c r="A130" s="5" t="s">
        <v>265</v>
      </c>
      <c r="B130" s="35">
        <v>736372273444</v>
      </c>
      <c r="C130" s="7" t="s">
        <v>446</v>
      </c>
      <c r="D130" s="7" t="s">
        <v>212</v>
      </c>
      <c r="E130" s="7" t="s">
        <v>245</v>
      </c>
      <c r="F130" s="7" t="s">
        <v>246</v>
      </c>
      <c r="G130" s="7" t="s">
        <v>6</v>
      </c>
      <c r="H130" s="6"/>
      <c r="I130" s="6">
        <v>2</v>
      </c>
      <c r="J130" s="6"/>
      <c r="K130" s="6"/>
      <c r="L130" s="6"/>
      <c r="M130" s="7">
        <v>2</v>
      </c>
      <c r="N130" s="8">
        <v>5.2</v>
      </c>
      <c r="O130" s="5">
        <v>0</v>
      </c>
      <c r="P130" s="5">
        <v>0</v>
      </c>
      <c r="Q130" s="5">
        <v>2</v>
      </c>
      <c r="R130" s="9" t="s">
        <v>190</v>
      </c>
      <c r="S130" s="5">
        <v>3.2</v>
      </c>
      <c r="T130" s="5">
        <v>-2</v>
      </c>
      <c r="U130" s="5" t="s">
        <v>191</v>
      </c>
      <c r="V130" s="61">
        <f>_xlfn.XMATCH(Tabla4[[#This Row],[EAN CORREGIDO]],'Calcular necesidad'!L:L)</f>
        <v>188</v>
      </c>
      <c r="W130" s="61" t="str">
        <f>TRIM(Tabla4[[#This Row],[CodInternoArti]])</f>
        <v>736372273444</v>
      </c>
    </row>
    <row r="131" spans="1:23" hidden="1" x14ac:dyDescent="0.35">
      <c r="A131" s="5">
        <v>2006381</v>
      </c>
      <c r="B131" s="35">
        <v>756058757297</v>
      </c>
      <c r="C131" s="7" t="s">
        <v>447</v>
      </c>
      <c r="D131" s="7" t="s">
        <v>194</v>
      </c>
      <c r="E131" s="7" t="s">
        <v>195</v>
      </c>
      <c r="F131" s="7" t="s">
        <v>406</v>
      </c>
      <c r="G131" s="7" t="s">
        <v>6</v>
      </c>
      <c r="H131" s="6">
        <v>2</v>
      </c>
      <c r="I131" s="6">
        <v>6</v>
      </c>
      <c r="J131" s="6">
        <v>2</v>
      </c>
      <c r="K131" s="6">
        <v>3</v>
      </c>
      <c r="L131" s="6">
        <v>2</v>
      </c>
      <c r="M131" s="7">
        <v>6</v>
      </c>
      <c r="N131" s="8">
        <v>27.3</v>
      </c>
      <c r="O131" s="5">
        <v>0</v>
      </c>
      <c r="P131" s="5">
        <v>0</v>
      </c>
      <c r="Q131" s="5">
        <v>0</v>
      </c>
      <c r="R131" s="9" t="s">
        <v>190</v>
      </c>
      <c r="S131" s="5">
        <v>27.3</v>
      </c>
      <c r="T131" s="5">
        <v>-8</v>
      </c>
      <c r="U131" s="5" t="s">
        <v>191</v>
      </c>
      <c r="V131" s="61">
        <f>_xlfn.XMATCH(Tabla4[[#This Row],[EAN CORREGIDO]],'Calcular necesidad'!L:L)</f>
        <v>143</v>
      </c>
      <c r="W131" s="61" t="str">
        <f>TRIM(Tabla4[[#This Row],[CodInternoArti]])</f>
        <v>756058757297</v>
      </c>
    </row>
    <row r="132" spans="1:23" hidden="1" x14ac:dyDescent="0.35">
      <c r="A132" s="5">
        <v>2006953</v>
      </c>
      <c r="B132" s="35">
        <v>7795618001244</v>
      </c>
      <c r="C132" s="7" t="s">
        <v>448</v>
      </c>
      <c r="D132" s="7" t="s">
        <v>188</v>
      </c>
      <c r="E132" s="7" t="s">
        <v>293</v>
      </c>
      <c r="F132" s="7" t="s">
        <v>293</v>
      </c>
      <c r="G132" s="7" t="s">
        <v>6</v>
      </c>
      <c r="H132" s="6">
        <v>122</v>
      </c>
      <c r="I132" s="6">
        <v>126</v>
      </c>
      <c r="J132" s="6">
        <v>130</v>
      </c>
      <c r="K132" s="6">
        <v>144</v>
      </c>
      <c r="L132" s="6">
        <v>122</v>
      </c>
      <c r="M132" s="7">
        <v>130</v>
      </c>
      <c r="N132" s="8">
        <v>1006.2</v>
      </c>
      <c r="O132" s="5">
        <v>177</v>
      </c>
      <c r="P132" s="5">
        <v>0</v>
      </c>
      <c r="Q132" s="5">
        <v>928</v>
      </c>
      <c r="R132" s="9" t="s">
        <v>305</v>
      </c>
      <c r="S132" s="5">
        <v>0</v>
      </c>
      <c r="T132" s="5">
        <v>-71</v>
      </c>
      <c r="U132" s="5" t="s">
        <v>191</v>
      </c>
      <c r="V132" s="61">
        <f>_xlfn.XMATCH(Tabla4[[#This Row],[EAN CORREGIDO]],'Calcular necesidad'!L:L)</f>
        <v>150</v>
      </c>
      <c r="W132" s="61" t="str">
        <f>TRIM(Tabla4[[#This Row],[CodInternoArti]])</f>
        <v>7795618001244</v>
      </c>
    </row>
    <row r="133" spans="1:23" hidden="1" x14ac:dyDescent="0.35">
      <c r="A133" s="5" t="s">
        <v>265</v>
      </c>
      <c r="B133" s="35">
        <v>7798068951879</v>
      </c>
      <c r="C133" s="7" t="s">
        <v>449</v>
      </c>
      <c r="D133" s="7" t="s">
        <v>281</v>
      </c>
      <c r="E133" s="7" t="s">
        <v>290</v>
      </c>
      <c r="F133" s="7" t="s">
        <v>371</v>
      </c>
      <c r="G133" s="7" t="s">
        <v>6</v>
      </c>
      <c r="H133" s="6"/>
      <c r="I133" s="6">
        <v>10</v>
      </c>
      <c r="J133" s="6"/>
      <c r="K133" s="6">
        <v>10</v>
      </c>
      <c r="L133" s="6"/>
      <c r="M133" s="7">
        <v>10</v>
      </c>
      <c r="N133" s="8">
        <v>39</v>
      </c>
      <c r="O133" s="5">
        <v>0</v>
      </c>
      <c r="P133" s="5">
        <v>0</v>
      </c>
      <c r="Q133" s="5">
        <v>0</v>
      </c>
      <c r="R133" s="9" t="s">
        <v>190</v>
      </c>
      <c r="S133" s="5">
        <v>39</v>
      </c>
      <c r="T133" s="5">
        <v>-10</v>
      </c>
      <c r="U133" s="5" t="s">
        <v>191</v>
      </c>
      <c r="V133" s="61">
        <f>_xlfn.XMATCH(Tabla4[[#This Row],[EAN CORREGIDO]],'Calcular necesidad'!L:L)</f>
        <v>151</v>
      </c>
      <c r="W133" s="61" t="str">
        <f>TRIM(Tabla4[[#This Row],[CodInternoArti]])</f>
        <v>7798068951879</v>
      </c>
    </row>
    <row r="134" spans="1:23" hidden="1" x14ac:dyDescent="0.35">
      <c r="A134" s="5">
        <v>2007232</v>
      </c>
      <c r="B134" s="35">
        <v>7790000000278</v>
      </c>
      <c r="C134" s="7" t="s">
        <v>450</v>
      </c>
      <c r="D134" s="7" t="s">
        <v>281</v>
      </c>
      <c r="E134" s="7" t="s">
        <v>290</v>
      </c>
      <c r="F134" s="7" t="s">
        <v>291</v>
      </c>
      <c r="G134" s="7" t="s">
        <v>6</v>
      </c>
      <c r="H134" s="6">
        <v>1</v>
      </c>
      <c r="I134" s="6">
        <v>1</v>
      </c>
      <c r="J134" s="6">
        <v>1</v>
      </c>
      <c r="K134" s="6">
        <v>2</v>
      </c>
      <c r="L134" s="6"/>
      <c r="M134" s="7">
        <v>1</v>
      </c>
      <c r="N134" s="8">
        <v>7.8000000000000007</v>
      </c>
      <c r="O134" s="5">
        <v>0</v>
      </c>
      <c r="P134" s="5">
        <v>0</v>
      </c>
      <c r="Q134" s="5">
        <v>0</v>
      </c>
      <c r="R134" s="9" t="s">
        <v>190</v>
      </c>
      <c r="S134" s="5">
        <v>7.8000000000000007</v>
      </c>
      <c r="T134" s="5">
        <v>-2</v>
      </c>
      <c r="U134" s="5" t="s">
        <v>191</v>
      </c>
      <c r="V134" s="61">
        <f>_xlfn.XMATCH(Tabla4[[#This Row],[EAN CORREGIDO]],'Calcular necesidad'!L:L)</f>
        <v>144</v>
      </c>
      <c r="W134" s="61" t="str">
        <f>TRIM(Tabla4[[#This Row],[CodInternoArti]])</f>
        <v>7790000000278</v>
      </c>
    </row>
    <row r="135" spans="1:23" hidden="1" x14ac:dyDescent="0.35">
      <c r="A135" s="5">
        <v>2006799</v>
      </c>
      <c r="B135" s="35">
        <v>7791388988495</v>
      </c>
      <c r="C135" s="7" t="s">
        <v>451</v>
      </c>
      <c r="D135" s="7" t="s">
        <v>212</v>
      </c>
      <c r="E135" s="7" t="s">
        <v>245</v>
      </c>
      <c r="F135" s="7" t="s">
        <v>246</v>
      </c>
      <c r="G135" s="7" t="s">
        <v>6</v>
      </c>
      <c r="H135" s="6">
        <v>4</v>
      </c>
      <c r="I135" s="6">
        <v>4</v>
      </c>
      <c r="J135" s="6">
        <v>4</v>
      </c>
      <c r="K135" s="6">
        <v>4</v>
      </c>
      <c r="L135" s="6">
        <v>4</v>
      </c>
      <c r="M135" s="7">
        <v>4</v>
      </c>
      <c r="N135" s="8">
        <v>31.2</v>
      </c>
      <c r="O135" s="5">
        <v>0</v>
      </c>
      <c r="P135" s="5">
        <v>0</v>
      </c>
      <c r="Q135" s="5">
        <v>0</v>
      </c>
      <c r="R135" s="9" t="s">
        <v>190</v>
      </c>
      <c r="S135" s="5">
        <v>31.2</v>
      </c>
      <c r="T135" s="5">
        <v>-8</v>
      </c>
      <c r="U135" s="5" t="s">
        <v>191</v>
      </c>
      <c r="V135" s="61">
        <f>_xlfn.XMATCH(Tabla4[[#This Row],[EAN CORREGIDO]],'Calcular necesidad'!L:L)</f>
        <v>228</v>
      </c>
      <c r="W135" s="61" t="str">
        <f>TRIM(Tabla4[[#This Row],[CodInternoArti]])</f>
        <v>7791388988495</v>
      </c>
    </row>
    <row r="136" spans="1:23" hidden="1" x14ac:dyDescent="0.35">
      <c r="A136" s="5" t="s">
        <v>265</v>
      </c>
      <c r="B136" s="35">
        <v>7798068951855</v>
      </c>
      <c r="C136" s="7" t="s">
        <v>452</v>
      </c>
      <c r="D136" s="7" t="s">
        <v>281</v>
      </c>
      <c r="E136" s="7" t="s">
        <v>290</v>
      </c>
      <c r="F136" s="7" t="s">
        <v>363</v>
      </c>
      <c r="G136" s="7" t="s">
        <v>6</v>
      </c>
      <c r="H136" s="6">
        <v>60</v>
      </c>
      <c r="I136" s="6">
        <v>40</v>
      </c>
      <c r="J136" s="6">
        <v>40</v>
      </c>
      <c r="K136" s="6">
        <v>55</v>
      </c>
      <c r="L136" s="6">
        <v>25</v>
      </c>
      <c r="M136" s="7">
        <v>54</v>
      </c>
      <c r="N136" s="8">
        <v>356.2</v>
      </c>
      <c r="O136" s="5">
        <v>0</v>
      </c>
      <c r="P136" s="5">
        <v>0</v>
      </c>
      <c r="Q136" s="5">
        <v>0</v>
      </c>
      <c r="R136" s="9" t="s">
        <v>190</v>
      </c>
      <c r="S136" s="5">
        <v>356.2</v>
      </c>
      <c r="T136" s="5">
        <v>-100</v>
      </c>
      <c r="U136" s="5" t="s">
        <v>191</v>
      </c>
      <c r="V136" s="61">
        <f>_xlfn.XMATCH(Tabla4[[#This Row],[EAN CORREGIDO]],'Calcular necesidad'!L:L)</f>
        <v>133</v>
      </c>
      <c r="W136" s="61" t="str">
        <f>TRIM(Tabla4[[#This Row],[CodInternoArti]])</f>
        <v>7798068951855</v>
      </c>
    </row>
    <row r="137" spans="1:23" hidden="1" x14ac:dyDescent="0.35">
      <c r="A137" s="5">
        <v>2011434</v>
      </c>
      <c r="B137" s="35">
        <v>7790000000676</v>
      </c>
      <c r="C137" s="7" t="s">
        <v>453</v>
      </c>
      <c r="D137" s="7" t="s">
        <v>320</v>
      </c>
      <c r="E137" s="7" t="s">
        <v>321</v>
      </c>
      <c r="F137" s="7" t="s">
        <v>322</v>
      </c>
      <c r="G137" s="7" t="s">
        <v>6</v>
      </c>
      <c r="H137" s="6">
        <v>1</v>
      </c>
      <c r="I137" s="6">
        <v>3</v>
      </c>
      <c r="J137" s="6">
        <v>2</v>
      </c>
      <c r="K137" s="6">
        <v>2</v>
      </c>
      <c r="L137" s="6">
        <v>2</v>
      </c>
      <c r="M137" s="7">
        <v>2</v>
      </c>
      <c r="N137" s="8">
        <v>15.6</v>
      </c>
      <c r="O137" s="5">
        <v>0</v>
      </c>
      <c r="P137" s="5">
        <v>0</v>
      </c>
      <c r="Q137" s="5">
        <v>0</v>
      </c>
      <c r="R137" s="9" t="s">
        <v>190</v>
      </c>
      <c r="S137" s="5">
        <v>15.6</v>
      </c>
      <c r="T137" s="5">
        <v>-4</v>
      </c>
      <c r="U137" s="5" t="s">
        <v>191</v>
      </c>
      <c r="V137" s="61">
        <f>_xlfn.XMATCH(Tabla4[[#This Row],[EAN CORREGIDO]],'Calcular necesidad'!L:L)</f>
        <v>245</v>
      </c>
      <c r="W137" s="61" t="str">
        <f>TRIM(Tabla4[[#This Row],[CodInternoArti]])</f>
        <v>7790000000676</v>
      </c>
    </row>
    <row r="138" spans="1:23" hidden="1" x14ac:dyDescent="0.35">
      <c r="A138" s="5">
        <v>2007329</v>
      </c>
      <c r="B138" s="35">
        <v>7790000000386</v>
      </c>
      <c r="C138" s="7" t="s">
        <v>454</v>
      </c>
      <c r="D138" s="7" t="s">
        <v>188</v>
      </c>
      <c r="E138" s="7" t="s">
        <v>293</v>
      </c>
      <c r="F138" s="7" t="s">
        <v>318</v>
      </c>
      <c r="G138" s="7" t="s">
        <v>5</v>
      </c>
      <c r="H138" s="6">
        <v>1</v>
      </c>
      <c r="I138" s="6">
        <v>10</v>
      </c>
      <c r="J138" s="6">
        <v>1</v>
      </c>
      <c r="K138" s="6">
        <v>10</v>
      </c>
      <c r="L138" s="6">
        <v>1</v>
      </c>
      <c r="M138" s="7">
        <v>10</v>
      </c>
      <c r="N138" s="8">
        <v>42.9</v>
      </c>
      <c r="O138" s="5">
        <v>110</v>
      </c>
      <c r="P138" s="5">
        <v>0</v>
      </c>
      <c r="Q138" s="5">
        <v>0</v>
      </c>
      <c r="R138" s="9" t="s">
        <v>305</v>
      </c>
      <c r="S138" s="5">
        <v>0</v>
      </c>
      <c r="T138" s="5">
        <v>99</v>
      </c>
      <c r="U138" s="5" t="s">
        <v>191</v>
      </c>
      <c r="V138" s="61">
        <f>_xlfn.XMATCH(Tabla4[[#This Row],[EAN CORREGIDO]],'Calcular necesidad'!L:L)</f>
        <v>152</v>
      </c>
      <c r="W138" s="61" t="str">
        <f>TRIM(Tabla4[[#This Row],[CodInternoArti]])</f>
        <v>7790000000386</v>
      </c>
    </row>
    <row r="139" spans="1:23" hidden="1" x14ac:dyDescent="0.35">
      <c r="A139" s="5">
        <v>2007004</v>
      </c>
      <c r="B139" s="35">
        <v>7790000000043</v>
      </c>
      <c r="C139" s="7" t="s">
        <v>455</v>
      </c>
      <c r="D139" s="7" t="s">
        <v>194</v>
      </c>
      <c r="E139" s="7" t="s">
        <v>206</v>
      </c>
      <c r="F139" s="7" t="s">
        <v>456</v>
      </c>
      <c r="G139" s="7" t="s">
        <v>6</v>
      </c>
      <c r="H139" s="6"/>
      <c r="I139" s="6">
        <v>1</v>
      </c>
      <c r="J139" s="6"/>
      <c r="K139" s="6">
        <v>1</v>
      </c>
      <c r="L139" s="6"/>
      <c r="M139" s="7">
        <v>1</v>
      </c>
      <c r="N139" s="8">
        <v>3.9</v>
      </c>
      <c r="O139" s="5">
        <v>0</v>
      </c>
      <c r="P139" s="5">
        <v>0</v>
      </c>
      <c r="Q139" s="5">
        <v>0</v>
      </c>
      <c r="R139" s="9" t="s">
        <v>190</v>
      </c>
      <c r="S139" s="5">
        <v>3.9</v>
      </c>
      <c r="T139" s="5">
        <v>-1</v>
      </c>
      <c r="U139" s="5" t="s">
        <v>191</v>
      </c>
      <c r="V139" s="61">
        <f>_xlfn.XMATCH(Tabla4[[#This Row],[EAN CORREGIDO]],'Calcular necesidad'!L:L)</f>
        <v>156</v>
      </c>
      <c r="W139" s="61" t="str">
        <f>TRIM(Tabla4[[#This Row],[CodInternoArti]])</f>
        <v>7790000000043</v>
      </c>
    </row>
    <row r="140" spans="1:23" hidden="1" x14ac:dyDescent="0.35">
      <c r="A140" s="5" t="s">
        <v>265</v>
      </c>
      <c r="B140" s="35">
        <v>7798011210039</v>
      </c>
      <c r="C140" s="7" t="s">
        <v>457</v>
      </c>
      <c r="D140" s="7" t="s">
        <v>281</v>
      </c>
      <c r="E140" s="7" t="s">
        <v>290</v>
      </c>
      <c r="F140" s="7" t="s">
        <v>363</v>
      </c>
      <c r="G140" s="7" t="s">
        <v>6</v>
      </c>
      <c r="H140" s="6">
        <v>5</v>
      </c>
      <c r="I140" s="6">
        <v>36</v>
      </c>
      <c r="J140" s="6">
        <v>36</v>
      </c>
      <c r="K140" s="6">
        <v>36</v>
      </c>
      <c r="L140" s="6">
        <v>36</v>
      </c>
      <c r="M140" s="7">
        <v>36</v>
      </c>
      <c r="N140" s="8">
        <v>240.5</v>
      </c>
      <c r="O140" s="5">
        <v>218</v>
      </c>
      <c r="P140" s="5">
        <v>0</v>
      </c>
      <c r="Q140" s="5">
        <v>860</v>
      </c>
      <c r="R140" s="9" t="s">
        <v>305</v>
      </c>
      <c r="S140" s="5">
        <v>0</v>
      </c>
      <c r="T140" s="5">
        <v>177</v>
      </c>
      <c r="U140" s="5" t="s">
        <v>191</v>
      </c>
      <c r="V140" s="61">
        <f>_xlfn.XMATCH(Tabla4[[#This Row],[EAN CORREGIDO]],'Calcular necesidad'!L:L)</f>
        <v>145</v>
      </c>
      <c r="W140" s="61" t="str">
        <f>TRIM(Tabla4[[#This Row],[CodInternoArti]])</f>
        <v>7798011210039</v>
      </c>
    </row>
    <row r="141" spans="1:23" ht="16" hidden="1" customHeight="1" x14ac:dyDescent="0.35">
      <c r="A141" s="5">
        <v>2007132</v>
      </c>
      <c r="B141" s="35">
        <v>7790000000218</v>
      </c>
      <c r="C141" s="7" t="s">
        <v>458</v>
      </c>
      <c r="D141" s="7" t="s">
        <v>206</v>
      </c>
      <c r="E141" s="7" t="s">
        <v>206</v>
      </c>
      <c r="F141" s="10" t="s">
        <v>459</v>
      </c>
      <c r="G141" s="7" t="s">
        <v>6</v>
      </c>
      <c r="H141" s="6"/>
      <c r="I141" s="6"/>
      <c r="J141" s="6"/>
      <c r="K141" s="6"/>
      <c r="L141" s="6"/>
      <c r="M141" s="7">
        <v>4</v>
      </c>
      <c r="N141" s="8">
        <v>5.2</v>
      </c>
      <c r="O141" s="5">
        <v>10</v>
      </c>
      <c r="P141" s="5">
        <v>0</v>
      </c>
      <c r="Q141" s="5">
        <v>0</v>
      </c>
      <c r="R141" s="9" t="s">
        <v>338</v>
      </c>
      <c r="S141" s="5">
        <v>0</v>
      </c>
      <c r="T141" s="5">
        <v>10</v>
      </c>
      <c r="U141" s="5" t="s">
        <v>191</v>
      </c>
      <c r="V141" s="61">
        <f>_xlfn.XMATCH(Tabla4[[#This Row],[EAN CORREGIDO]],'Calcular necesidad'!L:L)</f>
        <v>184</v>
      </c>
      <c r="W141" s="61" t="str">
        <f>TRIM(Tabla4[[#This Row],[CodInternoArti]])</f>
        <v>7790000000218</v>
      </c>
    </row>
    <row r="142" spans="1:23" hidden="1" x14ac:dyDescent="0.35">
      <c r="A142" s="5">
        <v>2006479</v>
      </c>
      <c r="B142" s="35">
        <v>7798662008446</v>
      </c>
      <c r="C142" s="7" t="s">
        <v>460</v>
      </c>
      <c r="D142" s="7" t="s">
        <v>320</v>
      </c>
      <c r="E142" s="7" t="s">
        <v>332</v>
      </c>
      <c r="F142" s="7" t="s">
        <v>333</v>
      </c>
      <c r="G142" s="7" t="s">
        <v>6</v>
      </c>
      <c r="H142" s="6"/>
      <c r="I142" s="6"/>
      <c r="J142" s="6">
        <v>4</v>
      </c>
      <c r="K142" s="6"/>
      <c r="L142" s="6"/>
      <c r="M142" s="7"/>
      <c r="N142" s="8">
        <v>5.2</v>
      </c>
      <c r="O142" s="5">
        <v>0</v>
      </c>
      <c r="P142" s="5">
        <v>0</v>
      </c>
      <c r="Q142" s="5">
        <v>0</v>
      </c>
      <c r="R142" s="9" t="s">
        <v>190</v>
      </c>
      <c r="S142" s="5">
        <v>5.2</v>
      </c>
      <c r="T142" s="5">
        <v>0</v>
      </c>
      <c r="U142" s="5" t="s">
        <v>191</v>
      </c>
      <c r="V142" s="61">
        <f>_xlfn.XMATCH(Tabla4[[#This Row],[EAN CORREGIDO]],'Calcular necesidad'!L:L)</f>
        <v>161</v>
      </c>
      <c r="W142" s="61" t="str">
        <f>TRIM(Tabla4[[#This Row],[CodInternoArti]])</f>
        <v>7798662008446</v>
      </c>
    </row>
    <row r="143" spans="1:23" hidden="1" x14ac:dyDescent="0.35">
      <c r="A143" s="5" t="s">
        <v>265</v>
      </c>
      <c r="B143" s="35">
        <v>7790000000768</v>
      </c>
      <c r="C143" s="7" t="s">
        <v>461</v>
      </c>
      <c r="D143" s="7" t="s">
        <v>194</v>
      </c>
      <c r="E143" s="7" t="s">
        <v>462</v>
      </c>
      <c r="F143" s="7" t="s">
        <v>463</v>
      </c>
      <c r="G143" s="7" t="s">
        <v>6</v>
      </c>
      <c r="H143" s="6"/>
      <c r="I143" s="6"/>
      <c r="J143" s="6">
        <v>1</v>
      </c>
      <c r="K143" s="6"/>
      <c r="L143" s="6"/>
      <c r="M143" s="7"/>
      <c r="N143" s="8">
        <v>1.3</v>
      </c>
      <c r="O143" s="5">
        <v>0</v>
      </c>
      <c r="P143" s="5">
        <v>0</v>
      </c>
      <c r="Q143" s="5">
        <v>0</v>
      </c>
      <c r="R143" s="9" t="s">
        <v>190</v>
      </c>
      <c r="S143" s="5">
        <v>1.3</v>
      </c>
      <c r="T143" s="5">
        <v>0</v>
      </c>
      <c r="U143" s="5" t="s">
        <v>191</v>
      </c>
      <c r="V143" s="61">
        <f>_xlfn.XMATCH(Tabla4[[#This Row],[EAN CORREGIDO]],'Calcular necesidad'!L:L)</f>
        <v>209</v>
      </c>
      <c r="W143" s="61" t="str">
        <f>TRIM(Tabla4[[#This Row],[CodInternoArti]])</f>
        <v>7790000000768</v>
      </c>
    </row>
    <row r="144" spans="1:23" hidden="1" x14ac:dyDescent="0.35">
      <c r="A144" s="5">
        <v>2006797</v>
      </c>
      <c r="B144" s="35">
        <v>7792798664287</v>
      </c>
      <c r="C144" s="7" t="s">
        <v>464</v>
      </c>
      <c r="D144" s="7" t="s">
        <v>281</v>
      </c>
      <c r="E144" s="7" t="s">
        <v>290</v>
      </c>
      <c r="F144" s="7" t="s">
        <v>335</v>
      </c>
      <c r="G144" s="7" t="s">
        <v>6</v>
      </c>
      <c r="H144" s="6">
        <v>2</v>
      </c>
      <c r="I144" s="6">
        <v>2</v>
      </c>
      <c r="J144" s="6">
        <v>2</v>
      </c>
      <c r="K144" s="6">
        <v>2</v>
      </c>
      <c r="L144" s="6">
        <v>2</v>
      </c>
      <c r="M144" s="7">
        <v>19</v>
      </c>
      <c r="N144" s="8">
        <v>37.700000000000003</v>
      </c>
      <c r="O144" s="5">
        <v>0</v>
      </c>
      <c r="P144" s="5">
        <v>0</v>
      </c>
      <c r="Q144" s="5">
        <v>0</v>
      </c>
      <c r="R144" s="9" t="s">
        <v>190</v>
      </c>
      <c r="S144" s="5">
        <v>37.700000000000003</v>
      </c>
      <c r="T144" s="5">
        <v>-4</v>
      </c>
      <c r="U144" s="5" t="s">
        <v>191</v>
      </c>
      <c r="V144" s="61">
        <f>_xlfn.XMATCH(Tabla4[[#This Row],[EAN CORREGIDO]],'Calcular necesidad'!L:L)</f>
        <v>148</v>
      </c>
      <c r="W144" s="61" t="str">
        <f>TRIM(Tabla4[[#This Row],[CodInternoArti]])</f>
        <v>7792798664287</v>
      </c>
    </row>
    <row r="145" spans="1:23" hidden="1" x14ac:dyDescent="0.35">
      <c r="A145" s="5">
        <v>2006850</v>
      </c>
      <c r="B145" s="35">
        <v>7790991126352</v>
      </c>
      <c r="C145" s="7" t="s">
        <v>465</v>
      </c>
      <c r="D145" s="7" t="s">
        <v>281</v>
      </c>
      <c r="E145" s="7" t="s">
        <v>290</v>
      </c>
      <c r="F145" s="7" t="s">
        <v>291</v>
      </c>
      <c r="G145" s="7" t="s">
        <v>6</v>
      </c>
      <c r="H145" s="6">
        <v>99</v>
      </c>
      <c r="I145" s="6">
        <v>81</v>
      </c>
      <c r="J145" s="6">
        <v>76</v>
      </c>
      <c r="K145" s="6">
        <v>96</v>
      </c>
      <c r="L145" s="6">
        <v>66</v>
      </c>
      <c r="M145" s="7">
        <v>70</v>
      </c>
      <c r="N145" s="8">
        <v>634.4</v>
      </c>
      <c r="O145" s="5">
        <v>0</v>
      </c>
      <c r="P145" s="5">
        <v>0</v>
      </c>
      <c r="Q145" s="5">
        <v>0</v>
      </c>
      <c r="R145" s="9" t="s">
        <v>190</v>
      </c>
      <c r="S145" s="5">
        <v>634.4</v>
      </c>
      <c r="T145" s="5">
        <v>-180</v>
      </c>
      <c r="U145" s="5" t="s">
        <v>191</v>
      </c>
      <c r="V145" s="61">
        <f>_xlfn.XMATCH(Tabla4[[#This Row],[EAN CORREGIDO]],'Calcular necesidad'!L:L)</f>
        <v>149</v>
      </c>
      <c r="W145" s="61" t="str">
        <f>TRIM(Tabla4[[#This Row],[CodInternoArti]])</f>
        <v>7790991126352</v>
      </c>
    </row>
    <row r="146" spans="1:23" hidden="1" x14ac:dyDescent="0.35">
      <c r="A146" s="5" t="s">
        <v>265</v>
      </c>
      <c r="B146" s="35">
        <v>7778068951879</v>
      </c>
      <c r="C146" s="7" t="s">
        <v>466</v>
      </c>
      <c r="D146" s="7" t="s">
        <v>281</v>
      </c>
      <c r="E146" s="7" t="s">
        <v>290</v>
      </c>
      <c r="F146" s="7" t="s">
        <v>291</v>
      </c>
      <c r="G146" s="7" t="s">
        <v>6</v>
      </c>
      <c r="H146" s="6">
        <v>4</v>
      </c>
      <c r="I146" s="6">
        <v>8</v>
      </c>
      <c r="J146" s="6">
        <v>3</v>
      </c>
      <c r="K146" s="6">
        <v>8</v>
      </c>
      <c r="L146" s="6">
        <v>4</v>
      </c>
      <c r="M146" s="7">
        <v>8</v>
      </c>
      <c r="N146" s="8">
        <v>45.5</v>
      </c>
      <c r="O146" s="5">
        <v>0</v>
      </c>
      <c r="P146" s="5">
        <v>0</v>
      </c>
      <c r="Q146" s="5">
        <v>0</v>
      </c>
      <c r="R146" s="9" t="s">
        <v>190</v>
      </c>
      <c r="S146" s="5">
        <v>45.5</v>
      </c>
      <c r="T146" s="5">
        <v>-12</v>
      </c>
      <c r="U146" s="5" t="s">
        <v>191</v>
      </c>
      <c r="V146" s="61">
        <f>_xlfn.XMATCH(Tabla4[[#This Row],[EAN CORREGIDO]],'Calcular necesidad'!L:L)</f>
        <v>134</v>
      </c>
      <c r="W146" s="61" t="str">
        <f>TRIM(Tabla4[[#This Row],[CodInternoArti]])</f>
        <v>7778068951879</v>
      </c>
    </row>
    <row r="147" spans="1:23" hidden="1" x14ac:dyDescent="0.35">
      <c r="A147" s="5" t="s">
        <v>265</v>
      </c>
      <c r="B147" s="35">
        <v>7790000000272</v>
      </c>
      <c r="C147" s="7" t="s">
        <v>467</v>
      </c>
      <c r="D147" s="7" t="s">
        <v>281</v>
      </c>
      <c r="E147" s="7" t="s">
        <v>290</v>
      </c>
      <c r="F147" s="7" t="s">
        <v>291</v>
      </c>
      <c r="G147" s="7" t="s">
        <v>6</v>
      </c>
      <c r="H147" s="6">
        <v>40</v>
      </c>
      <c r="I147" s="6">
        <v>40</v>
      </c>
      <c r="J147" s="6">
        <v>40</v>
      </c>
      <c r="K147" s="6">
        <v>40</v>
      </c>
      <c r="L147" s="6">
        <v>40</v>
      </c>
      <c r="M147" s="7">
        <v>52</v>
      </c>
      <c r="N147" s="8">
        <v>327.60000000000002</v>
      </c>
      <c r="O147" s="5">
        <v>0</v>
      </c>
      <c r="P147" s="5">
        <v>0</v>
      </c>
      <c r="Q147" s="5">
        <v>0</v>
      </c>
      <c r="R147" s="9" t="s">
        <v>190</v>
      </c>
      <c r="S147" s="5">
        <v>327.60000000000002</v>
      </c>
      <c r="T147" s="5">
        <v>-80</v>
      </c>
      <c r="U147" s="5" t="s">
        <v>191</v>
      </c>
      <c r="V147" s="61">
        <f>_xlfn.XMATCH(Tabla4[[#This Row],[EAN CORREGIDO]],'Calcular necesidad'!L:L)</f>
        <v>238</v>
      </c>
      <c r="W147" s="61" t="str">
        <f>TRIM(Tabla4[[#This Row],[CodInternoArti]])</f>
        <v>7790000000272</v>
      </c>
    </row>
    <row r="148" spans="1:23" hidden="1" x14ac:dyDescent="0.35">
      <c r="A148" s="5">
        <v>2007571</v>
      </c>
      <c r="B148" s="35">
        <v>7790000000517</v>
      </c>
      <c r="C148" s="7" t="s">
        <v>468</v>
      </c>
      <c r="D148" s="7" t="s">
        <v>275</v>
      </c>
      <c r="E148" s="7" t="s">
        <v>314</v>
      </c>
      <c r="F148" s="7" t="s">
        <v>314</v>
      </c>
      <c r="G148" s="7" t="s">
        <v>6</v>
      </c>
      <c r="H148" s="6"/>
      <c r="I148" s="6">
        <v>10</v>
      </c>
      <c r="J148" s="6">
        <v>80</v>
      </c>
      <c r="K148" s="6">
        <v>80</v>
      </c>
      <c r="L148" s="6">
        <v>60</v>
      </c>
      <c r="M148" s="7">
        <v>30</v>
      </c>
      <c r="N148" s="8">
        <v>338</v>
      </c>
      <c r="O148" s="5">
        <v>0</v>
      </c>
      <c r="P148" s="5">
        <v>0</v>
      </c>
      <c r="Q148" s="5">
        <v>0</v>
      </c>
      <c r="R148" s="9" t="s">
        <v>190</v>
      </c>
      <c r="S148" s="5">
        <v>338</v>
      </c>
      <c r="T148" s="5">
        <v>-10</v>
      </c>
      <c r="U148" s="5" t="s">
        <v>191</v>
      </c>
      <c r="V148" s="61">
        <f>_xlfn.XMATCH(Tabla4[[#This Row],[EAN CORREGIDO]],'Calcular necesidad'!L:L)</f>
        <v>157</v>
      </c>
      <c r="W148" s="61" t="str">
        <f>TRIM(Tabla4[[#This Row],[CodInternoArti]])</f>
        <v>7790000000517</v>
      </c>
    </row>
    <row r="149" spans="1:23" hidden="1" x14ac:dyDescent="0.35">
      <c r="A149" s="5">
        <v>2007578</v>
      </c>
      <c r="B149" s="35">
        <v>7790000000524</v>
      </c>
      <c r="C149" s="7" t="s">
        <v>469</v>
      </c>
      <c r="D149" s="7" t="s">
        <v>216</v>
      </c>
      <c r="E149" s="7" t="s">
        <v>217</v>
      </c>
      <c r="F149" s="7" t="s">
        <v>218</v>
      </c>
      <c r="G149" s="7" t="s">
        <v>6</v>
      </c>
      <c r="H149" s="6">
        <v>1</v>
      </c>
      <c r="I149" s="6"/>
      <c r="J149" s="6">
        <v>1</v>
      </c>
      <c r="K149" s="6"/>
      <c r="L149" s="6">
        <v>1</v>
      </c>
      <c r="M149" s="7"/>
      <c r="N149" s="8">
        <v>3.9</v>
      </c>
      <c r="O149" s="5">
        <v>0</v>
      </c>
      <c r="P149" s="5">
        <v>0</v>
      </c>
      <c r="Q149" s="5">
        <v>0</v>
      </c>
      <c r="R149" s="9" t="s">
        <v>190</v>
      </c>
      <c r="S149" s="5">
        <v>3.9</v>
      </c>
      <c r="T149" s="5">
        <v>-1</v>
      </c>
      <c r="U149" s="5" t="s">
        <v>191</v>
      </c>
      <c r="V149" s="61">
        <f>_xlfn.XMATCH(Tabla4[[#This Row],[EAN CORREGIDO]],'Calcular necesidad'!L:L)</f>
        <v>199</v>
      </c>
      <c r="W149" s="61" t="str">
        <f>TRIM(Tabla4[[#This Row],[CodInternoArti]])</f>
        <v>7790000000524</v>
      </c>
    </row>
    <row r="150" spans="1:23" hidden="1" x14ac:dyDescent="0.35">
      <c r="A150" s="5" t="s">
        <v>265</v>
      </c>
      <c r="B150" s="35">
        <v>7790000000235</v>
      </c>
      <c r="C150" s="7" t="s">
        <v>470</v>
      </c>
      <c r="D150" s="7" t="s">
        <v>194</v>
      </c>
      <c r="E150" s="7" t="s">
        <v>206</v>
      </c>
      <c r="F150" s="7" t="s">
        <v>471</v>
      </c>
      <c r="G150" s="7" t="s">
        <v>6</v>
      </c>
      <c r="H150" s="6">
        <v>6</v>
      </c>
      <c r="I150" s="6">
        <v>13</v>
      </c>
      <c r="J150" s="6">
        <v>10</v>
      </c>
      <c r="K150" s="6">
        <v>10</v>
      </c>
      <c r="L150" s="6">
        <v>4</v>
      </c>
      <c r="M150" s="7">
        <v>13</v>
      </c>
      <c r="N150" s="8">
        <v>72.8</v>
      </c>
      <c r="O150" s="5">
        <v>119</v>
      </c>
      <c r="P150" s="5">
        <v>0</v>
      </c>
      <c r="Q150" s="5">
        <v>373</v>
      </c>
      <c r="R150" s="9" t="s">
        <v>338</v>
      </c>
      <c r="S150" s="5">
        <v>0</v>
      </c>
      <c r="T150" s="5">
        <v>100</v>
      </c>
      <c r="U150" s="5" t="s">
        <v>191</v>
      </c>
      <c r="V150" s="61">
        <f>_xlfn.XMATCH(Tabla4[[#This Row],[EAN CORREGIDO]],'Calcular necesidad'!L:L)</f>
        <v>240</v>
      </c>
      <c r="W150" s="61" t="str">
        <f>TRIM(Tabla4[[#This Row],[CodInternoArti]])</f>
        <v>7790000000235</v>
      </c>
    </row>
    <row r="151" spans="1:23" hidden="1" x14ac:dyDescent="0.35">
      <c r="A151" s="5">
        <v>2006735</v>
      </c>
      <c r="B151" s="35">
        <v>4968420500356</v>
      </c>
      <c r="C151" s="7" t="s">
        <v>472</v>
      </c>
      <c r="D151" s="7" t="s">
        <v>194</v>
      </c>
      <c r="E151" s="7" t="s">
        <v>206</v>
      </c>
      <c r="F151" s="7" t="s">
        <v>207</v>
      </c>
      <c r="G151" s="7" t="s">
        <v>6</v>
      </c>
      <c r="H151" s="6">
        <v>3</v>
      </c>
      <c r="I151" s="6"/>
      <c r="J151" s="6">
        <v>3</v>
      </c>
      <c r="K151" s="6"/>
      <c r="L151" s="6">
        <v>3</v>
      </c>
      <c r="M151" s="7"/>
      <c r="N151" s="8">
        <v>11.7</v>
      </c>
      <c r="O151" s="5">
        <v>0</v>
      </c>
      <c r="P151" s="5">
        <v>0</v>
      </c>
      <c r="Q151" s="5">
        <v>446</v>
      </c>
      <c r="R151" s="9" t="s">
        <v>305</v>
      </c>
      <c r="S151" s="5">
        <v>0</v>
      </c>
      <c r="T151" s="5">
        <v>-3</v>
      </c>
      <c r="U151" s="5" t="s">
        <v>191</v>
      </c>
      <c r="V151" s="61">
        <f>_xlfn.XMATCH(Tabla4[[#This Row],[EAN CORREGIDO]],'Calcular necesidad'!L:L)</f>
        <v>235</v>
      </c>
      <c r="W151" s="61" t="str">
        <f>TRIM(Tabla4[[#This Row],[CodInternoArti]])</f>
        <v>4968420500356</v>
      </c>
    </row>
    <row r="152" spans="1:23" hidden="1" x14ac:dyDescent="0.35">
      <c r="A152" s="5">
        <v>2011433</v>
      </c>
      <c r="B152" s="35">
        <v>7790000000675</v>
      </c>
      <c r="C152" s="7" t="s">
        <v>473</v>
      </c>
      <c r="D152" s="7" t="s">
        <v>320</v>
      </c>
      <c r="E152" s="7" t="s">
        <v>321</v>
      </c>
      <c r="F152" s="7" t="s">
        <v>322</v>
      </c>
      <c r="G152" s="7" t="s">
        <v>6</v>
      </c>
      <c r="H152" s="6">
        <v>2</v>
      </c>
      <c r="I152" s="6">
        <v>3</v>
      </c>
      <c r="J152" s="6">
        <v>3</v>
      </c>
      <c r="K152" s="6">
        <v>2</v>
      </c>
      <c r="L152" s="6">
        <v>3</v>
      </c>
      <c r="M152" s="7">
        <v>2</v>
      </c>
      <c r="N152" s="8">
        <v>19.5</v>
      </c>
      <c r="O152" s="5">
        <v>27</v>
      </c>
      <c r="P152" s="5">
        <v>0</v>
      </c>
      <c r="Q152" s="5">
        <v>8</v>
      </c>
      <c r="R152" s="9" t="s">
        <v>338</v>
      </c>
      <c r="S152" s="5">
        <v>0</v>
      </c>
      <c r="T152" s="5">
        <v>22</v>
      </c>
      <c r="U152" s="5" t="s">
        <v>191</v>
      </c>
      <c r="V152" s="61">
        <f>_xlfn.XMATCH(Tabla4[[#This Row],[EAN CORREGIDO]],'Calcular necesidad'!L:L)</f>
        <v>242</v>
      </c>
      <c r="W152" s="61" t="str">
        <f>TRIM(Tabla4[[#This Row],[CodInternoArti]])</f>
        <v>7790000000675</v>
      </c>
    </row>
    <row r="153" spans="1:23" hidden="1" x14ac:dyDescent="0.35">
      <c r="A153" s="5" t="s">
        <v>265</v>
      </c>
      <c r="B153" s="35">
        <v>7798011210077</v>
      </c>
      <c r="C153" s="7" t="s">
        <v>474</v>
      </c>
      <c r="D153" s="7" t="s">
        <v>281</v>
      </c>
      <c r="E153" s="7" t="s">
        <v>290</v>
      </c>
      <c r="F153" s="7" t="s">
        <v>335</v>
      </c>
      <c r="G153" s="7" t="s">
        <v>6</v>
      </c>
      <c r="H153" s="6">
        <v>6</v>
      </c>
      <c r="I153" s="6">
        <v>2</v>
      </c>
      <c r="J153" s="6">
        <v>2</v>
      </c>
      <c r="K153" s="6">
        <v>10</v>
      </c>
      <c r="L153" s="6">
        <v>2</v>
      </c>
      <c r="M153" s="7">
        <v>2</v>
      </c>
      <c r="N153" s="8">
        <v>31.2</v>
      </c>
      <c r="O153" s="5">
        <v>92</v>
      </c>
      <c r="P153" s="5">
        <v>0</v>
      </c>
      <c r="Q153" s="5">
        <v>110</v>
      </c>
      <c r="R153" s="9" t="s">
        <v>338</v>
      </c>
      <c r="S153" s="5">
        <v>0</v>
      </c>
      <c r="T153" s="5">
        <v>84</v>
      </c>
      <c r="U153" s="5" t="s">
        <v>191</v>
      </c>
      <c r="V153" s="61">
        <f>_xlfn.XMATCH(Tabla4[[#This Row],[EAN CORREGIDO]],'Calcular necesidad'!L:L)</f>
        <v>162</v>
      </c>
      <c r="W153" s="61" t="str">
        <f>TRIM(Tabla4[[#This Row],[CodInternoArti]])</f>
        <v>7798011210077</v>
      </c>
    </row>
    <row r="154" spans="1:23" hidden="1" x14ac:dyDescent="0.35">
      <c r="A154" s="5" t="s">
        <v>265</v>
      </c>
      <c r="B154" s="35">
        <v>7790000000711</v>
      </c>
      <c r="C154" s="7" t="s">
        <v>475</v>
      </c>
      <c r="D154" s="7" t="s">
        <v>194</v>
      </c>
      <c r="E154" s="7" t="s">
        <v>206</v>
      </c>
      <c r="F154" s="7" t="s">
        <v>301</v>
      </c>
      <c r="G154" s="7" t="s">
        <v>6</v>
      </c>
      <c r="H154" s="6"/>
      <c r="I154" s="6">
        <v>1</v>
      </c>
      <c r="J154" s="6"/>
      <c r="K154" s="6">
        <v>1</v>
      </c>
      <c r="L154" s="6"/>
      <c r="M154" s="7">
        <v>1</v>
      </c>
      <c r="N154" s="8">
        <v>3.9</v>
      </c>
      <c r="O154" s="5">
        <v>0</v>
      </c>
      <c r="P154" s="5">
        <v>0</v>
      </c>
      <c r="Q154" s="5">
        <v>40</v>
      </c>
      <c r="R154" s="9" t="s">
        <v>305</v>
      </c>
      <c r="S154" s="5">
        <v>0</v>
      </c>
      <c r="T154" s="5">
        <v>-1</v>
      </c>
      <c r="U154" s="5" t="s">
        <v>191</v>
      </c>
      <c r="V154" s="61">
        <f>_xlfn.XMATCH(Tabla4[[#This Row],[EAN CORREGIDO]],'Calcular necesidad'!L:L)</f>
        <v>246</v>
      </c>
      <c r="W154" s="61" t="str">
        <f>TRIM(Tabla4[[#This Row],[CodInternoArti]])</f>
        <v>7790000000711</v>
      </c>
    </row>
    <row r="155" spans="1:23" hidden="1" x14ac:dyDescent="0.35">
      <c r="A155" s="5" t="s">
        <v>265</v>
      </c>
      <c r="B155" s="35">
        <v>714604111788</v>
      </c>
      <c r="C155" s="7" t="s">
        <v>476</v>
      </c>
      <c r="D155" s="7" t="s">
        <v>275</v>
      </c>
      <c r="E155" s="7" t="s">
        <v>276</v>
      </c>
      <c r="F155" s="7" t="s">
        <v>276</v>
      </c>
      <c r="G155" s="7" t="s">
        <v>6</v>
      </c>
      <c r="H155" s="6">
        <v>2</v>
      </c>
      <c r="I155" s="6"/>
      <c r="J155" s="6"/>
      <c r="K155" s="6"/>
      <c r="L155" s="6"/>
      <c r="M155" s="7"/>
      <c r="N155" s="8">
        <v>2.6</v>
      </c>
      <c r="O155" s="5">
        <v>94</v>
      </c>
      <c r="P155" s="5">
        <v>0</v>
      </c>
      <c r="Q155" s="5">
        <v>111</v>
      </c>
      <c r="R155" s="9" t="s">
        <v>338</v>
      </c>
      <c r="S155" s="5">
        <v>0</v>
      </c>
      <c r="T155" s="5">
        <v>92</v>
      </c>
      <c r="U155" s="5" t="s">
        <v>191</v>
      </c>
      <c r="V155" s="61">
        <f>_xlfn.XMATCH(Tabla4[[#This Row],[EAN CORREGIDO]],'Calcular necesidad'!L:L)</f>
        <v>247</v>
      </c>
      <c r="W155" s="61" t="str">
        <f>TRIM(Tabla4[[#This Row],[CodInternoArti]])</f>
        <v>714604111788</v>
      </c>
    </row>
    <row r="156" spans="1:23" hidden="1" x14ac:dyDescent="0.35">
      <c r="A156" s="5">
        <v>2007573</v>
      </c>
      <c r="B156" s="35">
        <v>7790000000519</v>
      </c>
      <c r="C156" s="7" t="s">
        <v>477</v>
      </c>
      <c r="D156" s="7" t="s">
        <v>206</v>
      </c>
      <c r="E156" s="7" t="s">
        <v>206</v>
      </c>
      <c r="F156" s="7" t="s">
        <v>18</v>
      </c>
      <c r="G156" s="7" t="s">
        <v>6</v>
      </c>
      <c r="H156" s="6"/>
      <c r="I156" s="6"/>
      <c r="J156" s="6">
        <v>2</v>
      </c>
      <c r="K156" s="6">
        <v>10</v>
      </c>
      <c r="L156" s="6">
        <v>4</v>
      </c>
      <c r="M156" s="7">
        <v>12</v>
      </c>
      <c r="N156" s="8">
        <v>36.4</v>
      </c>
      <c r="O156" s="5">
        <v>6</v>
      </c>
      <c r="P156" s="5">
        <v>0</v>
      </c>
      <c r="Q156" s="5">
        <v>0</v>
      </c>
      <c r="R156" s="9" t="s">
        <v>190</v>
      </c>
      <c r="S156" s="5">
        <v>30.4</v>
      </c>
      <c r="T156" s="5">
        <v>6</v>
      </c>
      <c r="U156" s="5" t="s">
        <v>191</v>
      </c>
      <c r="V156" s="61">
        <f>_xlfn.XMATCH(Tabla4[[#This Row],[EAN CORREGIDO]],'Calcular necesidad'!L:L)</f>
        <v>125</v>
      </c>
      <c r="W156" s="61" t="str">
        <f>TRIM(Tabla4[[#This Row],[CodInternoArti]])</f>
        <v>7790000000519</v>
      </c>
    </row>
    <row r="157" spans="1:23" hidden="1" x14ac:dyDescent="0.35">
      <c r="A157" s="5" t="s">
        <v>265</v>
      </c>
      <c r="B157" s="35">
        <v>7790000000902</v>
      </c>
      <c r="C157" s="7" t="s">
        <v>478</v>
      </c>
      <c r="D157" s="7" t="s">
        <v>188</v>
      </c>
      <c r="E157" s="7" t="s">
        <v>188</v>
      </c>
      <c r="F157" s="7" t="s">
        <v>479</v>
      </c>
      <c r="G157" s="7" t="s">
        <v>480</v>
      </c>
      <c r="H157" s="6">
        <v>1</v>
      </c>
      <c r="I157" s="6">
        <v>1</v>
      </c>
      <c r="J157" s="6">
        <v>1</v>
      </c>
      <c r="K157" s="6"/>
      <c r="L157" s="6">
        <v>1</v>
      </c>
      <c r="M157" s="7"/>
      <c r="N157" s="8">
        <v>5.2</v>
      </c>
      <c r="O157" s="5">
        <v>0</v>
      </c>
      <c r="P157" s="5">
        <v>0</v>
      </c>
      <c r="Q157" s="5">
        <v>0</v>
      </c>
      <c r="R157" s="9" t="s">
        <v>190</v>
      </c>
      <c r="S157" s="5">
        <v>5.2</v>
      </c>
      <c r="T157" s="5">
        <v>-2</v>
      </c>
      <c r="U157" s="5" t="s">
        <v>191</v>
      </c>
      <c r="V157" s="61">
        <f>_xlfn.XMATCH(Tabla4[[#This Row],[EAN CORREGIDO]],'Calcular necesidad'!L:L)</f>
        <v>252</v>
      </c>
      <c r="W157" s="61" t="str">
        <f>TRIM(Tabla4[[#This Row],[CodInternoArti]])</f>
        <v>7790000000902</v>
      </c>
    </row>
    <row r="158" spans="1:23" hidden="1" x14ac:dyDescent="0.35">
      <c r="A158" s="5" t="s">
        <v>265</v>
      </c>
      <c r="B158" s="35">
        <v>7794459003554</v>
      </c>
      <c r="C158" s="7" t="s">
        <v>481</v>
      </c>
      <c r="D158" s="7" t="s">
        <v>188</v>
      </c>
      <c r="E158" s="7" t="s">
        <v>189</v>
      </c>
      <c r="F158" s="7" t="s">
        <v>189</v>
      </c>
      <c r="G158" s="7" t="s">
        <v>6</v>
      </c>
      <c r="H158" s="6">
        <v>6</v>
      </c>
      <c r="I158" s="6">
        <v>3</v>
      </c>
      <c r="J158" s="6">
        <v>6</v>
      </c>
      <c r="K158" s="6">
        <v>2</v>
      </c>
      <c r="L158" s="6">
        <v>6</v>
      </c>
      <c r="M158" s="7">
        <v>3</v>
      </c>
      <c r="N158" s="8">
        <v>33.799999999999997</v>
      </c>
      <c r="O158" s="5">
        <v>0</v>
      </c>
      <c r="P158" s="5">
        <v>0</v>
      </c>
      <c r="Q158" s="5">
        <v>0</v>
      </c>
      <c r="R158" s="9" t="s">
        <v>190</v>
      </c>
      <c r="S158" s="5">
        <v>33.799999999999997</v>
      </c>
      <c r="T158" s="5">
        <v>-9</v>
      </c>
      <c r="U158" s="5" t="s">
        <v>191</v>
      </c>
      <c r="V158" s="61">
        <f>_xlfn.XMATCH(Tabla4[[#This Row],[EAN CORREGIDO]],'Calcular necesidad'!L:L)</f>
        <v>207</v>
      </c>
      <c r="W158" s="61" t="str">
        <f>TRIM(Tabla4[[#This Row],[CodInternoArti]])</f>
        <v>7794459003554</v>
      </c>
    </row>
    <row r="159" spans="1:23" hidden="1" x14ac:dyDescent="0.35">
      <c r="A159" s="5" t="s">
        <v>265</v>
      </c>
      <c r="B159" s="35">
        <v>7798188651727</v>
      </c>
      <c r="C159" s="7" t="s">
        <v>482</v>
      </c>
      <c r="D159" s="7" t="s">
        <v>216</v>
      </c>
      <c r="E159" s="7" t="s">
        <v>217</v>
      </c>
      <c r="F159" s="7" t="s">
        <v>218</v>
      </c>
      <c r="G159" s="7" t="s">
        <v>6</v>
      </c>
      <c r="H159" s="6">
        <v>5</v>
      </c>
      <c r="I159" s="6"/>
      <c r="J159" s="6">
        <v>4</v>
      </c>
      <c r="K159" s="6">
        <v>4</v>
      </c>
      <c r="L159" s="6">
        <v>4</v>
      </c>
      <c r="M159" s="7">
        <v>4</v>
      </c>
      <c r="N159" s="8">
        <v>27.3</v>
      </c>
      <c r="O159" s="5">
        <v>109</v>
      </c>
      <c r="P159" s="5">
        <v>0</v>
      </c>
      <c r="Q159" s="5">
        <v>651</v>
      </c>
      <c r="R159" s="9" t="s">
        <v>338</v>
      </c>
      <c r="S159" s="5">
        <v>0</v>
      </c>
      <c r="T159" s="5">
        <v>104</v>
      </c>
      <c r="U159" s="5" t="s">
        <v>191</v>
      </c>
      <c r="V159" s="61">
        <f>_xlfn.XMATCH(Tabla4[[#This Row],[EAN CORREGIDO]],'Calcular necesidad'!L:L)</f>
        <v>220</v>
      </c>
      <c r="W159" s="61" t="str">
        <f>TRIM(Tabla4[[#This Row],[CodInternoArti]])</f>
        <v>7798188651727</v>
      </c>
    </row>
    <row r="160" spans="1:23" hidden="1" x14ac:dyDescent="0.35">
      <c r="A160" s="5" t="s">
        <v>265</v>
      </c>
      <c r="B160" s="35">
        <v>714604111849</v>
      </c>
      <c r="C160" s="7" t="s">
        <v>483</v>
      </c>
      <c r="D160" s="7" t="s">
        <v>275</v>
      </c>
      <c r="E160" s="7" t="s">
        <v>314</v>
      </c>
      <c r="F160" s="7" t="s">
        <v>314</v>
      </c>
      <c r="G160" s="7" t="s">
        <v>6</v>
      </c>
      <c r="H160" s="6">
        <v>1</v>
      </c>
      <c r="I160" s="6"/>
      <c r="J160" s="6"/>
      <c r="K160" s="6"/>
      <c r="L160" s="6"/>
      <c r="M160" s="7"/>
      <c r="N160" s="8">
        <v>1.3</v>
      </c>
      <c r="O160" s="5">
        <v>38</v>
      </c>
      <c r="P160" s="5">
        <v>0</v>
      </c>
      <c r="Q160" s="5">
        <v>0</v>
      </c>
      <c r="R160" s="9" t="s">
        <v>338</v>
      </c>
      <c r="S160" s="5">
        <v>0</v>
      </c>
      <c r="T160" s="5">
        <v>37</v>
      </c>
      <c r="U160" s="5" t="s">
        <v>191</v>
      </c>
      <c r="V160" s="61">
        <f>_xlfn.XMATCH(Tabla4[[#This Row],[EAN CORREGIDO]],'Calcular necesidad'!L:L)</f>
        <v>248</v>
      </c>
      <c r="W160" s="61" t="str">
        <f>TRIM(Tabla4[[#This Row],[CodInternoArti]])</f>
        <v>714604111849</v>
      </c>
    </row>
    <row r="161" spans="1:23" hidden="1" x14ac:dyDescent="0.35">
      <c r="A161" s="5">
        <v>2007576</v>
      </c>
      <c r="B161" s="35">
        <v>7790000000522</v>
      </c>
      <c r="C161" s="7" t="s">
        <v>484</v>
      </c>
      <c r="D161" s="7" t="s">
        <v>275</v>
      </c>
      <c r="E161" s="7" t="s">
        <v>276</v>
      </c>
      <c r="F161" s="7" t="s">
        <v>276</v>
      </c>
      <c r="G161" s="7" t="s">
        <v>6</v>
      </c>
      <c r="H161" s="6"/>
      <c r="I161" s="6"/>
      <c r="J161" s="6">
        <v>20</v>
      </c>
      <c r="K161" s="6">
        <v>20</v>
      </c>
      <c r="L161" s="6">
        <v>10</v>
      </c>
      <c r="M161" s="7"/>
      <c r="N161" s="8">
        <v>65</v>
      </c>
      <c r="O161" s="5">
        <v>0</v>
      </c>
      <c r="P161" s="5">
        <v>0</v>
      </c>
      <c r="Q161" s="5">
        <v>0</v>
      </c>
      <c r="R161" s="9" t="s">
        <v>190</v>
      </c>
      <c r="S161" s="5">
        <v>65</v>
      </c>
      <c r="T161" s="5">
        <v>0</v>
      </c>
      <c r="U161" s="5" t="s">
        <v>191</v>
      </c>
      <c r="V161" s="61">
        <f>_xlfn.XMATCH(Tabla4[[#This Row],[EAN CORREGIDO]],'Calcular necesidad'!L:L)</f>
        <v>142</v>
      </c>
      <c r="W161" s="61" t="str">
        <f>TRIM(Tabla4[[#This Row],[CodInternoArti]])</f>
        <v>7790000000522</v>
      </c>
    </row>
    <row r="162" spans="1:23" hidden="1" x14ac:dyDescent="0.35">
      <c r="A162" s="5" t="s">
        <v>265</v>
      </c>
      <c r="B162" s="35">
        <v>7790000000904</v>
      </c>
      <c r="C162" s="7" t="s">
        <v>485</v>
      </c>
      <c r="D162" s="7" t="s">
        <v>416</v>
      </c>
      <c r="E162" s="7" t="s">
        <v>269</v>
      </c>
      <c r="F162" s="7" t="s">
        <v>417</v>
      </c>
      <c r="G162" s="7" t="s">
        <v>6</v>
      </c>
      <c r="H162" s="6"/>
      <c r="I162" s="6">
        <v>1</v>
      </c>
      <c r="J162" s="6"/>
      <c r="K162" s="6">
        <v>1</v>
      </c>
      <c r="L162" s="6"/>
      <c r="M162" s="7">
        <v>1</v>
      </c>
      <c r="N162" s="8">
        <v>3.9</v>
      </c>
      <c r="O162" s="5">
        <v>0</v>
      </c>
      <c r="P162" s="5">
        <v>0</v>
      </c>
      <c r="Q162" s="5">
        <v>0</v>
      </c>
      <c r="R162" s="9" t="s">
        <v>190</v>
      </c>
      <c r="S162" s="5">
        <v>3.9</v>
      </c>
      <c r="T162" s="5">
        <v>-1</v>
      </c>
      <c r="U162" s="5" t="s">
        <v>191</v>
      </c>
      <c r="V162" s="61">
        <f>_xlfn.XMATCH(Tabla4[[#This Row],[EAN CORREGIDO]],'Calcular necesidad'!L:L)</f>
        <v>249</v>
      </c>
      <c r="W162" s="61" t="str">
        <f>TRIM(Tabla4[[#This Row],[CodInternoArti]])</f>
        <v>7790000000904</v>
      </c>
    </row>
    <row r="163" spans="1:23" hidden="1" x14ac:dyDescent="0.35">
      <c r="A163" s="5" t="s">
        <v>265</v>
      </c>
      <c r="B163" s="35">
        <v>7790000000897</v>
      </c>
      <c r="C163" s="7" t="s">
        <v>486</v>
      </c>
      <c r="D163" s="7" t="s">
        <v>206</v>
      </c>
      <c r="E163" s="7" t="s">
        <v>206</v>
      </c>
      <c r="F163" s="7" t="s">
        <v>487</v>
      </c>
      <c r="G163" s="7" t="s">
        <v>6</v>
      </c>
      <c r="H163" s="6">
        <v>1</v>
      </c>
      <c r="I163" s="6">
        <v>3</v>
      </c>
      <c r="J163" s="6">
        <v>3</v>
      </c>
      <c r="K163" s="6">
        <v>1</v>
      </c>
      <c r="L163" s="6">
        <v>1</v>
      </c>
      <c r="M163" s="7">
        <v>1</v>
      </c>
      <c r="N163" s="8">
        <v>13</v>
      </c>
      <c r="O163" s="5">
        <v>0</v>
      </c>
      <c r="P163" s="5">
        <v>0</v>
      </c>
      <c r="Q163" s="5">
        <v>0</v>
      </c>
      <c r="R163" s="9" t="s">
        <v>190</v>
      </c>
      <c r="S163" s="5">
        <v>13</v>
      </c>
      <c r="T163" s="5">
        <v>-4</v>
      </c>
      <c r="U163" s="5" t="s">
        <v>191</v>
      </c>
      <c r="V163" s="61">
        <f>_xlfn.XMATCH(Tabla4[[#This Row],[EAN CORREGIDO]],'Calcular necesidad'!L:L)</f>
        <v>250</v>
      </c>
      <c r="W163" s="61" t="str">
        <f>TRIM(Tabla4[[#This Row],[CodInternoArti]])</f>
        <v>7790000000897</v>
      </c>
    </row>
    <row r="164" spans="1:23" hidden="1" x14ac:dyDescent="0.35">
      <c r="A164" s="5">
        <v>2006737</v>
      </c>
      <c r="B164" s="35">
        <v>7790013877011</v>
      </c>
      <c r="C164" s="7" t="s">
        <v>488</v>
      </c>
      <c r="D164" s="7" t="s">
        <v>194</v>
      </c>
      <c r="E164" s="7" t="s">
        <v>36</v>
      </c>
      <c r="F164" s="7" t="s">
        <v>310</v>
      </c>
      <c r="G164" s="7" t="s">
        <v>6</v>
      </c>
      <c r="H164" s="6">
        <v>12</v>
      </c>
      <c r="I164" s="6">
        <v>17</v>
      </c>
      <c r="J164" s="6">
        <v>11</v>
      </c>
      <c r="K164" s="6">
        <v>27</v>
      </c>
      <c r="L164" s="6">
        <v>14</v>
      </c>
      <c r="M164" s="7">
        <v>17</v>
      </c>
      <c r="N164" s="8">
        <v>127.4</v>
      </c>
      <c r="O164" s="5">
        <v>0</v>
      </c>
      <c r="P164" s="5">
        <v>0</v>
      </c>
      <c r="Q164" s="5">
        <v>0</v>
      </c>
      <c r="R164" s="9" t="s">
        <v>190</v>
      </c>
      <c r="S164" s="5">
        <v>127.4</v>
      </c>
      <c r="T164" s="5">
        <v>-29</v>
      </c>
      <c r="U164" s="5" t="s">
        <v>191</v>
      </c>
      <c r="V164" s="61">
        <f>_xlfn.XMATCH(Tabla4[[#This Row],[EAN CORREGIDO]],'Calcular necesidad'!L:L)</f>
        <v>131</v>
      </c>
      <c r="W164" s="61" t="str">
        <f>TRIM(Tabla4[[#This Row],[CodInternoArti]])</f>
        <v>7790013877011</v>
      </c>
    </row>
    <row r="165" spans="1:23" hidden="1" x14ac:dyDescent="0.35">
      <c r="A165" s="5" t="s">
        <v>265</v>
      </c>
      <c r="B165" s="35">
        <v>790757820753</v>
      </c>
      <c r="C165" s="7" t="s">
        <v>489</v>
      </c>
      <c r="D165" s="7" t="s">
        <v>216</v>
      </c>
      <c r="E165" s="7" t="s">
        <v>217</v>
      </c>
      <c r="F165" s="7" t="s">
        <v>218</v>
      </c>
      <c r="G165" s="7" t="s">
        <v>6</v>
      </c>
      <c r="H165" s="6"/>
      <c r="I165" s="6"/>
      <c r="J165" s="6">
        <v>2</v>
      </c>
      <c r="K165" s="6">
        <v>3</v>
      </c>
      <c r="L165" s="6">
        <v>2</v>
      </c>
      <c r="M165" s="7">
        <v>5</v>
      </c>
      <c r="N165" s="8">
        <v>15.6</v>
      </c>
      <c r="O165" s="5">
        <v>0</v>
      </c>
      <c r="P165" s="5">
        <v>0</v>
      </c>
      <c r="Q165" s="5">
        <v>0</v>
      </c>
      <c r="R165" s="9" t="s">
        <v>190</v>
      </c>
      <c r="S165" s="5">
        <v>15.6</v>
      </c>
      <c r="T165" s="5">
        <v>0</v>
      </c>
      <c r="U165" s="5" t="s">
        <v>191</v>
      </c>
      <c r="V165" s="61">
        <f>_xlfn.XMATCH(Tabla4[[#This Row],[EAN CORREGIDO]],'Calcular necesidad'!L:L)</f>
        <v>213</v>
      </c>
      <c r="W165" s="61" t="str">
        <f>TRIM(Tabla4[[#This Row],[CodInternoArti]])</f>
        <v>790757820753</v>
      </c>
    </row>
    <row r="166" spans="1:23" hidden="1" x14ac:dyDescent="0.35">
      <c r="A166" s="5">
        <v>2007402</v>
      </c>
      <c r="B166" s="35">
        <v>7790023000196</v>
      </c>
      <c r="C166" s="7" t="s">
        <v>490</v>
      </c>
      <c r="D166" s="7" t="s">
        <v>188</v>
      </c>
      <c r="E166" s="7" t="s">
        <v>189</v>
      </c>
      <c r="F166" s="7" t="s">
        <v>189</v>
      </c>
      <c r="G166" s="7" t="s">
        <v>6</v>
      </c>
      <c r="H166" s="6"/>
      <c r="I166" s="6">
        <v>1</v>
      </c>
      <c r="J166" s="6"/>
      <c r="K166" s="6">
        <v>1</v>
      </c>
      <c r="L166" s="6"/>
      <c r="M166" s="7">
        <v>1</v>
      </c>
      <c r="N166" s="8">
        <v>3.9</v>
      </c>
      <c r="O166" s="5">
        <v>0</v>
      </c>
      <c r="P166" s="5">
        <v>0</v>
      </c>
      <c r="Q166" s="5">
        <v>0</v>
      </c>
      <c r="R166" s="9" t="s">
        <v>190</v>
      </c>
      <c r="S166" s="5">
        <v>3.9</v>
      </c>
      <c r="T166" s="5">
        <v>-1</v>
      </c>
      <c r="U166" s="5" t="s">
        <v>191</v>
      </c>
      <c r="V166" s="61">
        <f>_xlfn.XMATCH(Tabla4[[#This Row],[EAN CORREGIDO]],'Calcular necesidad'!L:L)</f>
        <v>216</v>
      </c>
      <c r="W166" s="61" t="str">
        <f>TRIM(Tabla4[[#This Row],[CodInternoArti]])</f>
        <v>7790023000196</v>
      </c>
    </row>
    <row r="167" spans="1:23" hidden="1" x14ac:dyDescent="0.35">
      <c r="A167" s="5">
        <v>2007322</v>
      </c>
      <c r="B167" s="35">
        <v>7790000000380</v>
      </c>
      <c r="C167" s="7" t="s">
        <v>491</v>
      </c>
      <c r="D167" s="7" t="s">
        <v>281</v>
      </c>
      <c r="E167" s="7" t="s">
        <v>290</v>
      </c>
      <c r="F167" s="7" t="s">
        <v>371</v>
      </c>
      <c r="G167" s="7" t="s">
        <v>6</v>
      </c>
      <c r="H167" s="6">
        <v>4</v>
      </c>
      <c r="I167" s="6">
        <v>6</v>
      </c>
      <c r="J167" s="6">
        <v>6</v>
      </c>
      <c r="K167" s="6">
        <v>8</v>
      </c>
      <c r="L167" s="6">
        <v>4</v>
      </c>
      <c r="M167" s="7">
        <v>6</v>
      </c>
      <c r="N167" s="8">
        <v>44.2</v>
      </c>
      <c r="O167" s="5">
        <v>0</v>
      </c>
      <c r="P167" s="5">
        <v>0</v>
      </c>
      <c r="Q167" s="5">
        <v>10</v>
      </c>
      <c r="R167" s="9" t="s">
        <v>190</v>
      </c>
      <c r="S167" s="5">
        <v>34.200000000000003</v>
      </c>
      <c r="T167" s="5">
        <v>-10</v>
      </c>
      <c r="U167" s="5" t="s">
        <v>191</v>
      </c>
      <c r="V167" s="61">
        <f>_xlfn.XMATCH(Tabla4[[#This Row],[EAN CORREGIDO]],'Calcular necesidad'!L:L)</f>
        <v>187</v>
      </c>
      <c r="W167" s="61" t="str">
        <f>TRIM(Tabla4[[#This Row],[CodInternoArti]])</f>
        <v>7790000000380</v>
      </c>
    </row>
    <row r="168" spans="1:23" hidden="1" x14ac:dyDescent="0.35">
      <c r="A168" s="5">
        <v>2007560</v>
      </c>
      <c r="B168" s="35">
        <v>7790250912828</v>
      </c>
      <c r="C168" s="7" t="s">
        <v>492</v>
      </c>
      <c r="D168" s="7" t="s">
        <v>206</v>
      </c>
      <c r="E168" s="7" t="s">
        <v>217</v>
      </c>
      <c r="F168" s="7" t="s">
        <v>218</v>
      </c>
      <c r="G168" s="7" t="s">
        <v>6</v>
      </c>
      <c r="H168" s="6">
        <v>1</v>
      </c>
      <c r="I168" s="6">
        <v>2</v>
      </c>
      <c r="J168" s="6">
        <v>2</v>
      </c>
      <c r="K168" s="6">
        <v>3</v>
      </c>
      <c r="L168" s="6">
        <v>1</v>
      </c>
      <c r="M168" s="7">
        <v>2</v>
      </c>
      <c r="N168" s="8">
        <v>14.3</v>
      </c>
      <c r="O168" s="5">
        <v>0</v>
      </c>
      <c r="P168" s="5">
        <v>0</v>
      </c>
      <c r="Q168" s="5">
        <v>0</v>
      </c>
      <c r="R168" s="9" t="s">
        <v>190</v>
      </c>
      <c r="S168" s="5">
        <v>14.3</v>
      </c>
      <c r="T168" s="5">
        <v>-3</v>
      </c>
      <c r="U168" s="5" t="s">
        <v>191</v>
      </c>
      <c r="V168" s="61">
        <f>_xlfn.XMATCH(Tabla4[[#This Row],[EAN CORREGIDO]],'Calcular necesidad'!L:L)</f>
        <v>210</v>
      </c>
      <c r="W168" s="61" t="str">
        <f>TRIM(Tabla4[[#This Row],[CodInternoArti]])</f>
        <v>7790250912828</v>
      </c>
    </row>
    <row r="169" spans="1:23" hidden="1" x14ac:dyDescent="0.35">
      <c r="A169" s="71">
        <v>2006835</v>
      </c>
      <c r="B169" s="72">
        <v>7798161675719</v>
      </c>
      <c r="C169" s="73" t="s">
        <v>493</v>
      </c>
      <c r="D169" s="73" t="s">
        <v>194</v>
      </c>
      <c r="E169" s="73" t="s">
        <v>206</v>
      </c>
      <c r="F169" s="73" t="s">
        <v>207</v>
      </c>
      <c r="G169" s="74" t="s">
        <v>6</v>
      </c>
      <c r="H169" s="75">
        <v>17</v>
      </c>
      <c r="I169" s="76">
        <v>22</v>
      </c>
      <c r="J169" s="76">
        <v>10</v>
      </c>
      <c r="K169" s="76">
        <v>9</v>
      </c>
      <c r="L169" s="76">
        <v>15</v>
      </c>
      <c r="M169" s="71">
        <v>92</v>
      </c>
      <c r="N169" s="77">
        <v>214.5</v>
      </c>
      <c r="O169" s="71">
        <v>0</v>
      </c>
      <c r="P169" s="71">
        <v>0</v>
      </c>
      <c r="Q169" s="71">
        <v>0</v>
      </c>
      <c r="R169" s="78" t="s">
        <v>190</v>
      </c>
      <c r="S169" s="71">
        <v>214.5</v>
      </c>
      <c r="T169" s="71">
        <v>-39</v>
      </c>
      <c r="U169" s="71" t="s">
        <v>191</v>
      </c>
      <c r="V169" s="61">
        <f>_xlfn.XMATCH(Tabla4[[#This Row],[EAN CORREGIDO]],'Calcular necesidad'!L:L)</f>
        <v>158</v>
      </c>
      <c r="W169" s="61" t="str">
        <f>TRIM(Tabla4[[#This Row],[CodInternoArti]])</f>
        <v>7798161675719</v>
      </c>
    </row>
    <row r="170" spans="1:23" hidden="1" x14ac:dyDescent="0.35">
      <c r="A170" s="71" t="s">
        <v>265</v>
      </c>
      <c r="B170" s="72">
        <v>7790000000710</v>
      </c>
      <c r="C170" s="73" t="s">
        <v>494</v>
      </c>
      <c r="D170" s="73" t="s">
        <v>194</v>
      </c>
      <c r="E170" s="73" t="s">
        <v>206</v>
      </c>
      <c r="F170" s="73" t="s">
        <v>301</v>
      </c>
      <c r="G170" s="74" t="s">
        <v>6</v>
      </c>
      <c r="H170" s="75"/>
      <c r="I170" s="76">
        <v>1</v>
      </c>
      <c r="J170" s="76"/>
      <c r="K170" s="76">
        <v>1</v>
      </c>
      <c r="L170" s="76"/>
      <c r="M170" s="71">
        <v>1</v>
      </c>
      <c r="N170" s="77">
        <v>3.9</v>
      </c>
      <c r="O170" s="71">
        <v>0</v>
      </c>
      <c r="P170" s="71">
        <v>0</v>
      </c>
      <c r="Q170" s="71">
        <v>40</v>
      </c>
      <c r="R170" s="78" t="s">
        <v>305</v>
      </c>
      <c r="S170" s="71">
        <v>0</v>
      </c>
      <c r="T170" s="71">
        <v>-1</v>
      </c>
      <c r="U170" s="71" t="s">
        <v>191</v>
      </c>
      <c r="V170" s="61">
        <f>_xlfn.XMATCH(Tabla4[[#This Row],[EAN CORREGIDO]],'Calcular necesidad'!L:L)</f>
        <v>251</v>
      </c>
      <c r="W170" s="61" t="str">
        <f>TRIM(Tabla4[[#This Row],[CodInternoArti]])</f>
        <v>7790000000710</v>
      </c>
    </row>
    <row r="171" spans="1:23" hidden="1" x14ac:dyDescent="0.35">
      <c r="A171" s="71" t="s">
        <v>265</v>
      </c>
      <c r="B171" s="72">
        <v>7794459003516</v>
      </c>
      <c r="C171" s="73" t="s">
        <v>495</v>
      </c>
      <c r="D171" s="73" t="s">
        <v>188</v>
      </c>
      <c r="E171" s="73" t="s">
        <v>189</v>
      </c>
      <c r="F171" s="73" t="s">
        <v>189</v>
      </c>
      <c r="G171" s="74" t="s">
        <v>6</v>
      </c>
      <c r="H171" s="75">
        <v>3</v>
      </c>
      <c r="I171" s="76"/>
      <c r="J171" s="76">
        <v>3</v>
      </c>
      <c r="K171" s="76"/>
      <c r="L171" s="76">
        <v>3</v>
      </c>
      <c r="M171" s="71"/>
      <c r="N171" s="77">
        <v>11.7</v>
      </c>
      <c r="O171" s="71">
        <v>0</v>
      </c>
      <c r="P171" s="71">
        <v>0</v>
      </c>
      <c r="Q171" s="71">
        <v>0</v>
      </c>
      <c r="R171" s="78" t="s">
        <v>190</v>
      </c>
      <c r="S171" s="71">
        <v>11.7</v>
      </c>
      <c r="T171" s="71">
        <v>-3</v>
      </c>
      <c r="U171" s="71" t="s">
        <v>191</v>
      </c>
      <c r="V171" s="61">
        <f>_xlfn.XMATCH(Tabla4[[#This Row],[EAN CORREGIDO]],'Calcular necesidad'!L:L)</f>
        <v>208</v>
      </c>
      <c r="W171" s="61" t="str">
        <f>TRIM(Tabla4[[#This Row],[CodInternoArti]])</f>
        <v>7794459003516</v>
      </c>
    </row>
    <row r="172" spans="1:23" hidden="1" x14ac:dyDescent="0.35">
      <c r="A172" s="71" t="s">
        <v>265</v>
      </c>
      <c r="B172" s="72">
        <v>7790000000713</v>
      </c>
      <c r="C172" s="73" t="s">
        <v>496</v>
      </c>
      <c r="D172" s="73" t="s">
        <v>216</v>
      </c>
      <c r="E172" s="73" t="s">
        <v>217</v>
      </c>
      <c r="F172" s="73" t="s">
        <v>218</v>
      </c>
      <c r="G172" s="74" t="s">
        <v>6</v>
      </c>
      <c r="H172" s="75">
        <v>5</v>
      </c>
      <c r="I172" s="76">
        <v>3</v>
      </c>
      <c r="J172" s="76">
        <v>3</v>
      </c>
      <c r="K172" s="76">
        <v>3</v>
      </c>
      <c r="L172" s="76">
        <v>3</v>
      </c>
      <c r="M172" s="71">
        <v>3</v>
      </c>
      <c r="N172" s="77">
        <v>26</v>
      </c>
      <c r="O172" s="71">
        <v>1</v>
      </c>
      <c r="P172" s="71">
        <v>0</v>
      </c>
      <c r="Q172" s="71">
        <v>0</v>
      </c>
      <c r="R172" s="78" t="s">
        <v>190</v>
      </c>
      <c r="S172" s="71">
        <v>25</v>
      </c>
      <c r="T172" s="71">
        <v>-7</v>
      </c>
      <c r="U172" s="71" t="s">
        <v>191</v>
      </c>
      <c r="V172" s="61">
        <f>_xlfn.XMATCH(Tabla4[[#This Row],[EAN CORREGIDO]],'Calcular necesidad'!L:L)</f>
        <v>241</v>
      </c>
      <c r="W172" s="61" t="str">
        <f>TRIM(Tabla4[[#This Row],[CodInternoArti]])</f>
        <v>7790000000713</v>
      </c>
    </row>
    <row r="173" spans="1:23" hidden="1" x14ac:dyDescent="0.35">
      <c r="A173" s="71" t="s">
        <v>265</v>
      </c>
      <c r="B173" s="72">
        <v>7790000000902</v>
      </c>
      <c r="C173" s="73" t="s">
        <v>478</v>
      </c>
      <c r="D173" s="73" t="s">
        <v>188</v>
      </c>
      <c r="E173" s="73" t="s">
        <v>188</v>
      </c>
      <c r="F173" s="73" t="s">
        <v>479</v>
      </c>
      <c r="G173" s="74" t="s">
        <v>6</v>
      </c>
      <c r="H173" s="75"/>
      <c r="I173" s="76">
        <v>1</v>
      </c>
      <c r="J173" s="76">
        <v>1</v>
      </c>
      <c r="K173" s="76">
        <v>1</v>
      </c>
      <c r="L173" s="76">
        <v>1</v>
      </c>
      <c r="M173" s="71">
        <v>1</v>
      </c>
      <c r="N173" s="77">
        <v>6.5</v>
      </c>
      <c r="O173" s="71">
        <v>0</v>
      </c>
      <c r="P173" s="71">
        <v>0</v>
      </c>
      <c r="Q173" s="71">
        <v>0</v>
      </c>
      <c r="R173" s="78" t="s">
        <v>190</v>
      </c>
      <c r="S173" s="71">
        <v>6.5</v>
      </c>
      <c r="T173" s="71">
        <v>-1</v>
      </c>
      <c r="U173" s="71" t="s">
        <v>191</v>
      </c>
      <c r="V173" s="61">
        <f>_xlfn.XMATCH(Tabla4[[#This Row],[EAN CORREGIDO]],'Calcular necesidad'!L:L)</f>
        <v>252</v>
      </c>
      <c r="W173" s="61" t="str">
        <f>TRIM(Tabla4[[#This Row],[CodInternoArti]])</f>
        <v>7790000000902</v>
      </c>
    </row>
    <row r="174" spans="1:23" hidden="1" x14ac:dyDescent="0.35">
      <c r="A174" s="71">
        <v>2007184</v>
      </c>
      <c r="B174" s="72">
        <v>7790000000228</v>
      </c>
      <c r="C174" s="73" t="s">
        <v>497</v>
      </c>
      <c r="D174" s="73" t="s">
        <v>206</v>
      </c>
      <c r="E174" s="73" t="s">
        <v>498</v>
      </c>
      <c r="F174" s="73" t="s">
        <v>196</v>
      </c>
      <c r="G174" s="74" t="s">
        <v>6</v>
      </c>
      <c r="H174" s="75">
        <v>4</v>
      </c>
      <c r="I174" s="76">
        <v>12</v>
      </c>
      <c r="J174" s="76">
        <v>3</v>
      </c>
      <c r="K174" s="76">
        <v>14</v>
      </c>
      <c r="L174" s="76">
        <v>4</v>
      </c>
      <c r="M174" s="71">
        <v>12</v>
      </c>
      <c r="N174" s="77">
        <v>63.7</v>
      </c>
      <c r="O174" s="71">
        <v>155</v>
      </c>
      <c r="P174" s="71">
        <v>0</v>
      </c>
      <c r="Q174" s="71">
        <v>0</v>
      </c>
      <c r="R174" s="78" t="s">
        <v>338</v>
      </c>
      <c r="S174" s="71">
        <v>0</v>
      </c>
      <c r="T174" s="71">
        <v>139</v>
      </c>
      <c r="U174" s="71" t="s">
        <v>191</v>
      </c>
      <c r="V174" s="61">
        <f>_xlfn.XMATCH(Tabla4[[#This Row],[EAN CORREGIDO]],'Calcular necesidad'!L:L)</f>
        <v>141</v>
      </c>
      <c r="W174" s="61" t="str">
        <f>TRIM(Tabla4[[#This Row],[CodInternoArti]])</f>
        <v>7790000000228</v>
      </c>
    </row>
    <row r="175" spans="1:23" hidden="1" x14ac:dyDescent="0.35">
      <c r="A175" s="71" t="s">
        <v>265</v>
      </c>
      <c r="B175" s="72">
        <v>7798452810034</v>
      </c>
      <c r="C175" s="73" t="s">
        <v>499</v>
      </c>
      <c r="D175" s="73" t="s">
        <v>194</v>
      </c>
      <c r="E175" s="73" t="s">
        <v>206</v>
      </c>
      <c r="F175" s="73" t="s">
        <v>207</v>
      </c>
      <c r="G175" s="74" t="s">
        <v>6</v>
      </c>
      <c r="H175" s="75"/>
      <c r="I175" s="76">
        <v>8</v>
      </c>
      <c r="J175" s="76"/>
      <c r="K175" s="76">
        <v>2</v>
      </c>
      <c r="L175" s="76"/>
      <c r="M175" s="71">
        <v>8</v>
      </c>
      <c r="N175" s="77">
        <v>23.4</v>
      </c>
      <c r="O175" s="71">
        <v>0</v>
      </c>
      <c r="P175" s="71">
        <v>0</v>
      </c>
      <c r="Q175" s="71">
        <v>0</v>
      </c>
      <c r="R175" s="78" t="s">
        <v>190</v>
      </c>
      <c r="S175" s="71">
        <v>23.4</v>
      </c>
      <c r="T175" s="71">
        <v>-8</v>
      </c>
      <c r="U175" s="71" t="s">
        <v>191</v>
      </c>
      <c r="V175" s="61">
        <f>_xlfn.XMATCH(Tabla4[[#This Row],[EAN CORREGIDO]],'Calcular necesidad'!L:L)</f>
        <v>164</v>
      </c>
      <c r="W175" s="61" t="str">
        <f>TRIM(Tabla4[[#This Row],[CodInternoArti]])</f>
        <v>7798452810034</v>
      </c>
    </row>
    <row r="176" spans="1:23" hidden="1" x14ac:dyDescent="0.35">
      <c r="A176" s="71">
        <v>2007133</v>
      </c>
      <c r="B176" s="72">
        <v>7790000000250</v>
      </c>
      <c r="C176" s="73" t="s">
        <v>500</v>
      </c>
      <c r="D176" s="73" t="s">
        <v>278</v>
      </c>
      <c r="E176" s="73" t="s">
        <v>279</v>
      </c>
      <c r="F176" s="73" t="s">
        <v>501</v>
      </c>
      <c r="G176" s="74" t="s">
        <v>6</v>
      </c>
      <c r="H176" s="75">
        <v>4</v>
      </c>
      <c r="I176" s="79">
        <v>4</v>
      </c>
      <c r="J176" s="76">
        <v>4</v>
      </c>
      <c r="K176" s="76">
        <v>4</v>
      </c>
      <c r="L176" s="76">
        <v>4</v>
      </c>
      <c r="M176" s="71">
        <v>4</v>
      </c>
      <c r="N176" s="77">
        <v>31.2</v>
      </c>
      <c r="O176" s="71">
        <v>0</v>
      </c>
      <c r="P176" s="71">
        <v>0</v>
      </c>
      <c r="Q176" s="71">
        <v>45</v>
      </c>
      <c r="R176" s="78" t="s">
        <v>305</v>
      </c>
      <c r="S176" s="71">
        <v>0</v>
      </c>
      <c r="T176" s="71">
        <v>-8</v>
      </c>
      <c r="U176" s="71" t="s">
        <v>191</v>
      </c>
      <c r="V176" s="61">
        <f>_xlfn.XMATCH(Tabla4[[#This Row],[EAN CORREGIDO]],'Calcular necesidad'!L:L)</f>
        <v>212</v>
      </c>
      <c r="W176" s="61" t="str">
        <f>TRIM(Tabla4[[#This Row],[CodInternoArti]])</f>
        <v>7790000000250</v>
      </c>
    </row>
    <row r="177" spans="1:23" hidden="1" x14ac:dyDescent="0.35">
      <c r="A177" s="71" t="s">
        <v>265</v>
      </c>
      <c r="B177" s="72">
        <v>7790000000899</v>
      </c>
      <c r="C177" s="73" t="s">
        <v>502</v>
      </c>
      <c r="D177" s="73" t="s">
        <v>303</v>
      </c>
      <c r="E177" s="73" t="s">
        <v>279</v>
      </c>
      <c r="F177" s="73" t="s">
        <v>403</v>
      </c>
      <c r="G177" s="74" t="s">
        <v>6</v>
      </c>
      <c r="H177" s="75">
        <v>100</v>
      </c>
      <c r="I177" s="79">
        <v>300</v>
      </c>
      <c r="J177" s="76">
        <v>300</v>
      </c>
      <c r="K177" s="76">
        <v>300</v>
      </c>
      <c r="L177" s="76">
        <v>1100</v>
      </c>
      <c r="M177" s="71">
        <v>1100</v>
      </c>
      <c r="N177" s="77">
        <v>4160</v>
      </c>
      <c r="O177" s="71">
        <v>0</v>
      </c>
      <c r="P177" s="71">
        <v>0</v>
      </c>
      <c r="Q177" s="71">
        <v>0</v>
      </c>
      <c r="R177" s="78" t="s">
        <v>190</v>
      </c>
      <c r="S177" s="71">
        <v>4160</v>
      </c>
      <c r="T177" s="71">
        <v>-400</v>
      </c>
      <c r="U177" s="71" t="s">
        <v>191</v>
      </c>
      <c r="V177" s="61">
        <f>_xlfn.XMATCH(Tabla4[[#This Row],[EAN CORREGIDO]],'Calcular necesidad'!L:L)</f>
        <v>253</v>
      </c>
      <c r="W177" s="61" t="str">
        <f>TRIM(Tabla4[[#This Row],[CodInternoArti]])</f>
        <v>7790000000899</v>
      </c>
    </row>
    <row r="178" spans="1:23" hidden="1" x14ac:dyDescent="0.35">
      <c r="A178" s="71" t="s">
        <v>265</v>
      </c>
      <c r="B178" s="72">
        <v>7790000000905</v>
      </c>
      <c r="C178" s="73" t="s">
        <v>503</v>
      </c>
      <c r="D178" s="73" t="s">
        <v>194</v>
      </c>
      <c r="E178" s="73" t="s">
        <v>195</v>
      </c>
      <c r="F178" s="73" t="s">
        <v>196</v>
      </c>
      <c r="G178" s="74" t="s">
        <v>6</v>
      </c>
      <c r="H178" s="75"/>
      <c r="I178" s="79"/>
      <c r="J178" s="76">
        <v>1</v>
      </c>
      <c r="K178" s="76"/>
      <c r="L178" s="76"/>
      <c r="M178" s="71"/>
      <c r="N178" s="77">
        <v>1.3</v>
      </c>
      <c r="O178" s="71">
        <v>0</v>
      </c>
      <c r="P178" s="71">
        <v>0</v>
      </c>
      <c r="Q178" s="71">
        <v>0</v>
      </c>
      <c r="R178" s="78" t="s">
        <v>190</v>
      </c>
      <c r="S178" s="71">
        <v>1.3</v>
      </c>
      <c r="T178" s="71">
        <v>0</v>
      </c>
      <c r="U178" s="71" t="s">
        <v>191</v>
      </c>
      <c r="V178" s="61">
        <f>_xlfn.XMATCH(Tabla4[[#This Row],[EAN CORREGIDO]],'Calcular necesidad'!L:L)</f>
        <v>254</v>
      </c>
      <c r="W178" s="61" t="str">
        <f>TRIM(Tabla4[[#This Row],[CodInternoArti]])</f>
        <v>7790000000905</v>
      </c>
    </row>
    <row r="179" spans="1:23" hidden="1" x14ac:dyDescent="0.35">
      <c r="A179" s="71" t="s">
        <v>265</v>
      </c>
      <c r="B179" s="72">
        <v>7798011210053</v>
      </c>
      <c r="C179" s="73" t="s">
        <v>504</v>
      </c>
      <c r="D179" s="73" t="s">
        <v>281</v>
      </c>
      <c r="E179" s="73" t="s">
        <v>290</v>
      </c>
      <c r="F179" s="73" t="s">
        <v>371</v>
      </c>
      <c r="G179" s="74" t="s">
        <v>6</v>
      </c>
      <c r="H179" s="75">
        <v>52</v>
      </c>
      <c r="I179" s="79">
        <v>32</v>
      </c>
      <c r="J179" s="76">
        <v>32</v>
      </c>
      <c r="K179" s="76">
        <v>37</v>
      </c>
      <c r="L179" s="76">
        <v>27</v>
      </c>
      <c r="M179" s="71">
        <v>32</v>
      </c>
      <c r="N179" s="77">
        <v>275.60000000000002</v>
      </c>
      <c r="O179" s="71">
        <v>219</v>
      </c>
      <c r="P179" s="71">
        <v>0</v>
      </c>
      <c r="Q179" s="71">
        <v>1013</v>
      </c>
      <c r="R179" s="78" t="s">
        <v>305</v>
      </c>
      <c r="S179" s="71">
        <v>0</v>
      </c>
      <c r="T179" s="71">
        <v>135</v>
      </c>
      <c r="U179" s="71" t="s">
        <v>191</v>
      </c>
      <c r="V179" s="61">
        <f>_xlfn.XMATCH(Tabla4[[#This Row],[EAN CORREGIDO]],'Calcular necesidad'!L:L)</f>
        <v>205</v>
      </c>
      <c r="W179" s="61" t="str">
        <f>TRIM(Tabla4[[#This Row],[CodInternoArti]])</f>
        <v>7798011210053</v>
      </c>
    </row>
    <row r="180" spans="1:23" hidden="1" x14ac:dyDescent="0.35">
      <c r="A180" s="71" t="s">
        <v>265</v>
      </c>
      <c r="B180" s="72">
        <v>7790000000833</v>
      </c>
      <c r="C180" s="73" t="s">
        <v>505</v>
      </c>
      <c r="D180" s="73" t="s">
        <v>206</v>
      </c>
      <c r="E180" s="73" t="s">
        <v>206</v>
      </c>
      <c r="F180" s="73" t="s">
        <v>459</v>
      </c>
      <c r="G180" s="74" t="s">
        <v>6</v>
      </c>
      <c r="H180" s="75">
        <v>3</v>
      </c>
      <c r="I180" s="79">
        <v>3</v>
      </c>
      <c r="J180" s="76">
        <v>3</v>
      </c>
      <c r="K180" s="76">
        <v>3</v>
      </c>
      <c r="L180" s="76">
        <v>3</v>
      </c>
      <c r="M180" s="71"/>
      <c r="N180" s="77">
        <v>19.5</v>
      </c>
      <c r="O180" s="71">
        <v>0</v>
      </c>
      <c r="P180" s="71">
        <v>0</v>
      </c>
      <c r="Q180" s="71">
        <v>0</v>
      </c>
      <c r="R180" s="78" t="s">
        <v>190</v>
      </c>
      <c r="S180" s="71">
        <v>19.5</v>
      </c>
      <c r="T180" s="71">
        <v>-6</v>
      </c>
      <c r="U180" s="71" t="s">
        <v>191</v>
      </c>
      <c r="V180" s="61">
        <f>_xlfn.XMATCH(Tabla4[[#This Row],[EAN CORREGIDO]],'Calcular necesidad'!L:L)</f>
        <v>244</v>
      </c>
      <c r="W180" s="61" t="str">
        <f>TRIM(Tabla4[[#This Row],[CodInternoArti]])</f>
        <v>7790000000833</v>
      </c>
    </row>
    <row r="181" spans="1:23" hidden="1" x14ac:dyDescent="0.35">
      <c r="A181" s="71" t="s">
        <v>265</v>
      </c>
      <c r="B181" s="72">
        <v>3245424854182</v>
      </c>
      <c r="C181" s="73" t="s">
        <v>506</v>
      </c>
      <c r="D181" s="73" t="s">
        <v>286</v>
      </c>
      <c r="E181" s="73" t="s">
        <v>287</v>
      </c>
      <c r="F181" s="73" t="s">
        <v>288</v>
      </c>
      <c r="G181" s="74" t="s">
        <v>6</v>
      </c>
      <c r="H181" s="75"/>
      <c r="I181" s="79"/>
      <c r="J181" s="76"/>
      <c r="K181" s="76"/>
      <c r="L181" s="76"/>
      <c r="M181" s="71">
        <v>350</v>
      </c>
      <c r="N181" s="77">
        <v>455</v>
      </c>
      <c r="O181" s="71">
        <v>0</v>
      </c>
      <c r="P181" s="71">
        <v>0</v>
      </c>
      <c r="Q181" s="71">
        <v>0</v>
      </c>
      <c r="R181" s="78" t="s">
        <v>190</v>
      </c>
      <c r="S181" s="71">
        <v>455</v>
      </c>
      <c r="T181" s="71">
        <v>0</v>
      </c>
      <c r="U181" s="71" t="s">
        <v>191</v>
      </c>
      <c r="V181" s="61">
        <f>_xlfn.XMATCH(Tabla4[[#This Row],[EAN CORREGIDO]],'Calcular necesidad'!L:L)</f>
        <v>255</v>
      </c>
      <c r="W181" s="61" t="str">
        <f>TRIM(Tabla4[[#This Row],[CodInternoArti]])</f>
        <v>3245424854182</v>
      </c>
    </row>
    <row r="182" spans="1:23" hidden="1" x14ac:dyDescent="0.35">
      <c r="A182" s="71" t="s">
        <v>265</v>
      </c>
      <c r="B182" s="72">
        <v>7790000000901</v>
      </c>
      <c r="C182" s="73" t="s">
        <v>507</v>
      </c>
      <c r="D182" s="73" t="s">
        <v>188</v>
      </c>
      <c r="E182" s="73" t="s">
        <v>188</v>
      </c>
      <c r="F182" s="73" t="s">
        <v>479</v>
      </c>
      <c r="G182" s="74" t="s">
        <v>480</v>
      </c>
      <c r="H182" s="75">
        <v>1</v>
      </c>
      <c r="I182" s="79">
        <v>1</v>
      </c>
      <c r="J182" s="76">
        <v>2</v>
      </c>
      <c r="K182" s="76"/>
      <c r="L182" s="76">
        <v>2</v>
      </c>
      <c r="M182" s="71"/>
      <c r="N182" s="77">
        <v>7.8000000000000007</v>
      </c>
      <c r="O182" s="71">
        <v>0</v>
      </c>
      <c r="P182" s="71">
        <v>0</v>
      </c>
      <c r="Q182" s="71">
        <v>0</v>
      </c>
      <c r="R182" s="78" t="s">
        <v>190</v>
      </c>
      <c r="S182" s="71">
        <v>7.8000000000000007</v>
      </c>
      <c r="T182" s="71">
        <v>-2</v>
      </c>
      <c r="U182" s="71" t="s">
        <v>191</v>
      </c>
      <c r="V182" s="61">
        <f>_xlfn.XMATCH(Tabla4[[#This Row],[EAN CORREGIDO]],'Calcular necesidad'!L:L)</f>
        <v>256</v>
      </c>
      <c r="W182" s="61" t="str">
        <f>TRIM(Tabla4[[#This Row],[CodInternoArti]])</f>
        <v>7790000000901</v>
      </c>
    </row>
    <row r="183" spans="1:23" hidden="1" x14ac:dyDescent="0.35">
      <c r="A183" s="71" t="s">
        <v>265</v>
      </c>
      <c r="B183" s="72">
        <v>7798068951862</v>
      </c>
      <c r="C183" s="73" t="s">
        <v>508</v>
      </c>
      <c r="D183" s="73" t="s">
        <v>281</v>
      </c>
      <c r="E183" s="73" t="s">
        <v>290</v>
      </c>
      <c r="F183" s="73" t="s">
        <v>335</v>
      </c>
      <c r="G183" s="74" t="s">
        <v>6</v>
      </c>
      <c r="H183" s="75">
        <v>2</v>
      </c>
      <c r="I183" s="79">
        <v>2</v>
      </c>
      <c r="J183" s="76">
        <v>12</v>
      </c>
      <c r="K183" s="76">
        <v>2</v>
      </c>
      <c r="L183" s="76">
        <v>2</v>
      </c>
      <c r="M183" s="71">
        <v>2</v>
      </c>
      <c r="N183" s="77">
        <v>28.6</v>
      </c>
      <c r="O183" s="71">
        <v>0</v>
      </c>
      <c r="P183" s="71">
        <v>0</v>
      </c>
      <c r="Q183" s="71">
        <v>0</v>
      </c>
      <c r="R183" s="78" t="s">
        <v>190</v>
      </c>
      <c r="S183" s="71">
        <v>28.6</v>
      </c>
      <c r="T183" s="71">
        <v>-4</v>
      </c>
      <c r="U183" s="71" t="s">
        <v>191</v>
      </c>
      <c r="V183" s="61">
        <f>_xlfn.XMATCH(Tabla4[[#This Row],[EAN CORREGIDO]],'Calcular necesidad'!L:L)</f>
        <v>236</v>
      </c>
      <c r="W183" s="61" t="str">
        <f>TRIM(Tabla4[[#This Row],[CodInternoArti]])</f>
        <v>7798068951862</v>
      </c>
    </row>
    <row r="184" spans="1:23" hidden="1" x14ac:dyDescent="0.35">
      <c r="A184" s="71" t="s">
        <v>265</v>
      </c>
      <c r="B184" s="72" t="s">
        <v>509</v>
      </c>
      <c r="C184" s="73" t="s">
        <v>510</v>
      </c>
      <c r="D184" s="73" t="s">
        <v>194</v>
      </c>
      <c r="E184" s="73" t="s">
        <v>206</v>
      </c>
      <c r="F184" s="73" t="s">
        <v>207</v>
      </c>
      <c r="G184" s="74" t="s">
        <v>6</v>
      </c>
      <c r="H184" s="75">
        <v>10</v>
      </c>
      <c r="I184" s="76">
        <v>11</v>
      </c>
      <c r="J184" s="76">
        <v>10</v>
      </c>
      <c r="K184" s="76">
        <v>14</v>
      </c>
      <c r="L184" s="76">
        <v>8</v>
      </c>
      <c r="M184" s="71">
        <v>2</v>
      </c>
      <c r="N184" s="77">
        <v>71.5</v>
      </c>
      <c r="O184" s="71">
        <v>0</v>
      </c>
      <c r="P184" s="71">
        <v>0</v>
      </c>
      <c r="Q184" s="71">
        <v>0</v>
      </c>
      <c r="R184" s="78" t="s">
        <v>190</v>
      </c>
      <c r="S184" s="71">
        <v>71.5</v>
      </c>
      <c r="T184" s="71">
        <v>-21</v>
      </c>
      <c r="U184" s="71" t="s">
        <v>191</v>
      </c>
      <c r="V184" s="61">
        <f>_xlfn.XMATCH(Tabla4[[#This Row],[EAN CORREGIDO]],'Calcular necesidad'!L:L)</f>
        <v>160</v>
      </c>
      <c r="W184" s="61" t="str">
        <f>TRIM(Tabla4[[#This Row],[CodInternoArti]])</f>
        <v>7798452810027 </v>
      </c>
    </row>
    <row r="185" spans="1:23" hidden="1" x14ac:dyDescent="0.35">
      <c r="A185" s="71" t="s">
        <v>265</v>
      </c>
      <c r="B185" s="72">
        <v>7790000000762</v>
      </c>
      <c r="C185" s="73" t="s">
        <v>511</v>
      </c>
      <c r="D185" s="73" t="s">
        <v>303</v>
      </c>
      <c r="E185" s="73" t="s">
        <v>279</v>
      </c>
      <c r="F185" s="73" t="s">
        <v>80</v>
      </c>
      <c r="G185" s="74" t="s">
        <v>6</v>
      </c>
      <c r="H185" s="75"/>
      <c r="I185" s="76"/>
      <c r="J185" s="76">
        <v>7</v>
      </c>
      <c r="K185" s="76"/>
      <c r="L185" s="76">
        <v>7</v>
      </c>
      <c r="M185" s="71"/>
      <c r="N185" s="77">
        <v>18.2</v>
      </c>
      <c r="O185" s="71">
        <v>0</v>
      </c>
      <c r="P185" s="71">
        <v>0</v>
      </c>
      <c r="Q185" s="71">
        <v>70</v>
      </c>
      <c r="R185" s="78" t="s">
        <v>305</v>
      </c>
      <c r="S185" s="71">
        <v>0</v>
      </c>
      <c r="T185" s="71">
        <v>0</v>
      </c>
      <c r="U185" s="71" t="s">
        <v>191</v>
      </c>
      <c r="V185" s="61">
        <f>_xlfn.XMATCH(Tabla4[[#This Row],[EAN CORREGIDO]],'Calcular necesidad'!L:L)</f>
        <v>211</v>
      </c>
      <c r="W185" s="61" t="str">
        <f>TRIM(Tabla4[[#This Row],[CodInternoArti]])</f>
        <v>7790000000762</v>
      </c>
    </row>
    <row r="186" spans="1:23" hidden="1" x14ac:dyDescent="0.35">
      <c r="A186" s="71" t="s">
        <v>265</v>
      </c>
      <c r="B186" s="72">
        <v>7790000000901</v>
      </c>
      <c r="C186" s="73" t="s">
        <v>507</v>
      </c>
      <c r="D186" s="73" t="s">
        <v>188</v>
      </c>
      <c r="E186" s="73" t="s">
        <v>188</v>
      </c>
      <c r="F186" s="73" t="s">
        <v>479</v>
      </c>
      <c r="G186" s="74" t="s">
        <v>6</v>
      </c>
      <c r="H186" s="75"/>
      <c r="I186" s="76">
        <v>2</v>
      </c>
      <c r="J186" s="76">
        <v>1</v>
      </c>
      <c r="K186" s="76">
        <v>1</v>
      </c>
      <c r="L186" s="76">
        <v>1</v>
      </c>
      <c r="M186" s="71">
        <v>1</v>
      </c>
      <c r="N186" s="77">
        <v>7.8000000000000007</v>
      </c>
      <c r="O186" s="71">
        <v>0</v>
      </c>
      <c r="P186" s="71">
        <v>0</v>
      </c>
      <c r="Q186" s="71">
        <v>0</v>
      </c>
      <c r="R186" s="78" t="s">
        <v>190</v>
      </c>
      <c r="S186" s="71">
        <v>7.8000000000000007</v>
      </c>
      <c r="T186" s="71">
        <v>-2</v>
      </c>
      <c r="U186" s="71" t="s">
        <v>191</v>
      </c>
      <c r="V186" s="61">
        <f>_xlfn.XMATCH(Tabla4[[#This Row],[EAN CORREGIDO]],'Calcular necesidad'!L:L)</f>
        <v>256</v>
      </c>
      <c r="W186" s="61" t="str">
        <f>TRIM(Tabla4[[#This Row],[CodInternoArti]])</f>
        <v>7790000000901</v>
      </c>
    </row>
    <row r="187" spans="1:23" hidden="1" x14ac:dyDescent="0.35">
      <c r="A187" s="71" t="s">
        <v>265</v>
      </c>
      <c r="B187" s="72">
        <v>7790000000900</v>
      </c>
      <c r="C187" s="73" t="s">
        <v>512</v>
      </c>
      <c r="D187" s="73" t="s">
        <v>303</v>
      </c>
      <c r="E187" s="73" t="s">
        <v>279</v>
      </c>
      <c r="F187" s="73" t="s">
        <v>403</v>
      </c>
      <c r="G187" s="74" t="s">
        <v>6</v>
      </c>
      <c r="H187" s="75">
        <v>100</v>
      </c>
      <c r="I187" s="76">
        <v>300</v>
      </c>
      <c r="J187" s="76">
        <v>300</v>
      </c>
      <c r="K187" s="76">
        <v>300</v>
      </c>
      <c r="L187" s="76">
        <v>300</v>
      </c>
      <c r="M187" s="71">
        <v>300</v>
      </c>
      <c r="N187" s="77">
        <v>2080</v>
      </c>
      <c r="O187" s="71">
        <v>0</v>
      </c>
      <c r="P187" s="71">
        <v>0</v>
      </c>
      <c r="Q187" s="71">
        <v>0</v>
      </c>
      <c r="R187" s="78" t="s">
        <v>190</v>
      </c>
      <c r="S187" s="71">
        <v>2080</v>
      </c>
      <c r="T187" s="71">
        <v>-400</v>
      </c>
      <c r="U187" s="71" t="s">
        <v>191</v>
      </c>
      <c r="V187" s="61">
        <f>_xlfn.XMATCH(Tabla4[[#This Row],[EAN CORREGIDO]],'Calcular necesidad'!L:L)</f>
        <v>257</v>
      </c>
      <c r="W187" s="61" t="str">
        <f>TRIM(Tabla4[[#This Row],[CodInternoArti]])</f>
        <v>7790000000900</v>
      </c>
    </row>
    <row r="188" spans="1:23" hidden="1" x14ac:dyDescent="0.35">
      <c r="A188" s="71" t="s">
        <v>265</v>
      </c>
      <c r="B188" s="72">
        <v>7790000000227</v>
      </c>
      <c r="C188" s="73" t="s">
        <v>513</v>
      </c>
      <c r="D188" s="73" t="s">
        <v>194</v>
      </c>
      <c r="E188" s="73" t="s">
        <v>462</v>
      </c>
      <c r="F188" s="73" t="s">
        <v>196</v>
      </c>
      <c r="G188" s="74" t="s">
        <v>6</v>
      </c>
      <c r="H188" s="75">
        <v>21</v>
      </c>
      <c r="I188" s="76">
        <v>20</v>
      </c>
      <c r="J188" s="76">
        <v>20</v>
      </c>
      <c r="K188" s="76">
        <v>20</v>
      </c>
      <c r="L188" s="76">
        <v>20</v>
      </c>
      <c r="M188" s="71">
        <v>20</v>
      </c>
      <c r="N188" s="77">
        <v>157.30000000000001</v>
      </c>
      <c r="O188" s="71">
        <v>148</v>
      </c>
      <c r="P188" s="71">
        <v>0</v>
      </c>
      <c r="Q188" s="71">
        <v>3631</v>
      </c>
      <c r="R188" s="78" t="s">
        <v>305</v>
      </c>
      <c r="S188" s="71">
        <v>0</v>
      </c>
      <c r="T188" s="71">
        <v>107</v>
      </c>
      <c r="U188" s="71" t="s">
        <v>191</v>
      </c>
      <c r="V188" s="61">
        <f>_xlfn.XMATCH(Tabla4[[#This Row],[EAN CORREGIDO]],'Calcular necesidad'!L:L)</f>
        <v>243</v>
      </c>
      <c r="W188" s="61" t="str">
        <f>TRIM(Tabla4[[#This Row],[CodInternoArti]])</f>
        <v>7790000000227</v>
      </c>
    </row>
    <row r="189" spans="1:23" hidden="1" x14ac:dyDescent="0.35">
      <c r="A189" s="71">
        <v>2006159</v>
      </c>
      <c r="B189" s="72">
        <v>7790321020535</v>
      </c>
      <c r="C189" s="73" t="s">
        <v>514</v>
      </c>
      <c r="D189" s="73" t="s">
        <v>216</v>
      </c>
      <c r="E189" s="73" t="s">
        <v>217</v>
      </c>
      <c r="F189" s="73" t="s">
        <v>218</v>
      </c>
      <c r="G189" s="74" t="s">
        <v>6</v>
      </c>
      <c r="H189" s="75"/>
      <c r="I189" s="76">
        <v>3</v>
      </c>
      <c r="J189" s="76"/>
      <c r="K189" s="76">
        <v>7</v>
      </c>
      <c r="L189" s="76"/>
      <c r="M189" s="71">
        <v>3</v>
      </c>
      <c r="N189" s="77">
        <v>16.899999999999999</v>
      </c>
      <c r="O189" s="71">
        <v>0</v>
      </c>
      <c r="P189" s="71">
        <v>0</v>
      </c>
      <c r="Q189" s="71">
        <v>0</v>
      </c>
      <c r="R189" s="78" t="s">
        <v>190</v>
      </c>
      <c r="S189" s="71">
        <v>16.899999999999999</v>
      </c>
      <c r="T189" s="71">
        <v>-3</v>
      </c>
      <c r="U189" s="71" t="s">
        <v>191</v>
      </c>
      <c r="V189" s="61">
        <f>_xlfn.XMATCH(Tabla4[[#This Row],[EAN CORREGIDO]],'Calcular necesidad'!L:L)</f>
        <v>89</v>
      </c>
      <c r="W189" s="61" t="str">
        <f>TRIM(Tabla4[[#This Row],[CodInternoArti]])</f>
        <v>7790321020535</v>
      </c>
    </row>
    <row r="190" spans="1:23" hidden="1" x14ac:dyDescent="0.35">
      <c r="A190" s="71">
        <v>2006686</v>
      </c>
      <c r="B190" s="72">
        <v>7790321020348</v>
      </c>
      <c r="C190" s="73" t="s">
        <v>515</v>
      </c>
      <c r="D190" s="73" t="s">
        <v>278</v>
      </c>
      <c r="E190" s="73" t="s">
        <v>279</v>
      </c>
      <c r="F190" s="73" t="s">
        <v>77</v>
      </c>
      <c r="G190" s="89" t="s">
        <v>6</v>
      </c>
      <c r="H190" s="75">
        <v>6</v>
      </c>
      <c r="I190" s="76">
        <v>16</v>
      </c>
      <c r="J190" s="76">
        <v>10</v>
      </c>
      <c r="K190" s="76">
        <v>16</v>
      </c>
      <c r="L190" s="76">
        <v>10</v>
      </c>
      <c r="M190" s="71">
        <v>16</v>
      </c>
      <c r="N190" s="77">
        <v>96.2</v>
      </c>
      <c r="O190" s="71">
        <v>0</v>
      </c>
      <c r="P190" s="71">
        <v>0</v>
      </c>
      <c r="Q190" s="71">
        <v>0</v>
      </c>
      <c r="R190" s="78" t="s">
        <v>190</v>
      </c>
      <c r="S190" s="71">
        <v>96.2</v>
      </c>
      <c r="T190" s="71">
        <v>-22</v>
      </c>
      <c r="U190" s="71" t="s">
        <v>191</v>
      </c>
      <c r="V190" s="61">
        <f>_xlfn.XMATCH(Tabla4[[#This Row],[EAN CORREGIDO]],'Calcular necesidad'!L:L)</f>
        <v>95</v>
      </c>
      <c r="W190" s="90" t="str">
        <f>TRIM(Tabla4[[#This Row],[CodInternoArti]])</f>
        <v>7790321020348</v>
      </c>
    </row>
    <row r="191" spans="1:23" hidden="1" x14ac:dyDescent="0.35">
      <c r="A191" s="71">
        <v>2006232</v>
      </c>
      <c r="B191" s="72">
        <v>7790321284500</v>
      </c>
      <c r="C191" s="73" t="s">
        <v>516</v>
      </c>
      <c r="D191" s="73" t="s">
        <v>216</v>
      </c>
      <c r="E191" s="73" t="s">
        <v>233</v>
      </c>
      <c r="F191" s="73" t="s">
        <v>234</v>
      </c>
      <c r="G191" s="89" t="s">
        <v>6</v>
      </c>
      <c r="H191" s="75">
        <v>1</v>
      </c>
      <c r="I191" s="76">
        <v>2</v>
      </c>
      <c r="J191" s="76">
        <v>2</v>
      </c>
      <c r="K191" s="76">
        <v>5</v>
      </c>
      <c r="L191" s="76"/>
      <c r="M191" s="71">
        <v>2</v>
      </c>
      <c r="N191" s="77">
        <v>15.6</v>
      </c>
      <c r="O191" s="71">
        <v>0</v>
      </c>
      <c r="P191" s="71">
        <v>0</v>
      </c>
      <c r="Q191" s="71">
        <v>0</v>
      </c>
      <c r="R191" s="78" t="s">
        <v>190</v>
      </c>
      <c r="S191" s="71">
        <v>15.6</v>
      </c>
      <c r="T191" s="71">
        <v>-3</v>
      </c>
      <c r="U191" s="71" t="s">
        <v>191</v>
      </c>
      <c r="V191" s="61">
        <f>_xlfn.XMATCH(Tabla4[[#This Row],[EAN CORREGIDO]],'Calcular necesidad'!L:L)</f>
        <v>169</v>
      </c>
      <c r="W191" s="90" t="str">
        <f>TRIM(Tabla4[[#This Row],[CodInternoArti]])</f>
        <v>7790321284500</v>
      </c>
    </row>
    <row r="192" spans="1:23" hidden="1" x14ac:dyDescent="0.35">
      <c r="A192" s="71">
        <v>2006140</v>
      </c>
      <c r="B192" s="72">
        <v>7790321020147</v>
      </c>
      <c r="C192" s="73" t="s">
        <v>517</v>
      </c>
      <c r="D192" s="73" t="s">
        <v>188</v>
      </c>
      <c r="E192" s="73" t="s">
        <v>293</v>
      </c>
      <c r="F192" s="73" t="s">
        <v>307</v>
      </c>
      <c r="G192" s="89" t="s">
        <v>6</v>
      </c>
      <c r="H192" s="75">
        <v>7</v>
      </c>
      <c r="I192" s="76">
        <v>7</v>
      </c>
      <c r="J192" s="76">
        <v>13</v>
      </c>
      <c r="K192" s="76">
        <v>13</v>
      </c>
      <c r="L192" s="76">
        <v>9</v>
      </c>
      <c r="M192" s="71">
        <v>11</v>
      </c>
      <c r="N192" s="77">
        <v>78</v>
      </c>
      <c r="O192" s="71">
        <v>347</v>
      </c>
      <c r="P192" s="71">
        <v>0</v>
      </c>
      <c r="Q192" s="71">
        <v>993</v>
      </c>
      <c r="R192" s="78" t="s">
        <v>338</v>
      </c>
      <c r="S192" s="71">
        <v>0</v>
      </c>
      <c r="T192" s="71">
        <v>333</v>
      </c>
      <c r="U192" s="71" t="s">
        <v>191</v>
      </c>
      <c r="V192" s="61">
        <f>_xlfn.XMATCH(Tabla4[[#This Row],[EAN CORREGIDO]],'Calcular necesidad'!L:L)</f>
        <v>106</v>
      </c>
      <c r="W192" s="90" t="str">
        <f>TRIM(Tabla4[[#This Row],[CodInternoArti]])</f>
        <v>7790321020147</v>
      </c>
    </row>
    <row r="193" spans="1:23" hidden="1" x14ac:dyDescent="0.35">
      <c r="A193" s="71">
        <v>2006828</v>
      </c>
      <c r="B193" s="72">
        <v>7790321020330</v>
      </c>
      <c r="C193" s="73" t="s">
        <v>518</v>
      </c>
      <c r="D193" s="73" t="s">
        <v>303</v>
      </c>
      <c r="E193" s="73" t="s">
        <v>279</v>
      </c>
      <c r="F193" s="73" t="s">
        <v>304</v>
      </c>
      <c r="G193" s="89" t="s">
        <v>6</v>
      </c>
      <c r="H193" s="75"/>
      <c r="I193" s="76">
        <v>1</v>
      </c>
      <c r="J193" s="76">
        <v>1</v>
      </c>
      <c r="K193" s="76"/>
      <c r="L193" s="76">
        <v>1</v>
      </c>
      <c r="M193" s="71"/>
      <c r="N193" s="77">
        <v>3.9</v>
      </c>
      <c r="O193" s="71">
        <v>0</v>
      </c>
      <c r="P193" s="71">
        <v>0</v>
      </c>
      <c r="Q193" s="71">
        <v>0</v>
      </c>
      <c r="R193" s="78" t="s">
        <v>190</v>
      </c>
      <c r="S193" s="71">
        <v>3.9</v>
      </c>
      <c r="T193" s="71">
        <v>-1</v>
      </c>
      <c r="U193" s="71" t="s">
        <v>191</v>
      </c>
      <c r="V193" s="61">
        <f>_xlfn.XMATCH(Tabla4[[#This Row],[EAN CORREGIDO]],'Calcular necesidad'!L:L)</f>
        <v>170</v>
      </c>
      <c r="W193" s="90" t="str">
        <f>TRIM(Tabla4[[#This Row],[CodInternoArti]])</f>
        <v>7790321020330</v>
      </c>
    </row>
    <row r="194" spans="1:23" hidden="1" x14ac:dyDescent="0.35">
      <c r="A194" s="71">
        <v>2006434</v>
      </c>
      <c r="B194" s="72">
        <v>7790126328513</v>
      </c>
      <c r="C194" s="73" t="s">
        <v>519</v>
      </c>
      <c r="D194" s="73" t="s">
        <v>281</v>
      </c>
      <c r="E194" s="73" t="s">
        <v>290</v>
      </c>
      <c r="F194" s="73" t="s">
        <v>371</v>
      </c>
      <c r="G194" s="89" t="s">
        <v>6</v>
      </c>
      <c r="H194" s="75">
        <v>2</v>
      </c>
      <c r="I194" s="76">
        <v>5</v>
      </c>
      <c r="J194" s="76">
        <v>5</v>
      </c>
      <c r="K194" s="76">
        <v>8</v>
      </c>
      <c r="L194" s="76">
        <v>2</v>
      </c>
      <c r="M194" s="71">
        <v>5</v>
      </c>
      <c r="N194" s="77">
        <v>35.1</v>
      </c>
      <c r="O194" s="71">
        <v>0</v>
      </c>
      <c r="P194" s="71">
        <v>0</v>
      </c>
      <c r="Q194" s="71">
        <v>0</v>
      </c>
      <c r="R194" s="78" t="s">
        <v>190</v>
      </c>
      <c r="S194" s="71">
        <v>35.1</v>
      </c>
      <c r="T194" s="71">
        <v>-7</v>
      </c>
      <c r="U194" s="71" t="s">
        <v>191</v>
      </c>
      <c r="V194" s="61">
        <f>_xlfn.XMATCH(Tabla4[[#This Row],[EAN CORREGIDO]],'Calcular necesidad'!L:L)</f>
        <v>172</v>
      </c>
      <c r="W194" s="90" t="str">
        <f>TRIM(Tabla4[[#This Row],[CodInternoArti]])</f>
        <v>7790126328513</v>
      </c>
    </row>
    <row r="195" spans="1:23" x14ac:dyDescent="0.35">
      <c r="A195" s="71" t="s">
        <v>265</v>
      </c>
      <c r="B195" s="72">
        <v>7790000000195</v>
      </c>
      <c r="C195" s="73" t="s">
        <v>520</v>
      </c>
      <c r="D195" s="73" t="s">
        <v>194</v>
      </c>
      <c r="E195" s="73" t="s">
        <v>206</v>
      </c>
      <c r="F195" s="73" t="s">
        <v>199</v>
      </c>
      <c r="G195" s="89" t="s">
        <v>6</v>
      </c>
      <c r="H195" s="75"/>
      <c r="I195" s="76">
        <v>3</v>
      </c>
      <c r="J195" s="76"/>
      <c r="K195" s="76">
        <v>3</v>
      </c>
      <c r="L195" s="76"/>
      <c r="M195" s="71">
        <v>3</v>
      </c>
      <c r="N195" s="77">
        <v>11.7</v>
      </c>
      <c r="O195" s="71">
        <v>0</v>
      </c>
      <c r="P195" s="71">
        <v>0</v>
      </c>
      <c r="Q195" s="71">
        <v>0</v>
      </c>
      <c r="R195" s="78" t="s">
        <v>190</v>
      </c>
      <c r="S195" s="71">
        <v>11.7</v>
      </c>
      <c r="T195" s="71">
        <v>-3</v>
      </c>
      <c r="U195" s="71" t="s">
        <v>191</v>
      </c>
      <c r="V195" s="61">
        <f>_xlfn.XMATCH(Tabla4[[#This Row],[EAN CORREGIDO]],'Calcular necesidad'!L:L)</f>
        <v>202</v>
      </c>
      <c r="W195" s="90" t="str">
        <f>TRIM(Tabla4[[#This Row],[CodInternoArti]])</f>
        <v>7790000000195</v>
      </c>
    </row>
    <row r="196" spans="1:23" hidden="1" x14ac:dyDescent="0.35">
      <c r="A196" s="71">
        <v>2007100</v>
      </c>
      <c r="B196" s="72">
        <v>1404700012</v>
      </c>
      <c r="C196" s="73" t="s">
        <v>521</v>
      </c>
      <c r="D196" s="73" t="s">
        <v>216</v>
      </c>
      <c r="E196" s="73" t="s">
        <v>217</v>
      </c>
      <c r="F196" s="73" t="s">
        <v>218</v>
      </c>
      <c r="G196" s="89" t="s">
        <v>6</v>
      </c>
      <c r="H196" s="75">
        <v>6</v>
      </c>
      <c r="I196" s="76">
        <v>7</v>
      </c>
      <c r="J196" s="76">
        <v>2</v>
      </c>
      <c r="K196" s="76">
        <v>2</v>
      </c>
      <c r="L196" s="76">
        <v>2</v>
      </c>
      <c r="M196" s="71">
        <v>3</v>
      </c>
      <c r="N196" s="77">
        <v>28.6</v>
      </c>
      <c r="O196" s="71">
        <v>0</v>
      </c>
      <c r="P196" s="71">
        <v>0</v>
      </c>
      <c r="Q196" s="71">
        <v>0</v>
      </c>
      <c r="R196" s="78" t="s">
        <v>190</v>
      </c>
      <c r="S196" s="71">
        <v>28.6</v>
      </c>
      <c r="T196" s="71">
        <v>-13</v>
      </c>
      <c r="U196" s="71" t="s">
        <v>191</v>
      </c>
      <c r="V196" s="61">
        <f>_xlfn.XMATCH(Tabla4[[#This Row],[EAN CORREGIDO]],'Calcular necesidad'!L:L)</f>
        <v>114</v>
      </c>
      <c r="W196" s="90" t="str">
        <f>TRIM(Tabla4[[#This Row],[CodInternoArti]])</f>
        <v>1404700012</v>
      </c>
    </row>
    <row r="197" spans="1:23" hidden="1" x14ac:dyDescent="0.35">
      <c r="A197" s="71">
        <v>2006822</v>
      </c>
      <c r="B197" s="72">
        <v>610000108746</v>
      </c>
      <c r="C197" s="73" t="s">
        <v>522</v>
      </c>
      <c r="D197" s="73" t="s">
        <v>281</v>
      </c>
      <c r="E197" s="73" t="s">
        <v>282</v>
      </c>
      <c r="F197" s="73" t="s">
        <v>283</v>
      </c>
      <c r="G197" s="89" t="s">
        <v>6</v>
      </c>
      <c r="H197" s="75"/>
      <c r="I197" s="76"/>
      <c r="J197" s="76"/>
      <c r="K197" s="76"/>
      <c r="L197" s="76">
        <v>5</v>
      </c>
      <c r="M197" s="71">
        <v>5</v>
      </c>
      <c r="N197" s="77">
        <v>13</v>
      </c>
      <c r="O197" s="71">
        <v>102</v>
      </c>
      <c r="P197" s="71">
        <v>0</v>
      </c>
      <c r="Q197" s="71">
        <v>57</v>
      </c>
      <c r="R197" s="78" t="s">
        <v>338</v>
      </c>
      <c r="S197" s="71">
        <v>0</v>
      </c>
      <c r="T197" s="71">
        <v>102</v>
      </c>
      <c r="U197" s="71" t="s">
        <v>191</v>
      </c>
      <c r="V197" s="61">
        <f>_xlfn.XMATCH(Tabla4[[#This Row],[EAN CORREGIDO]],'Calcular necesidad'!L:L)</f>
        <v>196</v>
      </c>
      <c r="W197" s="90" t="str">
        <f>TRIM(Tabla4[[#This Row],[CodInternoArti]])</f>
        <v>610000108746</v>
      </c>
    </row>
    <row r="198" spans="1:23" hidden="1" x14ac:dyDescent="0.35">
      <c r="A198" s="71">
        <v>2007577</v>
      </c>
      <c r="B198" s="72">
        <v>7790000000523</v>
      </c>
      <c r="C198" s="73" t="s">
        <v>523</v>
      </c>
      <c r="D198" s="73" t="s">
        <v>275</v>
      </c>
      <c r="E198" s="73" t="s">
        <v>350</v>
      </c>
      <c r="F198" s="73" t="s">
        <v>351</v>
      </c>
      <c r="G198" s="89" t="s">
        <v>6</v>
      </c>
      <c r="H198" s="75"/>
      <c r="I198" s="76"/>
      <c r="J198" s="76">
        <v>10</v>
      </c>
      <c r="K198" s="76">
        <v>30</v>
      </c>
      <c r="L198" s="76">
        <v>10</v>
      </c>
      <c r="M198" s="71">
        <v>10</v>
      </c>
      <c r="N198" s="77">
        <v>78</v>
      </c>
      <c r="O198" s="71">
        <v>10</v>
      </c>
      <c r="P198" s="71">
        <v>0</v>
      </c>
      <c r="Q198" s="71">
        <v>10</v>
      </c>
      <c r="R198" s="78" t="s">
        <v>190</v>
      </c>
      <c r="S198" s="71">
        <v>58</v>
      </c>
      <c r="T198" s="71">
        <v>10</v>
      </c>
      <c r="U198" s="71" t="s">
        <v>191</v>
      </c>
      <c r="V198" s="61">
        <f>_xlfn.XMATCH(Tabla4[[#This Row],[EAN CORREGIDO]],'Calcular necesidad'!L:L)</f>
        <v>181</v>
      </c>
      <c r="W198" s="90" t="str">
        <f>TRIM(Tabla4[[#This Row],[CodInternoArti]])</f>
        <v>7790000000523</v>
      </c>
    </row>
    <row r="199" spans="1:23" hidden="1" x14ac:dyDescent="0.35">
      <c r="A199" s="71" t="s">
        <v>265</v>
      </c>
      <c r="B199" s="72">
        <v>648260488628</v>
      </c>
      <c r="C199" s="73" t="s">
        <v>524</v>
      </c>
      <c r="D199" s="73" t="s">
        <v>194</v>
      </c>
      <c r="E199" s="73" t="s">
        <v>36</v>
      </c>
      <c r="F199" s="73" t="s">
        <v>310</v>
      </c>
      <c r="G199" s="89" t="s">
        <v>6</v>
      </c>
      <c r="H199" s="75"/>
      <c r="I199" s="76"/>
      <c r="J199" s="76"/>
      <c r="K199" s="76">
        <v>4</v>
      </c>
      <c r="L199" s="76"/>
      <c r="M199" s="71"/>
      <c r="N199" s="77">
        <v>5.2</v>
      </c>
      <c r="O199" s="71">
        <v>184</v>
      </c>
      <c r="P199" s="71">
        <v>0</v>
      </c>
      <c r="Q199" s="71">
        <v>2010</v>
      </c>
      <c r="R199" s="78" t="s">
        <v>338</v>
      </c>
      <c r="S199" s="71">
        <v>0</v>
      </c>
      <c r="T199" s="71">
        <v>184</v>
      </c>
      <c r="U199" s="71" t="s">
        <v>191</v>
      </c>
      <c r="V199" s="61">
        <f>_xlfn.XMATCH(Tabla4[[#This Row],[EAN CORREGIDO]],'Calcular necesidad'!L:L)</f>
        <v>221</v>
      </c>
      <c r="W199" s="90" t="str">
        <f>TRIM(Tabla4[[#This Row],[CodInternoArti]])</f>
        <v>648260488628</v>
      </c>
    </row>
    <row r="200" spans="1:23" hidden="1" x14ac:dyDescent="0.35">
      <c r="A200" s="71" t="s">
        <v>265</v>
      </c>
      <c r="B200" s="72">
        <v>7798011210022</v>
      </c>
      <c r="C200" s="73" t="s">
        <v>525</v>
      </c>
      <c r="D200" s="73" t="s">
        <v>278</v>
      </c>
      <c r="E200" s="73" t="s">
        <v>279</v>
      </c>
      <c r="F200" s="73" t="s">
        <v>55</v>
      </c>
      <c r="G200" s="89" t="s">
        <v>6</v>
      </c>
      <c r="H200" s="75">
        <v>24</v>
      </c>
      <c r="I200" s="76"/>
      <c r="J200" s="76"/>
      <c r="K200" s="76"/>
      <c r="L200" s="76"/>
      <c r="M200" s="71"/>
      <c r="N200" s="77">
        <v>31.2</v>
      </c>
      <c r="O200" s="71">
        <v>0</v>
      </c>
      <c r="P200" s="71">
        <v>0</v>
      </c>
      <c r="Q200" s="71">
        <v>321</v>
      </c>
      <c r="R200" s="78" t="s">
        <v>305</v>
      </c>
      <c r="S200" s="71">
        <v>0</v>
      </c>
      <c r="T200" s="71">
        <v>-24</v>
      </c>
      <c r="U200" s="71" t="s">
        <v>191</v>
      </c>
      <c r="V200" s="61">
        <f>_xlfn.XMATCH(Tabla4[[#This Row],[EAN CORREGIDO]],'Calcular necesidad'!L:L)</f>
        <v>222</v>
      </c>
      <c r="W200" s="90" t="str">
        <f>TRIM(Tabla4[[#This Row],[CodInternoArti]])</f>
        <v>7798011210022</v>
      </c>
    </row>
    <row r="201" spans="1:23" hidden="1" x14ac:dyDescent="0.35">
      <c r="A201" s="71" t="s">
        <v>265</v>
      </c>
      <c r="B201" s="72">
        <v>7790000000898</v>
      </c>
      <c r="C201" s="73" t="s">
        <v>526</v>
      </c>
      <c r="D201" s="73" t="s">
        <v>212</v>
      </c>
      <c r="E201" s="73" t="s">
        <v>206</v>
      </c>
      <c r="F201" s="73" t="s">
        <v>152</v>
      </c>
      <c r="G201" s="89" t="s">
        <v>6</v>
      </c>
      <c r="H201" s="75"/>
      <c r="I201" s="76">
        <v>2</v>
      </c>
      <c r="J201" s="76">
        <v>1</v>
      </c>
      <c r="K201" s="76">
        <v>1</v>
      </c>
      <c r="L201" s="76"/>
      <c r="M201" s="71">
        <v>1</v>
      </c>
      <c r="N201" s="77">
        <v>6.5</v>
      </c>
      <c r="O201" s="71">
        <v>0</v>
      </c>
      <c r="P201" s="71">
        <v>0</v>
      </c>
      <c r="Q201" s="71">
        <v>0</v>
      </c>
      <c r="R201" s="78" t="s">
        <v>190</v>
      </c>
      <c r="S201" s="71">
        <v>6.5</v>
      </c>
      <c r="T201" s="71">
        <v>-2</v>
      </c>
      <c r="U201" s="71" t="s">
        <v>191</v>
      </c>
      <c r="V201" s="61">
        <f>_xlfn.XMATCH(Tabla4[[#This Row],[EAN CORREGIDO]],'Calcular necesidad'!L:L)</f>
        <v>258</v>
      </c>
      <c r="W201" s="90" t="str">
        <f>TRIM(Tabla4[[#This Row],[CodInternoArti]])</f>
        <v>7790000000898</v>
      </c>
    </row>
    <row r="202" spans="1:23" hidden="1" x14ac:dyDescent="0.35">
      <c r="A202" s="71">
        <v>2007506</v>
      </c>
      <c r="B202" s="72">
        <v>7790000000480</v>
      </c>
      <c r="C202" s="73" t="s">
        <v>527</v>
      </c>
      <c r="D202" s="73" t="s">
        <v>188</v>
      </c>
      <c r="E202" s="73" t="s">
        <v>189</v>
      </c>
      <c r="F202" s="73" t="s">
        <v>189</v>
      </c>
      <c r="G202" s="89" t="s">
        <v>6</v>
      </c>
      <c r="H202" s="75">
        <v>5</v>
      </c>
      <c r="I202" s="76"/>
      <c r="J202" s="76">
        <v>1</v>
      </c>
      <c r="K202" s="76"/>
      <c r="L202" s="76"/>
      <c r="M202" s="71"/>
      <c r="N202" s="77">
        <v>7.8000000000000007</v>
      </c>
      <c r="O202" s="71">
        <v>275</v>
      </c>
      <c r="P202" s="71">
        <v>0</v>
      </c>
      <c r="Q202" s="71">
        <v>0</v>
      </c>
      <c r="R202" s="78" t="s">
        <v>338</v>
      </c>
      <c r="S202" s="71">
        <v>0</v>
      </c>
      <c r="T202" s="71">
        <v>270</v>
      </c>
      <c r="U202" s="71" t="s">
        <v>191</v>
      </c>
      <c r="V202" s="61">
        <f>_xlfn.XMATCH(Tabla4[[#This Row],[EAN CORREGIDO]],'Calcular necesidad'!L:L)</f>
        <v>146</v>
      </c>
      <c r="W202" s="90" t="str">
        <f>TRIM(Tabla4[[#This Row],[CodInternoArti]])</f>
        <v>7790000000480</v>
      </c>
    </row>
    <row r="203" spans="1:23" hidden="1" x14ac:dyDescent="0.35">
      <c r="A203" s="71">
        <v>2007323</v>
      </c>
      <c r="B203" s="72">
        <v>7790000000381</v>
      </c>
      <c r="C203" s="73" t="s">
        <v>528</v>
      </c>
      <c r="D203" s="73" t="s">
        <v>281</v>
      </c>
      <c r="E203" s="73" t="s">
        <v>290</v>
      </c>
      <c r="F203" s="73" t="s">
        <v>335</v>
      </c>
      <c r="G203" s="89" t="s">
        <v>6</v>
      </c>
      <c r="H203" s="75">
        <v>5</v>
      </c>
      <c r="I203" s="76">
        <v>5</v>
      </c>
      <c r="J203" s="76">
        <v>5</v>
      </c>
      <c r="K203" s="76">
        <v>5</v>
      </c>
      <c r="L203" s="76">
        <v>5</v>
      </c>
      <c r="M203" s="71"/>
      <c r="N203" s="77">
        <v>32.5</v>
      </c>
      <c r="O203" s="71">
        <v>0</v>
      </c>
      <c r="P203" s="71">
        <v>0</v>
      </c>
      <c r="Q203" s="71">
        <v>6</v>
      </c>
      <c r="R203" s="78" t="s">
        <v>190</v>
      </c>
      <c r="S203" s="71">
        <v>26.5</v>
      </c>
      <c r="T203" s="71">
        <v>-10</v>
      </c>
      <c r="U203" s="71" t="s">
        <v>191</v>
      </c>
      <c r="V203" s="61">
        <f>_xlfn.XMATCH(Tabla4[[#This Row],[EAN CORREGIDO]],'Calcular necesidad'!L:L)</f>
        <v>185</v>
      </c>
      <c r="W203" s="90" t="str">
        <f>TRIM(Tabla4[[#This Row],[CodInternoArti]])</f>
        <v>7790000000381</v>
      </c>
    </row>
    <row r="204" spans="1:23" hidden="1" x14ac:dyDescent="0.35">
      <c r="A204" s="71"/>
      <c r="B204" s="72"/>
      <c r="C204" s="73"/>
      <c r="D204" s="73"/>
      <c r="E204" s="73"/>
      <c r="F204" s="73"/>
      <c r="G204" s="89"/>
      <c r="H204" s="75"/>
      <c r="I204" s="76"/>
      <c r="J204" s="76"/>
      <c r="K204" s="76"/>
      <c r="L204" s="76"/>
      <c r="M204" s="71"/>
      <c r="N204" s="77"/>
      <c r="O204" s="71"/>
      <c r="P204" s="71"/>
      <c r="Q204" s="71"/>
      <c r="R204" s="78"/>
      <c r="S204" s="71"/>
      <c r="T204" s="71"/>
      <c r="U204" s="71"/>
      <c r="V204" s="61" t="e">
        <f>_xlfn.XMATCH(Tabla4[[#This Row],[EAN CORREGIDO]],'Calcular necesidad'!L:L)</f>
        <v>#N/A</v>
      </c>
      <c r="W204" s="90" t="str">
        <f>TRIM(Tabla4[[#This Row],[CodInternoArti]])</f>
        <v/>
      </c>
    </row>
    <row r="205" spans="1:23" hidden="1" x14ac:dyDescent="0.35">
      <c r="A205" s="71"/>
      <c r="B205" s="72"/>
      <c r="C205" s="73"/>
      <c r="D205" s="73"/>
      <c r="E205" s="73"/>
      <c r="F205" s="73"/>
      <c r="G205" s="89"/>
      <c r="H205" s="75"/>
      <c r="I205" s="76"/>
      <c r="J205" s="76"/>
      <c r="K205" s="76"/>
      <c r="L205" s="76"/>
      <c r="M205" s="71"/>
      <c r="N205" s="77"/>
      <c r="O205" s="71"/>
      <c r="P205" s="71"/>
      <c r="Q205" s="71"/>
      <c r="R205" s="78"/>
      <c r="S205" s="71"/>
      <c r="T205" s="71"/>
      <c r="U205" s="71"/>
      <c r="V205" s="61" t="e">
        <f>_xlfn.XMATCH(Tabla4[[#This Row],[EAN CORREGIDO]],'Calcular necesidad'!L:L)</f>
        <v>#N/A</v>
      </c>
      <c r="W205" s="90" t="str">
        <f>TRIM(Tabla4[[#This Row],[CodInternoArti]])</f>
        <v/>
      </c>
    </row>
    <row r="206" spans="1:23" hidden="1" x14ac:dyDescent="0.35">
      <c r="A206" s="71"/>
      <c r="B206" s="72"/>
      <c r="C206" s="73"/>
      <c r="D206" s="73"/>
      <c r="E206" s="73"/>
      <c r="F206" s="73"/>
      <c r="G206" s="89"/>
      <c r="H206" s="75"/>
      <c r="I206" s="76"/>
      <c r="J206" s="76"/>
      <c r="K206" s="76"/>
      <c r="L206" s="76"/>
      <c r="M206" s="71"/>
      <c r="N206" s="77"/>
      <c r="O206" s="71"/>
      <c r="P206" s="71"/>
      <c r="Q206" s="71"/>
      <c r="R206" s="78"/>
      <c r="S206" s="71"/>
      <c r="T206" s="71"/>
      <c r="U206" s="71"/>
      <c r="V206" s="61" t="e">
        <f>_xlfn.XMATCH(Tabla4[[#This Row],[EAN CORREGIDO]],'Calcular necesidad'!L:L)</f>
        <v>#N/A</v>
      </c>
      <c r="W206" s="90" t="str">
        <f>TRIM(Tabla4[[#This Row],[CodInternoArti]])</f>
        <v/>
      </c>
    </row>
    <row r="207" spans="1:23" hidden="1" x14ac:dyDescent="0.35">
      <c r="A207" s="71"/>
      <c r="B207" s="72"/>
      <c r="C207" s="73"/>
      <c r="D207" s="73"/>
      <c r="E207" s="73"/>
      <c r="F207" s="73"/>
      <c r="G207" s="89"/>
      <c r="H207" s="75"/>
      <c r="I207" s="76"/>
      <c r="J207" s="76"/>
      <c r="K207" s="76"/>
      <c r="L207" s="76"/>
      <c r="M207" s="71"/>
      <c r="N207" s="77"/>
      <c r="O207" s="71"/>
      <c r="P207" s="71"/>
      <c r="Q207" s="71"/>
      <c r="R207" s="78"/>
      <c r="S207" s="71"/>
      <c r="T207" s="71"/>
      <c r="U207" s="71"/>
      <c r="V207" s="61" t="e">
        <f>_xlfn.XMATCH(Tabla4[[#This Row],[EAN CORREGIDO]],'Calcular necesidad'!L:L)</f>
        <v>#N/A</v>
      </c>
      <c r="W207" s="90" t="str">
        <f>TRIM(Tabla4[[#This Row],[CodInternoArti]])</f>
        <v/>
      </c>
    </row>
    <row r="208" spans="1:23" hidden="1" x14ac:dyDescent="0.35">
      <c r="A208" s="71"/>
      <c r="B208" s="72"/>
      <c r="C208" s="73"/>
      <c r="D208" s="73"/>
      <c r="E208" s="73"/>
      <c r="F208" s="73"/>
      <c r="G208" s="89"/>
      <c r="H208" s="75"/>
      <c r="I208" s="76"/>
      <c r="J208" s="76"/>
      <c r="K208" s="76"/>
      <c r="L208" s="76"/>
      <c r="M208" s="71"/>
      <c r="N208" s="77"/>
      <c r="O208" s="71"/>
      <c r="P208" s="71"/>
      <c r="Q208" s="71"/>
      <c r="R208" s="78"/>
      <c r="S208" s="71"/>
      <c r="T208" s="71"/>
      <c r="U208" s="71"/>
      <c r="V208" s="61" t="e">
        <f>_xlfn.XMATCH(Tabla4[[#This Row],[EAN CORREGIDO]],'Calcular necesidad'!L:L)</f>
        <v>#N/A</v>
      </c>
      <c r="W208" s="90" t="str">
        <f>TRIM(Tabla4[[#This Row],[CodInternoArti]])</f>
        <v/>
      </c>
    </row>
    <row r="209" spans="1:23" hidden="1" x14ac:dyDescent="0.35">
      <c r="A209" s="71"/>
      <c r="B209" s="72"/>
      <c r="C209" s="73"/>
      <c r="D209" s="73"/>
      <c r="E209" s="73"/>
      <c r="F209" s="73"/>
      <c r="G209" s="89"/>
      <c r="H209" s="75"/>
      <c r="I209" s="76"/>
      <c r="J209" s="76"/>
      <c r="K209" s="76"/>
      <c r="L209" s="76"/>
      <c r="M209" s="71"/>
      <c r="N209" s="77"/>
      <c r="O209" s="71"/>
      <c r="P209" s="71"/>
      <c r="Q209" s="71"/>
      <c r="R209" s="78"/>
      <c r="S209" s="71"/>
      <c r="T209" s="71"/>
      <c r="U209" s="71"/>
      <c r="V209" s="61" t="e">
        <f>_xlfn.XMATCH(Tabla4[[#This Row],[EAN CORREGIDO]],'Calcular necesidad'!L:L)</f>
        <v>#N/A</v>
      </c>
      <c r="W209" s="90" t="str">
        <f>TRIM(Tabla4[[#This Row],[CodInternoArti]])</f>
        <v/>
      </c>
    </row>
    <row r="210" spans="1:23" hidden="1" x14ac:dyDescent="0.35">
      <c r="A210" s="5"/>
      <c r="B210" s="83"/>
      <c r="C210" s="84"/>
      <c r="D210" s="84"/>
      <c r="E210" s="84"/>
      <c r="F210" s="84"/>
      <c r="G210" s="85"/>
      <c r="H210" s="86"/>
      <c r="I210" s="87"/>
      <c r="J210" s="87"/>
      <c r="K210" s="87"/>
      <c r="L210" s="87"/>
      <c r="M210" s="5"/>
      <c r="N210" s="8"/>
      <c r="O210" s="5"/>
      <c r="P210" s="5"/>
      <c r="Q210" s="5"/>
      <c r="R210" s="9"/>
      <c r="S210" s="5"/>
      <c r="T210" s="5"/>
      <c r="U210" s="5"/>
      <c r="V210" s="61" t="e">
        <f>_xlfn.XMATCH(Tabla4[[#This Row],[EAN CORREGIDO]],'Calcular necesidad'!L:L)</f>
        <v>#N/A</v>
      </c>
      <c r="W210" s="88" t="str">
        <f>TRIM(Tabla4[[#This Row],[CodInternoArti]])</f>
        <v/>
      </c>
    </row>
    <row r="211" spans="1:23" hidden="1" x14ac:dyDescent="0.35">
      <c r="A211" s="71"/>
      <c r="B211" s="72"/>
      <c r="C211" s="73"/>
      <c r="D211" s="73"/>
      <c r="E211" s="73"/>
      <c r="F211" s="73"/>
      <c r="G211" s="89"/>
      <c r="H211" s="75"/>
      <c r="I211" s="76"/>
      <c r="J211" s="76"/>
      <c r="K211" s="76"/>
      <c r="L211" s="76"/>
      <c r="M211" s="71"/>
      <c r="N211" s="77"/>
      <c r="O211" s="71"/>
      <c r="P211" s="71"/>
      <c r="Q211" s="71"/>
      <c r="R211" s="78"/>
      <c r="S211" s="71"/>
      <c r="T211" s="71"/>
      <c r="U211" s="71"/>
      <c r="V211" s="61" t="e">
        <f>_xlfn.XMATCH(Tabla4[[#This Row],[EAN CORREGIDO]],'Calcular necesidad'!L:L)</f>
        <v>#N/A</v>
      </c>
      <c r="W211" s="90" t="str">
        <f>TRIM(Tabla4[[#This Row],[CodInternoArti]])</f>
        <v/>
      </c>
    </row>
    <row r="212" spans="1:23" hidden="1" x14ac:dyDescent="0.35">
      <c r="A212" s="71"/>
      <c r="B212" s="72"/>
      <c r="C212" s="73"/>
      <c r="D212" s="73"/>
      <c r="E212" s="73"/>
      <c r="F212" s="73"/>
      <c r="G212" s="89"/>
      <c r="H212" s="75"/>
      <c r="I212" s="76"/>
      <c r="J212" s="76"/>
      <c r="K212" s="76"/>
      <c r="L212" s="76"/>
      <c r="M212" s="71"/>
      <c r="N212" s="77"/>
      <c r="O212" s="71"/>
      <c r="P212" s="71"/>
      <c r="Q212" s="71"/>
      <c r="R212" s="78"/>
      <c r="S212" s="71"/>
      <c r="T212" s="71"/>
      <c r="U212" s="71"/>
      <c r="V212" s="61" t="e">
        <f>_xlfn.XMATCH(Tabla4[[#This Row],[EAN CORREGIDO]],'Calcular necesidad'!L:L)</f>
        <v>#N/A</v>
      </c>
      <c r="W212" s="90" t="str">
        <f>TRIM(Tabla4[[#This Row],[CodInternoArti]])</f>
        <v/>
      </c>
    </row>
    <row r="213" spans="1:23" hidden="1" x14ac:dyDescent="0.35">
      <c r="A213" s="71"/>
      <c r="B213" s="72"/>
      <c r="C213" s="73"/>
      <c r="D213" s="73"/>
      <c r="E213" s="73"/>
      <c r="F213" s="73"/>
      <c r="G213" s="89"/>
      <c r="H213" s="75"/>
      <c r="I213" s="76"/>
      <c r="J213" s="76"/>
      <c r="K213" s="76"/>
      <c r="L213" s="76"/>
      <c r="M213" s="71"/>
      <c r="N213" s="77"/>
      <c r="O213" s="71"/>
      <c r="P213" s="71"/>
      <c r="Q213" s="71"/>
      <c r="R213" s="78"/>
      <c r="S213" s="71"/>
      <c r="T213" s="71"/>
      <c r="U213" s="71"/>
      <c r="V213" s="61" t="e">
        <f>_xlfn.XMATCH(Tabla4[[#This Row],[EAN CORREGIDO]],'Calcular necesidad'!L:L)</f>
        <v>#N/A</v>
      </c>
      <c r="W213" s="90" t="str">
        <f>TRIM(Tabla4[[#This Row],[CodInternoArti]])</f>
        <v/>
      </c>
    </row>
    <row r="214" spans="1:23" hidden="1" x14ac:dyDescent="0.35">
      <c r="A214" s="71"/>
      <c r="B214" s="72"/>
      <c r="C214" s="73"/>
      <c r="D214" s="73"/>
      <c r="E214" s="73"/>
      <c r="F214" s="73"/>
      <c r="G214" s="89"/>
      <c r="H214" s="75"/>
      <c r="I214" s="76"/>
      <c r="J214" s="76"/>
      <c r="K214" s="76"/>
      <c r="L214" s="76"/>
      <c r="M214" s="71"/>
      <c r="N214" s="77"/>
      <c r="O214" s="71"/>
      <c r="P214" s="71"/>
      <c r="Q214" s="71"/>
      <c r="R214" s="78"/>
      <c r="S214" s="71"/>
      <c r="T214" s="71"/>
      <c r="U214" s="71"/>
      <c r="V214" s="61" t="e">
        <f>_xlfn.XMATCH(Tabla4[[#This Row],[EAN CORREGIDO]],'Calcular necesidad'!L:L)</f>
        <v>#N/A</v>
      </c>
      <c r="W214" s="90" t="str">
        <f>TRIM(Tabla4[[#This Row],[CodInternoArti]])</f>
        <v/>
      </c>
    </row>
    <row r="215" spans="1:23" hidden="1" x14ac:dyDescent="0.35">
      <c r="A215" s="5"/>
      <c r="B215" s="83"/>
      <c r="C215" s="84"/>
      <c r="D215" s="84"/>
      <c r="E215" s="84"/>
      <c r="F215" s="84"/>
      <c r="G215" s="85"/>
      <c r="H215" s="86"/>
      <c r="I215" s="87"/>
      <c r="J215" s="87"/>
      <c r="K215" s="87"/>
      <c r="L215" s="87"/>
      <c r="M215" s="5"/>
      <c r="N215" s="8"/>
      <c r="O215" s="5"/>
      <c r="P215" s="5"/>
      <c r="Q215" s="5"/>
      <c r="R215" s="9"/>
      <c r="S215" s="5"/>
      <c r="T215" s="5"/>
      <c r="U215" s="5"/>
      <c r="V215" s="61" t="e">
        <f>_xlfn.XMATCH(Tabla4[[#This Row],[EAN CORREGIDO]],'Calcular necesidad'!L:L)</f>
        <v>#N/A</v>
      </c>
      <c r="W215" s="88" t="str">
        <f>TRIM(Tabla4[[#This Row],[CodInternoArti]])</f>
        <v/>
      </c>
    </row>
    <row r="216" spans="1:23" hidden="1" x14ac:dyDescent="0.35">
      <c r="A216" s="5"/>
      <c r="B216" s="83"/>
      <c r="C216" s="84"/>
      <c r="D216" s="84"/>
      <c r="E216" s="84"/>
      <c r="F216" s="84"/>
      <c r="G216" s="85"/>
      <c r="H216" s="86"/>
      <c r="I216" s="87"/>
      <c r="J216" s="87"/>
      <c r="K216" s="87"/>
      <c r="L216" s="87"/>
      <c r="M216" s="5"/>
      <c r="N216" s="8"/>
      <c r="O216" s="5"/>
      <c r="P216" s="5"/>
      <c r="Q216" s="5"/>
      <c r="R216" s="9"/>
      <c r="S216" s="5"/>
      <c r="T216" s="5"/>
      <c r="U216" s="5"/>
      <c r="V216" s="61" t="e">
        <f>_xlfn.XMATCH(Tabla4[[#This Row],[EAN CORREGIDO]],'Calcular necesidad'!L:L)</f>
        <v>#N/A</v>
      </c>
      <c r="W216" s="88" t="str">
        <f>TRIM(Tabla4[[#This Row],[CodInternoArti]])</f>
        <v/>
      </c>
    </row>
    <row r="217" spans="1:23" hidden="1" x14ac:dyDescent="0.35">
      <c r="A217" s="5"/>
      <c r="B217" s="83"/>
      <c r="C217" s="84"/>
      <c r="D217" s="84"/>
      <c r="E217" s="84"/>
      <c r="F217" s="84"/>
      <c r="G217" s="85"/>
      <c r="H217" s="86"/>
      <c r="I217" s="87"/>
      <c r="J217" s="87"/>
      <c r="K217" s="87"/>
      <c r="L217" s="87"/>
      <c r="M217" s="5"/>
      <c r="N217" s="8"/>
      <c r="O217" s="5"/>
      <c r="P217" s="5"/>
      <c r="Q217" s="5"/>
      <c r="R217" s="9"/>
      <c r="S217" s="5"/>
      <c r="T217" s="5"/>
      <c r="U217" s="5"/>
      <c r="V217" s="61" t="e">
        <f>_xlfn.XMATCH(Tabla4[[#This Row],[EAN CORREGIDO]],'Calcular necesidad'!L:L)</f>
        <v>#N/A</v>
      </c>
      <c r="W217" s="88" t="str">
        <f>TRIM(Tabla4[[#This Row],[CodInternoArti]])</f>
        <v/>
      </c>
    </row>
    <row r="218" spans="1:23" hidden="1" x14ac:dyDescent="0.35">
      <c r="A218" s="5"/>
      <c r="B218" s="83"/>
      <c r="C218" s="84"/>
      <c r="D218" s="84"/>
      <c r="E218" s="84"/>
      <c r="F218" s="84"/>
      <c r="G218" s="85"/>
      <c r="H218" s="86"/>
      <c r="I218" s="87"/>
      <c r="J218" s="87"/>
      <c r="K218" s="87"/>
      <c r="L218" s="87"/>
      <c r="M218" s="5"/>
      <c r="N218" s="8"/>
      <c r="O218" s="5"/>
      <c r="P218" s="5"/>
      <c r="Q218" s="5"/>
      <c r="R218" s="9"/>
      <c r="S218" s="5"/>
      <c r="T218" s="5"/>
      <c r="U218" s="5"/>
      <c r="V218" s="61" t="e">
        <f>_xlfn.XMATCH(Tabla4[[#This Row],[EAN CORREGIDO]],'Calcular necesidad'!L:L)</f>
        <v>#N/A</v>
      </c>
      <c r="W218" s="88" t="str">
        <f>TRIM(Tabla4[[#This Row],[CodInternoArti]])</f>
        <v/>
      </c>
    </row>
    <row r="219" spans="1:23" hidden="1" x14ac:dyDescent="0.35">
      <c r="A219" s="5"/>
      <c r="B219" s="83"/>
      <c r="C219" s="84"/>
      <c r="D219" s="84"/>
      <c r="E219" s="84"/>
      <c r="F219" s="84"/>
      <c r="G219" s="85"/>
      <c r="H219" s="86"/>
      <c r="I219" s="87"/>
      <c r="J219" s="87"/>
      <c r="K219" s="87"/>
      <c r="L219" s="87"/>
      <c r="M219" s="5"/>
      <c r="N219" s="8"/>
      <c r="O219" s="5"/>
      <c r="P219" s="5"/>
      <c r="Q219" s="5"/>
      <c r="R219" s="9"/>
      <c r="S219" s="5"/>
      <c r="T219" s="5"/>
      <c r="U219" s="5"/>
      <c r="V219" s="61" t="e">
        <f>_xlfn.XMATCH(Tabla4[[#This Row],[EAN CORREGIDO]],'Calcular necesidad'!L:L)</f>
        <v>#N/A</v>
      </c>
      <c r="W219" s="88" t="str">
        <f>TRIM(Tabla4[[#This Row],[CodInternoArti]])</f>
        <v/>
      </c>
    </row>
    <row r="220" spans="1:23" hidden="1" x14ac:dyDescent="0.35">
      <c r="A220" s="5"/>
      <c r="B220" s="83"/>
      <c r="C220" s="84"/>
      <c r="D220" s="84"/>
      <c r="E220" s="84"/>
      <c r="F220" s="84"/>
      <c r="G220" s="85"/>
      <c r="H220" s="86"/>
      <c r="I220" s="87"/>
      <c r="J220" s="87"/>
      <c r="K220" s="87"/>
      <c r="L220" s="87"/>
      <c r="M220" s="5"/>
      <c r="N220" s="8"/>
      <c r="O220" s="5"/>
      <c r="P220" s="5"/>
      <c r="Q220" s="5"/>
      <c r="R220" s="9"/>
      <c r="S220" s="5"/>
      <c r="T220" s="5"/>
      <c r="U220" s="5"/>
      <c r="V220" s="61" t="e">
        <f>_xlfn.XMATCH(Tabla4[[#This Row],[EAN CORREGIDO]],'Calcular necesidad'!L:L)</f>
        <v>#N/A</v>
      </c>
      <c r="W220" s="88" t="str">
        <f>TRIM(Tabla4[[#This Row],[CodInternoArti]])</f>
        <v/>
      </c>
    </row>
    <row r="221" spans="1:23" hidden="1" x14ac:dyDescent="0.35">
      <c r="A221" s="71"/>
      <c r="B221" s="72"/>
      <c r="C221" s="73"/>
      <c r="D221" s="73"/>
      <c r="E221" s="73"/>
      <c r="F221" s="73"/>
      <c r="G221" s="89"/>
      <c r="H221" s="75"/>
      <c r="I221" s="76"/>
      <c r="J221" s="76"/>
      <c r="K221" s="76"/>
      <c r="L221" s="76"/>
      <c r="M221" s="71"/>
      <c r="N221" s="77"/>
      <c r="O221" s="71"/>
      <c r="P221" s="71"/>
      <c r="Q221" s="71"/>
      <c r="R221" s="78"/>
      <c r="S221" s="71"/>
      <c r="T221" s="71"/>
      <c r="U221" s="71"/>
      <c r="V221" s="61" t="e">
        <f>_xlfn.XMATCH(Tabla4[[#This Row],[EAN CORREGIDO]],'Calcular necesidad'!L:L)</f>
        <v>#N/A</v>
      </c>
      <c r="W221" s="90" t="str">
        <f>TRIM(Tabla4[[#This Row],[CodInternoArti]])</f>
        <v/>
      </c>
    </row>
  </sheetData>
  <conditionalFormatting sqref="A2:A221">
    <cfRule type="containsText" dxfId="10" priority="2" operator="containsText" text="NO SE ENCUENTRA EAN">
      <formula>NOT(ISERROR(SEARCH("NO SE ENCUENTRA EAN",A2)))</formula>
    </cfRule>
  </conditionalFormatting>
  <conditionalFormatting sqref="R1">
    <cfRule type="cellIs" dxfId="9" priority="9" operator="equal">
      <formula>"""COMPRAR"""</formula>
    </cfRule>
  </conditionalFormatting>
  <conditionalFormatting sqref="R2:R221">
    <cfRule type="cellIs" dxfId="8" priority="3" operator="equal">
      <formula>"OK"</formula>
    </cfRule>
    <cfRule type="cellIs" dxfId="7" priority="4" operator="equal">
      <formula>"TRANSFERIR"</formula>
    </cfRule>
    <cfRule type="cellIs" dxfId="6" priority="5" operator="equal">
      <formula>"COMPRAR"</formula>
    </cfRule>
  </conditionalFormatting>
  <conditionalFormatting sqref="T1:T221">
    <cfRule type="cellIs" priority="6" operator="lessThanOrEqual">
      <formula>0</formula>
    </cfRule>
    <cfRule type="cellIs" dxfId="5" priority="7" operator="lessThan">
      <formula>-1</formula>
    </cfRule>
    <cfRule type="cellIs" dxfId="4" priority="8" operator="lessThan">
      <formula>0</formula>
    </cfRule>
  </conditionalFormatting>
  <conditionalFormatting sqref="U2:U221">
    <cfRule type="containsText" dxfId="3" priority="1" operator="containsText" text="ASIGNAR CATEGORIA">
      <formula>NOT(ISERROR(SEARCH("ASIGNAR CATEGORIA",U2)))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4" tint="0.59999389629810485"/>
  </sheetPr>
  <dimension ref="A1:AC259"/>
  <sheetViews>
    <sheetView workbookViewId="0">
      <selection activeCell="D276" sqref="D276"/>
    </sheetView>
  </sheetViews>
  <sheetFormatPr baseColWidth="10" defaultColWidth="10.81640625" defaultRowHeight="14.5" x14ac:dyDescent="0.35"/>
  <cols>
    <col min="1" max="1" width="10.453125" customWidth="1"/>
    <col min="2" max="2" width="9" customWidth="1"/>
    <col min="3" max="3" width="17.54296875" style="12" bestFit="1" customWidth="1"/>
    <col min="4" max="4" width="41.54296875" style="12" bestFit="1" customWidth="1"/>
    <col min="5" max="5" width="29.54296875" style="12" bestFit="1" customWidth="1"/>
    <col min="6" max="6" width="11.54296875" style="12" bestFit="1" customWidth="1"/>
    <col min="7" max="7" width="14" style="12" bestFit="1" customWidth="1"/>
    <col min="8" max="8" width="15.81640625" style="12" bestFit="1" customWidth="1"/>
    <col min="9" max="9" width="19.54296875" style="12" bestFit="1" customWidth="1"/>
    <col min="10" max="10" width="15.81640625" style="12" bestFit="1" customWidth="1"/>
    <col min="11" max="11" width="10.81640625" style="12" customWidth="1"/>
    <col min="12" max="12" width="10.81640625" customWidth="1"/>
    <col min="13" max="13" width="13" hidden="1" customWidth="1"/>
    <col min="14" max="29" width="10.81640625" hidden="1" customWidth="1"/>
  </cols>
  <sheetData>
    <row r="1" spans="1:12" x14ac:dyDescent="0.35">
      <c r="A1" s="37" t="s">
        <v>529</v>
      </c>
      <c r="B1" s="37" t="s">
        <v>530</v>
      </c>
      <c r="C1" s="31" t="s">
        <v>164</v>
      </c>
      <c r="D1" s="31" t="s">
        <v>165</v>
      </c>
      <c r="E1" s="31" t="s">
        <v>2</v>
      </c>
      <c r="F1" s="31" t="s">
        <v>531</v>
      </c>
      <c r="G1" s="32" t="s">
        <v>5</v>
      </c>
      <c r="H1" s="32" t="s">
        <v>6</v>
      </c>
      <c r="I1" s="32" t="s">
        <v>532</v>
      </c>
      <c r="J1" s="32" t="s">
        <v>533</v>
      </c>
      <c r="K1" s="33" t="s">
        <v>480</v>
      </c>
      <c r="L1" s="32" t="s">
        <v>534</v>
      </c>
    </row>
    <row r="2" spans="1:12" hidden="1" x14ac:dyDescent="0.35">
      <c r="A2" s="38" t="str">
        <f>IF(ISNUMBER(_xlfn.XMATCH(Tabla3[[#This Row],[CodInternoArti]],'Tabla Articulos'!B:B)),"OK","NO ESTA")</f>
        <v>OK</v>
      </c>
      <c r="B2" s="38" t="str">
        <f>IF(ISNUMBER(_xlfn.XMATCH('Calcular necesidad'!E:E,'Necesidad por familia'!A:A)),"OK","NO ESTA")</f>
        <v>OK</v>
      </c>
      <c r="C2" s="17" t="s">
        <v>192</v>
      </c>
      <c r="D2" s="1" t="s">
        <v>193</v>
      </c>
      <c r="E2" s="1" t="str">
        <f>_xlfn.XLOOKUP(C2,'Tabla Articulos'!B:B,'Tabla Articulos'!D:D)</f>
        <v>FILM PVC 38</v>
      </c>
      <c r="F2" s="1">
        <f>_xlfn.XLOOKUP(C2,'Tabla Articulos'!B:B,'Tabla Articulos'!E:E)</f>
        <v>1</v>
      </c>
      <c r="G2" s="15">
        <f>SUM(
    SUMIFS(MRP!$H$2:$H$221, MRP!$B$2:$B$221, $C2, MRP!$G$2:$G$221, G$1),
    SUMIFS(MRP!$I$2:$I$221, MRP!$B$2:$B$221, $C2, MRP!$G$2:$G$221, G$1),
    SUMIFS(MRP!$J$2:$J$221, MRP!$B$2:$B$221, $C2,  MRP!$G$2:$G$221, G$1),
    SUMIFS(MRP!$K$2:$K$221, MRP!$B$2:$B$221, $C2,  MRP!$G$2:$G$221, G$1),
    SUMIFS(MRP!$L$2:$L$221, MRP!$B$2:$B$221, $C2,  MRP!$G$2:$G$221, G$1)
)*F2</f>
        <v>0</v>
      </c>
      <c r="H2" s="15">
        <f>SUM(
    SUMIFS(MRP!$H$2:$H$221, MRP!$B$2:$B$221, $C2, MRP!$G$2:$G$221, H$1),
    SUMIFS(MRP!$I$2:$I$221, MRP!$B$2:$B$221, $C2, MRP!$G$2:$G$221, H$1),
    SUMIFS(MRP!$J$2:$J$221, MRP!$B$2:$B$221, $C2,  MRP!$G$2:$G$221, H$1),
    SUMIFS(MRP!$K$2:$K$221, MRP!$B$2:$B$221, $C2,  MRP!$G$2:$G$221, H$1),
    SUMIFS(MRP!$L$2:$L$221, MRP!$B$2:$B$221, $C2,  MRP!$G$2:$G$221, H$1)
)*F2</f>
        <v>229</v>
      </c>
      <c r="I2" s="15">
        <f>SUM(
    SUMIFS(MRP!$H$2:$H$221, MRP!$B$2:$B$221, $C2, MRP!$G$2:$G$221, I$1),
    SUMIFS(MRP!$I$2:$I$221, MRP!$B$2:$B$221, $C2, MRP!$G$2:$G$221, I$1),
    SUMIFS(MRP!$J$2:$J$221, MRP!$B$2:$B$221, $C2,  MRP!$G$2:$G$221, I$1),
    SUMIFS(MRP!$K$2:$K$221, MRP!$B$2:$B$221, $C2,  MRP!$G$2:$G$221, I$1),
    SUMIFS(MRP!$L$2:$L$221, MRP!$B$2:$B$221, $C2,  MRP!$G$2:$G$221, I$1)
)*F2</f>
        <v>0</v>
      </c>
      <c r="J2" s="15">
        <f>SUM(
    SUMIFS(MRP!$H$2:$H$221, MRP!$B$2:$B$221, $C2, MRP!$G$2:$G$221, J$1),
    SUMIFS(MRP!$I$2:$I$221, MRP!$B$2:$B$221, $C2, MRP!$G$2:$G$221, J$1),
    SUMIFS(MRP!$J$2:$J$221, MRP!$B$2:$B$221, $C2,  MRP!$G$2:$G$221, J$1),
    SUMIFS(MRP!$K$2:$K$221, MRP!$B$2:$B$221, $C2,  MRP!$G$2:$G$221, J$1),
    SUMIFS(MRP!$L$2:$L$221, MRP!$B$2:$B$221, $C2,  MRP!$G$2:$G$221, J$1)
)*F2</f>
        <v>0</v>
      </c>
      <c r="K2" s="15">
        <f>SUM(
    SUMIFS(MRP!$H$2:$H$221, MRP!$B$2:$B$221, $C2, MRP!$G$2:$G$221, K$1),
    SUMIFS(MRP!$I$2:$I$221, MRP!$B$2:$B$221, $C2, MRP!$G$2:$G$221, K$1),
    SUMIFS(MRP!$J$2:$J$221, MRP!$B$2:$B$221, $C2,  MRP!$G$2:$G$221, K$1),
    SUMIFS(MRP!$K$2:$K$221, MRP!$B$2:$B$221, $C2,  MRP!$G$2:$G$221, K$1),
    SUMIFS(MRP!$L$2:$L$221, MRP!$B$2:$B$221, $C2,  MRP!$G$2:$G$221, K$1)
)*F2</f>
        <v>0</v>
      </c>
      <c r="L2" s="55" t="str">
        <f>TRIM(Tabla3[[#This Row],[CodInternoArti]])</f>
        <v>13044000A</v>
      </c>
    </row>
    <row r="3" spans="1:12" hidden="1" x14ac:dyDescent="0.35">
      <c r="A3" s="38" t="str">
        <f>IF(ISNUMBER(_xlfn.XMATCH(Tabla3[[#This Row],[CodInternoArti]],'Tabla Articulos'!B:B)),"OK","NO ESTA")</f>
        <v>OK</v>
      </c>
      <c r="B3" s="38" t="str">
        <f>IF(ISNUMBER(_xlfn.XMATCH('Calcular necesidad'!E:E,'Necesidad por familia'!A:A)),"OK","NO ESTA")</f>
        <v>OK</v>
      </c>
      <c r="C3" s="17" t="s">
        <v>237</v>
      </c>
      <c r="D3" s="1" t="s">
        <v>238</v>
      </c>
      <c r="E3" s="1" t="str">
        <f>_xlfn.XLOOKUP(C3,'Tabla Articulos'!B:B,'Tabla Articulos'!D:D)</f>
        <v>SERVILLETA 30X30 S/LOGO</v>
      </c>
      <c r="F3" s="1">
        <f>_xlfn.XLOOKUP(C3,'Tabla Articulos'!B:B,'Tabla Articulos'!E:E)</f>
        <v>1000</v>
      </c>
      <c r="G3" s="15">
        <f>SUM(
    SUMIFS(MRP!$H$2:$H$221, MRP!$B$2:$B$221, $C3, MRP!$G$2:$G$221, G$1),
    SUMIFS(MRP!$I$2:$I$221, MRP!$B$2:$B$221, $C3, MRP!$G$2:$G$221, G$1),
    SUMIFS(MRP!$J$2:$J$221, MRP!$B$2:$B$221, $C3,  MRP!$G$2:$G$221, G$1),
    SUMIFS(MRP!$K$2:$K$221, MRP!$B$2:$B$221, $C3,  MRP!$G$2:$G$221, G$1),
    SUMIFS(MRP!$L$2:$L$221, MRP!$B$2:$B$221, $C3,  MRP!$G$2:$G$221, G$1)
)*F3</f>
        <v>0</v>
      </c>
      <c r="H3" s="15">
        <f>SUM(
    SUMIFS(MRP!$H$2:$H$221, MRP!$B$2:$B$221, $C3, MRP!$G$2:$G$221, H$1),
    SUMIFS(MRP!$I$2:$I$221, MRP!$B$2:$B$221, $C3, MRP!$G$2:$G$221, H$1),
    SUMIFS(MRP!$J$2:$J$221, MRP!$B$2:$B$221, $C3,  MRP!$G$2:$G$221, H$1),
    SUMIFS(MRP!$K$2:$K$221, MRP!$B$2:$B$221, $C3,  MRP!$G$2:$G$221, H$1),
    SUMIFS(MRP!$L$2:$L$221, MRP!$B$2:$B$221, $C3,  MRP!$G$2:$G$221, H$1)
)*F3</f>
        <v>440000</v>
      </c>
      <c r="I3" s="15">
        <f>SUM(
    SUMIFS(MRP!$H$2:$H$221, MRP!$B$2:$B$221, $C3, MRP!$G$2:$G$221, I$1),
    SUMIFS(MRP!$I$2:$I$221, MRP!$B$2:$B$221, $C3, MRP!$G$2:$G$221, I$1),
    SUMIFS(MRP!$J$2:$J$221, MRP!$B$2:$B$221, $C3,  MRP!$G$2:$G$221, I$1),
    SUMIFS(MRP!$K$2:$K$221, MRP!$B$2:$B$221, $C3,  MRP!$G$2:$G$221, I$1),
    SUMIFS(MRP!$L$2:$L$221, MRP!$B$2:$B$221, $C3,  MRP!$G$2:$G$221, I$1)
)*F3</f>
        <v>0</v>
      </c>
      <c r="J3" s="15">
        <f>SUM(
    SUMIFS(MRP!$H$2:$H$221, MRP!$B$2:$B$221, $C3, MRP!$G$2:$G$221, J$1),
    SUMIFS(MRP!$I$2:$I$221, MRP!$B$2:$B$221, $C3, MRP!$G$2:$G$221, J$1),
    SUMIFS(MRP!$J$2:$J$221, MRP!$B$2:$B$221, $C3,  MRP!$G$2:$G$221, J$1),
    SUMIFS(MRP!$K$2:$K$221, MRP!$B$2:$B$221, $C3,  MRP!$G$2:$G$221, J$1),
    SUMIFS(MRP!$L$2:$L$221, MRP!$B$2:$B$221, $C3,  MRP!$G$2:$G$221, J$1)
)*F3</f>
        <v>0</v>
      </c>
      <c r="K3" s="15">
        <f>SUM(
    SUMIFS(MRP!$H$2:$H$221, MRP!$B$2:$B$221, $C3, MRP!$G$2:$G$221, K$1),
    SUMIFS(MRP!$I$2:$I$221, MRP!$B$2:$B$221, $C3, MRP!$G$2:$G$221, K$1),
    SUMIFS(MRP!$J$2:$J$221, MRP!$B$2:$B$221, $C3,  MRP!$G$2:$G$221, K$1),
    SUMIFS(MRP!$K$2:$K$221, MRP!$B$2:$B$221, $C3,  MRP!$G$2:$G$221, K$1),
    SUMIFS(MRP!$L$2:$L$221, MRP!$B$2:$B$221, $C3,  MRP!$G$2:$G$221, K$1)
)*F3</f>
        <v>0</v>
      </c>
      <c r="L3" s="55" t="str">
        <f>TRIM(Tabla3[[#This Row],[CodInternoArti]])</f>
        <v>14047000A</v>
      </c>
    </row>
    <row r="4" spans="1:12" hidden="1" x14ac:dyDescent="0.35">
      <c r="A4" s="38" t="str">
        <f>IF(ISNUMBER(_xlfn.XMATCH(Tabla3[[#This Row],[CodInternoArti]],'Tabla Articulos'!B:B)),"OK","NO ESTA")</f>
        <v>OK</v>
      </c>
      <c r="B4" s="38" t="str">
        <f>IF(ISNUMBER(_xlfn.XMATCH('Calcular necesidad'!E:E,'Necesidad por familia'!A:A)),"OK","NO ESTA")</f>
        <v>OK</v>
      </c>
      <c r="C4" s="17" t="s">
        <v>208</v>
      </c>
      <c r="D4" s="1" t="s">
        <v>209</v>
      </c>
      <c r="E4" s="1" t="str">
        <f>_xlfn.XLOOKUP(C4,'Tabla Articulos'!B:B,'Tabla Articulos'!D:D)</f>
        <v>AGITADOR</v>
      </c>
      <c r="F4" s="1">
        <f>_xlfn.XLOOKUP(C4,'Tabla Articulos'!B:B,'Tabla Articulos'!E:E)</f>
        <v>1000</v>
      </c>
      <c r="G4" s="15">
        <f>SUM(
    SUMIFS(MRP!$H$2:$H$221, MRP!$B$2:$B$221, $C4, MRP!$G$2:$G$221, G$1),
    SUMIFS(MRP!$I$2:$I$221, MRP!$B$2:$B$221, $C4, MRP!$G$2:$G$221, G$1),
    SUMIFS(MRP!$J$2:$J$221, MRP!$B$2:$B$221, $C4,  MRP!$G$2:$G$221, G$1),
    SUMIFS(MRP!$K$2:$K$221, MRP!$B$2:$B$221, $C4,  MRP!$G$2:$G$221, G$1),
    SUMIFS(MRP!$L$2:$L$221, MRP!$B$2:$B$221, $C4,  MRP!$G$2:$G$221, G$1)
)*F4</f>
        <v>0</v>
      </c>
      <c r="H4" s="15">
        <f>SUM(
    SUMIFS(MRP!$H$2:$H$221, MRP!$B$2:$B$221, $C4, MRP!$G$2:$G$221, H$1),
    SUMIFS(MRP!$I$2:$I$221, MRP!$B$2:$B$221, $C4, MRP!$G$2:$G$221, H$1),
    SUMIFS(MRP!$J$2:$J$221, MRP!$B$2:$B$221, $C4,  MRP!$G$2:$G$221, H$1),
    SUMIFS(MRP!$K$2:$K$221, MRP!$B$2:$B$221, $C4,  MRP!$G$2:$G$221, H$1),
    SUMIFS(MRP!$L$2:$L$221, MRP!$B$2:$B$221, $C4,  MRP!$G$2:$G$221, H$1)
)*F4</f>
        <v>53000</v>
      </c>
      <c r="I4" s="15">
        <f>SUM(
    SUMIFS(MRP!$H$2:$H$221, MRP!$B$2:$B$221, $C4, MRP!$G$2:$G$221, I$1),
    SUMIFS(MRP!$I$2:$I$221, MRP!$B$2:$B$221, $C4, MRP!$G$2:$G$221, I$1),
    SUMIFS(MRP!$J$2:$J$221, MRP!$B$2:$B$221, $C4,  MRP!$G$2:$G$221, I$1),
    SUMIFS(MRP!$K$2:$K$221, MRP!$B$2:$B$221, $C4,  MRP!$G$2:$G$221, I$1),
    SUMIFS(MRP!$L$2:$L$221, MRP!$B$2:$B$221, $C4,  MRP!$G$2:$G$221, I$1)
)*F4</f>
        <v>0</v>
      </c>
      <c r="J4" s="15">
        <f>SUM(
    SUMIFS(MRP!$H$2:$H$221, MRP!$B$2:$B$221, $C4, MRP!$G$2:$G$221, J$1),
    SUMIFS(MRP!$I$2:$I$221, MRP!$B$2:$B$221, $C4, MRP!$G$2:$G$221, J$1),
    SUMIFS(MRP!$J$2:$J$221, MRP!$B$2:$B$221, $C4,  MRP!$G$2:$G$221, J$1),
    SUMIFS(MRP!$K$2:$K$221, MRP!$B$2:$B$221, $C4,  MRP!$G$2:$G$221, J$1),
    SUMIFS(MRP!$L$2:$L$221, MRP!$B$2:$B$221, $C4,  MRP!$G$2:$G$221, J$1)
)*F4</f>
        <v>0</v>
      </c>
      <c r="K4" s="15">
        <f>SUM(
    SUMIFS(MRP!$H$2:$H$221, MRP!$B$2:$B$221, $C4, MRP!$G$2:$G$221, K$1),
    SUMIFS(MRP!$I$2:$I$221, MRP!$B$2:$B$221, $C4, MRP!$G$2:$G$221, K$1),
    SUMIFS(MRP!$J$2:$J$221, MRP!$B$2:$B$221, $C4,  MRP!$G$2:$G$221, K$1),
    SUMIFS(MRP!$K$2:$K$221, MRP!$B$2:$B$221, $C4,  MRP!$G$2:$G$221, K$1),
    SUMIFS(MRP!$L$2:$L$221, MRP!$B$2:$B$221, $C4,  MRP!$G$2:$G$221, K$1)
)*F4</f>
        <v>0</v>
      </c>
      <c r="L4" s="55" t="str">
        <f>TRIM(Tabla3[[#This Row],[CodInternoArti]])</f>
        <v>13069000A</v>
      </c>
    </row>
    <row r="5" spans="1:12" hidden="1" x14ac:dyDescent="0.35">
      <c r="A5" s="38" t="str">
        <f>IF(ISNUMBER(_xlfn.XMATCH(Tabla3[[#This Row],[CodInternoArti]],'Tabla Articulos'!B:B)),"OK","NO ESTA")</f>
        <v>OK</v>
      </c>
      <c r="B5" s="38" t="str">
        <f>IF(ISNUMBER(_xlfn.XMATCH('Calcular necesidad'!E:E,'Necesidad por familia'!A:A)),"OK","NO ESTA")</f>
        <v>OK</v>
      </c>
      <c r="C5" s="17" t="s">
        <v>186</v>
      </c>
      <c r="D5" s="1" t="s">
        <v>187</v>
      </c>
      <c r="E5" s="1" t="str">
        <f>_xlfn.XLOOKUP(C5,'Tabla Articulos'!B:B,'Tabla Articulos'!D:D)</f>
        <v>ARRANQUE 60X90</v>
      </c>
      <c r="F5" s="1">
        <f>_xlfn.XLOOKUP(C5,'Tabla Articulos'!B:B,'Tabla Articulos'!E:E)</f>
        <v>1</v>
      </c>
      <c r="G5" s="15">
        <f>SUM(
    SUMIFS(MRP!$H$2:$H$221, MRP!$B$2:$B$221, $C5, MRP!$G$2:$G$221, G$1),
    SUMIFS(MRP!$I$2:$I$221, MRP!$B$2:$B$221, $C5, MRP!$G$2:$G$221, G$1),
    SUMIFS(MRP!$J$2:$J$221, MRP!$B$2:$B$221, $C5,  MRP!$G$2:$G$221, G$1),
    SUMIFS(MRP!$K$2:$K$221, MRP!$B$2:$B$221, $C5,  MRP!$G$2:$G$221, G$1),
    SUMIFS(MRP!$L$2:$L$221, MRP!$B$2:$B$221, $C5,  MRP!$G$2:$G$221, G$1)
)*F5</f>
        <v>0</v>
      </c>
      <c r="H5" s="15">
        <f>SUM(
    SUMIFS(MRP!$H$2:$H$221, MRP!$B$2:$B$221, $C5, MRP!$G$2:$G$221, H$1),
    SUMIFS(MRP!$I$2:$I$221, MRP!$B$2:$B$221, $C5, MRP!$G$2:$G$221, H$1),
    SUMIFS(MRP!$J$2:$J$221, MRP!$B$2:$B$221, $C5,  MRP!$G$2:$G$221, H$1),
    SUMIFS(MRP!$K$2:$K$221, MRP!$B$2:$B$221, $C5,  MRP!$G$2:$G$221, H$1),
    SUMIFS(MRP!$L$2:$L$221, MRP!$B$2:$B$221, $C5,  MRP!$G$2:$G$221, H$1)
)*F5</f>
        <v>77</v>
      </c>
      <c r="I5" s="15">
        <f>SUM(
    SUMIFS(MRP!$H$2:$H$221, MRP!$B$2:$B$221, $C5, MRP!$G$2:$G$221, I$1),
    SUMIFS(MRP!$I$2:$I$221, MRP!$B$2:$B$221, $C5, MRP!$G$2:$G$221, I$1),
    SUMIFS(MRP!$J$2:$J$221, MRP!$B$2:$B$221, $C5,  MRP!$G$2:$G$221, I$1),
    SUMIFS(MRP!$K$2:$K$221, MRP!$B$2:$B$221, $C5,  MRP!$G$2:$G$221, I$1),
    SUMIFS(MRP!$L$2:$L$221, MRP!$B$2:$B$221, $C5,  MRP!$G$2:$G$221, I$1)
)*F5</f>
        <v>0</v>
      </c>
      <c r="J5" s="15">
        <f>SUM(
    SUMIFS(MRP!$H$2:$H$221, MRP!$B$2:$B$221, $C5, MRP!$G$2:$G$221, J$1),
    SUMIFS(MRP!$I$2:$I$221, MRP!$B$2:$B$221, $C5, MRP!$G$2:$G$221, J$1),
    SUMIFS(MRP!$J$2:$J$221, MRP!$B$2:$B$221, $C5,  MRP!$G$2:$G$221, J$1),
    SUMIFS(MRP!$K$2:$K$221, MRP!$B$2:$B$221, $C5,  MRP!$G$2:$G$221, J$1),
    SUMIFS(MRP!$L$2:$L$221, MRP!$B$2:$B$221, $C5,  MRP!$G$2:$G$221, J$1)
)*F5</f>
        <v>0</v>
      </c>
      <c r="K5" s="15">
        <f>SUM(
    SUMIFS(MRP!$H$2:$H$221, MRP!$B$2:$B$221, $C5, MRP!$G$2:$G$221, K$1),
    SUMIFS(MRP!$I$2:$I$221, MRP!$B$2:$B$221, $C5, MRP!$G$2:$G$221, K$1),
    SUMIFS(MRP!$J$2:$J$221, MRP!$B$2:$B$221, $C5,  MRP!$G$2:$G$221, K$1),
    SUMIFS(MRP!$K$2:$K$221, MRP!$B$2:$B$221, $C5,  MRP!$G$2:$G$221, K$1),
    SUMIFS(MRP!$L$2:$L$221, MRP!$B$2:$B$221, $C5,  MRP!$G$2:$G$221, K$1)
)*F5</f>
        <v>0</v>
      </c>
      <c r="L5" s="55" t="str">
        <f>TRIM(Tabla3[[#This Row],[CodInternoArti]])</f>
        <v>16204006A</v>
      </c>
    </row>
    <row r="6" spans="1:12" hidden="1" x14ac:dyDescent="0.35">
      <c r="A6" s="38" t="str">
        <f>IF(ISNUMBER(_xlfn.XMATCH(Tabla3[[#This Row],[CodInternoArti]],'Tabla Articulos'!B:B)),"OK","NO ESTA")</f>
        <v>OK</v>
      </c>
      <c r="B6" s="38" t="str">
        <f>IF(ISNUMBER(_xlfn.XMATCH('Calcular necesidad'!E:E,'Necesidad por familia'!A:A)),"OK","NO ESTA")</f>
        <v>OK</v>
      </c>
      <c r="C6" s="17" t="s">
        <v>219</v>
      </c>
      <c r="D6" s="1" t="s">
        <v>220</v>
      </c>
      <c r="E6" s="1" t="str">
        <f>_xlfn.XLOOKUP(C6,'Tabla Articulos'!B:B,'Tabla Articulos'!D:D)</f>
        <v>ARRANQUE 40X60</v>
      </c>
      <c r="F6" s="1">
        <f>_xlfn.XLOOKUP(C6,'Tabla Articulos'!B:B,'Tabla Articulos'!E:E)</f>
        <v>1</v>
      </c>
      <c r="G6" s="15">
        <f>SUM(
    SUMIFS(MRP!$H$2:$H$221, MRP!$B$2:$B$221, $C6, MRP!$G$2:$G$221, G$1),
    SUMIFS(MRP!$I$2:$I$221, MRP!$B$2:$B$221, $C6, MRP!$G$2:$G$221, G$1),
    SUMIFS(MRP!$J$2:$J$221, MRP!$B$2:$B$221, $C6,  MRP!$G$2:$G$221, G$1),
    SUMIFS(MRP!$K$2:$K$221, MRP!$B$2:$B$221, $C6,  MRP!$G$2:$G$221, G$1),
    SUMIFS(MRP!$L$2:$L$221, MRP!$B$2:$B$221, $C6,  MRP!$G$2:$G$221, G$1)
)*F6</f>
        <v>0</v>
      </c>
      <c r="H6" s="15">
        <f>SUM(
    SUMIFS(MRP!$H$2:$H$221, MRP!$B$2:$B$221, $C6, MRP!$G$2:$G$221, H$1),
    SUMIFS(MRP!$I$2:$I$221, MRP!$B$2:$B$221, $C6, MRP!$G$2:$G$221, H$1),
    SUMIFS(MRP!$J$2:$J$221, MRP!$B$2:$B$221, $C6,  MRP!$G$2:$G$221, H$1),
    SUMIFS(MRP!$K$2:$K$221, MRP!$B$2:$B$221, $C6,  MRP!$G$2:$G$221, H$1),
    SUMIFS(MRP!$L$2:$L$221, MRP!$B$2:$B$221, $C6,  MRP!$G$2:$G$221, H$1)
)*F6</f>
        <v>30</v>
      </c>
      <c r="I6" s="15">
        <f>SUM(
    SUMIFS(MRP!$H$2:$H$221, MRP!$B$2:$B$221, $C6, MRP!$G$2:$G$221, I$1),
    SUMIFS(MRP!$I$2:$I$221, MRP!$B$2:$B$221, $C6, MRP!$G$2:$G$221, I$1),
    SUMIFS(MRP!$J$2:$J$221, MRP!$B$2:$B$221, $C6,  MRP!$G$2:$G$221, I$1),
    SUMIFS(MRP!$K$2:$K$221, MRP!$B$2:$B$221, $C6,  MRP!$G$2:$G$221, I$1),
    SUMIFS(MRP!$L$2:$L$221, MRP!$B$2:$B$221, $C6,  MRP!$G$2:$G$221, I$1)
)*F6</f>
        <v>0</v>
      </c>
      <c r="J6" s="15">
        <f>SUM(
    SUMIFS(MRP!$H$2:$H$221, MRP!$B$2:$B$221, $C6, MRP!$G$2:$G$221, J$1),
    SUMIFS(MRP!$I$2:$I$221, MRP!$B$2:$B$221, $C6, MRP!$G$2:$G$221, J$1),
    SUMIFS(MRP!$J$2:$J$221, MRP!$B$2:$B$221, $C6,  MRP!$G$2:$G$221, J$1),
    SUMIFS(MRP!$K$2:$K$221, MRP!$B$2:$B$221, $C6,  MRP!$G$2:$G$221, J$1),
    SUMIFS(MRP!$L$2:$L$221, MRP!$B$2:$B$221, $C6,  MRP!$G$2:$G$221, J$1)
)*F6</f>
        <v>0</v>
      </c>
      <c r="K6" s="15">
        <f>SUM(
    SUMIFS(MRP!$H$2:$H$221, MRP!$B$2:$B$221, $C6, MRP!$G$2:$G$221, K$1),
    SUMIFS(MRP!$I$2:$I$221, MRP!$B$2:$B$221, $C6, MRP!$G$2:$G$221, K$1),
    SUMIFS(MRP!$J$2:$J$221, MRP!$B$2:$B$221, $C6,  MRP!$G$2:$G$221, K$1),
    SUMIFS(MRP!$K$2:$K$221, MRP!$B$2:$B$221, $C6,  MRP!$G$2:$G$221, K$1),
    SUMIFS(MRP!$L$2:$L$221, MRP!$B$2:$B$221, $C6,  MRP!$G$2:$G$221, K$1)
)*F6</f>
        <v>0</v>
      </c>
      <c r="L6" s="55" t="str">
        <f>TRIM(Tabla3[[#This Row],[CodInternoArti]])</f>
        <v>16204004A</v>
      </c>
    </row>
    <row r="7" spans="1:12" hidden="1" x14ac:dyDescent="0.35">
      <c r="A7" s="38" t="str">
        <f>IF(ISNUMBER(_xlfn.XMATCH(Tabla3[[#This Row],[CodInternoArti]],'Tabla Articulos'!B:B)),"OK","NO ESTA")</f>
        <v>OK</v>
      </c>
      <c r="B7" s="38" t="str">
        <f>IF(ISNUMBER(_xlfn.XMATCH('Calcular necesidad'!E:E,'Necesidad por familia'!A:A)),"OK","NO ESTA")</f>
        <v>OK</v>
      </c>
      <c r="C7" s="17" t="s">
        <v>202</v>
      </c>
      <c r="D7" s="1" t="s">
        <v>203</v>
      </c>
      <c r="E7" s="1" t="str">
        <f>_xlfn.XLOOKUP(C7,'Tabla Articulos'!B:B,'Tabla Articulos'!D:D)</f>
        <v>ARRANQUE 20X30</v>
      </c>
      <c r="F7" s="1">
        <f>_xlfn.XLOOKUP(C7,'Tabla Articulos'!B:B,'Tabla Articulos'!E:E)</f>
        <v>1</v>
      </c>
      <c r="G7" s="15">
        <f>SUM(
    SUMIFS(MRP!$H$2:$H$221, MRP!$B$2:$B$221, $C7, MRP!$G$2:$G$221, G$1),
    SUMIFS(MRP!$I$2:$I$221, MRP!$B$2:$B$221, $C7, MRP!$G$2:$G$221, G$1),
    SUMIFS(MRP!$J$2:$J$221, MRP!$B$2:$B$221, $C7,  MRP!$G$2:$G$221, G$1),
    SUMIFS(MRP!$K$2:$K$221, MRP!$B$2:$B$221, $C7,  MRP!$G$2:$G$221, G$1),
    SUMIFS(MRP!$L$2:$L$221, MRP!$B$2:$B$221, $C7,  MRP!$G$2:$G$221, G$1)
)*F7</f>
        <v>0</v>
      </c>
      <c r="H7" s="15">
        <f>SUM(
    SUMIFS(MRP!$H$2:$H$221, MRP!$B$2:$B$221, $C7, MRP!$G$2:$G$221, H$1),
    SUMIFS(MRP!$I$2:$I$221, MRP!$B$2:$B$221, $C7, MRP!$G$2:$G$221, H$1),
    SUMIFS(MRP!$J$2:$J$221, MRP!$B$2:$B$221, $C7,  MRP!$G$2:$G$221, H$1),
    SUMIFS(MRP!$K$2:$K$221, MRP!$B$2:$B$221, $C7,  MRP!$G$2:$G$221, H$1),
    SUMIFS(MRP!$L$2:$L$221, MRP!$B$2:$B$221, $C7,  MRP!$G$2:$G$221, H$1)
)*F7</f>
        <v>102</v>
      </c>
      <c r="I7" s="15">
        <f>SUM(
    SUMIFS(MRP!$H$2:$H$221, MRP!$B$2:$B$221, $C7, MRP!$G$2:$G$221, I$1),
    SUMIFS(MRP!$I$2:$I$221, MRP!$B$2:$B$221, $C7, MRP!$G$2:$G$221, I$1),
    SUMIFS(MRP!$J$2:$J$221, MRP!$B$2:$B$221, $C7,  MRP!$G$2:$G$221, I$1),
    SUMIFS(MRP!$K$2:$K$221, MRP!$B$2:$B$221, $C7,  MRP!$G$2:$G$221, I$1),
    SUMIFS(MRP!$L$2:$L$221, MRP!$B$2:$B$221, $C7,  MRP!$G$2:$G$221, I$1)
)*F7</f>
        <v>0</v>
      </c>
      <c r="J7" s="15">
        <f>SUM(
    SUMIFS(MRP!$H$2:$H$221, MRP!$B$2:$B$221, $C7, MRP!$G$2:$G$221, J$1),
    SUMIFS(MRP!$I$2:$I$221, MRP!$B$2:$B$221, $C7, MRP!$G$2:$G$221, J$1),
    SUMIFS(MRP!$J$2:$J$221, MRP!$B$2:$B$221, $C7,  MRP!$G$2:$G$221, J$1),
    SUMIFS(MRP!$K$2:$K$221, MRP!$B$2:$B$221, $C7,  MRP!$G$2:$G$221, J$1),
    SUMIFS(MRP!$L$2:$L$221, MRP!$B$2:$B$221, $C7,  MRP!$G$2:$G$221, J$1)
)*F7</f>
        <v>0</v>
      </c>
      <c r="K7" s="15">
        <f>SUM(
    SUMIFS(MRP!$H$2:$H$221, MRP!$B$2:$B$221, $C7, MRP!$G$2:$G$221, K$1),
    SUMIFS(MRP!$I$2:$I$221, MRP!$B$2:$B$221, $C7, MRP!$G$2:$G$221, K$1),
    SUMIFS(MRP!$J$2:$J$221, MRP!$B$2:$B$221, $C7,  MRP!$G$2:$G$221, K$1),
    SUMIFS(MRP!$K$2:$K$221, MRP!$B$2:$B$221, $C7,  MRP!$G$2:$G$221, K$1),
    SUMIFS(MRP!$L$2:$L$221, MRP!$B$2:$B$221, $C7,  MRP!$G$2:$G$221, K$1)
)*F7</f>
        <v>0</v>
      </c>
      <c r="L7" s="55" t="str">
        <f>TRIM(Tabla3[[#This Row],[CodInternoArti]])</f>
        <v>16208001A</v>
      </c>
    </row>
    <row r="8" spans="1:12" hidden="1" x14ac:dyDescent="0.35">
      <c r="A8" s="38" t="str">
        <f>IF(ISNUMBER(_xlfn.XMATCH(Tabla3[[#This Row],[CodInternoArti]],'Tabla Articulos'!B:B)),"OK","NO ESTA")</f>
        <v>OK</v>
      </c>
      <c r="B8" s="38" t="str">
        <f>IF(ISNUMBER(_xlfn.XMATCH('Calcular necesidad'!E:E,'Necesidad por familia'!A:A)),"OK","NO ESTA")</f>
        <v>OK</v>
      </c>
      <c r="C8" s="17" t="s">
        <v>204</v>
      </c>
      <c r="D8" s="1" t="s">
        <v>205</v>
      </c>
      <c r="E8" s="1" t="str">
        <f>_xlfn.XLOOKUP(C8,'Tabla Articulos'!B:B,'Tabla Articulos'!D:D)</f>
        <v>GUANTE LATEX M</v>
      </c>
      <c r="F8" s="1">
        <f>_xlfn.XLOOKUP(C8,'Tabla Articulos'!B:B,'Tabla Articulos'!E:E)</f>
        <v>100</v>
      </c>
      <c r="G8" s="15">
        <f>SUM(
    SUMIFS(MRP!$H$2:$H$221, MRP!$B$2:$B$221, $C8, MRP!$G$2:$G$221, G$1),
    SUMIFS(MRP!$I$2:$I$221, MRP!$B$2:$B$221, $C8, MRP!$G$2:$G$221, G$1),
    SUMIFS(MRP!$J$2:$J$221, MRP!$B$2:$B$221, $C8,  MRP!$G$2:$G$221, G$1),
    SUMIFS(MRP!$K$2:$K$221, MRP!$B$2:$B$221, $C8,  MRP!$G$2:$G$221, G$1),
    SUMIFS(MRP!$L$2:$L$221, MRP!$B$2:$B$221, $C8,  MRP!$G$2:$G$221, G$1)
)*F8</f>
        <v>0</v>
      </c>
      <c r="H8" s="15">
        <f>SUM(
    SUMIFS(MRP!$H$2:$H$221, MRP!$B$2:$B$221, $C8, MRP!$G$2:$G$221, H$1),
    SUMIFS(MRP!$I$2:$I$221, MRP!$B$2:$B$221, $C8, MRP!$G$2:$G$221, H$1),
    SUMIFS(MRP!$J$2:$J$221, MRP!$B$2:$B$221, $C8,  MRP!$G$2:$G$221, H$1),
    SUMIFS(MRP!$K$2:$K$221, MRP!$B$2:$B$221, $C8,  MRP!$G$2:$G$221, H$1),
    SUMIFS(MRP!$L$2:$L$221, MRP!$B$2:$B$221, $C8,  MRP!$G$2:$G$221, H$1)
)*F8</f>
        <v>41400</v>
      </c>
      <c r="I8" s="15">
        <f>SUM(
    SUMIFS(MRP!$H$2:$H$221, MRP!$B$2:$B$221, $C8, MRP!$G$2:$G$221, I$1),
    SUMIFS(MRP!$I$2:$I$221, MRP!$B$2:$B$221, $C8, MRP!$G$2:$G$221, I$1),
    SUMIFS(MRP!$J$2:$J$221, MRP!$B$2:$B$221, $C8,  MRP!$G$2:$G$221, I$1),
    SUMIFS(MRP!$K$2:$K$221, MRP!$B$2:$B$221, $C8,  MRP!$G$2:$G$221, I$1),
    SUMIFS(MRP!$L$2:$L$221, MRP!$B$2:$B$221, $C8,  MRP!$G$2:$G$221, I$1)
)*F8</f>
        <v>0</v>
      </c>
      <c r="J8" s="15">
        <f>SUM(
    SUMIFS(MRP!$H$2:$H$221, MRP!$B$2:$B$221, $C8, MRP!$G$2:$G$221, J$1),
    SUMIFS(MRP!$I$2:$I$221, MRP!$B$2:$B$221, $C8, MRP!$G$2:$G$221, J$1),
    SUMIFS(MRP!$J$2:$J$221, MRP!$B$2:$B$221, $C8,  MRP!$G$2:$G$221, J$1),
    SUMIFS(MRP!$K$2:$K$221, MRP!$B$2:$B$221, $C8,  MRP!$G$2:$G$221, J$1),
    SUMIFS(MRP!$L$2:$L$221, MRP!$B$2:$B$221, $C8,  MRP!$G$2:$G$221, J$1)
)*F8</f>
        <v>0</v>
      </c>
      <c r="K8" s="15">
        <f>SUM(
    SUMIFS(MRP!$H$2:$H$221, MRP!$B$2:$B$221, $C8, MRP!$G$2:$G$221, K$1),
    SUMIFS(MRP!$I$2:$I$221, MRP!$B$2:$B$221, $C8, MRP!$G$2:$G$221, K$1),
    SUMIFS(MRP!$J$2:$J$221, MRP!$B$2:$B$221, $C8,  MRP!$G$2:$G$221, K$1),
    SUMIFS(MRP!$K$2:$K$221, MRP!$B$2:$B$221, $C8,  MRP!$G$2:$G$221, K$1),
    SUMIFS(MRP!$L$2:$L$221, MRP!$B$2:$B$221, $C8,  MRP!$G$2:$G$221, K$1)
)*F8</f>
        <v>0</v>
      </c>
      <c r="L8" s="55" t="str">
        <f>TRIM(Tabla3[[#This Row],[CodInternoArti]])</f>
        <v>17030001A</v>
      </c>
    </row>
    <row r="9" spans="1:12" hidden="1" x14ac:dyDescent="0.35">
      <c r="A9" s="38" t="str">
        <f>IF(ISNUMBER(_xlfn.XMATCH(Tabla3[[#This Row],[CodInternoArti]],'Tabla Articulos'!B:B)),"OK","NO ESTA")</f>
        <v>OK</v>
      </c>
      <c r="B9" s="38" t="str">
        <f>IF(ISNUMBER(_xlfn.XMATCH('Calcular necesidad'!E:E,'Necesidad por familia'!A:A)),"OK","NO ESTA")</f>
        <v>OK</v>
      </c>
      <c r="C9" s="17" t="s">
        <v>200</v>
      </c>
      <c r="D9" s="1" t="s">
        <v>201</v>
      </c>
      <c r="E9" s="1" t="str">
        <f>_xlfn.XLOOKUP(C9,'Tabla Articulos'!B:B,'Tabla Articulos'!D:D)</f>
        <v>ARRANQUE 40X60</v>
      </c>
      <c r="F9" s="1">
        <f>_xlfn.XLOOKUP(C9,'Tabla Articulos'!B:B,'Tabla Articulos'!E:E)</f>
        <v>1</v>
      </c>
      <c r="G9" s="15">
        <f>SUM(
    SUMIFS(MRP!$H$2:$H$221, MRP!$B$2:$B$221, $C9, MRP!$G$2:$G$221, G$1),
    SUMIFS(MRP!$I$2:$I$221, MRP!$B$2:$B$221, $C9, MRP!$G$2:$G$221, G$1),
    SUMIFS(MRP!$J$2:$J$221, MRP!$B$2:$B$221, $C9,  MRP!$G$2:$G$221, G$1),
    SUMIFS(MRP!$K$2:$K$221, MRP!$B$2:$B$221, $C9,  MRP!$G$2:$G$221, G$1),
    SUMIFS(MRP!$L$2:$L$221, MRP!$B$2:$B$221, $C9,  MRP!$G$2:$G$221, G$1)
)*F9</f>
        <v>0</v>
      </c>
      <c r="H9" s="15">
        <f>SUM(
    SUMIFS(MRP!$H$2:$H$221, MRP!$B$2:$B$221, $C9, MRP!$G$2:$G$221, H$1),
    SUMIFS(MRP!$I$2:$I$221, MRP!$B$2:$B$221, $C9, MRP!$G$2:$G$221, H$1),
    SUMIFS(MRP!$J$2:$J$221, MRP!$B$2:$B$221, $C9,  MRP!$G$2:$G$221, H$1),
    SUMIFS(MRP!$K$2:$K$221, MRP!$B$2:$B$221, $C9,  MRP!$G$2:$G$221, H$1),
    SUMIFS(MRP!$L$2:$L$221, MRP!$B$2:$B$221, $C9,  MRP!$G$2:$G$221, H$1)
)*F9</f>
        <v>83</v>
      </c>
      <c r="I9" s="15">
        <f>SUM(
    SUMIFS(MRP!$H$2:$H$221, MRP!$B$2:$B$221, $C9, MRP!$G$2:$G$221, I$1),
    SUMIFS(MRP!$I$2:$I$221, MRP!$B$2:$B$221, $C9, MRP!$G$2:$G$221, I$1),
    SUMIFS(MRP!$J$2:$J$221, MRP!$B$2:$B$221, $C9,  MRP!$G$2:$G$221, I$1),
    SUMIFS(MRP!$K$2:$K$221, MRP!$B$2:$B$221, $C9,  MRP!$G$2:$G$221, I$1),
    SUMIFS(MRP!$L$2:$L$221, MRP!$B$2:$B$221, $C9,  MRP!$G$2:$G$221, I$1)
)*F9</f>
        <v>0</v>
      </c>
      <c r="J9" s="15">
        <f>SUM(
    SUMIFS(MRP!$H$2:$H$221, MRP!$B$2:$B$221, $C9, MRP!$G$2:$G$221, J$1),
    SUMIFS(MRP!$I$2:$I$221, MRP!$B$2:$B$221, $C9, MRP!$G$2:$G$221, J$1),
    SUMIFS(MRP!$J$2:$J$221, MRP!$B$2:$B$221, $C9,  MRP!$G$2:$G$221, J$1),
    SUMIFS(MRP!$K$2:$K$221, MRP!$B$2:$B$221, $C9,  MRP!$G$2:$G$221, J$1),
    SUMIFS(MRP!$L$2:$L$221, MRP!$B$2:$B$221, $C9,  MRP!$G$2:$G$221, J$1)
)*F9</f>
        <v>0</v>
      </c>
      <c r="K9" s="15">
        <f>SUM(
    SUMIFS(MRP!$H$2:$H$221, MRP!$B$2:$B$221, $C9, MRP!$G$2:$G$221, K$1),
    SUMIFS(MRP!$I$2:$I$221, MRP!$B$2:$B$221, $C9, MRP!$G$2:$G$221, K$1),
    SUMIFS(MRP!$J$2:$J$221, MRP!$B$2:$B$221, $C9,  MRP!$G$2:$G$221, K$1),
    SUMIFS(MRP!$K$2:$K$221, MRP!$B$2:$B$221, $C9,  MRP!$G$2:$G$221, K$1),
    SUMIFS(MRP!$L$2:$L$221, MRP!$B$2:$B$221, $C9,  MRP!$G$2:$G$221, K$1)
)*F9</f>
        <v>0</v>
      </c>
      <c r="L9" s="55" t="str">
        <f>TRIM(Tabla3[[#This Row],[CodInternoArti]])</f>
        <v>16204003A</v>
      </c>
    </row>
    <row r="10" spans="1:12" hidden="1" x14ac:dyDescent="0.35">
      <c r="A10" s="38" t="str">
        <f>IF(ISNUMBER(_xlfn.XMATCH(Tabla3[[#This Row],[CodInternoArti]],'Tabla Articulos'!B:B)),"OK","NO ESTA")</f>
        <v>OK</v>
      </c>
      <c r="B10" s="38" t="str">
        <f>IF(ISNUMBER(_xlfn.XMATCH('Calcular necesidad'!E:E,'Necesidad por familia'!A:A)),"OK","NO ESTA")</f>
        <v>OK</v>
      </c>
      <c r="C10" s="17" t="s">
        <v>210</v>
      </c>
      <c r="D10" s="1" t="s">
        <v>211</v>
      </c>
      <c r="E10" s="1" t="str">
        <f>_xlfn.XLOOKUP(C10,'Tabla Articulos'!B:B,'Tabla Articulos'!D:D)</f>
        <v>FOLEX</v>
      </c>
      <c r="F10" s="1">
        <f>_xlfn.XLOOKUP(C10,'Tabla Articulos'!B:B,'Tabla Articulos'!E:E)</f>
        <v>1</v>
      </c>
      <c r="G10" s="15">
        <f>SUM(
    SUMIFS(MRP!$H$2:$H$221, MRP!$B$2:$B$221, $C10, MRP!$G$2:$G$221, G$1),
    SUMIFS(MRP!$I$2:$I$221, MRP!$B$2:$B$221, $C10, MRP!$G$2:$G$221, G$1),
    SUMIFS(MRP!$J$2:$J$221, MRP!$B$2:$B$221, $C10,  MRP!$G$2:$G$221, G$1),
    SUMIFS(MRP!$K$2:$K$221, MRP!$B$2:$B$221, $C10,  MRP!$G$2:$G$221, G$1),
    SUMIFS(MRP!$L$2:$L$221, MRP!$B$2:$B$221, $C10,  MRP!$G$2:$G$221, G$1)
)*F10</f>
        <v>0</v>
      </c>
      <c r="H10" s="15">
        <f>SUM(
    SUMIFS(MRP!$H$2:$H$221, MRP!$B$2:$B$221, $C10, MRP!$G$2:$G$221, H$1),
    SUMIFS(MRP!$I$2:$I$221, MRP!$B$2:$B$221, $C10, MRP!$G$2:$G$221, H$1),
    SUMIFS(MRP!$J$2:$J$221, MRP!$B$2:$B$221, $C10,  MRP!$G$2:$G$221, H$1),
    SUMIFS(MRP!$K$2:$K$221, MRP!$B$2:$B$221, $C10,  MRP!$G$2:$G$221, H$1),
    SUMIFS(MRP!$L$2:$L$221, MRP!$B$2:$B$221, $C10,  MRP!$G$2:$G$221, H$1)
)*F10</f>
        <v>6</v>
      </c>
      <c r="I10" s="15">
        <f>SUM(
    SUMIFS(MRP!$H$2:$H$221, MRP!$B$2:$B$221, $C10, MRP!$G$2:$G$221, I$1),
    SUMIFS(MRP!$I$2:$I$221, MRP!$B$2:$B$221, $C10, MRP!$G$2:$G$221, I$1),
    SUMIFS(MRP!$J$2:$J$221, MRP!$B$2:$B$221, $C10,  MRP!$G$2:$G$221, I$1),
    SUMIFS(MRP!$K$2:$K$221, MRP!$B$2:$B$221, $C10,  MRP!$G$2:$G$221, I$1),
    SUMIFS(MRP!$L$2:$L$221, MRP!$B$2:$B$221, $C10,  MRP!$G$2:$G$221, I$1)
)*F10</f>
        <v>0</v>
      </c>
      <c r="J10" s="15">
        <f>SUM(
    SUMIFS(MRP!$H$2:$H$221, MRP!$B$2:$B$221, $C10, MRP!$G$2:$G$221, J$1),
    SUMIFS(MRP!$I$2:$I$221, MRP!$B$2:$B$221, $C10, MRP!$G$2:$G$221, J$1),
    SUMIFS(MRP!$J$2:$J$221, MRP!$B$2:$B$221, $C10,  MRP!$G$2:$G$221, J$1),
    SUMIFS(MRP!$K$2:$K$221, MRP!$B$2:$B$221, $C10,  MRP!$G$2:$G$221, J$1),
    SUMIFS(MRP!$L$2:$L$221, MRP!$B$2:$B$221, $C10,  MRP!$G$2:$G$221, J$1)
)*F10</f>
        <v>0</v>
      </c>
      <c r="K10" s="15">
        <f>SUM(
    SUMIFS(MRP!$H$2:$H$221, MRP!$B$2:$B$221, $C10, MRP!$G$2:$G$221, K$1),
    SUMIFS(MRP!$I$2:$I$221, MRP!$B$2:$B$221, $C10, MRP!$G$2:$G$221, K$1),
    SUMIFS(MRP!$J$2:$J$221, MRP!$B$2:$B$221, $C10,  MRP!$G$2:$G$221, K$1),
    SUMIFS(MRP!$K$2:$K$221, MRP!$B$2:$B$221, $C10,  MRP!$G$2:$G$221, K$1),
    SUMIFS(MRP!$L$2:$L$221, MRP!$B$2:$B$221, $C10,  MRP!$G$2:$G$221, K$1)
)*F10</f>
        <v>0</v>
      </c>
      <c r="L10" s="55" t="str">
        <f>TRIM(Tabla3[[#This Row],[CodInternoArti]])</f>
        <v>13072000A</v>
      </c>
    </row>
    <row r="11" spans="1:12" hidden="1" x14ac:dyDescent="0.35">
      <c r="A11" s="38" t="str">
        <f>IF(ISNUMBER(_xlfn.XMATCH(Tabla3[[#This Row],[CodInternoArti]],'Tabla Articulos'!B:B)),"OK","NO ESTA")</f>
        <v>OK</v>
      </c>
      <c r="B11" s="38" t="str">
        <f>IF(ISNUMBER(_xlfn.XMATCH('Calcular necesidad'!E:E,'Necesidad por familia'!A:A)),"OK","NO ESTA")</f>
        <v>OK</v>
      </c>
      <c r="C11" s="17" t="s">
        <v>197</v>
      </c>
      <c r="D11" s="1" t="s">
        <v>198</v>
      </c>
      <c r="E11" s="1" t="str">
        <f>_xlfn.XLOOKUP(C11,'Tabla Articulos'!B:B,'Tabla Articulos'!D:D)</f>
        <v>BARBIJO QUIRURGICO</v>
      </c>
      <c r="F11" s="1">
        <f>_xlfn.XLOOKUP(C11,'Tabla Articulos'!B:B,'Tabla Articulos'!E:E)</f>
        <v>25</v>
      </c>
      <c r="G11" s="15">
        <f>SUM(
    SUMIFS(MRP!$H$2:$H$221, MRP!$B$2:$B$221, $C11, MRP!$G$2:$G$221, G$1),
    SUMIFS(MRP!$I$2:$I$221, MRP!$B$2:$B$221, $C11, MRP!$G$2:$G$221, G$1),
    SUMIFS(MRP!$J$2:$J$221, MRP!$B$2:$B$221, $C11,  MRP!$G$2:$G$221, G$1),
    SUMIFS(MRP!$K$2:$K$221, MRP!$B$2:$B$221, $C11,  MRP!$G$2:$G$221, G$1),
    SUMIFS(MRP!$L$2:$L$221, MRP!$B$2:$B$221, $C11,  MRP!$G$2:$G$221, G$1)
)*F11</f>
        <v>0</v>
      </c>
      <c r="H11" s="15">
        <f>SUM(
    SUMIFS(MRP!$H$2:$H$221, MRP!$B$2:$B$221, $C11, MRP!$G$2:$G$221, H$1),
    SUMIFS(MRP!$I$2:$I$221, MRP!$B$2:$B$221, $C11, MRP!$G$2:$G$221, H$1),
    SUMIFS(MRP!$J$2:$J$221, MRP!$B$2:$B$221, $C11,  MRP!$G$2:$G$221, H$1),
    SUMIFS(MRP!$K$2:$K$221, MRP!$B$2:$B$221, $C11,  MRP!$G$2:$G$221, H$1),
    SUMIFS(MRP!$L$2:$L$221, MRP!$B$2:$B$221, $C11,  MRP!$G$2:$G$221, H$1)
)*F11</f>
        <v>1175</v>
      </c>
      <c r="I11" s="15">
        <f>SUM(
    SUMIFS(MRP!$H$2:$H$221, MRP!$B$2:$B$221, $C11, MRP!$G$2:$G$221, I$1),
    SUMIFS(MRP!$I$2:$I$221, MRP!$B$2:$B$221, $C11, MRP!$G$2:$G$221, I$1),
    SUMIFS(MRP!$J$2:$J$221, MRP!$B$2:$B$221, $C11,  MRP!$G$2:$G$221, I$1),
    SUMIFS(MRP!$K$2:$K$221, MRP!$B$2:$B$221, $C11,  MRP!$G$2:$G$221, I$1),
    SUMIFS(MRP!$L$2:$L$221, MRP!$B$2:$B$221, $C11,  MRP!$G$2:$G$221, I$1)
)*F11</f>
        <v>0</v>
      </c>
      <c r="J11" s="15">
        <f>SUM(
    SUMIFS(MRP!$H$2:$H$221, MRP!$B$2:$B$221, $C11, MRP!$G$2:$G$221, J$1),
    SUMIFS(MRP!$I$2:$I$221, MRP!$B$2:$B$221, $C11, MRP!$G$2:$G$221, J$1),
    SUMIFS(MRP!$J$2:$J$221, MRP!$B$2:$B$221, $C11,  MRP!$G$2:$G$221, J$1),
    SUMIFS(MRP!$K$2:$K$221, MRP!$B$2:$B$221, $C11,  MRP!$G$2:$G$221, J$1),
    SUMIFS(MRP!$L$2:$L$221, MRP!$B$2:$B$221, $C11,  MRP!$G$2:$G$221, J$1)
)*F11</f>
        <v>0</v>
      </c>
      <c r="K11" s="15">
        <f>SUM(
    SUMIFS(MRP!$H$2:$H$221, MRP!$B$2:$B$221, $C11, MRP!$G$2:$G$221, K$1),
    SUMIFS(MRP!$I$2:$I$221, MRP!$B$2:$B$221, $C11, MRP!$G$2:$G$221, K$1),
    SUMIFS(MRP!$J$2:$J$221, MRP!$B$2:$B$221, $C11,  MRP!$G$2:$G$221, K$1),
    SUMIFS(MRP!$K$2:$K$221, MRP!$B$2:$B$221, $C11,  MRP!$G$2:$G$221, K$1),
    SUMIFS(MRP!$L$2:$L$221, MRP!$B$2:$B$221, $C11,  MRP!$G$2:$G$221, K$1)
)*F11</f>
        <v>0</v>
      </c>
      <c r="L11" s="55" t="str">
        <f>TRIM(Tabla3[[#This Row],[CodInternoArti]])</f>
        <v>14004000A</v>
      </c>
    </row>
    <row r="12" spans="1:12" hidden="1" x14ac:dyDescent="0.35">
      <c r="A12" s="38" t="str">
        <f>IF(ISNUMBER(_xlfn.XMATCH(Tabla3[[#This Row],[CodInternoArti]],'Tabla Articulos'!B:B)),"OK","NO ESTA")</f>
        <v>OK</v>
      </c>
      <c r="B12" s="38" t="str">
        <f>IF(ISNUMBER(_xlfn.XMATCH('Calcular necesidad'!E:E,'Necesidad por familia'!A:A)),"OK","NO ESTA")</f>
        <v>OK</v>
      </c>
      <c r="C12" s="17" t="s">
        <v>224</v>
      </c>
      <c r="D12" s="1" t="s">
        <v>225</v>
      </c>
      <c r="E12" s="1" t="str">
        <f>_xlfn.XLOOKUP(C12,'Tabla Articulos'!B:B,'Tabla Articulos'!D:D)</f>
        <v>ARRANQUE 20X30</v>
      </c>
      <c r="F12" s="1">
        <f>_xlfn.XLOOKUP(C12,'Tabla Articulos'!B:B,'Tabla Articulos'!E:E)</f>
        <v>1</v>
      </c>
      <c r="G12" s="15">
        <f>SUM(
    SUMIFS(MRP!$H$2:$H$221, MRP!$B$2:$B$221, $C12, MRP!$G$2:$G$221, G$1),
    SUMIFS(MRP!$I$2:$I$221, MRP!$B$2:$B$221, $C12, MRP!$G$2:$G$221, G$1),
    SUMIFS(MRP!$J$2:$J$221, MRP!$B$2:$B$221, $C12,  MRP!$G$2:$G$221, G$1),
    SUMIFS(MRP!$K$2:$K$221, MRP!$B$2:$B$221, $C12,  MRP!$G$2:$G$221, G$1),
    SUMIFS(MRP!$L$2:$L$221, MRP!$B$2:$B$221, $C12,  MRP!$G$2:$G$221, G$1)
)*F12</f>
        <v>0</v>
      </c>
      <c r="H12" s="15">
        <f>SUM(
    SUMIFS(MRP!$H$2:$H$221, MRP!$B$2:$B$221, $C12, MRP!$G$2:$G$221, H$1),
    SUMIFS(MRP!$I$2:$I$221, MRP!$B$2:$B$221, $C12, MRP!$G$2:$G$221, H$1),
    SUMIFS(MRP!$J$2:$J$221, MRP!$B$2:$B$221, $C12,  MRP!$G$2:$G$221, H$1),
    SUMIFS(MRP!$K$2:$K$221, MRP!$B$2:$B$221, $C12,  MRP!$G$2:$G$221, H$1),
    SUMIFS(MRP!$L$2:$L$221, MRP!$B$2:$B$221, $C12,  MRP!$G$2:$G$221, H$1)
)*F12</f>
        <v>75</v>
      </c>
      <c r="I12" s="15">
        <f>SUM(
    SUMIFS(MRP!$H$2:$H$221, MRP!$B$2:$B$221, $C12, MRP!$G$2:$G$221, I$1),
    SUMIFS(MRP!$I$2:$I$221, MRP!$B$2:$B$221, $C12, MRP!$G$2:$G$221, I$1),
    SUMIFS(MRP!$J$2:$J$221, MRP!$B$2:$B$221, $C12,  MRP!$G$2:$G$221, I$1),
    SUMIFS(MRP!$K$2:$K$221, MRP!$B$2:$B$221, $C12,  MRP!$G$2:$G$221, I$1),
    SUMIFS(MRP!$L$2:$L$221, MRP!$B$2:$B$221, $C12,  MRP!$G$2:$G$221, I$1)
)*F12</f>
        <v>0</v>
      </c>
      <c r="J12" s="15">
        <f>SUM(
    SUMIFS(MRP!$H$2:$H$221, MRP!$B$2:$B$221, $C12, MRP!$G$2:$G$221, J$1),
    SUMIFS(MRP!$I$2:$I$221, MRP!$B$2:$B$221, $C12, MRP!$G$2:$G$221, J$1),
    SUMIFS(MRP!$J$2:$J$221, MRP!$B$2:$B$221, $C12,  MRP!$G$2:$G$221, J$1),
    SUMIFS(MRP!$K$2:$K$221, MRP!$B$2:$B$221, $C12,  MRP!$G$2:$G$221, J$1),
    SUMIFS(MRP!$L$2:$L$221, MRP!$B$2:$B$221, $C12,  MRP!$G$2:$G$221, J$1)
)*F12</f>
        <v>0</v>
      </c>
      <c r="K12" s="15">
        <f>SUM(
    SUMIFS(MRP!$H$2:$H$221, MRP!$B$2:$B$221, $C12, MRP!$G$2:$G$221, K$1),
    SUMIFS(MRP!$I$2:$I$221, MRP!$B$2:$B$221, $C12, MRP!$G$2:$G$221, K$1),
    SUMIFS(MRP!$J$2:$J$221, MRP!$B$2:$B$221, $C12,  MRP!$G$2:$G$221, K$1),
    SUMIFS(MRP!$K$2:$K$221, MRP!$B$2:$B$221, $C12,  MRP!$G$2:$G$221, K$1),
    SUMIFS(MRP!$L$2:$L$221, MRP!$B$2:$B$221, $C12,  MRP!$G$2:$G$221, K$1)
)*F12</f>
        <v>0</v>
      </c>
      <c r="L12" s="55" t="str">
        <f>TRIM(Tabla3[[#This Row],[CodInternoArti]])</f>
        <v>16204005A</v>
      </c>
    </row>
    <row r="13" spans="1:12" hidden="1" x14ac:dyDescent="0.35">
      <c r="A13" s="38" t="str">
        <f>IF(ISNUMBER(_xlfn.XMATCH(Tabla3[[#This Row],[CodInternoArti]],'Tabla Articulos'!B:B)),"OK","NO ESTA")</f>
        <v>OK</v>
      </c>
      <c r="B13" s="38" t="str">
        <f>IF(ISNUMBER(_xlfn.XMATCH('Calcular necesidad'!E:E,'Necesidad por familia'!A:A)),"OK","NO ESTA")</f>
        <v>OK</v>
      </c>
      <c r="C13" s="17" t="s">
        <v>311</v>
      </c>
      <c r="D13" s="1" t="s">
        <v>312</v>
      </c>
      <c r="E13" s="1" t="str">
        <f>_xlfn.XLOOKUP(C13,'Tabla Articulos'!B:B,'Tabla Articulos'!D:D)</f>
        <v>ARRANQUE 50X70</v>
      </c>
      <c r="F13" s="1">
        <f>_xlfn.XLOOKUP(C13,'Tabla Articulos'!B:B,'Tabla Articulos'!E:E)</f>
        <v>1</v>
      </c>
      <c r="G13" s="15">
        <f>SUM(
    SUMIFS(MRP!$H$2:$H$221, MRP!$B$2:$B$221, $C13, MRP!$G$2:$G$221, G$1),
    SUMIFS(MRP!$I$2:$I$221, MRP!$B$2:$B$221, $C13, MRP!$G$2:$G$221, G$1),
    SUMIFS(MRP!$J$2:$J$221, MRP!$B$2:$B$221, $C13,  MRP!$G$2:$G$221, G$1),
    SUMIFS(MRP!$K$2:$K$221, MRP!$B$2:$B$221, $C13,  MRP!$G$2:$G$221, G$1),
    SUMIFS(MRP!$L$2:$L$221, MRP!$B$2:$B$221, $C13,  MRP!$G$2:$G$221, G$1)
)*F13</f>
        <v>0</v>
      </c>
      <c r="H13" s="15">
        <f>SUM(
    SUMIFS(MRP!$H$2:$H$221, MRP!$B$2:$B$221, $C13, MRP!$G$2:$G$221, H$1),
    SUMIFS(MRP!$I$2:$I$221, MRP!$B$2:$B$221, $C13, MRP!$G$2:$G$221, H$1),
    SUMIFS(MRP!$J$2:$J$221, MRP!$B$2:$B$221, $C13,  MRP!$G$2:$G$221, H$1),
    SUMIFS(MRP!$K$2:$K$221, MRP!$B$2:$B$221, $C13,  MRP!$G$2:$G$221, H$1),
    SUMIFS(MRP!$L$2:$L$221, MRP!$B$2:$B$221, $C13,  MRP!$G$2:$G$221, H$1)
)*F13</f>
        <v>35</v>
      </c>
      <c r="I13" s="15">
        <f>SUM(
    SUMIFS(MRP!$H$2:$H$221, MRP!$B$2:$B$221, $C13, MRP!$G$2:$G$221, I$1),
    SUMIFS(MRP!$I$2:$I$221, MRP!$B$2:$B$221, $C13, MRP!$G$2:$G$221, I$1),
    SUMIFS(MRP!$J$2:$J$221, MRP!$B$2:$B$221, $C13,  MRP!$G$2:$G$221, I$1),
    SUMIFS(MRP!$K$2:$K$221, MRP!$B$2:$B$221, $C13,  MRP!$G$2:$G$221, I$1),
    SUMIFS(MRP!$L$2:$L$221, MRP!$B$2:$B$221, $C13,  MRP!$G$2:$G$221, I$1)
)*F13</f>
        <v>0</v>
      </c>
      <c r="J13" s="15">
        <f>SUM(
    SUMIFS(MRP!$H$2:$H$221, MRP!$B$2:$B$221, $C13, MRP!$G$2:$G$221, J$1),
    SUMIFS(MRP!$I$2:$I$221, MRP!$B$2:$B$221, $C13, MRP!$G$2:$G$221, J$1),
    SUMIFS(MRP!$J$2:$J$221, MRP!$B$2:$B$221, $C13,  MRP!$G$2:$G$221, J$1),
    SUMIFS(MRP!$K$2:$K$221, MRP!$B$2:$B$221, $C13,  MRP!$G$2:$G$221, J$1),
    SUMIFS(MRP!$L$2:$L$221, MRP!$B$2:$B$221, $C13,  MRP!$G$2:$G$221, J$1)
)*F13</f>
        <v>0</v>
      </c>
      <c r="K13" s="15">
        <f>SUM(
    SUMIFS(MRP!$H$2:$H$221, MRP!$B$2:$B$221, $C13, MRP!$G$2:$G$221, K$1),
    SUMIFS(MRP!$I$2:$I$221, MRP!$B$2:$B$221, $C13, MRP!$G$2:$G$221, K$1),
    SUMIFS(MRP!$J$2:$J$221, MRP!$B$2:$B$221, $C13,  MRP!$G$2:$G$221, K$1),
    SUMIFS(MRP!$K$2:$K$221, MRP!$B$2:$B$221, $C13,  MRP!$G$2:$G$221, K$1),
    SUMIFS(MRP!$L$2:$L$221, MRP!$B$2:$B$221, $C13,  MRP!$G$2:$G$221, K$1)
)*F13</f>
        <v>0</v>
      </c>
      <c r="L13" s="55" t="str">
        <f>TRIM(Tabla3[[#This Row],[CodInternoArti]])</f>
        <v>16208000A</v>
      </c>
    </row>
    <row r="14" spans="1:12" hidden="1" x14ac:dyDescent="0.35">
      <c r="A14" s="38" t="str">
        <f>IF(ISNUMBER(_xlfn.XMATCH(Tabla3[[#This Row],[CodInternoArti]],'Tabla Articulos'!B:B)),"OK","NO ESTA")</f>
        <v>OK</v>
      </c>
      <c r="B14" s="38" t="str">
        <f>IF(ISNUMBER(_xlfn.XMATCH('Calcular necesidad'!E:E,'Necesidad por familia'!A:A)),"OK","NO ESTA")</f>
        <v>OK</v>
      </c>
      <c r="C14" s="17" t="s">
        <v>226</v>
      </c>
      <c r="D14" s="1" t="s">
        <v>227</v>
      </c>
      <c r="E14" s="1" t="str">
        <f>_xlfn.XLOOKUP(C14,'Tabla Articulos'!B:B,'Tabla Articulos'!D:D)</f>
        <v>CAJA PIZZA GRANDE</v>
      </c>
      <c r="F14" s="1">
        <f>_xlfn.XLOOKUP(C14,'Tabla Articulos'!B:B,'Tabla Articulos'!E:E)</f>
        <v>1</v>
      </c>
      <c r="G14" s="15">
        <f>SUM(
    SUMIFS(MRP!$H$2:$H$221, MRP!$B$2:$B$221, $C14, MRP!$G$2:$G$221, G$1),
    SUMIFS(MRP!$I$2:$I$221, MRP!$B$2:$B$221, $C14, MRP!$G$2:$G$221, G$1),
    SUMIFS(MRP!$J$2:$J$221, MRP!$B$2:$B$221, $C14,  MRP!$G$2:$G$221, G$1),
    SUMIFS(MRP!$K$2:$K$221, MRP!$B$2:$B$221, $C14,  MRP!$G$2:$G$221, G$1),
    SUMIFS(MRP!$L$2:$L$221, MRP!$B$2:$B$221, $C14,  MRP!$G$2:$G$221, G$1)
)*F14</f>
        <v>0</v>
      </c>
      <c r="H14" s="15">
        <f>SUM(
    SUMIFS(MRP!$H$2:$H$221, MRP!$B$2:$B$221, $C14, MRP!$G$2:$G$221, H$1),
    SUMIFS(MRP!$I$2:$I$221, MRP!$B$2:$B$221, $C14, MRP!$G$2:$G$221, H$1),
    SUMIFS(MRP!$J$2:$J$221, MRP!$B$2:$B$221, $C14,  MRP!$G$2:$G$221, H$1),
    SUMIFS(MRP!$K$2:$K$221, MRP!$B$2:$B$221, $C14,  MRP!$G$2:$G$221, H$1),
    SUMIFS(MRP!$L$2:$L$221, MRP!$B$2:$B$221, $C14,  MRP!$G$2:$G$221, H$1)
)*F14</f>
        <v>85</v>
      </c>
      <c r="I14" s="15">
        <f>SUM(
    SUMIFS(MRP!$H$2:$H$221, MRP!$B$2:$B$221, $C14, MRP!$G$2:$G$221, I$1),
    SUMIFS(MRP!$I$2:$I$221, MRP!$B$2:$B$221, $C14, MRP!$G$2:$G$221, I$1),
    SUMIFS(MRP!$J$2:$J$221, MRP!$B$2:$B$221, $C14,  MRP!$G$2:$G$221, I$1),
    SUMIFS(MRP!$K$2:$K$221, MRP!$B$2:$B$221, $C14,  MRP!$G$2:$G$221, I$1),
    SUMIFS(MRP!$L$2:$L$221, MRP!$B$2:$B$221, $C14,  MRP!$G$2:$G$221, I$1)
)*F14</f>
        <v>0</v>
      </c>
      <c r="J14" s="15">
        <f>SUM(
    SUMIFS(MRP!$H$2:$H$221, MRP!$B$2:$B$221, $C14, MRP!$G$2:$G$221, J$1),
    SUMIFS(MRP!$I$2:$I$221, MRP!$B$2:$B$221, $C14, MRP!$G$2:$G$221, J$1),
    SUMIFS(MRP!$J$2:$J$221, MRP!$B$2:$B$221, $C14,  MRP!$G$2:$G$221, J$1),
    SUMIFS(MRP!$K$2:$K$221, MRP!$B$2:$B$221, $C14,  MRP!$G$2:$G$221, J$1),
    SUMIFS(MRP!$L$2:$L$221, MRP!$B$2:$B$221, $C14,  MRP!$G$2:$G$221, J$1)
)*F14</f>
        <v>0</v>
      </c>
      <c r="K14" s="15">
        <f>SUM(
    SUMIFS(MRP!$H$2:$H$221, MRP!$B$2:$B$221, $C14, MRP!$G$2:$G$221, K$1),
    SUMIFS(MRP!$I$2:$I$221, MRP!$B$2:$B$221, $C14, MRP!$G$2:$G$221, K$1),
    SUMIFS(MRP!$J$2:$J$221, MRP!$B$2:$B$221, $C14,  MRP!$G$2:$G$221, K$1),
    SUMIFS(MRP!$K$2:$K$221, MRP!$B$2:$B$221, $C14,  MRP!$G$2:$G$221, K$1),
    SUMIFS(MRP!$L$2:$L$221, MRP!$B$2:$B$221, $C14,  MRP!$G$2:$G$221, K$1)
)*F14</f>
        <v>0</v>
      </c>
      <c r="L14" s="55" t="str">
        <f>TRIM(Tabla3[[#This Row],[CodInternoArti]])</f>
        <v>16032005A</v>
      </c>
    </row>
    <row r="15" spans="1:12" hidden="1" x14ac:dyDescent="0.35">
      <c r="A15" s="38" t="str">
        <f>IF(ISNUMBER(_xlfn.XMATCH(Tabla3[[#This Row],[CodInternoArti]],'Tabla Articulos'!B:B)),"OK","NO ESTA")</f>
        <v>OK</v>
      </c>
      <c r="B15" s="38" t="str">
        <f>IF(ISNUMBER(_xlfn.XMATCH('Calcular necesidad'!E:E,'Necesidad por familia'!A:A)),"OK","NO ESTA")</f>
        <v>OK</v>
      </c>
      <c r="C15" s="17" t="s">
        <v>239</v>
      </c>
      <c r="D15" s="1" t="s">
        <v>240</v>
      </c>
      <c r="E15" s="1" t="str">
        <f>_xlfn.XLOOKUP(C15,'Tabla Articulos'!B:B,'Tabla Articulos'!D:D)</f>
        <v>ARRANQUE 20X30</v>
      </c>
      <c r="F15" s="1">
        <f>_xlfn.XLOOKUP(C15,'Tabla Articulos'!B:B,'Tabla Articulos'!E:E)</f>
        <v>1</v>
      </c>
      <c r="G15" s="15">
        <f>SUM(
    SUMIFS(MRP!$H$2:$H$221, MRP!$B$2:$B$221, $C15, MRP!$G$2:$G$221, G$1),
    SUMIFS(MRP!$I$2:$I$221, MRP!$B$2:$B$221, $C15, MRP!$G$2:$G$221, G$1),
    SUMIFS(MRP!$J$2:$J$221, MRP!$B$2:$B$221, $C15,  MRP!$G$2:$G$221, G$1),
    SUMIFS(MRP!$K$2:$K$221, MRP!$B$2:$B$221, $C15,  MRP!$G$2:$G$221, G$1),
    SUMIFS(MRP!$L$2:$L$221, MRP!$B$2:$B$221, $C15,  MRP!$G$2:$G$221, G$1)
)*F15</f>
        <v>0</v>
      </c>
      <c r="H15" s="15">
        <f>SUM(
    SUMIFS(MRP!$H$2:$H$221, MRP!$B$2:$B$221, $C15, MRP!$G$2:$G$221, H$1),
    SUMIFS(MRP!$I$2:$I$221, MRP!$B$2:$B$221, $C15, MRP!$G$2:$G$221, H$1),
    SUMIFS(MRP!$J$2:$J$221, MRP!$B$2:$B$221, $C15,  MRP!$G$2:$G$221, H$1),
    SUMIFS(MRP!$K$2:$K$221, MRP!$B$2:$B$221, $C15,  MRP!$G$2:$G$221, H$1),
    SUMIFS(MRP!$L$2:$L$221, MRP!$B$2:$B$221, $C15,  MRP!$G$2:$G$221, H$1)
)*F15</f>
        <v>133</v>
      </c>
      <c r="I15" s="15">
        <f>SUM(
    SUMIFS(MRP!$H$2:$H$221, MRP!$B$2:$B$221, $C15, MRP!$G$2:$G$221, I$1),
    SUMIFS(MRP!$I$2:$I$221, MRP!$B$2:$B$221, $C15, MRP!$G$2:$G$221, I$1),
    SUMIFS(MRP!$J$2:$J$221, MRP!$B$2:$B$221, $C15,  MRP!$G$2:$G$221, I$1),
    SUMIFS(MRP!$K$2:$K$221, MRP!$B$2:$B$221, $C15,  MRP!$G$2:$G$221, I$1),
    SUMIFS(MRP!$L$2:$L$221, MRP!$B$2:$B$221, $C15,  MRP!$G$2:$G$221, I$1)
)*F15</f>
        <v>0</v>
      </c>
      <c r="J15" s="15">
        <f>SUM(
    SUMIFS(MRP!$H$2:$H$221, MRP!$B$2:$B$221, $C15, MRP!$G$2:$G$221, J$1),
    SUMIFS(MRP!$I$2:$I$221, MRP!$B$2:$B$221, $C15, MRP!$G$2:$G$221, J$1),
    SUMIFS(MRP!$J$2:$J$221, MRP!$B$2:$B$221, $C15,  MRP!$G$2:$G$221, J$1),
    SUMIFS(MRP!$K$2:$K$221, MRP!$B$2:$B$221, $C15,  MRP!$G$2:$G$221, J$1),
    SUMIFS(MRP!$L$2:$L$221, MRP!$B$2:$B$221, $C15,  MRP!$G$2:$G$221, J$1)
)*F15</f>
        <v>0</v>
      </c>
      <c r="K15" s="15">
        <f>SUM(
    SUMIFS(MRP!$H$2:$H$221, MRP!$B$2:$B$221, $C15, MRP!$G$2:$G$221, K$1),
    SUMIFS(MRP!$I$2:$I$221, MRP!$B$2:$B$221, $C15, MRP!$G$2:$G$221, K$1),
    SUMIFS(MRP!$J$2:$J$221, MRP!$B$2:$B$221, $C15,  MRP!$G$2:$G$221, K$1),
    SUMIFS(MRP!$K$2:$K$221, MRP!$B$2:$B$221, $C15,  MRP!$G$2:$G$221, K$1),
    SUMIFS(MRP!$L$2:$L$221, MRP!$B$2:$B$221, $C15,  MRP!$G$2:$G$221, K$1)
)*F15</f>
        <v>0</v>
      </c>
      <c r="L15" s="55" t="str">
        <f>TRIM(Tabla3[[#This Row],[CodInternoArti]])</f>
        <v>16204001A</v>
      </c>
    </row>
    <row r="16" spans="1:12" hidden="1" x14ac:dyDescent="0.35">
      <c r="A16" s="38" t="str">
        <f>IF(ISNUMBER(_xlfn.XMATCH(Tabla3[[#This Row],[CodInternoArti]],'Tabla Articulos'!B:B)),"OK","NO ESTA")</f>
        <v>OK</v>
      </c>
      <c r="B16" s="38" t="str">
        <f>IF(ISNUMBER(_xlfn.XMATCH('Calcular necesidad'!E:E,'Necesidad por familia'!A:A)),"OK","NO ESTA")</f>
        <v>OK</v>
      </c>
      <c r="C16" s="17" t="s">
        <v>221</v>
      </c>
      <c r="D16" s="1" t="s">
        <v>222</v>
      </c>
      <c r="E16" s="1" t="str">
        <f>_xlfn.XLOOKUP(C16,'Tabla Articulos'!B:B,'Tabla Articulos'!D:D)</f>
        <v>COFIAS</v>
      </c>
      <c r="F16" s="1">
        <f>_xlfn.XLOOKUP(C16,'Tabla Articulos'!B:B,'Tabla Articulos'!E:E)</f>
        <v>100</v>
      </c>
      <c r="G16" s="15">
        <f>SUM(
    SUMIFS(MRP!$H$2:$H$221, MRP!$B$2:$B$221, $C16, MRP!$G$2:$G$221, G$1),
    SUMIFS(MRP!$I$2:$I$221, MRP!$B$2:$B$221, $C16, MRP!$G$2:$G$221, G$1),
    SUMIFS(MRP!$J$2:$J$221, MRP!$B$2:$B$221, $C16,  MRP!$G$2:$G$221, G$1),
    SUMIFS(MRP!$K$2:$K$221, MRP!$B$2:$B$221, $C16,  MRP!$G$2:$G$221, G$1),
    SUMIFS(MRP!$L$2:$L$221, MRP!$B$2:$B$221, $C16,  MRP!$G$2:$G$221, G$1)
)*F16</f>
        <v>0</v>
      </c>
      <c r="H16" s="15">
        <f>SUM(
    SUMIFS(MRP!$H$2:$H$221, MRP!$B$2:$B$221, $C16, MRP!$G$2:$G$221, H$1),
    SUMIFS(MRP!$I$2:$I$221, MRP!$B$2:$B$221, $C16, MRP!$G$2:$G$221, H$1),
    SUMIFS(MRP!$J$2:$J$221, MRP!$B$2:$B$221, $C16,  MRP!$G$2:$G$221, H$1),
    SUMIFS(MRP!$K$2:$K$221, MRP!$B$2:$B$221, $C16,  MRP!$G$2:$G$221, H$1),
    SUMIFS(MRP!$L$2:$L$221, MRP!$B$2:$B$221, $C16,  MRP!$G$2:$G$221, H$1)
)*F16</f>
        <v>17800</v>
      </c>
      <c r="I16" s="15">
        <f>SUM(
    SUMIFS(MRP!$H$2:$H$221, MRP!$B$2:$B$221, $C16, MRP!$G$2:$G$221, I$1),
    SUMIFS(MRP!$I$2:$I$221, MRP!$B$2:$B$221, $C16, MRP!$G$2:$G$221, I$1),
    SUMIFS(MRP!$J$2:$J$221, MRP!$B$2:$B$221, $C16,  MRP!$G$2:$G$221, I$1),
    SUMIFS(MRP!$K$2:$K$221, MRP!$B$2:$B$221, $C16,  MRP!$G$2:$G$221, I$1),
    SUMIFS(MRP!$L$2:$L$221, MRP!$B$2:$B$221, $C16,  MRP!$G$2:$G$221, I$1)
)*F16</f>
        <v>0</v>
      </c>
      <c r="J16" s="15">
        <f>SUM(
    SUMIFS(MRP!$H$2:$H$221, MRP!$B$2:$B$221, $C16, MRP!$G$2:$G$221, J$1),
    SUMIFS(MRP!$I$2:$I$221, MRP!$B$2:$B$221, $C16, MRP!$G$2:$G$221, J$1),
    SUMIFS(MRP!$J$2:$J$221, MRP!$B$2:$B$221, $C16,  MRP!$G$2:$G$221, J$1),
    SUMIFS(MRP!$K$2:$K$221, MRP!$B$2:$B$221, $C16,  MRP!$G$2:$G$221, J$1),
    SUMIFS(MRP!$L$2:$L$221, MRP!$B$2:$B$221, $C16,  MRP!$G$2:$G$221, J$1)
)*F16</f>
        <v>0</v>
      </c>
      <c r="K16" s="15">
        <f>SUM(
    SUMIFS(MRP!$H$2:$H$221, MRP!$B$2:$B$221, $C16, MRP!$G$2:$G$221, K$1),
    SUMIFS(MRP!$I$2:$I$221, MRP!$B$2:$B$221, $C16, MRP!$G$2:$G$221, K$1),
    SUMIFS(MRP!$J$2:$J$221, MRP!$B$2:$B$221, $C16,  MRP!$G$2:$G$221, K$1),
    SUMIFS(MRP!$K$2:$K$221, MRP!$B$2:$B$221, $C16,  MRP!$G$2:$G$221, K$1),
    SUMIFS(MRP!$L$2:$L$221, MRP!$B$2:$B$221, $C16,  MRP!$G$2:$G$221, K$1)
)*F16</f>
        <v>0</v>
      </c>
      <c r="L16" s="55" t="str">
        <f>TRIM(Tabla3[[#This Row],[CodInternoArti]])</f>
        <v>17018002A</v>
      </c>
    </row>
    <row r="17" spans="1:12" hidden="1" x14ac:dyDescent="0.35">
      <c r="A17" s="38" t="str">
        <f>IF(ISNUMBER(_xlfn.XMATCH(Tabla3[[#This Row],[CodInternoArti]],'Tabla Articulos'!B:B)),"OK","NO ESTA")</f>
        <v>OK</v>
      </c>
      <c r="B17" s="38" t="str">
        <f>IF(ISNUMBER(_xlfn.XMATCH('Calcular necesidad'!E:E,'Necesidad por familia'!A:A)),"OK","NO ESTA")</f>
        <v>OK</v>
      </c>
      <c r="C17" s="17" t="s">
        <v>214</v>
      </c>
      <c r="D17" s="1" t="s">
        <v>215</v>
      </c>
      <c r="E17" s="1" t="str">
        <f>_xlfn.XLOOKUP(C17,'Tabla Articulos'!B:B,'Tabla Articulos'!D:D)</f>
        <v>SERVILLETA 30X30 S/LOGO</v>
      </c>
      <c r="F17" s="1">
        <f>_xlfn.XLOOKUP(C17,'Tabla Articulos'!B:B,'Tabla Articulos'!E:E)</f>
        <v>1000</v>
      </c>
      <c r="G17" s="15">
        <f>SUM(
    SUMIFS(MRP!$H$2:$H$221, MRP!$B$2:$B$221, $C17, MRP!$G$2:$G$221, G$1),
    SUMIFS(MRP!$I$2:$I$221, MRP!$B$2:$B$221, $C17, MRP!$G$2:$G$221, G$1),
    SUMIFS(MRP!$J$2:$J$221, MRP!$B$2:$B$221, $C17,  MRP!$G$2:$G$221, G$1),
    SUMIFS(MRP!$K$2:$K$221, MRP!$B$2:$B$221, $C17,  MRP!$G$2:$G$221, G$1),
    SUMIFS(MRP!$L$2:$L$221, MRP!$B$2:$B$221, $C17,  MRP!$G$2:$G$221, G$1)
)*F17</f>
        <v>0</v>
      </c>
      <c r="H17" s="15">
        <f>SUM(
    SUMIFS(MRP!$H$2:$H$221, MRP!$B$2:$B$221, $C17, MRP!$G$2:$G$221, H$1),
    SUMIFS(MRP!$I$2:$I$221, MRP!$B$2:$B$221, $C17, MRP!$G$2:$G$221, H$1),
    SUMIFS(MRP!$J$2:$J$221, MRP!$B$2:$B$221, $C17,  MRP!$G$2:$G$221, H$1),
    SUMIFS(MRP!$K$2:$K$221, MRP!$B$2:$B$221, $C17,  MRP!$G$2:$G$221, H$1),
    SUMIFS(MRP!$L$2:$L$221, MRP!$B$2:$B$221, $C17,  MRP!$G$2:$G$221, H$1)
)*F17</f>
        <v>17000</v>
      </c>
      <c r="I17" s="15">
        <f>SUM(
    SUMIFS(MRP!$H$2:$H$221, MRP!$B$2:$B$221, $C17, MRP!$G$2:$G$221, I$1),
    SUMIFS(MRP!$I$2:$I$221, MRP!$B$2:$B$221, $C17, MRP!$G$2:$G$221, I$1),
    SUMIFS(MRP!$J$2:$J$221, MRP!$B$2:$B$221, $C17,  MRP!$G$2:$G$221, I$1),
    SUMIFS(MRP!$K$2:$K$221, MRP!$B$2:$B$221, $C17,  MRP!$G$2:$G$221, I$1),
    SUMIFS(MRP!$L$2:$L$221, MRP!$B$2:$B$221, $C17,  MRP!$G$2:$G$221, I$1)
)*F17</f>
        <v>0</v>
      </c>
      <c r="J17" s="15">
        <f>SUM(
    SUMIFS(MRP!$H$2:$H$221, MRP!$B$2:$B$221, $C17, MRP!$G$2:$G$221, J$1),
    SUMIFS(MRP!$I$2:$I$221, MRP!$B$2:$B$221, $C17, MRP!$G$2:$G$221, J$1),
    SUMIFS(MRP!$J$2:$J$221, MRP!$B$2:$B$221, $C17,  MRP!$G$2:$G$221, J$1),
    SUMIFS(MRP!$K$2:$K$221, MRP!$B$2:$B$221, $C17,  MRP!$G$2:$G$221, J$1),
    SUMIFS(MRP!$L$2:$L$221, MRP!$B$2:$B$221, $C17,  MRP!$G$2:$G$221, J$1)
)*F17</f>
        <v>0</v>
      </c>
      <c r="K17" s="15">
        <f>SUM(
    SUMIFS(MRP!$H$2:$H$221, MRP!$B$2:$B$221, $C17, MRP!$G$2:$G$221, K$1),
    SUMIFS(MRP!$I$2:$I$221, MRP!$B$2:$B$221, $C17, MRP!$G$2:$G$221, K$1),
    SUMIFS(MRP!$J$2:$J$221, MRP!$B$2:$B$221, $C17,  MRP!$G$2:$G$221, K$1),
    SUMIFS(MRP!$K$2:$K$221, MRP!$B$2:$B$221, $C17,  MRP!$G$2:$G$221, K$1),
    SUMIFS(MRP!$L$2:$L$221, MRP!$B$2:$B$221, $C17,  MRP!$G$2:$G$221, K$1)
)*F17</f>
        <v>0</v>
      </c>
      <c r="L17" s="55" t="str">
        <f>TRIM(Tabla3[[#This Row],[CodInternoArti]])</f>
        <v>14047013A</v>
      </c>
    </row>
    <row r="18" spans="1:12" hidden="1" x14ac:dyDescent="0.35">
      <c r="A18" s="38" t="str">
        <f>IF(ISNUMBER(_xlfn.XMATCH(Tabla3[[#This Row],[CodInternoArti]],'Tabla Articulos'!B:B)),"OK","NO ESTA")</f>
        <v>OK</v>
      </c>
      <c r="B18" s="38" t="str">
        <f>IF(ISNUMBER(_xlfn.XMATCH('Calcular necesidad'!E:E,'Necesidad por familia'!A:A)),"OK","NO ESTA")</f>
        <v>OK</v>
      </c>
      <c r="C18" s="17" t="s">
        <v>249</v>
      </c>
      <c r="D18" s="1" t="s">
        <v>250</v>
      </c>
      <c r="E18" s="1" t="str">
        <f>_xlfn.XLOOKUP(C18,'Tabla Articulos'!B:B,'Tabla Articulos'!D:D)</f>
        <v>SERVILLETA 30X30 S/LOGO</v>
      </c>
      <c r="F18" s="1">
        <f>_xlfn.XLOOKUP(C18,'Tabla Articulos'!B:B,'Tabla Articulos'!E:E)</f>
        <v>1000</v>
      </c>
      <c r="G18" s="15">
        <f>SUM(
    SUMIFS(MRP!$H$2:$H$221, MRP!$B$2:$B$221, $C18, MRP!$G$2:$G$221, G$1),
    SUMIFS(MRP!$I$2:$I$221, MRP!$B$2:$B$221, $C18, MRP!$G$2:$G$221, G$1),
    SUMIFS(MRP!$J$2:$J$221, MRP!$B$2:$B$221, $C18,  MRP!$G$2:$G$221, G$1),
    SUMIFS(MRP!$K$2:$K$221, MRP!$B$2:$B$221, $C18,  MRP!$G$2:$G$221, G$1),
    SUMIFS(MRP!$L$2:$L$221, MRP!$B$2:$B$221, $C18,  MRP!$G$2:$G$221, G$1)
)*F18</f>
        <v>0</v>
      </c>
      <c r="H18" s="15">
        <f>SUM(
    SUMIFS(MRP!$H$2:$H$221, MRP!$B$2:$B$221, $C18, MRP!$G$2:$G$221, H$1),
    SUMIFS(MRP!$I$2:$I$221, MRP!$B$2:$B$221, $C18, MRP!$G$2:$G$221, H$1),
    SUMIFS(MRP!$J$2:$J$221, MRP!$B$2:$B$221, $C18,  MRP!$G$2:$G$221, H$1),
    SUMIFS(MRP!$K$2:$K$221, MRP!$B$2:$B$221, $C18,  MRP!$G$2:$G$221, H$1),
    SUMIFS(MRP!$L$2:$L$221, MRP!$B$2:$B$221, $C18,  MRP!$G$2:$G$221, H$1)
)*F18</f>
        <v>5000</v>
      </c>
      <c r="I18" s="15">
        <f>SUM(
    SUMIFS(MRP!$H$2:$H$221, MRP!$B$2:$B$221, $C18, MRP!$G$2:$G$221, I$1),
    SUMIFS(MRP!$I$2:$I$221, MRP!$B$2:$B$221, $C18, MRP!$G$2:$G$221, I$1),
    SUMIFS(MRP!$J$2:$J$221, MRP!$B$2:$B$221, $C18,  MRP!$G$2:$G$221, I$1),
    SUMIFS(MRP!$K$2:$K$221, MRP!$B$2:$B$221, $C18,  MRP!$G$2:$G$221, I$1),
    SUMIFS(MRP!$L$2:$L$221, MRP!$B$2:$B$221, $C18,  MRP!$G$2:$G$221, I$1)
)*F18</f>
        <v>0</v>
      </c>
      <c r="J18" s="15">
        <f>SUM(
    SUMIFS(MRP!$H$2:$H$221, MRP!$B$2:$B$221, $C18, MRP!$G$2:$G$221, J$1),
    SUMIFS(MRP!$I$2:$I$221, MRP!$B$2:$B$221, $C18, MRP!$G$2:$G$221, J$1),
    SUMIFS(MRP!$J$2:$J$221, MRP!$B$2:$B$221, $C18,  MRP!$G$2:$G$221, J$1),
    SUMIFS(MRP!$K$2:$K$221, MRP!$B$2:$B$221, $C18,  MRP!$G$2:$G$221, J$1),
    SUMIFS(MRP!$L$2:$L$221, MRP!$B$2:$B$221, $C18,  MRP!$G$2:$G$221, J$1)
)*F18</f>
        <v>0</v>
      </c>
      <c r="K18" s="15">
        <f>SUM(
    SUMIFS(MRP!$H$2:$H$221, MRP!$B$2:$B$221, $C18, MRP!$G$2:$G$221, K$1),
    SUMIFS(MRP!$I$2:$I$221, MRP!$B$2:$B$221, $C18, MRP!$G$2:$G$221, K$1),
    SUMIFS(MRP!$J$2:$J$221, MRP!$B$2:$B$221, $C18,  MRP!$G$2:$G$221, K$1),
    SUMIFS(MRP!$K$2:$K$221, MRP!$B$2:$B$221, $C18,  MRP!$G$2:$G$221, K$1),
    SUMIFS(MRP!$L$2:$L$221, MRP!$B$2:$B$221, $C18,  MRP!$G$2:$G$221, K$1)
)*F18</f>
        <v>0</v>
      </c>
      <c r="L18" s="55" t="str">
        <f>TRIM(Tabla3[[#This Row],[CodInternoArti]])</f>
        <v>14047009A</v>
      </c>
    </row>
    <row r="19" spans="1:12" hidden="1" x14ac:dyDescent="0.35">
      <c r="A19" s="38" t="str">
        <f>IF(ISNUMBER(_xlfn.XMATCH(Tabla3[[#This Row],[CodInternoArti]],'Tabla Articulos'!B:B)),"OK","NO ESTA")</f>
        <v>OK</v>
      </c>
      <c r="B19" s="38" t="str">
        <f>IF(ISNUMBER(_xlfn.XMATCH('Calcular necesidad'!E:E,'Necesidad por familia'!A:A)),"OK","NO ESTA")</f>
        <v>OK</v>
      </c>
      <c r="C19" s="17" t="s">
        <v>231</v>
      </c>
      <c r="D19" s="1" t="s">
        <v>232</v>
      </c>
      <c r="E19" s="1" t="str">
        <f>_xlfn.XLOOKUP(C19,'Tabla Articulos'!B:B,'Tabla Articulos'!D:D)</f>
        <v>CANCELADO</v>
      </c>
      <c r="F19" s="1">
        <f>_xlfn.XLOOKUP(C19,'Tabla Articulos'!B:B,'Tabla Articulos'!E:E)</f>
        <v>1000</v>
      </c>
      <c r="G19" s="15">
        <f>SUM(
    SUMIFS(MRP!$H$2:$H$221, MRP!$B$2:$B$221, $C19, MRP!$G$2:$G$221, G$1),
    SUMIFS(MRP!$I$2:$I$221, MRP!$B$2:$B$221, $C19, MRP!$G$2:$G$221, G$1),
    SUMIFS(MRP!$J$2:$J$221, MRP!$B$2:$B$221, $C19,  MRP!$G$2:$G$221, G$1),
    SUMIFS(MRP!$K$2:$K$221, MRP!$B$2:$B$221, $C19,  MRP!$G$2:$G$221, G$1),
    SUMIFS(MRP!$L$2:$L$221, MRP!$B$2:$B$221, $C19,  MRP!$G$2:$G$221, G$1)
)*F19</f>
        <v>0</v>
      </c>
      <c r="H19" s="15">
        <f>SUM(
    SUMIFS(MRP!$H$2:$H$221, MRP!$B$2:$B$221, $C19, MRP!$G$2:$G$221, H$1),
    SUMIFS(MRP!$I$2:$I$221, MRP!$B$2:$B$221, $C19, MRP!$G$2:$G$221, H$1),
    SUMIFS(MRP!$J$2:$J$221, MRP!$B$2:$B$221, $C19,  MRP!$G$2:$G$221, H$1),
    SUMIFS(MRP!$K$2:$K$221, MRP!$B$2:$B$221, $C19,  MRP!$G$2:$G$221, H$1),
    SUMIFS(MRP!$L$2:$L$221, MRP!$B$2:$B$221, $C19,  MRP!$G$2:$G$221, H$1)
)*F19</f>
        <v>4000</v>
      </c>
      <c r="I19" s="15">
        <f>SUM(
    SUMIFS(MRP!$H$2:$H$221, MRP!$B$2:$B$221, $C19, MRP!$G$2:$G$221, I$1),
    SUMIFS(MRP!$I$2:$I$221, MRP!$B$2:$B$221, $C19, MRP!$G$2:$G$221, I$1),
    SUMIFS(MRP!$J$2:$J$221, MRP!$B$2:$B$221, $C19,  MRP!$G$2:$G$221, I$1),
    SUMIFS(MRP!$K$2:$K$221, MRP!$B$2:$B$221, $C19,  MRP!$G$2:$G$221, I$1),
    SUMIFS(MRP!$L$2:$L$221, MRP!$B$2:$B$221, $C19,  MRP!$G$2:$G$221, I$1)
)*F19</f>
        <v>0</v>
      </c>
      <c r="J19" s="15">
        <f>SUM(
    SUMIFS(MRP!$H$2:$H$221, MRP!$B$2:$B$221, $C19, MRP!$G$2:$G$221, J$1),
    SUMIFS(MRP!$I$2:$I$221, MRP!$B$2:$B$221, $C19, MRP!$G$2:$G$221, J$1),
    SUMIFS(MRP!$J$2:$J$221, MRP!$B$2:$B$221, $C19,  MRP!$G$2:$G$221, J$1),
    SUMIFS(MRP!$K$2:$K$221, MRP!$B$2:$B$221, $C19,  MRP!$G$2:$G$221, J$1),
    SUMIFS(MRP!$L$2:$L$221, MRP!$B$2:$B$221, $C19,  MRP!$G$2:$G$221, J$1)
)*F19</f>
        <v>0</v>
      </c>
      <c r="K19" s="15">
        <f>SUM(
    SUMIFS(MRP!$H$2:$H$221, MRP!$B$2:$B$221, $C19, MRP!$G$2:$G$221, K$1),
    SUMIFS(MRP!$I$2:$I$221, MRP!$B$2:$B$221, $C19, MRP!$G$2:$G$221, K$1),
    SUMIFS(MRP!$J$2:$J$221, MRP!$B$2:$B$221, $C19,  MRP!$G$2:$G$221, K$1),
    SUMIFS(MRP!$K$2:$K$221, MRP!$B$2:$B$221, $C19,  MRP!$G$2:$G$221, K$1),
    SUMIFS(MRP!$L$2:$L$221, MRP!$B$2:$B$221, $C19,  MRP!$G$2:$G$221, K$1)
)*F19</f>
        <v>0</v>
      </c>
      <c r="L19" s="55" t="str">
        <f>TRIM(Tabla3[[#This Row],[CodInternoArti]])</f>
        <v>14047015A</v>
      </c>
    </row>
    <row r="20" spans="1:12" hidden="1" x14ac:dyDescent="0.35">
      <c r="A20" s="38" t="str">
        <f>IF(ISNUMBER(_xlfn.XMATCH(Tabla3[[#This Row],[CodInternoArti]],'Tabla Articulos'!B:B)),"OK","NO ESTA")</f>
        <v>OK</v>
      </c>
      <c r="B20" s="38" t="str">
        <f>IF(ISNUMBER(_xlfn.XMATCH('Calcular necesidad'!E:E,'Necesidad por familia'!A:A)),"OK","NO ESTA")</f>
        <v>OK</v>
      </c>
      <c r="C20" s="17" t="s">
        <v>251</v>
      </c>
      <c r="D20" s="1" t="s">
        <v>252</v>
      </c>
      <c r="E20" s="1" t="str">
        <f>_xlfn.XLOOKUP(C20,'Tabla Articulos'!B:B,'Tabla Articulos'!D:D)</f>
        <v>DELANTAL DESCARTABLE</v>
      </c>
      <c r="F20" s="1">
        <f>_xlfn.XLOOKUP(C20,'Tabla Articulos'!B:B,'Tabla Articulos'!E:E)</f>
        <v>100</v>
      </c>
      <c r="G20" s="15">
        <f>SUM(
    SUMIFS(MRP!$H$2:$H$221, MRP!$B$2:$B$221, $C20, MRP!$G$2:$G$221, G$1),
    SUMIFS(MRP!$I$2:$I$221, MRP!$B$2:$B$221, $C20, MRP!$G$2:$G$221, G$1),
    SUMIFS(MRP!$J$2:$J$221, MRP!$B$2:$B$221, $C20,  MRP!$G$2:$G$221, G$1),
    SUMIFS(MRP!$K$2:$K$221, MRP!$B$2:$B$221, $C20,  MRP!$G$2:$G$221, G$1),
    SUMIFS(MRP!$L$2:$L$221, MRP!$B$2:$B$221, $C20,  MRP!$G$2:$G$221, G$1)
)*F20</f>
        <v>0</v>
      </c>
      <c r="H20" s="15">
        <f>SUM(
    SUMIFS(MRP!$H$2:$H$221, MRP!$B$2:$B$221, $C20, MRP!$G$2:$G$221, H$1),
    SUMIFS(MRP!$I$2:$I$221, MRP!$B$2:$B$221, $C20, MRP!$G$2:$G$221, H$1),
    SUMIFS(MRP!$J$2:$J$221, MRP!$B$2:$B$221, $C20,  MRP!$G$2:$G$221, H$1),
    SUMIFS(MRP!$K$2:$K$221, MRP!$B$2:$B$221, $C20,  MRP!$G$2:$G$221, H$1),
    SUMIFS(MRP!$L$2:$L$221, MRP!$B$2:$B$221, $C20,  MRP!$G$2:$G$221, H$1)
)*F20</f>
        <v>5100</v>
      </c>
      <c r="I20" s="15">
        <f>SUM(
    SUMIFS(MRP!$H$2:$H$221, MRP!$B$2:$B$221, $C20, MRP!$G$2:$G$221, I$1),
    SUMIFS(MRP!$I$2:$I$221, MRP!$B$2:$B$221, $C20, MRP!$G$2:$G$221, I$1),
    SUMIFS(MRP!$J$2:$J$221, MRP!$B$2:$B$221, $C20,  MRP!$G$2:$G$221, I$1),
    SUMIFS(MRP!$K$2:$K$221, MRP!$B$2:$B$221, $C20,  MRP!$G$2:$G$221, I$1),
    SUMIFS(MRP!$L$2:$L$221, MRP!$B$2:$B$221, $C20,  MRP!$G$2:$G$221, I$1)
)*F20</f>
        <v>0</v>
      </c>
      <c r="J20" s="15">
        <f>SUM(
    SUMIFS(MRP!$H$2:$H$221, MRP!$B$2:$B$221, $C20, MRP!$G$2:$G$221, J$1),
    SUMIFS(MRP!$I$2:$I$221, MRP!$B$2:$B$221, $C20, MRP!$G$2:$G$221, J$1),
    SUMIFS(MRP!$J$2:$J$221, MRP!$B$2:$B$221, $C20,  MRP!$G$2:$G$221, J$1),
    SUMIFS(MRP!$K$2:$K$221, MRP!$B$2:$B$221, $C20,  MRP!$G$2:$G$221, J$1),
    SUMIFS(MRP!$L$2:$L$221, MRP!$B$2:$B$221, $C20,  MRP!$G$2:$G$221, J$1)
)*F20</f>
        <v>0</v>
      </c>
      <c r="K20" s="15">
        <f>SUM(
    SUMIFS(MRP!$H$2:$H$221, MRP!$B$2:$B$221, $C20, MRP!$G$2:$G$221, K$1),
    SUMIFS(MRP!$I$2:$I$221, MRP!$B$2:$B$221, $C20, MRP!$G$2:$G$221, K$1),
    SUMIFS(MRP!$J$2:$J$221, MRP!$B$2:$B$221, $C20,  MRP!$G$2:$G$221, K$1),
    SUMIFS(MRP!$K$2:$K$221, MRP!$B$2:$B$221, $C20,  MRP!$G$2:$G$221, K$1),
    SUMIFS(MRP!$L$2:$L$221, MRP!$B$2:$B$221, $C20,  MRP!$G$2:$G$221, K$1)
)*F20</f>
        <v>0</v>
      </c>
      <c r="L20" s="55" t="str">
        <f>TRIM(Tabla3[[#This Row],[CodInternoArti]])</f>
        <v>BAZ000387</v>
      </c>
    </row>
    <row r="21" spans="1:12" hidden="1" x14ac:dyDescent="0.35">
      <c r="A21" s="38" t="str">
        <f>IF(ISNUMBER(_xlfn.XMATCH(Tabla3[[#This Row],[CodInternoArti]],'Tabla Articulos'!B:B)),"OK","NO ESTA")</f>
        <v>OK</v>
      </c>
      <c r="B21" s="38" t="str">
        <f>IF(ISNUMBER(_xlfn.XMATCH('Calcular necesidad'!E:E,'Necesidad por familia'!A:A)),"OK","NO ESTA")</f>
        <v>OK</v>
      </c>
      <c r="C21" s="17" t="s">
        <v>271</v>
      </c>
      <c r="D21" s="1" t="s">
        <v>272</v>
      </c>
      <c r="E21" s="1" t="str">
        <f>_xlfn.XLOOKUP(C21,'Tabla Articulos'!B:B,'Tabla Articulos'!D:D)</f>
        <v>ARRANQUE 40X60</v>
      </c>
      <c r="F21" s="1">
        <f>_xlfn.XLOOKUP(C21,'Tabla Articulos'!B:B,'Tabla Articulos'!E:E)</f>
        <v>1</v>
      </c>
      <c r="G21" s="15">
        <f>SUM(
    SUMIFS(MRP!$H$2:$H$221, MRP!$B$2:$B$221, $C21, MRP!$G$2:$G$221, G$1),
    SUMIFS(MRP!$I$2:$I$221, MRP!$B$2:$B$221, $C21, MRP!$G$2:$G$221, G$1),
    SUMIFS(MRP!$J$2:$J$221, MRP!$B$2:$B$221, $C21,  MRP!$G$2:$G$221, G$1),
    SUMIFS(MRP!$K$2:$K$221, MRP!$B$2:$B$221, $C21,  MRP!$G$2:$G$221, G$1),
    SUMIFS(MRP!$L$2:$L$221, MRP!$B$2:$B$221, $C21,  MRP!$G$2:$G$221, G$1)
)*F21</f>
        <v>0</v>
      </c>
      <c r="H21" s="15">
        <f>SUM(
    SUMIFS(MRP!$H$2:$H$221, MRP!$B$2:$B$221, $C21, MRP!$G$2:$G$221, H$1),
    SUMIFS(MRP!$I$2:$I$221, MRP!$B$2:$B$221, $C21, MRP!$G$2:$G$221, H$1),
    SUMIFS(MRP!$J$2:$J$221, MRP!$B$2:$B$221, $C21,  MRP!$G$2:$G$221, H$1),
    SUMIFS(MRP!$K$2:$K$221, MRP!$B$2:$B$221, $C21,  MRP!$G$2:$G$221, H$1),
    SUMIFS(MRP!$L$2:$L$221, MRP!$B$2:$B$221, $C21,  MRP!$G$2:$G$221, H$1)
)*F21</f>
        <v>94</v>
      </c>
      <c r="I21" s="15">
        <f>SUM(
    SUMIFS(MRP!$H$2:$H$221, MRP!$B$2:$B$221, $C21, MRP!$G$2:$G$221, I$1),
    SUMIFS(MRP!$I$2:$I$221, MRP!$B$2:$B$221, $C21, MRP!$G$2:$G$221, I$1),
    SUMIFS(MRP!$J$2:$J$221, MRP!$B$2:$B$221, $C21,  MRP!$G$2:$G$221, I$1),
    SUMIFS(MRP!$K$2:$K$221, MRP!$B$2:$B$221, $C21,  MRP!$G$2:$G$221, I$1),
    SUMIFS(MRP!$L$2:$L$221, MRP!$B$2:$B$221, $C21,  MRP!$G$2:$G$221, I$1)
)*F21</f>
        <v>0</v>
      </c>
      <c r="J21" s="15">
        <f>SUM(
    SUMIFS(MRP!$H$2:$H$221, MRP!$B$2:$B$221, $C21, MRP!$G$2:$G$221, J$1),
    SUMIFS(MRP!$I$2:$I$221, MRP!$B$2:$B$221, $C21, MRP!$G$2:$G$221, J$1),
    SUMIFS(MRP!$J$2:$J$221, MRP!$B$2:$B$221, $C21,  MRP!$G$2:$G$221, J$1),
    SUMIFS(MRP!$K$2:$K$221, MRP!$B$2:$B$221, $C21,  MRP!$G$2:$G$221, J$1),
    SUMIFS(MRP!$L$2:$L$221, MRP!$B$2:$B$221, $C21,  MRP!$G$2:$G$221, J$1)
)*F21</f>
        <v>0</v>
      </c>
      <c r="K21" s="15">
        <f>SUM(
    SUMIFS(MRP!$H$2:$H$221, MRP!$B$2:$B$221, $C21, MRP!$G$2:$G$221, K$1),
    SUMIFS(MRP!$I$2:$I$221, MRP!$B$2:$B$221, $C21, MRP!$G$2:$G$221, K$1),
    SUMIFS(MRP!$J$2:$J$221, MRP!$B$2:$B$221, $C21,  MRP!$G$2:$G$221, K$1),
    SUMIFS(MRP!$K$2:$K$221, MRP!$B$2:$B$221, $C21,  MRP!$G$2:$G$221, K$1),
    SUMIFS(MRP!$L$2:$L$221, MRP!$B$2:$B$221, $C21,  MRP!$G$2:$G$221, K$1)
)*F21</f>
        <v>0</v>
      </c>
      <c r="L21" s="55" t="str">
        <f>TRIM(Tabla3[[#This Row],[CodInternoArti]])</f>
        <v>EMB000035</v>
      </c>
    </row>
    <row r="22" spans="1:12" hidden="1" x14ac:dyDescent="0.35">
      <c r="A22" s="38" t="str">
        <f>IF(ISNUMBER(_xlfn.XMATCH(Tabla3[[#This Row],[CodInternoArti]],'Tabla Articulos'!B:B)),"OK","NO ESTA")</f>
        <v>OK</v>
      </c>
      <c r="B22" s="38" t="str">
        <f>IF(ISNUMBER(_xlfn.XMATCH('Calcular necesidad'!E:E,'Necesidad por familia'!A:A)),"OK","NO ESTA")</f>
        <v>OK</v>
      </c>
      <c r="C22" s="17" t="s">
        <v>247</v>
      </c>
      <c r="D22" s="1" t="s">
        <v>33</v>
      </c>
      <c r="E22" s="1" t="str">
        <f>_xlfn.XLOOKUP(C22,'Tabla Articulos'!B:B,'Tabla Articulos'!D:D)</f>
        <v>ROLLO PAPEL MANTECA</v>
      </c>
      <c r="F22" s="1">
        <f>_xlfn.XLOOKUP(C22,'Tabla Articulos'!B:B,'Tabla Articulos'!E:E)</f>
        <v>1</v>
      </c>
      <c r="G22" s="15">
        <f>SUM(
    SUMIFS(MRP!$H$2:$H$221, MRP!$B$2:$B$221, $C22, MRP!$G$2:$G$221, G$1),
    SUMIFS(MRP!$I$2:$I$221, MRP!$B$2:$B$221, $C22, MRP!$G$2:$G$221, G$1),
    SUMIFS(MRP!$J$2:$J$221, MRP!$B$2:$B$221, $C22,  MRP!$G$2:$G$221, G$1),
    SUMIFS(MRP!$K$2:$K$221, MRP!$B$2:$B$221, $C22,  MRP!$G$2:$G$221, G$1),
    SUMIFS(MRP!$L$2:$L$221, MRP!$B$2:$B$221, $C22,  MRP!$G$2:$G$221, G$1)
)*F22</f>
        <v>0</v>
      </c>
      <c r="H22" s="15">
        <f>SUM(
    SUMIFS(MRP!$H$2:$H$221, MRP!$B$2:$B$221, $C22, MRP!$G$2:$G$221, H$1),
    SUMIFS(MRP!$I$2:$I$221, MRP!$B$2:$B$221, $C22, MRP!$G$2:$G$221, H$1),
    SUMIFS(MRP!$J$2:$J$221, MRP!$B$2:$B$221, $C22,  MRP!$G$2:$G$221, H$1),
    SUMIFS(MRP!$K$2:$K$221, MRP!$B$2:$B$221, $C22,  MRP!$G$2:$G$221, H$1),
    SUMIFS(MRP!$L$2:$L$221, MRP!$B$2:$B$221, $C22,  MRP!$G$2:$G$221, H$1)
)*F22</f>
        <v>4</v>
      </c>
      <c r="I22" s="15">
        <f>SUM(
    SUMIFS(MRP!$H$2:$H$221, MRP!$B$2:$B$221, $C22, MRP!$G$2:$G$221, I$1),
    SUMIFS(MRP!$I$2:$I$221, MRP!$B$2:$B$221, $C22, MRP!$G$2:$G$221, I$1),
    SUMIFS(MRP!$J$2:$J$221, MRP!$B$2:$B$221, $C22,  MRP!$G$2:$G$221, I$1),
    SUMIFS(MRP!$K$2:$K$221, MRP!$B$2:$B$221, $C22,  MRP!$G$2:$G$221, I$1),
    SUMIFS(MRP!$L$2:$L$221, MRP!$B$2:$B$221, $C22,  MRP!$G$2:$G$221, I$1)
)*F22</f>
        <v>0</v>
      </c>
      <c r="J22" s="15">
        <f>SUM(
    SUMIFS(MRP!$H$2:$H$221, MRP!$B$2:$B$221, $C22, MRP!$G$2:$G$221, J$1),
    SUMIFS(MRP!$I$2:$I$221, MRP!$B$2:$B$221, $C22, MRP!$G$2:$G$221, J$1),
    SUMIFS(MRP!$J$2:$J$221, MRP!$B$2:$B$221, $C22,  MRP!$G$2:$G$221, J$1),
    SUMIFS(MRP!$K$2:$K$221, MRP!$B$2:$B$221, $C22,  MRP!$G$2:$G$221, J$1),
    SUMIFS(MRP!$L$2:$L$221, MRP!$B$2:$B$221, $C22,  MRP!$G$2:$G$221, J$1)
)*F22</f>
        <v>0</v>
      </c>
      <c r="K22" s="15">
        <f>SUM(
    SUMIFS(MRP!$H$2:$H$221, MRP!$B$2:$B$221, $C22, MRP!$G$2:$G$221, K$1),
    SUMIFS(MRP!$I$2:$I$221, MRP!$B$2:$B$221, $C22, MRP!$G$2:$G$221, K$1),
    SUMIFS(MRP!$J$2:$J$221, MRP!$B$2:$B$221, $C22,  MRP!$G$2:$G$221, K$1),
    SUMIFS(MRP!$K$2:$K$221, MRP!$B$2:$B$221, $C22,  MRP!$G$2:$G$221, K$1),
    SUMIFS(MRP!$L$2:$L$221, MRP!$B$2:$B$221, $C22,  MRP!$G$2:$G$221, K$1)
)*F22</f>
        <v>0</v>
      </c>
      <c r="L22" s="55" t="str">
        <f>TRIM(Tabla3[[#This Row],[CodInternoArti]])</f>
        <v>14044013A</v>
      </c>
    </row>
    <row r="23" spans="1:12" hidden="1" x14ac:dyDescent="0.35">
      <c r="A23" s="38" t="str">
        <f>IF(ISNUMBER(_xlfn.XMATCH(Tabla3[[#This Row],[CodInternoArti]],'Tabla Articulos'!B:B)),"OK","NO ESTA")</f>
        <v>OK</v>
      </c>
      <c r="B23" s="38" t="str">
        <f>IF(ISNUMBER(_xlfn.XMATCH('Calcular necesidad'!E:E,'Necesidad por familia'!A:A)),"OK","NO ESTA")</f>
        <v>OK</v>
      </c>
      <c r="C23" s="17" t="s">
        <v>235</v>
      </c>
      <c r="D23" s="1" t="s">
        <v>236</v>
      </c>
      <c r="E23" s="1" t="str">
        <f>_xlfn.XLOOKUP(C23,'Tabla Articulos'!B:B,'Tabla Articulos'!D:D)</f>
        <v>ARRANQUE 15X20</v>
      </c>
      <c r="F23" s="1">
        <f>_xlfn.XLOOKUP(C23,'Tabla Articulos'!B:B,'Tabla Articulos'!E:E)</f>
        <v>1</v>
      </c>
      <c r="G23" s="15">
        <f>SUM(
    SUMIFS(MRP!$H$2:$H$221, MRP!$B$2:$B$221, $C23, MRP!$G$2:$G$221, G$1),
    SUMIFS(MRP!$I$2:$I$221, MRP!$B$2:$B$221, $C23, MRP!$G$2:$G$221, G$1),
    SUMIFS(MRP!$J$2:$J$221, MRP!$B$2:$B$221, $C23,  MRP!$G$2:$G$221, G$1),
    SUMIFS(MRP!$K$2:$K$221, MRP!$B$2:$B$221, $C23,  MRP!$G$2:$G$221, G$1),
    SUMIFS(MRP!$L$2:$L$221, MRP!$B$2:$B$221, $C23,  MRP!$G$2:$G$221, G$1)
)*F23</f>
        <v>0</v>
      </c>
      <c r="H23" s="15">
        <f>SUM(
    SUMIFS(MRP!$H$2:$H$221, MRP!$B$2:$B$221, $C23, MRP!$G$2:$G$221, H$1),
    SUMIFS(MRP!$I$2:$I$221, MRP!$B$2:$B$221, $C23, MRP!$G$2:$G$221, H$1),
    SUMIFS(MRP!$J$2:$J$221, MRP!$B$2:$B$221, $C23,  MRP!$G$2:$G$221, H$1),
    SUMIFS(MRP!$K$2:$K$221, MRP!$B$2:$B$221, $C23,  MRP!$G$2:$G$221, H$1),
    SUMIFS(MRP!$L$2:$L$221, MRP!$B$2:$B$221, $C23,  MRP!$G$2:$G$221, H$1)
)*F23</f>
        <v>191</v>
      </c>
      <c r="I23" s="15">
        <f>SUM(
    SUMIFS(MRP!$H$2:$H$221, MRP!$B$2:$B$221, $C23, MRP!$G$2:$G$221, I$1),
    SUMIFS(MRP!$I$2:$I$221, MRP!$B$2:$B$221, $C23, MRP!$G$2:$G$221, I$1),
    SUMIFS(MRP!$J$2:$J$221, MRP!$B$2:$B$221, $C23,  MRP!$G$2:$G$221, I$1),
    SUMIFS(MRP!$K$2:$K$221, MRP!$B$2:$B$221, $C23,  MRP!$G$2:$G$221, I$1),
    SUMIFS(MRP!$L$2:$L$221, MRP!$B$2:$B$221, $C23,  MRP!$G$2:$G$221, I$1)
)*F23</f>
        <v>0</v>
      </c>
      <c r="J23" s="15">
        <f>SUM(
    SUMIFS(MRP!$H$2:$H$221, MRP!$B$2:$B$221, $C23, MRP!$G$2:$G$221, J$1),
    SUMIFS(MRP!$I$2:$I$221, MRP!$B$2:$B$221, $C23, MRP!$G$2:$G$221, J$1),
    SUMIFS(MRP!$J$2:$J$221, MRP!$B$2:$B$221, $C23,  MRP!$G$2:$G$221, J$1),
    SUMIFS(MRP!$K$2:$K$221, MRP!$B$2:$B$221, $C23,  MRP!$G$2:$G$221, J$1),
    SUMIFS(MRP!$L$2:$L$221, MRP!$B$2:$B$221, $C23,  MRP!$G$2:$G$221, J$1)
)*F23</f>
        <v>0</v>
      </c>
      <c r="K23" s="15">
        <f>SUM(
    SUMIFS(MRP!$H$2:$H$221, MRP!$B$2:$B$221, $C23, MRP!$G$2:$G$221, K$1),
    SUMIFS(MRP!$I$2:$I$221, MRP!$B$2:$B$221, $C23, MRP!$G$2:$G$221, K$1),
    SUMIFS(MRP!$J$2:$J$221, MRP!$B$2:$B$221, $C23,  MRP!$G$2:$G$221, K$1),
    SUMIFS(MRP!$K$2:$K$221, MRP!$B$2:$B$221, $C23,  MRP!$G$2:$G$221, K$1),
    SUMIFS(MRP!$L$2:$L$221, MRP!$B$2:$B$221, $C23,  MRP!$G$2:$G$221, K$1)
)*F23</f>
        <v>0</v>
      </c>
      <c r="L23" s="55" t="str">
        <f>TRIM(Tabla3[[#This Row],[CodInternoArti]])</f>
        <v>16204014A</v>
      </c>
    </row>
    <row r="24" spans="1:12" hidden="1" x14ac:dyDescent="0.35">
      <c r="A24" s="38" t="str">
        <f>IF(ISNUMBER(_xlfn.XMATCH(Tabla3[[#This Row],[CodInternoArti]],'Tabla Articulos'!B:B)),"OK","NO ESTA")</f>
        <v>OK</v>
      </c>
      <c r="B24" s="38" t="str">
        <f>IF(ISNUMBER(_xlfn.XMATCH('Calcular necesidad'!E:E,'Necesidad por familia'!A:A)),"OK","NO ESTA")</f>
        <v>OK</v>
      </c>
      <c r="C24" s="17" t="s">
        <v>241</v>
      </c>
      <c r="D24" s="1" t="s">
        <v>242</v>
      </c>
      <c r="E24" s="1" t="str">
        <f>_xlfn.XLOOKUP(C24,'Tabla Articulos'!B:B,'Tabla Articulos'!D:D)</f>
        <v>ARRANQUE 40X60</v>
      </c>
      <c r="F24" s="1">
        <f>_xlfn.XLOOKUP(C24,'Tabla Articulos'!B:B,'Tabla Articulos'!E:E)</f>
        <v>1</v>
      </c>
      <c r="G24" s="15">
        <f>SUM(
    SUMIFS(MRP!$H$2:$H$221, MRP!$B$2:$B$221, $C24, MRP!$G$2:$G$221, G$1),
    SUMIFS(MRP!$I$2:$I$221, MRP!$B$2:$B$221, $C24, MRP!$G$2:$G$221, G$1),
    SUMIFS(MRP!$J$2:$J$221, MRP!$B$2:$B$221, $C24,  MRP!$G$2:$G$221, G$1),
    SUMIFS(MRP!$K$2:$K$221, MRP!$B$2:$B$221, $C24,  MRP!$G$2:$G$221, G$1),
    SUMIFS(MRP!$L$2:$L$221, MRP!$B$2:$B$221, $C24,  MRP!$G$2:$G$221, G$1)
)*F24</f>
        <v>0</v>
      </c>
      <c r="H24" s="15">
        <f>SUM(
    SUMIFS(MRP!$H$2:$H$221, MRP!$B$2:$B$221, $C24, MRP!$G$2:$G$221, H$1),
    SUMIFS(MRP!$I$2:$I$221, MRP!$B$2:$B$221, $C24, MRP!$G$2:$G$221, H$1),
    SUMIFS(MRP!$J$2:$J$221, MRP!$B$2:$B$221, $C24,  MRP!$G$2:$G$221, H$1),
    SUMIFS(MRP!$K$2:$K$221, MRP!$B$2:$B$221, $C24,  MRP!$G$2:$G$221, H$1),
    SUMIFS(MRP!$L$2:$L$221, MRP!$B$2:$B$221, $C24,  MRP!$G$2:$G$221, H$1)
)*F24</f>
        <v>161</v>
      </c>
      <c r="I24" s="15">
        <f>SUM(
    SUMIFS(MRP!$H$2:$H$221, MRP!$B$2:$B$221, $C24, MRP!$G$2:$G$221, I$1),
    SUMIFS(MRP!$I$2:$I$221, MRP!$B$2:$B$221, $C24, MRP!$G$2:$G$221, I$1),
    SUMIFS(MRP!$J$2:$J$221, MRP!$B$2:$B$221, $C24,  MRP!$G$2:$G$221, I$1),
    SUMIFS(MRP!$K$2:$K$221, MRP!$B$2:$B$221, $C24,  MRP!$G$2:$G$221, I$1),
    SUMIFS(MRP!$L$2:$L$221, MRP!$B$2:$B$221, $C24,  MRP!$G$2:$G$221, I$1)
)*F24</f>
        <v>0</v>
      </c>
      <c r="J24" s="15">
        <f>SUM(
    SUMIFS(MRP!$H$2:$H$221, MRP!$B$2:$B$221, $C24, MRP!$G$2:$G$221, J$1),
    SUMIFS(MRP!$I$2:$I$221, MRP!$B$2:$B$221, $C24, MRP!$G$2:$G$221, J$1),
    SUMIFS(MRP!$J$2:$J$221, MRP!$B$2:$B$221, $C24,  MRP!$G$2:$G$221, J$1),
    SUMIFS(MRP!$K$2:$K$221, MRP!$B$2:$B$221, $C24,  MRP!$G$2:$G$221, J$1),
    SUMIFS(MRP!$L$2:$L$221, MRP!$B$2:$B$221, $C24,  MRP!$G$2:$G$221, J$1)
)*F24</f>
        <v>0</v>
      </c>
      <c r="K24" s="15">
        <f>SUM(
    SUMIFS(MRP!$H$2:$H$221, MRP!$B$2:$B$221, $C24, MRP!$G$2:$G$221, K$1),
    SUMIFS(MRP!$I$2:$I$221, MRP!$B$2:$B$221, $C24, MRP!$G$2:$G$221, K$1),
    SUMIFS(MRP!$J$2:$J$221, MRP!$B$2:$B$221, $C24,  MRP!$G$2:$G$221, K$1),
    SUMIFS(MRP!$K$2:$K$221, MRP!$B$2:$B$221, $C24,  MRP!$G$2:$G$221, K$1),
    SUMIFS(MRP!$L$2:$L$221, MRP!$B$2:$B$221, $C24,  MRP!$G$2:$G$221, K$1)
)*F24</f>
        <v>0</v>
      </c>
      <c r="L24" s="55" t="str">
        <f>TRIM(Tabla3[[#This Row],[CodInternoArti]])</f>
        <v>EMB000036</v>
      </c>
    </row>
    <row r="25" spans="1:12" hidden="1" x14ac:dyDescent="0.35">
      <c r="A25" s="38" t="str">
        <f>IF(ISNUMBER(_xlfn.XMATCH(Tabla3[[#This Row],[CodInternoArti]],'Tabla Articulos'!B:B)),"OK","NO ESTA")</f>
        <v>OK</v>
      </c>
      <c r="B25" s="38" t="str">
        <f>IF(ISNUMBER(_xlfn.XMATCH('Calcular necesidad'!E:E,'Necesidad por familia'!A:A)),"OK","NO ESTA")</f>
        <v>OK</v>
      </c>
      <c r="C25" s="17" t="s">
        <v>308</v>
      </c>
      <c r="D25" s="1" t="s">
        <v>309</v>
      </c>
      <c r="E25" s="1" t="str">
        <f>_xlfn.XLOOKUP(C25,'Tabla Articulos'!B:B,'Tabla Articulos'!D:D)</f>
        <v>ESCARBADIENTE</v>
      </c>
      <c r="F25" s="1">
        <f>_xlfn.XLOOKUP(C25,'Tabla Articulos'!B:B,'Tabla Articulos'!E:E)</f>
        <v>1000</v>
      </c>
      <c r="G25" s="15">
        <f>SUM(
    SUMIFS(MRP!$H$2:$H$221, MRP!$B$2:$B$221, $C25, MRP!$G$2:$G$221, G$1),
    SUMIFS(MRP!$I$2:$I$221, MRP!$B$2:$B$221, $C25, MRP!$G$2:$G$221, G$1),
    SUMIFS(MRP!$J$2:$J$221, MRP!$B$2:$B$221, $C25,  MRP!$G$2:$G$221, G$1),
    SUMIFS(MRP!$K$2:$K$221, MRP!$B$2:$B$221, $C25,  MRP!$G$2:$G$221, G$1),
    SUMIFS(MRP!$L$2:$L$221, MRP!$B$2:$B$221, $C25,  MRP!$G$2:$G$221, G$1)
)*F25</f>
        <v>0</v>
      </c>
      <c r="H25" s="15">
        <f>SUM(
    SUMIFS(MRP!$H$2:$H$221, MRP!$B$2:$B$221, $C25, MRP!$G$2:$G$221, H$1),
    SUMIFS(MRP!$I$2:$I$221, MRP!$B$2:$B$221, $C25, MRP!$G$2:$G$221, H$1),
    SUMIFS(MRP!$J$2:$J$221, MRP!$B$2:$B$221, $C25,  MRP!$G$2:$G$221, H$1),
    SUMIFS(MRP!$K$2:$K$221, MRP!$B$2:$B$221, $C25,  MRP!$G$2:$G$221, H$1),
    SUMIFS(MRP!$L$2:$L$221, MRP!$B$2:$B$221, $C25,  MRP!$G$2:$G$221, H$1)
)*F25</f>
        <v>3000</v>
      </c>
      <c r="I25" s="15">
        <f>SUM(
    SUMIFS(MRP!$H$2:$H$221, MRP!$B$2:$B$221, $C25, MRP!$G$2:$G$221, I$1),
    SUMIFS(MRP!$I$2:$I$221, MRP!$B$2:$B$221, $C25, MRP!$G$2:$G$221, I$1),
    SUMIFS(MRP!$J$2:$J$221, MRP!$B$2:$B$221, $C25,  MRP!$G$2:$G$221, I$1),
    SUMIFS(MRP!$K$2:$K$221, MRP!$B$2:$B$221, $C25,  MRP!$G$2:$G$221, I$1),
    SUMIFS(MRP!$L$2:$L$221, MRP!$B$2:$B$221, $C25,  MRP!$G$2:$G$221, I$1)
)*F25</f>
        <v>0</v>
      </c>
      <c r="J25" s="15">
        <f>SUM(
    SUMIFS(MRP!$H$2:$H$221, MRP!$B$2:$B$221, $C25, MRP!$G$2:$G$221, J$1),
    SUMIFS(MRP!$I$2:$I$221, MRP!$B$2:$B$221, $C25, MRP!$G$2:$G$221, J$1),
    SUMIFS(MRP!$J$2:$J$221, MRP!$B$2:$B$221, $C25,  MRP!$G$2:$G$221, J$1),
    SUMIFS(MRP!$K$2:$K$221, MRP!$B$2:$B$221, $C25,  MRP!$G$2:$G$221, J$1),
    SUMIFS(MRP!$L$2:$L$221, MRP!$B$2:$B$221, $C25,  MRP!$G$2:$G$221, J$1)
)*F25</f>
        <v>0</v>
      </c>
      <c r="K25" s="15">
        <f>SUM(
    SUMIFS(MRP!$H$2:$H$221, MRP!$B$2:$B$221, $C25, MRP!$G$2:$G$221, K$1),
    SUMIFS(MRP!$I$2:$I$221, MRP!$B$2:$B$221, $C25, MRP!$G$2:$G$221, K$1),
    SUMIFS(MRP!$J$2:$J$221, MRP!$B$2:$B$221, $C25,  MRP!$G$2:$G$221, K$1),
    SUMIFS(MRP!$K$2:$K$221, MRP!$B$2:$B$221, $C25,  MRP!$G$2:$G$221, K$1),
    SUMIFS(MRP!$L$2:$L$221, MRP!$B$2:$B$221, $C25,  MRP!$G$2:$G$221, K$1)
)*F25</f>
        <v>0</v>
      </c>
      <c r="L25" s="55" t="str">
        <f>TRIM(Tabla3[[#This Row],[CodInternoArti]])</f>
        <v>13014007A</v>
      </c>
    </row>
    <row r="26" spans="1:12" hidden="1" x14ac:dyDescent="0.35">
      <c r="A26" s="38" t="str">
        <f>IF(ISNUMBER(_xlfn.XMATCH(Tabla3[[#This Row],[CodInternoArti]],'Tabla Articulos'!B:B)),"OK","NO ESTA")</f>
        <v>OK</v>
      </c>
      <c r="B26" s="38" t="str">
        <f>IF(ISNUMBER(_xlfn.XMATCH('Calcular necesidad'!E:E,'Necesidad por familia'!A:A)),"OK","NO ESTA")</f>
        <v>OK</v>
      </c>
      <c r="C26" s="17" t="s">
        <v>263</v>
      </c>
      <c r="D26" s="1" t="s">
        <v>264</v>
      </c>
      <c r="E26" s="1" t="str">
        <f>_xlfn.XLOOKUP(C26,'Tabla Articulos'!B:B,'Tabla Articulos'!D:D)</f>
        <v>ROLLO ALUMINIO 40</v>
      </c>
      <c r="F26" s="1">
        <f>_xlfn.XLOOKUP(C26,'Tabla Articulos'!B:B,'Tabla Articulos'!E:E)</f>
        <v>1</v>
      </c>
      <c r="G26" s="15">
        <f>SUM(
    SUMIFS(MRP!$H$2:$H$221, MRP!$B$2:$B$221, $C26, MRP!$G$2:$G$221, G$1),
    SUMIFS(MRP!$I$2:$I$221, MRP!$B$2:$B$221, $C26, MRP!$G$2:$G$221, G$1),
    SUMIFS(MRP!$J$2:$J$221, MRP!$B$2:$B$221, $C26,  MRP!$G$2:$G$221, G$1),
    SUMIFS(MRP!$K$2:$K$221, MRP!$B$2:$B$221, $C26,  MRP!$G$2:$G$221, G$1),
    SUMIFS(MRP!$L$2:$L$221, MRP!$B$2:$B$221, $C26,  MRP!$G$2:$G$221, G$1)
)*F26</f>
        <v>0</v>
      </c>
      <c r="H26" s="15">
        <f>SUM(
    SUMIFS(MRP!$H$2:$H$221, MRP!$B$2:$B$221, $C26, MRP!$G$2:$G$221, H$1),
    SUMIFS(MRP!$I$2:$I$221, MRP!$B$2:$B$221, $C26, MRP!$G$2:$G$221, H$1),
    SUMIFS(MRP!$J$2:$J$221, MRP!$B$2:$B$221, $C26,  MRP!$G$2:$G$221, H$1),
    SUMIFS(MRP!$K$2:$K$221, MRP!$B$2:$B$221, $C26,  MRP!$G$2:$G$221, H$1),
    SUMIFS(MRP!$L$2:$L$221, MRP!$B$2:$B$221, $C26,  MRP!$G$2:$G$221, H$1)
)*F26</f>
        <v>46</v>
      </c>
      <c r="I26" s="15">
        <f>SUM(
    SUMIFS(MRP!$H$2:$H$221, MRP!$B$2:$B$221, $C26, MRP!$G$2:$G$221, I$1),
    SUMIFS(MRP!$I$2:$I$221, MRP!$B$2:$B$221, $C26, MRP!$G$2:$G$221, I$1),
    SUMIFS(MRP!$J$2:$J$221, MRP!$B$2:$B$221, $C26,  MRP!$G$2:$G$221, I$1),
    SUMIFS(MRP!$K$2:$K$221, MRP!$B$2:$B$221, $C26,  MRP!$G$2:$G$221, I$1),
    SUMIFS(MRP!$L$2:$L$221, MRP!$B$2:$B$221, $C26,  MRP!$G$2:$G$221, I$1)
)*F26</f>
        <v>0</v>
      </c>
      <c r="J26" s="15">
        <f>SUM(
    SUMIFS(MRP!$H$2:$H$221, MRP!$B$2:$B$221, $C26, MRP!$G$2:$G$221, J$1),
    SUMIFS(MRP!$I$2:$I$221, MRP!$B$2:$B$221, $C26, MRP!$G$2:$G$221, J$1),
    SUMIFS(MRP!$J$2:$J$221, MRP!$B$2:$B$221, $C26,  MRP!$G$2:$G$221, J$1),
    SUMIFS(MRP!$K$2:$K$221, MRP!$B$2:$B$221, $C26,  MRP!$G$2:$G$221, J$1),
    SUMIFS(MRP!$L$2:$L$221, MRP!$B$2:$B$221, $C26,  MRP!$G$2:$G$221, J$1)
)*F26</f>
        <v>0</v>
      </c>
      <c r="K26" s="15">
        <f>SUM(
    SUMIFS(MRP!$H$2:$H$221, MRP!$B$2:$B$221, $C26, MRP!$G$2:$G$221, K$1),
    SUMIFS(MRP!$I$2:$I$221, MRP!$B$2:$B$221, $C26, MRP!$G$2:$G$221, K$1),
    SUMIFS(MRP!$J$2:$J$221, MRP!$B$2:$B$221, $C26,  MRP!$G$2:$G$221, K$1),
    SUMIFS(MRP!$K$2:$K$221, MRP!$B$2:$B$221, $C26,  MRP!$G$2:$G$221, K$1),
    SUMIFS(MRP!$L$2:$L$221, MRP!$B$2:$B$221, $C26,  MRP!$G$2:$G$221, K$1)
)*F26</f>
        <v>0</v>
      </c>
      <c r="L26" s="55" t="str">
        <f>TRIM(Tabla3[[#This Row],[CodInternoArti]])</f>
        <v>17146007A</v>
      </c>
    </row>
    <row r="27" spans="1:12" hidden="1" x14ac:dyDescent="0.35">
      <c r="A27" s="38" t="str">
        <f>IF(ISNUMBER(_xlfn.XMATCH(Tabla3[[#This Row],[CodInternoArti]],'Tabla Articulos'!B:B)),"OK","NO ESTA")</f>
        <v>OK</v>
      </c>
      <c r="B27" s="38" t="str">
        <f>IF(ISNUMBER(_xlfn.XMATCH('Calcular necesidad'!E:E,'Necesidad por familia'!A:A)),"OK","NO ESTA")</f>
        <v>OK</v>
      </c>
      <c r="C27" s="17" t="s">
        <v>254</v>
      </c>
      <c r="D27" s="1" t="s">
        <v>255</v>
      </c>
      <c r="E27" s="1" t="str">
        <f>_xlfn.XLOOKUP(C27,'Tabla Articulos'!B:B,'Tabla Articulos'!D:D)</f>
        <v>ARRANQUE 40X60</v>
      </c>
      <c r="F27" s="1">
        <f>_xlfn.XLOOKUP(C27,'Tabla Articulos'!B:B,'Tabla Articulos'!E:E)</f>
        <v>1</v>
      </c>
      <c r="G27" s="15">
        <f>SUM(
    SUMIFS(MRP!$H$2:$H$221, MRP!$B$2:$B$221, $C27, MRP!$G$2:$G$221, G$1),
    SUMIFS(MRP!$I$2:$I$221, MRP!$B$2:$B$221, $C27, MRP!$G$2:$G$221, G$1),
    SUMIFS(MRP!$J$2:$J$221, MRP!$B$2:$B$221, $C27,  MRP!$G$2:$G$221, G$1),
    SUMIFS(MRP!$K$2:$K$221, MRP!$B$2:$B$221, $C27,  MRP!$G$2:$G$221, G$1),
    SUMIFS(MRP!$L$2:$L$221, MRP!$B$2:$B$221, $C27,  MRP!$G$2:$G$221, G$1)
)*F27</f>
        <v>0</v>
      </c>
      <c r="H27" s="15">
        <f>SUM(
    SUMIFS(MRP!$H$2:$H$221, MRP!$B$2:$B$221, $C27, MRP!$G$2:$G$221, H$1),
    SUMIFS(MRP!$I$2:$I$221, MRP!$B$2:$B$221, $C27, MRP!$G$2:$G$221, H$1),
    SUMIFS(MRP!$J$2:$J$221, MRP!$B$2:$B$221, $C27,  MRP!$G$2:$G$221, H$1),
    SUMIFS(MRP!$K$2:$K$221, MRP!$B$2:$B$221, $C27,  MRP!$G$2:$G$221, H$1),
    SUMIFS(MRP!$L$2:$L$221, MRP!$B$2:$B$221, $C27,  MRP!$G$2:$G$221, H$1)
)*F27</f>
        <v>33</v>
      </c>
      <c r="I27" s="15">
        <f>SUM(
    SUMIFS(MRP!$H$2:$H$221, MRP!$B$2:$B$221, $C27, MRP!$G$2:$G$221, I$1),
    SUMIFS(MRP!$I$2:$I$221, MRP!$B$2:$B$221, $C27, MRP!$G$2:$G$221, I$1),
    SUMIFS(MRP!$J$2:$J$221, MRP!$B$2:$B$221, $C27,  MRP!$G$2:$G$221, I$1),
    SUMIFS(MRP!$K$2:$K$221, MRP!$B$2:$B$221, $C27,  MRP!$G$2:$G$221, I$1),
    SUMIFS(MRP!$L$2:$L$221, MRP!$B$2:$B$221, $C27,  MRP!$G$2:$G$221, I$1)
)*F27</f>
        <v>0</v>
      </c>
      <c r="J27" s="15">
        <f>SUM(
    SUMIFS(MRP!$H$2:$H$221, MRP!$B$2:$B$221, $C27, MRP!$G$2:$G$221, J$1),
    SUMIFS(MRP!$I$2:$I$221, MRP!$B$2:$B$221, $C27, MRP!$G$2:$G$221, J$1),
    SUMIFS(MRP!$J$2:$J$221, MRP!$B$2:$B$221, $C27,  MRP!$G$2:$G$221, J$1),
    SUMIFS(MRP!$K$2:$K$221, MRP!$B$2:$B$221, $C27,  MRP!$G$2:$G$221, J$1),
    SUMIFS(MRP!$L$2:$L$221, MRP!$B$2:$B$221, $C27,  MRP!$G$2:$G$221, J$1)
)*F27</f>
        <v>0</v>
      </c>
      <c r="K27" s="15">
        <f>SUM(
    SUMIFS(MRP!$H$2:$H$221, MRP!$B$2:$B$221, $C27, MRP!$G$2:$G$221, K$1),
    SUMIFS(MRP!$I$2:$I$221, MRP!$B$2:$B$221, $C27, MRP!$G$2:$G$221, K$1),
    SUMIFS(MRP!$J$2:$J$221, MRP!$B$2:$B$221, $C27,  MRP!$G$2:$G$221, K$1),
    SUMIFS(MRP!$K$2:$K$221, MRP!$B$2:$B$221, $C27,  MRP!$G$2:$G$221, K$1),
    SUMIFS(MRP!$L$2:$L$221, MRP!$B$2:$B$221, $C27,  MRP!$G$2:$G$221, K$1)
)*F27</f>
        <v>0</v>
      </c>
      <c r="L27" s="55" t="str">
        <f>TRIM(Tabla3[[#This Row],[CodInternoArti]])</f>
        <v>EMB000037</v>
      </c>
    </row>
    <row r="28" spans="1:12" hidden="1" x14ac:dyDescent="0.35">
      <c r="A28" s="38" t="str">
        <f>IF(ISNUMBER(_xlfn.XMATCH(Tabla3[[#This Row],[CodInternoArti]],'Tabla Articulos'!B:B)),"OK","NO ESTA")</f>
        <v>OK</v>
      </c>
      <c r="B28" s="38" t="str">
        <f>IF(ISNUMBER(_xlfn.XMATCH('Calcular necesidad'!E:E,'Necesidad por familia'!A:A)),"OK","NO ESTA")</f>
        <v>OK</v>
      </c>
      <c r="C28" s="17" t="s">
        <v>298</v>
      </c>
      <c r="D28" s="1" t="s">
        <v>299</v>
      </c>
      <c r="E28" s="1" t="str">
        <f>_xlfn.XLOOKUP(C28,'Tabla Articulos'!B:B,'Tabla Articulos'!D:D)</f>
        <v>ARRANQUE 60X90</v>
      </c>
      <c r="F28" s="1">
        <f>_xlfn.XLOOKUP(C28,'Tabla Articulos'!B:B,'Tabla Articulos'!E:E)</f>
        <v>1</v>
      </c>
      <c r="G28" s="15">
        <f>SUM(
    SUMIFS(MRP!$H$2:$H$221, MRP!$B$2:$B$221, $C28, MRP!$G$2:$G$221, G$1),
    SUMIFS(MRP!$I$2:$I$221, MRP!$B$2:$B$221, $C28, MRP!$G$2:$G$221, G$1),
    SUMIFS(MRP!$J$2:$J$221, MRP!$B$2:$B$221, $C28,  MRP!$G$2:$G$221, G$1),
    SUMIFS(MRP!$K$2:$K$221, MRP!$B$2:$B$221, $C28,  MRP!$G$2:$G$221, G$1),
    SUMIFS(MRP!$L$2:$L$221, MRP!$B$2:$B$221, $C28,  MRP!$G$2:$G$221, G$1)
)*F28</f>
        <v>0</v>
      </c>
      <c r="H28" s="15">
        <f>SUM(
    SUMIFS(MRP!$H$2:$H$221, MRP!$B$2:$B$221, $C28, MRP!$G$2:$G$221, H$1),
    SUMIFS(MRP!$I$2:$I$221, MRP!$B$2:$B$221, $C28, MRP!$G$2:$G$221, H$1),
    SUMIFS(MRP!$J$2:$J$221, MRP!$B$2:$B$221, $C28,  MRP!$G$2:$G$221, H$1),
    SUMIFS(MRP!$K$2:$K$221, MRP!$B$2:$B$221, $C28,  MRP!$G$2:$G$221, H$1),
    SUMIFS(MRP!$L$2:$L$221, MRP!$B$2:$B$221, $C28,  MRP!$G$2:$G$221, H$1)
)*F28</f>
        <v>106</v>
      </c>
      <c r="I28" s="15">
        <f>SUM(
    SUMIFS(MRP!$H$2:$H$221, MRP!$B$2:$B$221, $C28, MRP!$G$2:$G$221, I$1),
    SUMIFS(MRP!$I$2:$I$221, MRP!$B$2:$B$221, $C28, MRP!$G$2:$G$221, I$1),
    SUMIFS(MRP!$J$2:$J$221, MRP!$B$2:$B$221, $C28,  MRP!$G$2:$G$221, I$1),
    SUMIFS(MRP!$K$2:$K$221, MRP!$B$2:$B$221, $C28,  MRP!$G$2:$G$221, I$1),
    SUMIFS(MRP!$L$2:$L$221, MRP!$B$2:$B$221, $C28,  MRP!$G$2:$G$221, I$1)
)*F28</f>
        <v>0</v>
      </c>
      <c r="J28" s="15">
        <f>SUM(
    SUMIFS(MRP!$H$2:$H$221, MRP!$B$2:$B$221, $C28, MRP!$G$2:$G$221, J$1),
    SUMIFS(MRP!$I$2:$I$221, MRP!$B$2:$B$221, $C28, MRP!$G$2:$G$221, J$1),
    SUMIFS(MRP!$J$2:$J$221, MRP!$B$2:$B$221, $C28,  MRP!$G$2:$G$221, J$1),
    SUMIFS(MRP!$K$2:$K$221, MRP!$B$2:$B$221, $C28,  MRP!$G$2:$G$221, J$1),
    SUMIFS(MRP!$L$2:$L$221, MRP!$B$2:$B$221, $C28,  MRP!$G$2:$G$221, J$1)
)*F28</f>
        <v>0</v>
      </c>
      <c r="K28" s="15">
        <f>SUM(
    SUMIFS(MRP!$H$2:$H$221, MRP!$B$2:$B$221, $C28, MRP!$G$2:$G$221, K$1),
    SUMIFS(MRP!$I$2:$I$221, MRP!$B$2:$B$221, $C28, MRP!$G$2:$G$221, K$1),
    SUMIFS(MRP!$J$2:$J$221, MRP!$B$2:$B$221, $C28,  MRP!$G$2:$G$221, K$1),
    SUMIFS(MRP!$K$2:$K$221, MRP!$B$2:$B$221, $C28,  MRP!$G$2:$G$221, K$1),
    SUMIFS(MRP!$L$2:$L$221, MRP!$B$2:$B$221, $C28,  MRP!$G$2:$G$221, K$1)
)*F28</f>
        <v>0</v>
      </c>
      <c r="L28" s="55" t="str">
        <f>TRIM(Tabla3[[#This Row],[CodInternoArti]])</f>
        <v>EMB000038</v>
      </c>
    </row>
    <row r="29" spans="1:12" hidden="1" x14ac:dyDescent="0.35">
      <c r="A29" s="38" t="str">
        <f>IF(ISNUMBER(_xlfn.XMATCH(Tabla3[[#This Row],[CodInternoArti]],'Tabla Articulos'!B:B)),"OK","NO ESTA")</f>
        <v>OK</v>
      </c>
      <c r="B29" s="38" t="str">
        <f>IF(ISNUMBER(_xlfn.XMATCH('Calcular necesidad'!E:E,'Necesidad por familia'!A:A)),"OK","NO ESTA")</f>
        <v>OK</v>
      </c>
      <c r="C29" s="17" t="s">
        <v>294</v>
      </c>
      <c r="D29" s="1" t="s">
        <v>295</v>
      </c>
      <c r="E29" s="1" t="str">
        <f>_xlfn.XLOOKUP(C29,'Tabla Articulos'!B:B,'Tabla Articulos'!D:D)</f>
        <v>BARBIJO QUIRURGICO</v>
      </c>
      <c r="F29" s="1">
        <f>_xlfn.XLOOKUP(C29,'Tabla Articulos'!B:B,'Tabla Articulos'!E:E)</f>
        <v>100</v>
      </c>
      <c r="G29" s="15">
        <f>SUM(
    SUMIFS(MRP!$H$2:$H$221, MRP!$B$2:$B$221, $C29, MRP!$G$2:$G$221, G$1),
    SUMIFS(MRP!$I$2:$I$221, MRP!$B$2:$B$221, $C29, MRP!$G$2:$G$221, G$1),
    SUMIFS(MRP!$J$2:$J$221, MRP!$B$2:$B$221, $C29,  MRP!$G$2:$G$221, G$1),
    SUMIFS(MRP!$K$2:$K$221, MRP!$B$2:$B$221, $C29,  MRP!$G$2:$G$221, G$1),
    SUMIFS(MRP!$L$2:$L$221, MRP!$B$2:$B$221, $C29,  MRP!$G$2:$G$221, G$1)
)*F29</f>
        <v>0</v>
      </c>
      <c r="H29" s="15">
        <f>SUM(
    SUMIFS(MRP!$H$2:$H$221, MRP!$B$2:$B$221, $C29, MRP!$G$2:$G$221, H$1),
    SUMIFS(MRP!$I$2:$I$221, MRP!$B$2:$B$221, $C29, MRP!$G$2:$G$221, H$1),
    SUMIFS(MRP!$J$2:$J$221, MRP!$B$2:$B$221, $C29,  MRP!$G$2:$G$221, H$1),
    SUMIFS(MRP!$K$2:$K$221, MRP!$B$2:$B$221, $C29,  MRP!$G$2:$G$221, H$1),
    SUMIFS(MRP!$L$2:$L$221, MRP!$B$2:$B$221, $C29,  MRP!$G$2:$G$221, H$1)
)*F29</f>
        <v>2300</v>
      </c>
      <c r="I29" s="15">
        <f>SUM(
    SUMIFS(MRP!$H$2:$H$221, MRP!$B$2:$B$221, $C29, MRP!$G$2:$G$221, I$1),
    SUMIFS(MRP!$I$2:$I$221, MRP!$B$2:$B$221, $C29, MRP!$G$2:$G$221, I$1),
    SUMIFS(MRP!$J$2:$J$221, MRP!$B$2:$B$221, $C29,  MRP!$G$2:$G$221, I$1),
    SUMIFS(MRP!$K$2:$K$221, MRP!$B$2:$B$221, $C29,  MRP!$G$2:$G$221, I$1),
    SUMIFS(MRP!$L$2:$L$221, MRP!$B$2:$B$221, $C29,  MRP!$G$2:$G$221, I$1)
)*F29</f>
        <v>0</v>
      </c>
      <c r="J29" s="15">
        <f>SUM(
    SUMIFS(MRP!$H$2:$H$221, MRP!$B$2:$B$221, $C29, MRP!$G$2:$G$221, J$1),
    SUMIFS(MRP!$I$2:$I$221, MRP!$B$2:$B$221, $C29, MRP!$G$2:$G$221, J$1),
    SUMIFS(MRP!$J$2:$J$221, MRP!$B$2:$B$221, $C29,  MRP!$G$2:$G$221, J$1),
    SUMIFS(MRP!$K$2:$K$221, MRP!$B$2:$B$221, $C29,  MRP!$G$2:$G$221, J$1),
    SUMIFS(MRP!$L$2:$L$221, MRP!$B$2:$B$221, $C29,  MRP!$G$2:$G$221, J$1)
)*F29</f>
        <v>0</v>
      </c>
      <c r="K29" s="15">
        <f>SUM(
    SUMIFS(MRP!$H$2:$H$221, MRP!$B$2:$B$221, $C29, MRP!$G$2:$G$221, K$1),
    SUMIFS(MRP!$I$2:$I$221, MRP!$B$2:$B$221, $C29, MRP!$G$2:$G$221, K$1),
    SUMIFS(MRP!$J$2:$J$221, MRP!$B$2:$B$221, $C29,  MRP!$G$2:$G$221, K$1),
    SUMIFS(MRP!$K$2:$K$221, MRP!$B$2:$B$221, $C29,  MRP!$G$2:$G$221, K$1),
    SUMIFS(MRP!$L$2:$L$221, MRP!$B$2:$B$221, $C29,  MRP!$G$2:$G$221, K$1)
)*F29</f>
        <v>0</v>
      </c>
      <c r="L29" s="55" t="str">
        <f>TRIM(Tabla3[[#This Row],[CodInternoArti]])</f>
        <v>LIM000324</v>
      </c>
    </row>
    <row r="30" spans="1:12" hidden="1" x14ac:dyDescent="0.35">
      <c r="A30" s="38" t="str">
        <f>IF(ISNUMBER(_xlfn.XMATCH(Tabla3[[#This Row],[CodInternoArti]],'Tabla Articulos'!B:B)),"OK","NO ESTA")</f>
        <v>OK</v>
      </c>
      <c r="B30" s="38" t="str">
        <f>IF(ISNUMBER(_xlfn.XMATCH('Calcular necesidad'!E:E,'Necesidad por familia'!A:A)),"OK","NO ESTA")</f>
        <v>OK</v>
      </c>
      <c r="C30" s="17" t="s">
        <v>256</v>
      </c>
      <c r="D30" s="1" t="s">
        <v>257</v>
      </c>
      <c r="E30" s="1" t="str">
        <f>_xlfn.XLOOKUP(C30,'Tabla Articulos'!B:B,'Tabla Articulos'!D:D)</f>
        <v>GUANTE PROPILENO</v>
      </c>
      <c r="F30" s="1">
        <f>_xlfn.XLOOKUP(C30,'Tabla Articulos'!B:B,'Tabla Articulos'!E:E)</f>
        <v>100</v>
      </c>
      <c r="G30" s="15">
        <f>SUM(
    SUMIFS(MRP!$H$2:$H$221, MRP!$B$2:$B$221, $C30, MRP!$G$2:$G$221, G$1),
    SUMIFS(MRP!$I$2:$I$221, MRP!$B$2:$B$221, $C30, MRP!$G$2:$G$221, G$1),
    SUMIFS(MRP!$J$2:$J$221, MRP!$B$2:$B$221, $C30,  MRP!$G$2:$G$221, G$1),
    SUMIFS(MRP!$K$2:$K$221, MRP!$B$2:$B$221, $C30,  MRP!$G$2:$G$221, G$1),
    SUMIFS(MRP!$L$2:$L$221, MRP!$B$2:$B$221, $C30,  MRP!$G$2:$G$221, G$1)
)*F30</f>
        <v>0</v>
      </c>
      <c r="H30" s="15">
        <f>SUM(
    SUMIFS(MRP!$H$2:$H$221, MRP!$B$2:$B$221, $C30, MRP!$G$2:$G$221, H$1),
    SUMIFS(MRP!$I$2:$I$221, MRP!$B$2:$B$221, $C30, MRP!$G$2:$G$221, H$1),
    SUMIFS(MRP!$J$2:$J$221, MRP!$B$2:$B$221, $C30,  MRP!$G$2:$G$221, H$1),
    SUMIFS(MRP!$K$2:$K$221, MRP!$B$2:$B$221, $C30,  MRP!$G$2:$G$221, H$1),
    SUMIFS(MRP!$L$2:$L$221, MRP!$B$2:$B$221, $C30,  MRP!$G$2:$G$221, H$1)
)*F30</f>
        <v>2600</v>
      </c>
      <c r="I30" s="15">
        <f>SUM(
    SUMIFS(MRP!$H$2:$H$221, MRP!$B$2:$B$221, $C30, MRP!$G$2:$G$221, I$1),
    SUMIFS(MRP!$I$2:$I$221, MRP!$B$2:$B$221, $C30, MRP!$G$2:$G$221, I$1),
    SUMIFS(MRP!$J$2:$J$221, MRP!$B$2:$B$221, $C30,  MRP!$G$2:$G$221, I$1),
    SUMIFS(MRP!$K$2:$K$221, MRP!$B$2:$B$221, $C30,  MRP!$G$2:$G$221, I$1),
    SUMIFS(MRP!$L$2:$L$221, MRP!$B$2:$B$221, $C30,  MRP!$G$2:$G$221, I$1)
)*F30</f>
        <v>0</v>
      </c>
      <c r="J30" s="15">
        <f>SUM(
    SUMIFS(MRP!$H$2:$H$221, MRP!$B$2:$B$221, $C30, MRP!$G$2:$G$221, J$1),
    SUMIFS(MRP!$I$2:$I$221, MRP!$B$2:$B$221, $C30, MRP!$G$2:$G$221, J$1),
    SUMIFS(MRP!$J$2:$J$221, MRP!$B$2:$B$221, $C30,  MRP!$G$2:$G$221, J$1),
    SUMIFS(MRP!$K$2:$K$221, MRP!$B$2:$B$221, $C30,  MRP!$G$2:$G$221, J$1),
    SUMIFS(MRP!$L$2:$L$221, MRP!$B$2:$B$221, $C30,  MRP!$G$2:$G$221, J$1)
)*F30</f>
        <v>0</v>
      </c>
      <c r="K30" s="15">
        <f>SUM(
    SUMIFS(MRP!$H$2:$H$221, MRP!$B$2:$B$221, $C30, MRP!$G$2:$G$221, K$1),
    SUMIFS(MRP!$I$2:$I$221, MRP!$B$2:$B$221, $C30, MRP!$G$2:$G$221, K$1),
    SUMIFS(MRP!$J$2:$J$221, MRP!$B$2:$B$221, $C30,  MRP!$G$2:$G$221, K$1),
    SUMIFS(MRP!$K$2:$K$221, MRP!$B$2:$B$221, $C30,  MRP!$G$2:$G$221, K$1),
    SUMIFS(MRP!$L$2:$L$221, MRP!$B$2:$B$221, $C30,  MRP!$G$2:$G$221, K$1)
)*F30</f>
        <v>0</v>
      </c>
      <c r="L30" s="55" t="str">
        <f>TRIM(Tabla3[[#This Row],[CodInternoArti]])</f>
        <v>17030002A</v>
      </c>
    </row>
    <row r="31" spans="1:12" hidden="1" x14ac:dyDescent="0.35">
      <c r="A31" s="38" t="str">
        <f>IF(ISNUMBER(_xlfn.XMATCH(Tabla3[[#This Row],[CodInternoArti]],'Tabla Articulos'!B:B)),"OK","NO ESTA")</f>
        <v>OK</v>
      </c>
      <c r="B31" s="38" t="str">
        <f>IF(ISNUMBER(_xlfn.XMATCH('Calcular necesidad'!E:E,'Necesidad por familia'!A:A)),"OK","NO ESTA")</f>
        <v>OK</v>
      </c>
      <c r="C31" s="17" t="s">
        <v>243</v>
      </c>
      <c r="D31" s="1" t="s">
        <v>244</v>
      </c>
      <c r="E31" s="1" t="str">
        <f>_xlfn.XLOOKUP(C31,'Tabla Articulos'!B:B,'Tabla Articulos'!D:D)</f>
        <v>ROLLO ALUMINIO 40</v>
      </c>
      <c r="F31" s="1">
        <f>_xlfn.XLOOKUP(C31,'Tabla Articulos'!B:B,'Tabla Articulos'!E:E)</f>
        <v>1</v>
      </c>
      <c r="G31" s="15">
        <f>SUM(
    SUMIFS(MRP!$H$2:$H$221, MRP!$B$2:$B$221, $C31, MRP!$G$2:$G$221, G$1),
    SUMIFS(MRP!$I$2:$I$221, MRP!$B$2:$B$221, $C31, MRP!$G$2:$G$221, G$1),
    SUMIFS(MRP!$J$2:$J$221, MRP!$B$2:$B$221, $C31,  MRP!$G$2:$G$221, G$1),
    SUMIFS(MRP!$K$2:$K$221, MRP!$B$2:$B$221, $C31,  MRP!$G$2:$G$221, G$1),
    SUMIFS(MRP!$L$2:$L$221, MRP!$B$2:$B$221, $C31,  MRP!$G$2:$G$221, G$1)
)*F31</f>
        <v>0</v>
      </c>
      <c r="H31" s="15">
        <f>SUM(
    SUMIFS(MRP!$H$2:$H$221, MRP!$B$2:$B$221, $C31, MRP!$G$2:$G$221, H$1),
    SUMIFS(MRP!$I$2:$I$221, MRP!$B$2:$B$221, $C31, MRP!$G$2:$G$221, H$1),
    SUMIFS(MRP!$J$2:$J$221, MRP!$B$2:$B$221, $C31,  MRP!$G$2:$G$221, H$1),
    SUMIFS(MRP!$K$2:$K$221, MRP!$B$2:$B$221, $C31,  MRP!$G$2:$G$221, H$1),
    SUMIFS(MRP!$L$2:$L$221, MRP!$B$2:$B$221, $C31,  MRP!$G$2:$G$221, H$1)
)*F31</f>
        <v>6</v>
      </c>
      <c r="I31" s="15">
        <f>SUM(
    SUMIFS(MRP!$H$2:$H$221, MRP!$B$2:$B$221, $C31, MRP!$G$2:$G$221, I$1),
    SUMIFS(MRP!$I$2:$I$221, MRP!$B$2:$B$221, $C31, MRP!$G$2:$G$221, I$1),
    SUMIFS(MRP!$J$2:$J$221, MRP!$B$2:$B$221, $C31,  MRP!$G$2:$G$221, I$1),
    SUMIFS(MRP!$K$2:$K$221, MRP!$B$2:$B$221, $C31,  MRP!$G$2:$G$221, I$1),
    SUMIFS(MRP!$L$2:$L$221, MRP!$B$2:$B$221, $C31,  MRP!$G$2:$G$221, I$1)
)*F31</f>
        <v>0</v>
      </c>
      <c r="J31" s="15">
        <f>SUM(
    SUMIFS(MRP!$H$2:$H$221, MRP!$B$2:$B$221, $C31, MRP!$G$2:$G$221, J$1),
    SUMIFS(MRP!$I$2:$I$221, MRP!$B$2:$B$221, $C31, MRP!$G$2:$G$221, J$1),
    SUMIFS(MRP!$J$2:$J$221, MRP!$B$2:$B$221, $C31,  MRP!$G$2:$G$221, J$1),
    SUMIFS(MRP!$K$2:$K$221, MRP!$B$2:$B$221, $C31,  MRP!$G$2:$G$221, J$1),
    SUMIFS(MRP!$L$2:$L$221, MRP!$B$2:$B$221, $C31,  MRP!$G$2:$G$221, J$1)
)*F31</f>
        <v>0</v>
      </c>
      <c r="K31" s="15">
        <f>SUM(
    SUMIFS(MRP!$H$2:$H$221, MRP!$B$2:$B$221, $C31, MRP!$G$2:$G$221, K$1),
    SUMIFS(MRP!$I$2:$I$221, MRP!$B$2:$B$221, $C31, MRP!$G$2:$G$221, K$1),
    SUMIFS(MRP!$J$2:$J$221, MRP!$B$2:$B$221, $C31,  MRP!$G$2:$G$221, K$1),
    SUMIFS(MRP!$K$2:$K$221, MRP!$B$2:$B$221, $C31,  MRP!$G$2:$G$221, K$1),
    SUMIFS(MRP!$L$2:$L$221, MRP!$B$2:$B$221, $C31,  MRP!$G$2:$G$221, K$1)
)*F31</f>
        <v>0</v>
      </c>
      <c r="L31" s="55" t="str">
        <f>TRIM(Tabla3[[#This Row],[CodInternoArti]])</f>
        <v>LIM000155</v>
      </c>
    </row>
    <row r="32" spans="1:12" hidden="1" x14ac:dyDescent="0.35">
      <c r="A32" s="38" t="str">
        <f>IF(ISNUMBER(_xlfn.XMATCH(Tabla3[[#This Row],[CodInternoArti]],'Tabla Articulos'!B:B)),"OK","NO ESTA")</f>
        <v>OK</v>
      </c>
      <c r="B32" s="38" t="str">
        <f>IF(ISNUMBER(_xlfn.XMATCH('Calcular necesidad'!E:E,'Necesidad por familia'!A:A)),"OK","NO ESTA")</f>
        <v>OK</v>
      </c>
      <c r="C32" s="17" t="s">
        <v>341</v>
      </c>
      <c r="D32" s="1" t="s">
        <v>342</v>
      </c>
      <c r="E32" s="1" t="str">
        <f>_xlfn.XLOOKUP(C32,'Tabla Articulos'!B:B,'Tabla Articulos'!D:D)</f>
        <v>BOLSA PAPEL MADERA</v>
      </c>
      <c r="F32" s="1">
        <f>_xlfn.XLOOKUP(C32,'Tabla Articulos'!B:B,'Tabla Articulos'!E:E)</f>
        <v>100</v>
      </c>
      <c r="G32" s="15">
        <f>SUM(
    SUMIFS(MRP!$H$2:$H$221, MRP!$B$2:$B$221, $C32, MRP!$G$2:$G$221, G$1),
    SUMIFS(MRP!$I$2:$I$221, MRP!$B$2:$B$221, $C32, MRP!$G$2:$G$221, G$1),
    SUMIFS(MRP!$J$2:$J$221, MRP!$B$2:$B$221, $C32,  MRP!$G$2:$G$221, G$1),
    SUMIFS(MRP!$K$2:$K$221, MRP!$B$2:$B$221, $C32,  MRP!$G$2:$G$221, G$1),
    SUMIFS(MRP!$L$2:$L$221, MRP!$B$2:$B$221, $C32,  MRP!$G$2:$G$221, G$1)
)*F32</f>
        <v>0</v>
      </c>
      <c r="H32" s="15">
        <f>SUM(
    SUMIFS(MRP!$H$2:$H$221, MRP!$B$2:$B$221, $C32, MRP!$G$2:$G$221, H$1),
    SUMIFS(MRP!$I$2:$I$221, MRP!$B$2:$B$221, $C32, MRP!$G$2:$G$221, H$1),
    SUMIFS(MRP!$J$2:$J$221, MRP!$B$2:$B$221, $C32,  MRP!$G$2:$G$221, H$1),
    SUMIFS(MRP!$K$2:$K$221, MRP!$B$2:$B$221, $C32,  MRP!$G$2:$G$221, H$1),
    SUMIFS(MRP!$L$2:$L$221, MRP!$B$2:$B$221, $C32,  MRP!$G$2:$G$221, H$1)
)*F32</f>
        <v>10500</v>
      </c>
      <c r="I32" s="15">
        <f>SUM(
    SUMIFS(MRP!$H$2:$H$221, MRP!$B$2:$B$221, $C32, MRP!$G$2:$G$221, I$1),
    SUMIFS(MRP!$I$2:$I$221, MRP!$B$2:$B$221, $C32, MRP!$G$2:$G$221, I$1),
    SUMIFS(MRP!$J$2:$J$221, MRP!$B$2:$B$221, $C32,  MRP!$G$2:$G$221, I$1),
    SUMIFS(MRP!$K$2:$K$221, MRP!$B$2:$B$221, $C32,  MRP!$G$2:$G$221, I$1),
    SUMIFS(MRP!$L$2:$L$221, MRP!$B$2:$B$221, $C32,  MRP!$G$2:$G$221, I$1)
)*F32</f>
        <v>0</v>
      </c>
      <c r="J32" s="15">
        <f>SUM(
    SUMIFS(MRP!$H$2:$H$221, MRP!$B$2:$B$221, $C32, MRP!$G$2:$G$221, J$1),
    SUMIFS(MRP!$I$2:$I$221, MRP!$B$2:$B$221, $C32, MRP!$G$2:$G$221, J$1),
    SUMIFS(MRP!$J$2:$J$221, MRP!$B$2:$B$221, $C32,  MRP!$G$2:$G$221, J$1),
    SUMIFS(MRP!$K$2:$K$221, MRP!$B$2:$B$221, $C32,  MRP!$G$2:$G$221, J$1),
    SUMIFS(MRP!$L$2:$L$221, MRP!$B$2:$B$221, $C32,  MRP!$G$2:$G$221, J$1)
)*F32</f>
        <v>0</v>
      </c>
      <c r="K32" s="15">
        <f>SUM(
    SUMIFS(MRP!$H$2:$H$221, MRP!$B$2:$B$221, $C32, MRP!$G$2:$G$221, K$1),
    SUMIFS(MRP!$I$2:$I$221, MRP!$B$2:$B$221, $C32, MRP!$G$2:$G$221, K$1),
    SUMIFS(MRP!$J$2:$J$221, MRP!$B$2:$B$221, $C32,  MRP!$G$2:$G$221, K$1),
    SUMIFS(MRP!$K$2:$K$221, MRP!$B$2:$B$221, $C32,  MRP!$G$2:$G$221, K$1),
    SUMIFS(MRP!$L$2:$L$221, MRP!$B$2:$B$221, $C32,  MRP!$G$2:$G$221, K$1)
)*F32</f>
        <v>0</v>
      </c>
      <c r="L32" s="55" t="str">
        <f>TRIM(Tabla3[[#This Row],[CodInternoArti]])</f>
        <v>EMB000042</v>
      </c>
    </row>
    <row r="33" spans="1:12" hidden="1" x14ac:dyDescent="0.35">
      <c r="A33" s="38" t="str">
        <f>IF(ISNUMBER(_xlfn.XMATCH(Tabla3[[#This Row],[CodInternoArti]],'Tabla Articulos'!B:B)),"OK","NO ESTA")</f>
        <v>OK</v>
      </c>
      <c r="B33" s="38" t="str">
        <f>IF(ISNUMBER(_xlfn.XMATCH('Calcular necesidad'!E:E,'Necesidad por familia'!A:A)),"OK","NO ESTA")</f>
        <v>OK</v>
      </c>
      <c r="C33" s="17" t="s">
        <v>535</v>
      </c>
      <c r="D33" s="1" t="s">
        <v>319</v>
      </c>
      <c r="E33" s="1" t="str">
        <f>_xlfn.XLOOKUP(C33,'Tabla Articulos'!B:B,'Tabla Articulos'!D:D)</f>
        <v>VASO PLASTICO 180</v>
      </c>
      <c r="F33" s="1">
        <f>_xlfn.XLOOKUP(C33,'Tabla Articulos'!B:B,'Tabla Articulos'!E:E)</f>
        <v>100</v>
      </c>
      <c r="G33" s="15">
        <f>SUM(
    SUMIFS(MRP!$H$2:$H$221, MRP!$B$2:$B$221, $C33, MRP!$G$2:$G$221, G$1),
    SUMIFS(MRP!$I$2:$I$221, MRP!$B$2:$B$221, $C33, MRP!$G$2:$G$221, G$1),
    SUMIFS(MRP!$J$2:$J$221, MRP!$B$2:$B$221, $C33,  MRP!$G$2:$G$221, G$1),
    SUMIFS(MRP!$K$2:$K$221, MRP!$B$2:$B$221, $C33,  MRP!$G$2:$G$221, G$1),
    SUMIFS(MRP!$L$2:$L$221, MRP!$B$2:$B$221, $C33,  MRP!$G$2:$G$221, G$1)
)*F33</f>
        <v>0</v>
      </c>
      <c r="H33" s="15">
        <f>SUM(
    SUMIFS(MRP!$H$2:$H$221, MRP!$B$2:$B$221, $C33, MRP!$G$2:$G$221, H$1),
    SUMIFS(MRP!$I$2:$I$221, MRP!$B$2:$B$221, $C33, MRP!$G$2:$G$221, H$1),
    SUMIFS(MRP!$J$2:$J$221, MRP!$B$2:$B$221, $C33,  MRP!$G$2:$G$221, H$1),
    SUMIFS(MRP!$K$2:$K$221, MRP!$B$2:$B$221, $C33,  MRP!$G$2:$G$221, H$1),
    SUMIFS(MRP!$L$2:$L$221, MRP!$B$2:$B$221, $C33,  MRP!$G$2:$G$221, H$1)
)*F33</f>
        <v>12300</v>
      </c>
      <c r="I33" s="15">
        <f>SUM(
    SUMIFS(MRP!$H$2:$H$221, MRP!$B$2:$B$221, $C33, MRP!$G$2:$G$221, I$1),
    SUMIFS(MRP!$I$2:$I$221, MRP!$B$2:$B$221, $C33, MRP!$G$2:$G$221, I$1),
    SUMIFS(MRP!$J$2:$J$221, MRP!$B$2:$B$221, $C33,  MRP!$G$2:$G$221, I$1),
    SUMIFS(MRP!$K$2:$K$221, MRP!$B$2:$B$221, $C33,  MRP!$G$2:$G$221, I$1),
    SUMIFS(MRP!$L$2:$L$221, MRP!$B$2:$B$221, $C33,  MRP!$G$2:$G$221, I$1)
)*F33</f>
        <v>0</v>
      </c>
      <c r="J33" s="15">
        <f>SUM(
    SUMIFS(MRP!$H$2:$H$221, MRP!$B$2:$B$221, $C33, MRP!$G$2:$G$221, J$1),
    SUMIFS(MRP!$I$2:$I$221, MRP!$B$2:$B$221, $C33, MRP!$G$2:$G$221, J$1),
    SUMIFS(MRP!$J$2:$J$221, MRP!$B$2:$B$221, $C33,  MRP!$G$2:$G$221, J$1),
    SUMIFS(MRP!$K$2:$K$221, MRP!$B$2:$B$221, $C33,  MRP!$G$2:$G$221, J$1),
    SUMIFS(MRP!$L$2:$L$221, MRP!$B$2:$B$221, $C33,  MRP!$G$2:$G$221, J$1)
)*F33</f>
        <v>0</v>
      </c>
      <c r="K33" s="15">
        <f>SUM(
    SUMIFS(MRP!$H$2:$H$221, MRP!$B$2:$B$221, $C33, MRP!$G$2:$G$221, K$1),
    SUMIFS(MRP!$I$2:$I$221, MRP!$B$2:$B$221, $C33, MRP!$G$2:$G$221, K$1),
    SUMIFS(MRP!$J$2:$J$221, MRP!$B$2:$B$221, $C33,  MRP!$G$2:$G$221, K$1),
    SUMIFS(MRP!$K$2:$K$221, MRP!$B$2:$B$221, $C33,  MRP!$G$2:$G$221, K$1),
    SUMIFS(MRP!$L$2:$L$221, MRP!$B$2:$B$221, $C33,  MRP!$G$2:$G$221, K$1)
)*F33</f>
        <v>0</v>
      </c>
      <c r="L33" s="55" t="str">
        <f>TRIM(Tabla3[[#This Row],[CodInternoArti]])</f>
        <v>7790321020346</v>
      </c>
    </row>
    <row r="34" spans="1:12" hidden="1" x14ac:dyDescent="0.35">
      <c r="A34" s="38" t="str">
        <f>IF(ISNUMBER(_xlfn.XMATCH(Tabla3[[#This Row],[CodInternoArti]],'Tabla Articulos'!B:B)),"OK","NO ESTA")</f>
        <v>OK</v>
      </c>
      <c r="B34" s="38" t="str">
        <f>IF(ISNUMBER(_xlfn.XMATCH('Calcular necesidad'!E:E,'Necesidad por familia'!A:A)),"OK","NO ESTA")</f>
        <v>OK</v>
      </c>
      <c r="C34" s="17" t="s">
        <v>273</v>
      </c>
      <c r="D34" s="1" t="s">
        <v>240</v>
      </c>
      <c r="E34" s="1" t="str">
        <f>_xlfn.XLOOKUP(C34,'Tabla Articulos'!B:B,'Tabla Articulos'!D:D)</f>
        <v>ARRANQUE 20X30</v>
      </c>
      <c r="F34" s="1">
        <f>_xlfn.XLOOKUP(C34,'Tabla Articulos'!B:B,'Tabla Articulos'!E:E)</f>
        <v>1</v>
      </c>
      <c r="G34" s="15">
        <f>SUM(
    SUMIFS(MRP!$H$2:$H$221, MRP!$B$2:$B$221, $C34, MRP!$G$2:$G$221, G$1),
    SUMIFS(MRP!$I$2:$I$221, MRP!$B$2:$B$221, $C34, MRP!$G$2:$G$221, G$1),
    SUMIFS(MRP!$J$2:$J$221, MRP!$B$2:$B$221, $C34,  MRP!$G$2:$G$221, G$1),
    SUMIFS(MRP!$K$2:$K$221, MRP!$B$2:$B$221, $C34,  MRP!$G$2:$G$221, G$1),
    SUMIFS(MRP!$L$2:$L$221, MRP!$B$2:$B$221, $C34,  MRP!$G$2:$G$221, G$1)
)*F34</f>
        <v>0</v>
      </c>
      <c r="H34" s="15">
        <f>SUM(
    SUMIFS(MRP!$H$2:$H$221, MRP!$B$2:$B$221, $C34, MRP!$G$2:$G$221, H$1),
    SUMIFS(MRP!$I$2:$I$221, MRP!$B$2:$B$221, $C34, MRP!$G$2:$G$221, H$1),
    SUMIFS(MRP!$J$2:$J$221, MRP!$B$2:$B$221, $C34,  MRP!$G$2:$G$221, H$1),
    SUMIFS(MRP!$K$2:$K$221, MRP!$B$2:$B$221, $C34,  MRP!$G$2:$G$221, H$1),
    SUMIFS(MRP!$L$2:$L$221, MRP!$B$2:$B$221, $C34,  MRP!$G$2:$G$221, H$1)
)*F34</f>
        <v>5</v>
      </c>
      <c r="I34" s="15">
        <f>SUM(
    SUMIFS(MRP!$H$2:$H$221, MRP!$B$2:$B$221, $C34, MRP!$G$2:$G$221, I$1),
    SUMIFS(MRP!$I$2:$I$221, MRP!$B$2:$B$221, $C34, MRP!$G$2:$G$221, I$1),
    SUMIFS(MRP!$J$2:$J$221, MRP!$B$2:$B$221, $C34,  MRP!$G$2:$G$221, I$1),
    SUMIFS(MRP!$K$2:$K$221, MRP!$B$2:$B$221, $C34,  MRP!$G$2:$G$221, I$1),
    SUMIFS(MRP!$L$2:$L$221, MRP!$B$2:$B$221, $C34,  MRP!$G$2:$G$221, I$1)
)*F34</f>
        <v>0</v>
      </c>
      <c r="J34" s="15">
        <f>SUM(
    SUMIFS(MRP!$H$2:$H$221, MRP!$B$2:$B$221, $C34, MRP!$G$2:$G$221, J$1),
    SUMIFS(MRP!$I$2:$I$221, MRP!$B$2:$B$221, $C34, MRP!$G$2:$G$221, J$1),
    SUMIFS(MRP!$J$2:$J$221, MRP!$B$2:$B$221, $C34,  MRP!$G$2:$G$221, J$1),
    SUMIFS(MRP!$K$2:$K$221, MRP!$B$2:$B$221, $C34,  MRP!$G$2:$G$221, J$1),
    SUMIFS(MRP!$L$2:$L$221, MRP!$B$2:$B$221, $C34,  MRP!$G$2:$G$221, J$1)
)*F34</f>
        <v>0</v>
      </c>
      <c r="K34" s="15">
        <f>SUM(
    SUMIFS(MRP!$H$2:$H$221, MRP!$B$2:$B$221, $C34, MRP!$G$2:$G$221, K$1),
    SUMIFS(MRP!$I$2:$I$221, MRP!$B$2:$B$221, $C34, MRP!$G$2:$G$221, K$1),
    SUMIFS(MRP!$J$2:$J$221, MRP!$B$2:$B$221, $C34,  MRP!$G$2:$G$221, K$1),
    SUMIFS(MRP!$K$2:$K$221, MRP!$B$2:$B$221, $C34,  MRP!$G$2:$G$221, K$1),
    SUMIFS(MRP!$L$2:$L$221, MRP!$B$2:$B$221, $C34,  MRP!$G$2:$G$221, K$1)
)*F34</f>
        <v>0</v>
      </c>
      <c r="L34" s="55" t="str">
        <f>TRIM(Tabla3[[#This Row],[CodInternoArti]])</f>
        <v>EMB000034</v>
      </c>
    </row>
    <row r="35" spans="1:12" x14ac:dyDescent="0.35">
      <c r="A35" s="38" t="str">
        <f>IF(ISNUMBER(_xlfn.XMATCH(Tabla3[[#This Row],[CodInternoArti]],'Tabla Articulos'!B:B)),"OK","NO ESTA")</f>
        <v>OK</v>
      </c>
      <c r="B35" s="38" t="str">
        <f>IF(ISNUMBER(_xlfn.XMATCH('Calcular necesidad'!E:E,'Necesidad por familia'!A:A)),"OK","NO ESTA")</f>
        <v>OK</v>
      </c>
      <c r="C35" s="17" t="s">
        <v>284</v>
      </c>
      <c r="D35" s="1" t="s">
        <v>285</v>
      </c>
      <c r="E35" s="1" t="str">
        <f>_xlfn.XLOOKUP(C35,'Tabla Articulos'!B:B,'Tabla Articulos'!D:D)</f>
        <v>GUANTE NITRILO M</v>
      </c>
      <c r="F35" s="1">
        <f>_xlfn.XLOOKUP(C35,'Tabla Articulos'!B:B,'Tabla Articulos'!E:E)</f>
        <v>100</v>
      </c>
      <c r="G35" s="15">
        <f>SUM(
    SUMIFS(MRP!$H$2:$H$221, MRP!$B$2:$B$221, $C35, MRP!$G$2:$G$221, G$1),
    SUMIFS(MRP!$I$2:$I$221, MRP!$B$2:$B$221, $C35, MRP!$G$2:$G$221, G$1),
    SUMIFS(MRP!$J$2:$J$221, MRP!$B$2:$B$221, $C35,  MRP!$G$2:$G$221, G$1),
    SUMIFS(MRP!$K$2:$K$221, MRP!$B$2:$B$221, $C35,  MRP!$G$2:$G$221, G$1),
    SUMIFS(MRP!$L$2:$L$221, MRP!$B$2:$B$221, $C35,  MRP!$G$2:$G$221, G$1)
)*F35</f>
        <v>0</v>
      </c>
      <c r="H35" s="15">
        <f>SUM(
    SUMIFS(MRP!$H$2:$H$221, MRP!$B$2:$B$221, $C35, MRP!$G$2:$G$221, H$1),
    SUMIFS(MRP!$I$2:$I$221, MRP!$B$2:$B$221, $C35, MRP!$G$2:$G$221, H$1),
    SUMIFS(MRP!$J$2:$J$221, MRP!$B$2:$B$221, $C35,  MRP!$G$2:$G$221, H$1),
    SUMIFS(MRP!$K$2:$K$221, MRP!$B$2:$B$221, $C35,  MRP!$G$2:$G$221, H$1),
    SUMIFS(MRP!$L$2:$L$221, MRP!$B$2:$B$221, $C35,  MRP!$G$2:$G$221, H$1)
)*F35</f>
        <v>7600</v>
      </c>
      <c r="I35" s="15">
        <f>SUM(
    SUMIFS(MRP!$H$2:$H$221, MRP!$B$2:$B$221, $C35, MRP!$G$2:$G$221, I$1),
    SUMIFS(MRP!$I$2:$I$221, MRP!$B$2:$B$221, $C35, MRP!$G$2:$G$221, I$1),
    SUMIFS(MRP!$J$2:$J$221, MRP!$B$2:$B$221, $C35,  MRP!$G$2:$G$221, I$1),
    SUMIFS(MRP!$K$2:$K$221, MRP!$B$2:$B$221, $C35,  MRP!$G$2:$G$221, I$1),
    SUMIFS(MRP!$L$2:$L$221, MRP!$B$2:$B$221, $C35,  MRP!$G$2:$G$221, I$1)
)*F35</f>
        <v>0</v>
      </c>
      <c r="J35" s="15">
        <f>SUM(
    SUMIFS(MRP!$H$2:$H$221, MRP!$B$2:$B$221, $C35, MRP!$G$2:$G$221, J$1),
    SUMIFS(MRP!$I$2:$I$221, MRP!$B$2:$B$221, $C35, MRP!$G$2:$G$221, J$1),
    SUMIFS(MRP!$J$2:$J$221, MRP!$B$2:$B$221, $C35,  MRP!$G$2:$G$221, J$1),
    SUMIFS(MRP!$K$2:$K$221, MRP!$B$2:$B$221, $C35,  MRP!$G$2:$G$221, J$1),
    SUMIFS(MRP!$L$2:$L$221, MRP!$B$2:$B$221, $C35,  MRP!$G$2:$G$221, J$1)
)*F35</f>
        <v>0</v>
      </c>
      <c r="K35" s="15">
        <f>SUM(
    SUMIFS(MRP!$H$2:$H$221, MRP!$B$2:$B$221, $C35, MRP!$G$2:$G$221, K$1),
    SUMIFS(MRP!$I$2:$I$221, MRP!$B$2:$B$221, $C35, MRP!$G$2:$G$221, K$1),
    SUMIFS(MRP!$J$2:$J$221, MRP!$B$2:$B$221, $C35,  MRP!$G$2:$G$221, K$1),
    SUMIFS(MRP!$K$2:$K$221, MRP!$B$2:$B$221, $C35,  MRP!$G$2:$G$221, K$1),
    SUMIFS(MRP!$L$2:$L$221, MRP!$B$2:$B$221, $C35,  MRP!$G$2:$G$221, K$1)
)*F35</f>
        <v>0</v>
      </c>
      <c r="L35" s="55" t="str">
        <f>TRIM(Tabla3[[#This Row],[CodInternoArti]])</f>
        <v>LIM000292</v>
      </c>
    </row>
    <row r="36" spans="1:12" hidden="1" x14ac:dyDescent="0.35">
      <c r="A36" s="38" t="str">
        <f>IF(ISNUMBER(_xlfn.XMATCH(Tabla3[[#This Row],[CodInternoArti]],'Tabla Articulos'!B:B)),"OK","NO ESTA")</f>
        <v>OK</v>
      </c>
      <c r="B36" s="38" t="str">
        <f>IF(ISNUMBER(_xlfn.XMATCH('Calcular necesidad'!E:E,'Necesidad por familia'!A:A)),"OK","NO ESTA")</f>
        <v>OK</v>
      </c>
      <c r="C36" s="17" t="s">
        <v>536</v>
      </c>
      <c r="D36" s="1" t="s">
        <v>537</v>
      </c>
      <c r="E36" s="1" t="str">
        <f>_xlfn.XLOOKUP(C36,'Tabla Articulos'!B:B,'Tabla Articulos'!D:D)</f>
        <v>ROLLO ALUMINIO 40</v>
      </c>
      <c r="F36" s="1">
        <f>_xlfn.XLOOKUP(C36,'Tabla Articulos'!B:B,'Tabla Articulos'!E:E)</f>
        <v>1</v>
      </c>
      <c r="G36" s="15">
        <f>SUM(
    SUMIFS(MRP!$H$2:$H$221, MRP!$B$2:$B$221, $C36, MRP!$G$2:$G$221, G$1),
    SUMIFS(MRP!$I$2:$I$221, MRP!$B$2:$B$221, $C36, MRP!$G$2:$G$221, G$1),
    SUMIFS(MRP!$J$2:$J$221, MRP!$B$2:$B$221, $C36,  MRP!$G$2:$G$221, G$1),
    SUMIFS(MRP!$K$2:$K$221, MRP!$B$2:$B$221, $C36,  MRP!$G$2:$G$221, G$1),
    SUMIFS(MRP!$L$2:$L$221, MRP!$B$2:$B$221, $C36,  MRP!$G$2:$G$221, G$1)
)*F36</f>
        <v>0</v>
      </c>
      <c r="H36" s="15">
        <f>SUM(
    SUMIFS(MRP!$H$2:$H$221, MRP!$B$2:$B$221, $C36, MRP!$G$2:$G$221, H$1),
    SUMIFS(MRP!$I$2:$I$221, MRP!$B$2:$B$221, $C36, MRP!$G$2:$G$221, H$1),
    SUMIFS(MRP!$J$2:$J$221, MRP!$B$2:$B$221, $C36,  MRP!$G$2:$G$221, H$1),
    SUMIFS(MRP!$K$2:$K$221, MRP!$B$2:$B$221, $C36,  MRP!$G$2:$G$221, H$1),
    SUMIFS(MRP!$L$2:$L$221, MRP!$B$2:$B$221, $C36,  MRP!$G$2:$G$221, H$1)
)*F36</f>
        <v>0</v>
      </c>
      <c r="I36" s="15">
        <f>SUM(
    SUMIFS(MRP!$H$2:$H$221, MRP!$B$2:$B$221, $C36, MRP!$G$2:$G$221, I$1),
    SUMIFS(MRP!$I$2:$I$221, MRP!$B$2:$B$221, $C36, MRP!$G$2:$G$221, I$1),
    SUMIFS(MRP!$J$2:$J$221, MRP!$B$2:$B$221, $C36,  MRP!$G$2:$G$221, I$1),
    SUMIFS(MRP!$K$2:$K$221, MRP!$B$2:$B$221, $C36,  MRP!$G$2:$G$221, I$1),
    SUMIFS(MRP!$L$2:$L$221, MRP!$B$2:$B$221, $C36,  MRP!$G$2:$G$221, I$1)
)*F36</f>
        <v>0</v>
      </c>
      <c r="J36" s="15">
        <f>SUM(
    SUMIFS(MRP!$H$2:$H$221, MRP!$B$2:$B$221, $C36, MRP!$G$2:$G$221, J$1),
    SUMIFS(MRP!$I$2:$I$221, MRP!$B$2:$B$221, $C36, MRP!$G$2:$G$221, J$1),
    SUMIFS(MRP!$J$2:$J$221, MRP!$B$2:$B$221, $C36,  MRP!$G$2:$G$221, J$1),
    SUMIFS(MRP!$K$2:$K$221, MRP!$B$2:$B$221, $C36,  MRP!$G$2:$G$221, J$1),
    SUMIFS(MRP!$L$2:$L$221, MRP!$B$2:$B$221, $C36,  MRP!$G$2:$G$221, J$1)
)*F36</f>
        <v>0</v>
      </c>
      <c r="K36" s="15">
        <f>SUM(
    SUMIFS(MRP!$H$2:$H$221, MRP!$B$2:$B$221, $C36, MRP!$G$2:$G$221, K$1),
    SUMIFS(MRP!$I$2:$I$221, MRP!$B$2:$B$221, $C36, MRP!$G$2:$G$221, K$1),
    SUMIFS(MRP!$J$2:$J$221, MRP!$B$2:$B$221, $C36,  MRP!$G$2:$G$221, K$1),
    SUMIFS(MRP!$K$2:$K$221, MRP!$B$2:$B$221, $C36,  MRP!$G$2:$G$221, K$1),
    SUMIFS(MRP!$L$2:$L$221, MRP!$B$2:$B$221, $C36,  MRP!$G$2:$G$221, K$1)
)*F36</f>
        <v>0</v>
      </c>
      <c r="L36" s="55" t="str">
        <f>TRIM(Tabla3[[#This Row],[CodInternoArti]])</f>
        <v>EMB000044</v>
      </c>
    </row>
    <row r="37" spans="1:12" hidden="1" x14ac:dyDescent="0.35">
      <c r="A37" s="38" t="str">
        <f>IF(ISNUMBER(_xlfn.XMATCH(Tabla3[[#This Row],[CodInternoArti]],'Tabla Articulos'!B:B)),"OK","NO ESTA")</f>
        <v>OK</v>
      </c>
      <c r="B37" s="38" t="str">
        <f>IF(ISNUMBER(_xlfn.XMATCH('Calcular necesidad'!E:E,'Necesidad por familia'!A:A)),"OK","NO ESTA")</f>
        <v>OK</v>
      </c>
      <c r="C37" s="17" t="s">
        <v>538</v>
      </c>
      <c r="D37" s="1" t="s">
        <v>260</v>
      </c>
      <c r="E37" s="1" t="str">
        <f>_xlfn.XLOOKUP(C37,'Tabla Articulos'!B:B,'Tabla Articulos'!D:D)</f>
        <v>PLATO DESCARTABLE</v>
      </c>
      <c r="F37" s="1">
        <f>_xlfn.XLOOKUP(C37,'Tabla Articulos'!B:B,'Tabla Articulos'!E:E)</f>
        <v>50</v>
      </c>
      <c r="G37" s="15">
        <f>SUM(
    SUMIFS(MRP!$H$2:$H$221, MRP!$B$2:$B$221, $C37, MRP!$G$2:$G$221, G$1),
    SUMIFS(MRP!$I$2:$I$221, MRP!$B$2:$B$221, $C37, MRP!$G$2:$G$221, G$1),
    SUMIFS(MRP!$J$2:$J$221, MRP!$B$2:$B$221, $C37,  MRP!$G$2:$G$221, G$1),
    SUMIFS(MRP!$K$2:$K$221, MRP!$B$2:$B$221, $C37,  MRP!$G$2:$G$221, G$1),
    SUMIFS(MRP!$L$2:$L$221, MRP!$B$2:$B$221, $C37,  MRP!$G$2:$G$221, G$1)
)*F37</f>
        <v>0</v>
      </c>
      <c r="H37" s="15">
        <f>SUM(
    SUMIFS(MRP!$H$2:$H$221, MRP!$B$2:$B$221, $C37, MRP!$G$2:$G$221, H$1),
    SUMIFS(MRP!$I$2:$I$221, MRP!$B$2:$B$221, $C37, MRP!$G$2:$G$221, H$1),
    SUMIFS(MRP!$J$2:$J$221, MRP!$B$2:$B$221, $C37,  MRP!$G$2:$G$221, H$1),
    SUMIFS(MRP!$K$2:$K$221, MRP!$B$2:$B$221, $C37,  MRP!$G$2:$G$221, H$1),
    SUMIFS(MRP!$L$2:$L$221, MRP!$B$2:$B$221, $C37,  MRP!$G$2:$G$221, H$1)
)*F37</f>
        <v>500</v>
      </c>
      <c r="I37" s="15">
        <f>SUM(
    SUMIFS(MRP!$H$2:$H$221, MRP!$B$2:$B$221, $C37, MRP!$G$2:$G$221, I$1),
    SUMIFS(MRP!$I$2:$I$221, MRP!$B$2:$B$221, $C37, MRP!$G$2:$G$221, I$1),
    SUMIFS(MRP!$J$2:$J$221, MRP!$B$2:$B$221, $C37,  MRP!$G$2:$G$221, I$1),
    SUMIFS(MRP!$K$2:$K$221, MRP!$B$2:$B$221, $C37,  MRP!$G$2:$G$221, I$1),
    SUMIFS(MRP!$L$2:$L$221, MRP!$B$2:$B$221, $C37,  MRP!$G$2:$G$221, I$1)
)*F37</f>
        <v>0</v>
      </c>
      <c r="J37" s="15">
        <f>SUM(
    SUMIFS(MRP!$H$2:$H$221, MRP!$B$2:$B$221, $C37, MRP!$G$2:$G$221, J$1),
    SUMIFS(MRP!$I$2:$I$221, MRP!$B$2:$B$221, $C37, MRP!$G$2:$G$221, J$1),
    SUMIFS(MRP!$J$2:$J$221, MRP!$B$2:$B$221, $C37,  MRP!$G$2:$G$221, J$1),
    SUMIFS(MRP!$K$2:$K$221, MRP!$B$2:$B$221, $C37,  MRP!$G$2:$G$221, J$1),
    SUMIFS(MRP!$L$2:$L$221, MRP!$B$2:$B$221, $C37,  MRP!$G$2:$G$221, J$1)
)*F37</f>
        <v>0</v>
      </c>
      <c r="K37" s="15">
        <f>SUM(
    SUMIFS(MRP!$H$2:$H$221, MRP!$B$2:$B$221, $C37, MRP!$G$2:$G$221, K$1),
    SUMIFS(MRP!$I$2:$I$221, MRP!$B$2:$B$221, $C37, MRP!$G$2:$G$221, K$1),
    SUMIFS(MRP!$J$2:$J$221, MRP!$B$2:$B$221, $C37,  MRP!$G$2:$G$221, K$1),
    SUMIFS(MRP!$K$2:$K$221, MRP!$B$2:$B$221, $C37,  MRP!$G$2:$G$221, K$1),
    SUMIFS(MRP!$L$2:$L$221, MRP!$B$2:$B$221, $C37,  MRP!$G$2:$G$221, K$1)
)*F37</f>
        <v>0</v>
      </c>
      <c r="L37" s="55" t="str">
        <f>TRIM(Tabla3[[#This Row],[CodInternoArti]])</f>
        <v>7796613305498</v>
      </c>
    </row>
    <row r="38" spans="1:12" hidden="1" x14ac:dyDescent="0.35">
      <c r="A38" s="38" t="str">
        <f>IF(ISNUMBER(_xlfn.XMATCH(Tabla3[[#This Row],[CodInternoArti]],'Tabla Articulos'!B:B)),"OK","NO ESTA")</f>
        <v>OK</v>
      </c>
      <c r="B38" s="38" t="str">
        <f>IF(ISNUMBER(_xlfn.XMATCH('Calcular necesidad'!E:E,'Necesidad por familia'!A:A)),"OK","NO ESTA")</f>
        <v>OK</v>
      </c>
      <c r="C38" s="17" t="s">
        <v>539</v>
      </c>
      <c r="D38" s="1" t="s">
        <v>317</v>
      </c>
      <c r="E38" s="1" t="str">
        <f>_xlfn.XLOOKUP(C38,'Tabla Articulos'!B:B,'Tabla Articulos'!D:D)</f>
        <v>CAMISETA 50X60 REF</v>
      </c>
      <c r="F38" s="1">
        <f>_xlfn.XLOOKUP(C38,'Tabla Articulos'!B:B,'Tabla Articulos'!E:E)</f>
        <v>100</v>
      </c>
      <c r="G38" s="15">
        <f>SUM(
    SUMIFS(MRP!$H$2:$H$221, MRP!$B$2:$B$221, $C38, MRP!$G$2:$G$221, G$1),
    SUMIFS(MRP!$I$2:$I$221, MRP!$B$2:$B$221, $C38, MRP!$G$2:$G$221, G$1),
    SUMIFS(MRP!$J$2:$J$221, MRP!$B$2:$B$221, $C38,  MRP!$G$2:$G$221, G$1),
    SUMIFS(MRP!$K$2:$K$221, MRP!$B$2:$B$221, $C38,  MRP!$G$2:$G$221, G$1),
    SUMIFS(MRP!$L$2:$L$221, MRP!$B$2:$B$221, $C38,  MRP!$G$2:$G$221, G$1)
)*F38</f>
        <v>1000</v>
      </c>
      <c r="H38" s="15">
        <f>SUM(
    SUMIFS(MRP!$H$2:$H$221, MRP!$B$2:$B$221, $C38, MRP!$G$2:$G$221, H$1),
    SUMIFS(MRP!$I$2:$I$221, MRP!$B$2:$B$221, $C38, MRP!$G$2:$G$221, H$1),
    SUMIFS(MRP!$J$2:$J$221, MRP!$B$2:$B$221, $C38,  MRP!$G$2:$G$221, H$1),
    SUMIFS(MRP!$K$2:$K$221, MRP!$B$2:$B$221, $C38,  MRP!$G$2:$G$221, H$1),
    SUMIFS(MRP!$L$2:$L$221, MRP!$B$2:$B$221, $C38,  MRP!$G$2:$G$221, H$1)
)*F38</f>
        <v>0</v>
      </c>
      <c r="I38" s="15">
        <f>SUM(
    SUMIFS(MRP!$H$2:$H$221, MRP!$B$2:$B$221, $C38, MRP!$G$2:$G$221, I$1),
    SUMIFS(MRP!$I$2:$I$221, MRP!$B$2:$B$221, $C38, MRP!$G$2:$G$221, I$1),
    SUMIFS(MRP!$J$2:$J$221, MRP!$B$2:$B$221, $C38,  MRP!$G$2:$G$221, I$1),
    SUMIFS(MRP!$K$2:$K$221, MRP!$B$2:$B$221, $C38,  MRP!$G$2:$G$221, I$1),
    SUMIFS(MRP!$L$2:$L$221, MRP!$B$2:$B$221, $C38,  MRP!$G$2:$G$221, I$1)
)*F38</f>
        <v>0</v>
      </c>
      <c r="J38" s="15">
        <f>SUM(
    SUMIFS(MRP!$H$2:$H$221, MRP!$B$2:$B$221, $C38, MRP!$G$2:$G$221, J$1),
    SUMIFS(MRP!$I$2:$I$221, MRP!$B$2:$B$221, $C38, MRP!$G$2:$G$221, J$1),
    SUMIFS(MRP!$J$2:$J$221, MRP!$B$2:$B$221, $C38,  MRP!$G$2:$G$221, J$1),
    SUMIFS(MRP!$K$2:$K$221, MRP!$B$2:$B$221, $C38,  MRP!$G$2:$G$221, J$1),
    SUMIFS(MRP!$L$2:$L$221, MRP!$B$2:$B$221, $C38,  MRP!$G$2:$G$221, J$1)
)*F38</f>
        <v>0</v>
      </c>
      <c r="K38" s="15">
        <f>SUM(
    SUMIFS(MRP!$H$2:$H$221, MRP!$B$2:$B$221, $C38, MRP!$G$2:$G$221, K$1),
    SUMIFS(MRP!$I$2:$I$221, MRP!$B$2:$B$221, $C38, MRP!$G$2:$G$221, K$1),
    SUMIFS(MRP!$J$2:$J$221, MRP!$B$2:$B$221, $C38,  MRP!$G$2:$G$221, K$1),
    SUMIFS(MRP!$K$2:$K$221, MRP!$B$2:$B$221, $C38,  MRP!$G$2:$G$221, K$1),
    SUMIFS(MRP!$L$2:$L$221, MRP!$B$2:$B$221, $C38,  MRP!$G$2:$G$221, K$1)
)*F38</f>
        <v>0</v>
      </c>
      <c r="L38" s="55" t="str">
        <f>TRIM(Tabla3[[#This Row],[CodInternoArti]])</f>
        <v>7790321020126</v>
      </c>
    </row>
    <row r="39" spans="1:12" hidden="1" x14ac:dyDescent="0.35">
      <c r="A39" s="38" t="str">
        <f>IF(ISNUMBER(_xlfn.XMATCH(Tabla3[[#This Row],[CodInternoArti]],'Tabla Articulos'!B:B)),"OK","NO ESTA")</f>
        <v>OK</v>
      </c>
      <c r="B39" s="38" t="str">
        <f>IF(ISNUMBER(_xlfn.XMATCH('Calcular necesidad'!E:E,'Necesidad por familia'!A:A)),"OK","NO ESTA")</f>
        <v>OK</v>
      </c>
      <c r="C39" s="17" t="s">
        <v>540</v>
      </c>
      <c r="D39" s="1" t="s">
        <v>541</v>
      </c>
      <c r="E39" s="1" t="str">
        <f>_xlfn.XLOOKUP(C39,'Tabla Articulos'!B:B,'Tabla Articulos'!D:D)</f>
        <v>BANDEJA CARTON N°1</v>
      </c>
      <c r="F39" s="1">
        <f>_xlfn.XLOOKUP(C39,'Tabla Articulos'!B:B,'Tabla Articulos'!E:E)</f>
        <v>1</v>
      </c>
      <c r="G39" s="15">
        <f>SUM(
    SUMIFS(MRP!$H$2:$H$221, MRP!$B$2:$B$221, $C39, MRP!$G$2:$G$221, G$1),
    SUMIFS(MRP!$I$2:$I$221, MRP!$B$2:$B$221, $C39, MRP!$G$2:$G$221, G$1),
    SUMIFS(MRP!$J$2:$J$221, MRP!$B$2:$B$221, $C39,  MRP!$G$2:$G$221, G$1),
    SUMIFS(MRP!$K$2:$K$221, MRP!$B$2:$B$221, $C39,  MRP!$G$2:$G$221, G$1),
    SUMIFS(MRP!$L$2:$L$221, MRP!$B$2:$B$221, $C39,  MRP!$G$2:$G$221, G$1)
)*F39</f>
        <v>0</v>
      </c>
      <c r="H39" s="15">
        <f>SUM(
    SUMIFS(MRP!$H$2:$H$221, MRP!$B$2:$B$221, $C39, MRP!$G$2:$G$221, H$1),
    SUMIFS(MRP!$I$2:$I$221, MRP!$B$2:$B$221, $C39, MRP!$G$2:$G$221, H$1),
    SUMIFS(MRP!$J$2:$J$221, MRP!$B$2:$B$221, $C39,  MRP!$G$2:$G$221, H$1),
    SUMIFS(MRP!$K$2:$K$221, MRP!$B$2:$B$221, $C39,  MRP!$G$2:$G$221, H$1),
    SUMIFS(MRP!$L$2:$L$221, MRP!$B$2:$B$221, $C39,  MRP!$G$2:$G$221, H$1)
)*F39</f>
        <v>0</v>
      </c>
      <c r="I39" s="15">
        <f>SUM(
    SUMIFS(MRP!$H$2:$H$221, MRP!$B$2:$B$221, $C39, MRP!$G$2:$G$221, I$1),
    SUMIFS(MRP!$I$2:$I$221, MRP!$B$2:$B$221, $C39, MRP!$G$2:$G$221, I$1),
    SUMIFS(MRP!$J$2:$J$221, MRP!$B$2:$B$221, $C39,  MRP!$G$2:$G$221, I$1),
    SUMIFS(MRP!$K$2:$K$221, MRP!$B$2:$B$221, $C39,  MRP!$G$2:$G$221, I$1),
    SUMIFS(MRP!$L$2:$L$221, MRP!$B$2:$B$221, $C39,  MRP!$G$2:$G$221, I$1)
)*F39</f>
        <v>0</v>
      </c>
      <c r="J39" s="15">
        <f>SUM(
    SUMIFS(MRP!$H$2:$H$221, MRP!$B$2:$B$221, $C39, MRP!$G$2:$G$221, J$1),
    SUMIFS(MRP!$I$2:$I$221, MRP!$B$2:$B$221, $C39, MRP!$G$2:$G$221, J$1),
    SUMIFS(MRP!$J$2:$J$221, MRP!$B$2:$B$221, $C39,  MRP!$G$2:$G$221, J$1),
    SUMIFS(MRP!$K$2:$K$221, MRP!$B$2:$B$221, $C39,  MRP!$G$2:$G$221, J$1),
    SUMIFS(MRP!$L$2:$L$221, MRP!$B$2:$B$221, $C39,  MRP!$G$2:$G$221, J$1)
)*F39</f>
        <v>0</v>
      </c>
      <c r="K39" s="15">
        <f>SUM(
    SUMIFS(MRP!$H$2:$H$221, MRP!$B$2:$B$221, $C39, MRP!$G$2:$G$221, K$1),
    SUMIFS(MRP!$I$2:$I$221, MRP!$B$2:$B$221, $C39, MRP!$G$2:$G$221, K$1),
    SUMIFS(MRP!$J$2:$J$221, MRP!$B$2:$B$221, $C39,  MRP!$G$2:$G$221, K$1),
    SUMIFS(MRP!$K$2:$K$221, MRP!$B$2:$B$221, $C39,  MRP!$G$2:$G$221, K$1),
    SUMIFS(MRP!$L$2:$L$221, MRP!$B$2:$B$221, $C39,  MRP!$G$2:$G$221, K$1)
)*F39</f>
        <v>0</v>
      </c>
      <c r="L39" s="55" t="str">
        <f>TRIM(Tabla3[[#This Row],[CodInternoArti]])</f>
        <v>7790221010601</v>
      </c>
    </row>
    <row r="40" spans="1:12" hidden="1" x14ac:dyDescent="0.35">
      <c r="A40" s="38" t="str">
        <f>IF(ISNUMBER(_xlfn.XMATCH(Tabla3[[#This Row],[CodInternoArti]],'Tabla Articulos'!B:B)),"OK","NO ESTA")</f>
        <v>OK</v>
      </c>
      <c r="B40" s="38" t="str">
        <f>IF(ISNUMBER(_xlfn.XMATCH('Calcular necesidad'!E:E,'Necesidad por familia'!A:A)),"OK","NO ESTA")</f>
        <v>OK</v>
      </c>
      <c r="C40" s="17" t="s">
        <v>542</v>
      </c>
      <c r="D40" s="1" t="s">
        <v>289</v>
      </c>
      <c r="E40" s="1" t="str">
        <f>_xlfn.XLOOKUP(C40,'Tabla Articulos'!B:B,'Tabla Articulos'!D:D)</f>
        <v>BANDEJA 101</v>
      </c>
      <c r="F40" s="1">
        <f>_xlfn.XLOOKUP(C40,'Tabla Articulos'!B:B,'Tabla Articulos'!E:E)</f>
        <v>100</v>
      </c>
      <c r="G40" s="15">
        <f>SUM(
    SUMIFS(MRP!$H$2:$H$221, MRP!$B$2:$B$221, $C40, MRP!$G$2:$G$221, G$1),
    SUMIFS(MRP!$I$2:$I$221, MRP!$B$2:$B$221, $C40, MRP!$G$2:$G$221, G$1),
    SUMIFS(MRP!$J$2:$J$221, MRP!$B$2:$B$221, $C40,  MRP!$G$2:$G$221, G$1),
    SUMIFS(MRP!$K$2:$K$221, MRP!$B$2:$B$221, $C40,  MRP!$G$2:$G$221, G$1),
    SUMIFS(MRP!$L$2:$L$221, MRP!$B$2:$B$221, $C40,  MRP!$G$2:$G$221, G$1)
)*F40</f>
        <v>0</v>
      </c>
      <c r="H40" s="15">
        <f>SUM(
    SUMIFS(MRP!$H$2:$H$221, MRP!$B$2:$B$221, $C40, MRP!$G$2:$G$221, H$1),
    SUMIFS(MRP!$I$2:$I$221, MRP!$B$2:$B$221, $C40, MRP!$G$2:$G$221, H$1),
    SUMIFS(MRP!$J$2:$J$221, MRP!$B$2:$B$221, $C40,  MRP!$G$2:$G$221, H$1),
    SUMIFS(MRP!$K$2:$K$221, MRP!$B$2:$B$221, $C40,  MRP!$G$2:$G$221, H$1),
    SUMIFS(MRP!$L$2:$L$221, MRP!$B$2:$B$221, $C40,  MRP!$G$2:$G$221, H$1)
)*F40</f>
        <v>32800</v>
      </c>
      <c r="I40" s="15">
        <f>SUM(
    SUMIFS(MRP!$H$2:$H$221, MRP!$B$2:$B$221, $C40, MRP!$G$2:$G$221, I$1),
    SUMIFS(MRP!$I$2:$I$221, MRP!$B$2:$B$221, $C40, MRP!$G$2:$G$221, I$1),
    SUMIFS(MRP!$J$2:$J$221, MRP!$B$2:$B$221, $C40,  MRP!$G$2:$G$221, I$1),
    SUMIFS(MRP!$K$2:$K$221, MRP!$B$2:$B$221, $C40,  MRP!$G$2:$G$221, I$1),
    SUMIFS(MRP!$L$2:$L$221, MRP!$B$2:$B$221, $C40,  MRP!$G$2:$G$221, I$1)
)*F40</f>
        <v>0</v>
      </c>
      <c r="J40" s="15">
        <f>SUM(
    SUMIFS(MRP!$H$2:$H$221, MRP!$B$2:$B$221, $C40, MRP!$G$2:$G$221, J$1),
    SUMIFS(MRP!$I$2:$I$221, MRP!$B$2:$B$221, $C40, MRP!$G$2:$G$221, J$1),
    SUMIFS(MRP!$J$2:$J$221, MRP!$B$2:$B$221, $C40,  MRP!$G$2:$G$221, J$1),
    SUMIFS(MRP!$K$2:$K$221, MRP!$B$2:$B$221, $C40,  MRP!$G$2:$G$221, J$1),
    SUMIFS(MRP!$L$2:$L$221, MRP!$B$2:$B$221, $C40,  MRP!$G$2:$G$221, J$1)
)*F40</f>
        <v>0</v>
      </c>
      <c r="K40" s="15">
        <f>SUM(
    SUMIFS(MRP!$H$2:$H$221, MRP!$B$2:$B$221, $C40, MRP!$G$2:$G$221, K$1),
    SUMIFS(MRP!$I$2:$I$221, MRP!$B$2:$B$221, $C40, MRP!$G$2:$G$221, K$1),
    SUMIFS(MRP!$J$2:$J$221, MRP!$B$2:$B$221, $C40,  MRP!$G$2:$G$221, K$1),
    SUMIFS(MRP!$K$2:$K$221, MRP!$B$2:$B$221, $C40,  MRP!$G$2:$G$221, K$1),
    SUMIFS(MRP!$L$2:$L$221, MRP!$B$2:$B$221, $C40,  MRP!$G$2:$G$221, K$1)
)*F40</f>
        <v>0</v>
      </c>
      <c r="L40" s="55" t="str">
        <f>TRIM(Tabla3[[#This Row],[CodInternoArti]])</f>
        <v>7790321020106</v>
      </c>
    </row>
    <row r="41" spans="1:12" hidden="1" x14ac:dyDescent="0.35">
      <c r="A41" s="38" t="str">
        <f>IF(ISNUMBER(_xlfn.XMATCH(Tabla3[[#This Row],[CodInternoArti]],'Tabla Articulos'!B:B)),"OK","NO ESTA")</f>
        <v>OK</v>
      </c>
      <c r="B41" s="38" t="str">
        <f>IF(ISNUMBER(_xlfn.XMATCH('Calcular necesidad'!E:E,'Necesidad por familia'!A:A)),"OK","NO ESTA")</f>
        <v>OK</v>
      </c>
      <c r="C41" s="17" t="s">
        <v>543</v>
      </c>
      <c r="D41" s="1" t="s">
        <v>313</v>
      </c>
      <c r="E41" s="1" t="str">
        <f>_xlfn.XLOOKUP(C41,'Tabla Articulos'!B:B,'Tabla Articulos'!D:D)</f>
        <v>CUCHARA SUNDAE</v>
      </c>
      <c r="F41" s="1">
        <f>_xlfn.XLOOKUP(C41,'Tabla Articulos'!B:B,'Tabla Articulos'!E:E)</f>
        <v>1000</v>
      </c>
      <c r="G41" s="15">
        <f>SUM(
    SUMIFS(MRP!$H$2:$H$221, MRP!$B$2:$B$221, $C41, MRP!$G$2:$G$221, G$1),
    SUMIFS(MRP!$I$2:$I$221, MRP!$B$2:$B$221, $C41, MRP!$G$2:$G$221, G$1),
    SUMIFS(MRP!$J$2:$J$221, MRP!$B$2:$B$221, $C41,  MRP!$G$2:$G$221, G$1),
    SUMIFS(MRP!$K$2:$K$221, MRP!$B$2:$B$221, $C41,  MRP!$G$2:$G$221, G$1),
    SUMIFS(MRP!$L$2:$L$221, MRP!$B$2:$B$221, $C41,  MRP!$G$2:$G$221, G$1)
)*F41</f>
        <v>0</v>
      </c>
      <c r="H41" s="15">
        <f>SUM(
    SUMIFS(MRP!$H$2:$H$221, MRP!$B$2:$B$221, $C41, MRP!$G$2:$G$221, H$1),
    SUMIFS(MRP!$I$2:$I$221, MRP!$B$2:$B$221, $C41, MRP!$G$2:$G$221, H$1),
    SUMIFS(MRP!$J$2:$J$221, MRP!$B$2:$B$221, $C41,  MRP!$G$2:$G$221, H$1),
    SUMIFS(MRP!$K$2:$K$221, MRP!$B$2:$B$221, $C41,  MRP!$G$2:$G$221, H$1),
    SUMIFS(MRP!$L$2:$L$221, MRP!$B$2:$B$221, $C41,  MRP!$G$2:$G$221, H$1)
)*F41</f>
        <v>25000</v>
      </c>
      <c r="I41" s="15">
        <f>SUM(
    SUMIFS(MRP!$H$2:$H$221, MRP!$B$2:$B$221, $C41, MRP!$G$2:$G$221, I$1),
    SUMIFS(MRP!$I$2:$I$221, MRP!$B$2:$B$221, $C41, MRP!$G$2:$G$221, I$1),
    SUMIFS(MRP!$J$2:$J$221, MRP!$B$2:$B$221, $C41,  MRP!$G$2:$G$221, I$1),
    SUMIFS(MRP!$K$2:$K$221, MRP!$B$2:$B$221, $C41,  MRP!$G$2:$G$221, I$1),
    SUMIFS(MRP!$L$2:$L$221, MRP!$B$2:$B$221, $C41,  MRP!$G$2:$G$221, I$1)
)*F41</f>
        <v>0</v>
      </c>
      <c r="J41" s="15">
        <f>SUM(
    SUMIFS(MRP!$H$2:$H$221, MRP!$B$2:$B$221, $C41, MRP!$G$2:$G$221, J$1),
    SUMIFS(MRP!$I$2:$I$221, MRP!$B$2:$B$221, $C41, MRP!$G$2:$G$221, J$1),
    SUMIFS(MRP!$J$2:$J$221, MRP!$B$2:$B$221, $C41,  MRP!$G$2:$G$221, J$1),
    SUMIFS(MRP!$K$2:$K$221, MRP!$B$2:$B$221, $C41,  MRP!$G$2:$G$221, J$1),
    SUMIFS(MRP!$L$2:$L$221, MRP!$B$2:$B$221, $C41,  MRP!$G$2:$G$221, J$1)
)*F41</f>
        <v>0</v>
      </c>
      <c r="K41" s="15">
        <f>SUM(
    SUMIFS(MRP!$H$2:$H$221, MRP!$B$2:$B$221, $C41, MRP!$G$2:$G$221, K$1),
    SUMIFS(MRP!$I$2:$I$221, MRP!$B$2:$B$221, $C41, MRP!$G$2:$G$221, K$1),
    SUMIFS(MRP!$J$2:$J$221, MRP!$B$2:$B$221, $C41,  MRP!$G$2:$G$221, K$1),
    SUMIFS(MRP!$K$2:$K$221, MRP!$B$2:$B$221, $C41,  MRP!$G$2:$G$221, K$1),
    SUMIFS(MRP!$L$2:$L$221, MRP!$B$2:$B$221, $C41,  MRP!$G$2:$G$221, K$1)
)*F41</f>
        <v>0</v>
      </c>
      <c r="L41" s="55" t="str">
        <f>TRIM(Tabla3[[#This Row],[CodInternoArti]])</f>
        <v>7790321020176</v>
      </c>
    </row>
    <row r="42" spans="1:12" hidden="1" x14ac:dyDescent="0.35">
      <c r="A42" s="38" t="str">
        <f>IF(ISNUMBER(_xlfn.XMATCH(Tabla3[[#This Row],[CodInternoArti]],'Tabla Articulos'!B:B)),"OK","NO ESTA")</f>
        <v>OK</v>
      </c>
      <c r="B42" s="38" t="str">
        <f>IF(ISNUMBER(_xlfn.XMATCH('Calcular necesidad'!E:E,'Necesidad por familia'!A:A)),"OK","NO ESTA")</f>
        <v>OK</v>
      </c>
      <c r="C42" s="17" t="s">
        <v>544</v>
      </c>
      <c r="D42" s="1" t="s">
        <v>545</v>
      </c>
      <c r="E42" s="1" t="str">
        <f>_xlfn.XLOOKUP(C42,'Tabla Articulos'!B:B,'Tabla Articulos'!D:D)</f>
        <v>VASO TERMICO 180</v>
      </c>
      <c r="F42" s="1">
        <f>_xlfn.XLOOKUP(C42,'Tabla Articulos'!B:B,'Tabla Articulos'!E:E)</f>
        <v>25</v>
      </c>
      <c r="G42" s="15">
        <f>SUM(
    SUMIFS(MRP!$H$2:$H$221, MRP!$B$2:$B$221, $C42, MRP!$G$2:$G$221, G$1),
    SUMIFS(MRP!$I$2:$I$221, MRP!$B$2:$B$221, $C42, MRP!$G$2:$G$221, G$1),
    SUMIFS(MRP!$J$2:$J$221, MRP!$B$2:$B$221, $C42,  MRP!$G$2:$G$221, G$1),
    SUMIFS(MRP!$K$2:$K$221, MRP!$B$2:$B$221, $C42,  MRP!$G$2:$G$221, G$1),
    SUMIFS(MRP!$L$2:$L$221, MRP!$B$2:$B$221, $C42,  MRP!$G$2:$G$221, G$1)
)*F42</f>
        <v>0</v>
      </c>
      <c r="H42" s="15">
        <f>SUM(
    SUMIFS(MRP!$H$2:$H$221, MRP!$B$2:$B$221, $C42, MRP!$G$2:$G$221, H$1),
    SUMIFS(MRP!$I$2:$I$221, MRP!$B$2:$B$221, $C42, MRP!$G$2:$G$221, H$1),
    SUMIFS(MRP!$J$2:$J$221, MRP!$B$2:$B$221, $C42,  MRP!$G$2:$G$221, H$1),
    SUMIFS(MRP!$K$2:$K$221, MRP!$B$2:$B$221, $C42,  MRP!$G$2:$G$221, H$1),
    SUMIFS(MRP!$L$2:$L$221, MRP!$B$2:$B$221, $C42,  MRP!$G$2:$G$221, H$1)
)*F42</f>
        <v>0</v>
      </c>
      <c r="I42" s="15">
        <f>SUM(
    SUMIFS(MRP!$H$2:$H$221, MRP!$B$2:$B$221, $C42, MRP!$G$2:$G$221, I$1),
    SUMIFS(MRP!$I$2:$I$221, MRP!$B$2:$B$221, $C42, MRP!$G$2:$G$221, I$1),
    SUMIFS(MRP!$J$2:$J$221, MRP!$B$2:$B$221, $C42,  MRP!$G$2:$G$221, I$1),
    SUMIFS(MRP!$K$2:$K$221, MRP!$B$2:$B$221, $C42,  MRP!$G$2:$G$221, I$1),
    SUMIFS(MRP!$L$2:$L$221, MRP!$B$2:$B$221, $C42,  MRP!$G$2:$G$221, I$1)
)*F42</f>
        <v>0</v>
      </c>
      <c r="J42" s="15">
        <f>SUM(
    SUMIFS(MRP!$H$2:$H$221, MRP!$B$2:$B$221, $C42, MRP!$G$2:$G$221, J$1),
    SUMIFS(MRP!$I$2:$I$221, MRP!$B$2:$B$221, $C42, MRP!$G$2:$G$221, J$1),
    SUMIFS(MRP!$J$2:$J$221, MRP!$B$2:$B$221, $C42,  MRP!$G$2:$G$221, J$1),
    SUMIFS(MRP!$K$2:$K$221, MRP!$B$2:$B$221, $C42,  MRP!$G$2:$G$221, J$1),
    SUMIFS(MRP!$L$2:$L$221, MRP!$B$2:$B$221, $C42,  MRP!$G$2:$G$221, J$1)
)*F42</f>
        <v>0</v>
      </c>
      <c r="K42" s="15">
        <f>SUM(
    SUMIFS(MRP!$H$2:$H$221, MRP!$B$2:$B$221, $C42, MRP!$G$2:$G$221, K$1),
    SUMIFS(MRP!$I$2:$I$221, MRP!$B$2:$B$221, $C42, MRP!$G$2:$G$221, K$1),
    SUMIFS(MRP!$J$2:$J$221, MRP!$B$2:$B$221, $C42,  MRP!$G$2:$G$221, K$1),
    SUMIFS(MRP!$K$2:$K$221, MRP!$B$2:$B$221, $C42,  MRP!$G$2:$G$221, K$1),
    SUMIFS(MRP!$L$2:$L$221, MRP!$B$2:$B$221, $C42,  MRP!$G$2:$G$221, K$1)
)*F42</f>
        <v>0</v>
      </c>
      <c r="L42" s="55" t="str">
        <f>TRIM(Tabla3[[#This Row],[CodInternoArti]])</f>
        <v>7790321020386</v>
      </c>
    </row>
    <row r="43" spans="1:12" hidden="1" x14ac:dyDescent="0.35">
      <c r="A43" s="38" t="str">
        <f>IF(ISNUMBER(_xlfn.XMATCH(Tabla3[[#This Row],[CodInternoArti]],'Tabla Articulos'!B:B)),"OK","NO ESTA")</f>
        <v>OK</v>
      </c>
      <c r="B43" s="38" t="str">
        <f>IF(ISNUMBER(_xlfn.XMATCH('Calcular necesidad'!E:E,'Necesidad por familia'!A:A)),"OK","NO ESTA")</f>
        <v>OK</v>
      </c>
      <c r="C43" s="17" t="s">
        <v>546</v>
      </c>
      <c r="D43" s="1" t="s">
        <v>390</v>
      </c>
      <c r="E43" s="1" t="str">
        <f>_xlfn.XLOOKUP(C43,'Tabla Articulos'!B:B,'Tabla Articulos'!D:D)</f>
        <v>BANDEJA 103</v>
      </c>
      <c r="F43" s="1">
        <f>_xlfn.XLOOKUP(C43,'Tabla Articulos'!B:B,'Tabla Articulos'!E:E)</f>
        <v>100</v>
      </c>
      <c r="G43" s="15">
        <f>SUM(
    SUMIFS(MRP!$H$2:$H$221, MRP!$B$2:$B$221, $C43, MRP!$G$2:$G$221, G$1),
    SUMIFS(MRP!$I$2:$I$221, MRP!$B$2:$B$221, $C43, MRP!$G$2:$G$221, G$1),
    SUMIFS(MRP!$J$2:$J$221, MRP!$B$2:$B$221, $C43,  MRP!$G$2:$G$221, G$1),
    SUMIFS(MRP!$K$2:$K$221, MRP!$B$2:$B$221, $C43,  MRP!$G$2:$G$221, G$1),
    SUMIFS(MRP!$L$2:$L$221, MRP!$B$2:$B$221, $C43,  MRP!$G$2:$G$221, G$1)
)*F43</f>
        <v>0</v>
      </c>
      <c r="H43" s="15">
        <f>SUM(
    SUMIFS(MRP!$H$2:$H$221, MRP!$B$2:$B$221, $C43, MRP!$G$2:$G$221, H$1),
    SUMIFS(MRP!$I$2:$I$221, MRP!$B$2:$B$221, $C43, MRP!$G$2:$G$221, H$1),
    SUMIFS(MRP!$J$2:$J$221, MRP!$B$2:$B$221, $C43,  MRP!$G$2:$G$221, H$1),
    SUMIFS(MRP!$K$2:$K$221, MRP!$B$2:$B$221, $C43,  MRP!$G$2:$G$221, H$1),
    SUMIFS(MRP!$L$2:$L$221, MRP!$B$2:$B$221, $C43,  MRP!$G$2:$G$221, H$1)
)*F43</f>
        <v>59100</v>
      </c>
      <c r="I43" s="15">
        <f>SUM(
    SUMIFS(MRP!$H$2:$H$221, MRP!$B$2:$B$221, $C43, MRP!$G$2:$G$221, I$1),
    SUMIFS(MRP!$I$2:$I$221, MRP!$B$2:$B$221, $C43, MRP!$G$2:$G$221, I$1),
    SUMIFS(MRP!$J$2:$J$221, MRP!$B$2:$B$221, $C43,  MRP!$G$2:$G$221, I$1),
    SUMIFS(MRP!$K$2:$K$221, MRP!$B$2:$B$221, $C43,  MRP!$G$2:$G$221, I$1),
    SUMIFS(MRP!$L$2:$L$221, MRP!$B$2:$B$221, $C43,  MRP!$G$2:$G$221, I$1)
)*F43</f>
        <v>0</v>
      </c>
      <c r="J43" s="15">
        <f>SUM(
    SUMIFS(MRP!$H$2:$H$221, MRP!$B$2:$B$221, $C43, MRP!$G$2:$G$221, J$1),
    SUMIFS(MRP!$I$2:$I$221, MRP!$B$2:$B$221, $C43, MRP!$G$2:$G$221, J$1),
    SUMIFS(MRP!$J$2:$J$221, MRP!$B$2:$B$221, $C43,  MRP!$G$2:$G$221, J$1),
    SUMIFS(MRP!$K$2:$K$221, MRP!$B$2:$B$221, $C43,  MRP!$G$2:$G$221, J$1),
    SUMIFS(MRP!$L$2:$L$221, MRP!$B$2:$B$221, $C43,  MRP!$G$2:$G$221, J$1)
)*F43</f>
        <v>0</v>
      </c>
      <c r="K43" s="15">
        <f>SUM(
    SUMIFS(MRP!$H$2:$H$221, MRP!$B$2:$B$221, $C43, MRP!$G$2:$G$221, K$1),
    SUMIFS(MRP!$I$2:$I$221, MRP!$B$2:$B$221, $C43, MRP!$G$2:$G$221, K$1),
    SUMIFS(MRP!$J$2:$J$221, MRP!$B$2:$B$221, $C43,  MRP!$G$2:$G$221, K$1),
    SUMIFS(MRP!$K$2:$K$221, MRP!$B$2:$B$221, $C43,  MRP!$G$2:$G$221, K$1),
    SUMIFS(MRP!$L$2:$L$221, MRP!$B$2:$B$221, $C43,  MRP!$G$2:$G$221, K$1)
)*F43</f>
        <v>0</v>
      </c>
      <c r="L43" s="55" t="str">
        <f>TRIM(Tabla3[[#This Row],[CodInternoArti]])</f>
        <v>7790321020086</v>
      </c>
    </row>
    <row r="44" spans="1:12" hidden="1" x14ac:dyDescent="0.35">
      <c r="A44" s="38" t="str">
        <f>IF(ISNUMBER(_xlfn.XMATCH(Tabla3[[#This Row],[CodInternoArti]],'Tabla Articulos'!B:B)),"OK","NO ESTA")</f>
        <v>OK</v>
      </c>
      <c r="B44" s="38" t="str">
        <f>IF(ISNUMBER(_xlfn.XMATCH('Calcular necesidad'!E:E,'Necesidad por familia'!A:A)),"OK","NO ESTA")</f>
        <v>OK</v>
      </c>
      <c r="C44" s="17" t="s">
        <v>547</v>
      </c>
      <c r="D44" s="1" t="s">
        <v>274</v>
      </c>
      <c r="E44" s="1" t="str">
        <f>_xlfn.XLOOKUP(C44,'Tabla Articulos'!B:B,'Tabla Articulos'!D:D)</f>
        <v>CUCHILLO DESCARTABLE</v>
      </c>
      <c r="F44" s="1">
        <f>_xlfn.XLOOKUP(C44,'Tabla Articulos'!B:B,'Tabla Articulos'!E:E)</f>
        <v>1000</v>
      </c>
      <c r="G44" s="15">
        <f>SUM(
    SUMIFS(MRP!$H$2:$H$221, MRP!$B$2:$B$221, $C44, MRP!$G$2:$G$221, G$1),
    SUMIFS(MRP!$I$2:$I$221, MRP!$B$2:$B$221, $C44, MRP!$G$2:$G$221, G$1),
    SUMIFS(MRP!$J$2:$J$221, MRP!$B$2:$B$221, $C44,  MRP!$G$2:$G$221, G$1),
    SUMIFS(MRP!$K$2:$K$221, MRP!$B$2:$B$221, $C44,  MRP!$G$2:$G$221, G$1),
    SUMIFS(MRP!$L$2:$L$221, MRP!$B$2:$B$221, $C44,  MRP!$G$2:$G$221, G$1)
)*F44</f>
        <v>0</v>
      </c>
      <c r="H44" s="15">
        <f>SUM(
    SUMIFS(MRP!$H$2:$H$221, MRP!$B$2:$B$221, $C44, MRP!$G$2:$G$221, H$1),
    SUMIFS(MRP!$I$2:$I$221, MRP!$B$2:$B$221, $C44, MRP!$G$2:$G$221, H$1),
    SUMIFS(MRP!$J$2:$J$221, MRP!$B$2:$B$221, $C44,  MRP!$G$2:$G$221, H$1),
    SUMIFS(MRP!$K$2:$K$221, MRP!$B$2:$B$221, $C44,  MRP!$G$2:$G$221, H$1),
    SUMIFS(MRP!$L$2:$L$221, MRP!$B$2:$B$221, $C44,  MRP!$G$2:$G$221, H$1)
)*F44</f>
        <v>132000</v>
      </c>
      <c r="I44" s="15">
        <f>SUM(
    SUMIFS(MRP!$H$2:$H$221, MRP!$B$2:$B$221, $C44, MRP!$G$2:$G$221, I$1),
    SUMIFS(MRP!$I$2:$I$221, MRP!$B$2:$B$221, $C44, MRP!$G$2:$G$221, I$1),
    SUMIFS(MRP!$J$2:$J$221, MRP!$B$2:$B$221, $C44,  MRP!$G$2:$G$221, I$1),
    SUMIFS(MRP!$K$2:$K$221, MRP!$B$2:$B$221, $C44,  MRP!$G$2:$G$221, I$1),
    SUMIFS(MRP!$L$2:$L$221, MRP!$B$2:$B$221, $C44,  MRP!$G$2:$G$221, I$1)
)*F44</f>
        <v>0</v>
      </c>
      <c r="J44" s="15">
        <f>SUM(
    SUMIFS(MRP!$H$2:$H$221, MRP!$B$2:$B$221, $C44, MRP!$G$2:$G$221, J$1),
    SUMIFS(MRP!$I$2:$I$221, MRP!$B$2:$B$221, $C44, MRP!$G$2:$G$221, J$1),
    SUMIFS(MRP!$J$2:$J$221, MRP!$B$2:$B$221, $C44,  MRP!$G$2:$G$221, J$1),
    SUMIFS(MRP!$K$2:$K$221, MRP!$B$2:$B$221, $C44,  MRP!$G$2:$G$221, J$1),
    SUMIFS(MRP!$L$2:$L$221, MRP!$B$2:$B$221, $C44,  MRP!$G$2:$G$221, J$1)
)*F44</f>
        <v>0</v>
      </c>
      <c r="K44" s="15">
        <f>SUM(
    SUMIFS(MRP!$H$2:$H$221, MRP!$B$2:$B$221, $C44, MRP!$G$2:$G$221, K$1),
    SUMIFS(MRP!$I$2:$I$221, MRP!$B$2:$B$221, $C44, MRP!$G$2:$G$221, K$1),
    SUMIFS(MRP!$J$2:$J$221, MRP!$B$2:$B$221, $C44,  MRP!$G$2:$G$221, K$1),
    SUMIFS(MRP!$K$2:$K$221, MRP!$B$2:$B$221, $C44,  MRP!$G$2:$G$221, K$1),
    SUMIFS(MRP!$L$2:$L$221, MRP!$B$2:$B$221, $C44,  MRP!$G$2:$G$221, K$1)
)*F44</f>
        <v>0</v>
      </c>
      <c r="L44" s="55" t="str">
        <f>TRIM(Tabla3[[#This Row],[CodInternoArti]])</f>
        <v>7790321020206</v>
      </c>
    </row>
    <row r="45" spans="1:12" hidden="1" x14ac:dyDescent="0.35">
      <c r="A45" s="38" t="str">
        <f>IF(ISNUMBER(_xlfn.XMATCH(Tabla3[[#This Row],[CodInternoArti]],'Tabla Articulos'!B:B)),"OK","NO ESTA")</f>
        <v>OK</v>
      </c>
      <c r="B45" s="38" t="str">
        <f>IF(ISNUMBER(_xlfn.XMATCH('Calcular necesidad'!E:E,'Necesidad por familia'!A:A)),"OK","NO ESTA")</f>
        <v>OK</v>
      </c>
      <c r="C45" s="17" t="s">
        <v>548</v>
      </c>
      <c r="D45" s="1" t="s">
        <v>277</v>
      </c>
      <c r="E45" s="1" t="str">
        <f>_xlfn.XLOOKUP(C45,'Tabla Articulos'!B:B,'Tabla Articulos'!D:D)</f>
        <v>TAPA 101</v>
      </c>
      <c r="F45" s="1">
        <f>_xlfn.XLOOKUP(C45,'Tabla Articulos'!B:B,'Tabla Articulos'!E:E)</f>
        <v>100</v>
      </c>
      <c r="G45" s="15">
        <f>SUM(
    SUMIFS(MRP!$H$2:$H$221, MRP!$B$2:$B$221, $C45, MRP!$G$2:$G$221, G$1),
    SUMIFS(MRP!$I$2:$I$221, MRP!$B$2:$B$221, $C45, MRP!$G$2:$G$221, G$1),
    SUMIFS(MRP!$J$2:$J$221, MRP!$B$2:$B$221, $C45,  MRP!$G$2:$G$221, G$1),
    SUMIFS(MRP!$K$2:$K$221, MRP!$B$2:$B$221, $C45,  MRP!$G$2:$G$221, G$1),
    SUMIFS(MRP!$L$2:$L$221, MRP!$B$2:$B$221, $C45,  MRP!$G$2:$G$221, G$1)
)*F45</f>
        <v>0</v>
      </c>
      <c r="H45" s="15">
        <f>SUM(
    SUMIFS(MRP!$H$2:$H$221, MRP!$B$2:$B$221, $C45, MRP!$G$2:$G$221, H$1),
    SUMIFS(MRP!$I$2:$I$221, MRP!$B$2:$B$221, $C45, MRP!$G$2:$G$221, H$1),
    SUMIFS(MRP!$J$2:$J$221, MRP!$B$2:$B$221, $C45,  MRP!$G$2:$G$221, H$1),
    SUMIFS(MRP!$K$2:$K$221, MRP!$B$2:$B$221, $C45,  MRP!$G$2:$G$221, H$1),
    SUMIFS(MRP!$L$2:$L$221, MRP!$B$2:$B$221, $C45,  MRP!$G$2:$G$221, H$1)
)*F45</f>
        <v>98500</v>
      </c>
      <c r="I45" s="15">
        <f>SUM(
    SUMIFS(MRP!$H$2:$H$221, MRP!$B$2:$B$221, $C45, MRP!$G$2:$G$221, I$1),
    SUMIFS(MRP!$I$2:$I$221, MRP!$B$2:$B$221, $C45, MRP!$G$2:$G$221, I$1),
    SUMIFS(MRP!$J$2:$J$221, MRP!$B$2:$B$221, $C45,  MRP!$G$2:$G$221, I$1),
    SUMIFS(MRP!$K$2:$K$221, MRP!$B$2:$B$221, $C45,  MRP!$G$2:$G$221, I$1),
    SUMIFS(MRP!$L$2:$L$221, MRP!$B$2:$B$221, $C45,  MRP!$G$2:$G$221, I$1)
)*F45</f>
        <v>0</v>
      </c>
      <c r="J45" s="15">
        <f>SUM(
    SUMIFS(MRP!$H$2:$H$221, MRP!$B$2:$B$221, $C45, MRP!$G$2:$G$221, J$1),
    SUMIFS(MRP!$I$2:$I$221, MRP!$B$2:$B$221, $C45, MRP!$G$2:$G$221, J$1),
    SUMIFS(MRP!$J$2:$J$221, MRP!$B$2:$B$221, $C45,  MRP!$G$2:$G$221, J$1),
    SUMIFS(MRP!$K$2:$K$221, MRP!$B$2:$B$221, $C45,  MRP!$G$2:$G$221, J$1),
    SUMIFS(MRP!$L$2:$L$221, MRP!$B$2:$B$221, $C45,  MRP!$G$2:$G$221, J$1)
)*F45</f>
        <v>0</v>
      </c>
      <c r="K45" s="15">
        <f>SUM(
    SUMIFS(MRP!$H$2:$H$221, MRP!$B$2:$B$221, $C45, MRP!$G$2:$G$221, K$1),
    SUMIFS(MRP!$I$2:$I$221, MRP!$B$2:$B$221, $C45, MRP!$G$2:$G$221, K$1),
    SUMIFS(MRP!$J$2:$J$221, MRP!$B$2:$B$221, $C45,  MRP!$G$2:$G$221, K$1),
    SUMIFS(MRP!$K$2:$K$221, MRP!$B$2:$B$221, $C45,  MRP!$G$2:$G$221, K$1),
    SUMIFS(MRP!$L$2:$L$221, MRP!$B$2:$B$221, $C45,  MRP!$G$2:$G$221, K$1)
)*F45</f>
        <v>0</v>
      </c>
      <c r="L45" s="55" t="str">
        <f>TRIM(Tabla3[[#This Row],[CodInternoArti]])</f>
        <v>7790321020256</v>
      </c>
    </row>
    <row r="46" spans="1:12" hidden="1" x14ac:dyDescent="0.35">
      <c r="A46" s="38" t="str">
        <f>IF(ISNUMBER(_xlfn.XMATCH(Tabla3[[#This Row],[CodInternoArti]],'Tabla Articulos'!B:B)),"OK","NO ESTA")</f>
        <v>OK</v>
      </c>
      <c r="B46" s="38" t="str">
        <f>IF(ISNUMBER(_xlfn.XMATCH('Calcular necesidad'!E:E,'Necesidad por familia'!A:A)),"OK","NO ESTA")</f>
        <v>OK</v>
      </c>
      <c r="C46" s="17" t="s">
        <v>549</v>
      </c>
      <c r="D46" s="1" t="s">
        <v>343</v>
      </c>
      <c r="E46" s="1" t="str">
        <f>_xlfn.XLOOKUP(C46,'Tabla Articulos'!B:B,'Tabla Articulos'!D:D)</f>
        <v>COLLARIN 8/12 OZ</v>
      </c>
      <c r="F46" s="1">
        <f>_xlfn.XLOOKUP(C46,'Tabla Articulos'!B:B,'Tabla Articulos'!E:E)</f>
        <v>100</v>
      </c>
      <c r="G46" s="15">
        <f>SUM(
    SUMIFS(MRP!$H$2:$H$221, MRP!$B$2:$B$221, $C46, MRP!$G$2:$G$221, G$1),
    SUMIFS(MRP!$I$2:$I$221, MRP!$B$2:$B$221, $C46, MRP!$G$2:$G$221, G$1),
    SUMIFS(MRP!$J$2:$J$221, MRP!$B$2:$B$221, $C46,  MRP!$G$2:$G$221, G$1),
    SUMIFS(MRP!$K$2:$K$221, MRP!$B$2:$B$221, $C46,  MRP!$G$2:$G$221, G$1),
    SUMIFS(MRP!$L$2:$L$221, MRP!$B$2:$B$221, $C46,  MRP!$G$2:$G$221, G$1)
)*F46</f>
        <v>0</v>
      </c>
      <c r="H46" s="15">
        <f>SUM(
    SUMIFS(MRP!$H$2:$H$221, MRP!$B$2:$B$221, $C46, MRP!$G$2:$G$221, H$1),
    SUMIFS(MRP!$I$2:$I$221, MRP!$B$2:$B$221, $C46, MRP!$G$2:$G$221, H$1),
    SUMIFS(MRP!$J$2:$J$221, MRP!$B$2:$B$221, $C46,  MRP!$G$2:$G$221, H$1),
    SUMIFS(MRP!$K$2:$K$221, MRP!$B$2:$B$221, $C46,  MRP!$G$2:$G$221, H$1),
    SUMIFS(MRP!$L$2:$L$221, MRP!$B$2:$B$221, $C46,  MRP!$G$2:$G$221, H$1)
)*F46</f>
        <v>1400</v>
      </c>
      <c r="I46" s="15">
        <f>SUM(
    SUMIFS(MRP!$H$2:$H$221, MRP!$B$2:$B$221, $C46, MRP!$G$2:$G$221, I$1),
    SUMIFS(MRP!$I$2:$I$221, MRP!$B$2:$B$221, $C46, MRP!$G$2:$G$221, I$1),
    SUMIFS(MRP!$J$2:$J$221, MRP!$B$2:$B$221, $C46,  MRP!$G$2:$G$221, I$1),
    SUMIFS(MRP!$K$2:$K$221, MRP!$B$2:$B$221, $C46,  MRP!$G$2:$G$221, I$1),
    SUMIFS(MRP!$L$2:$L$221, MRP!$B$2:$B$221, $C46,  MRP!$G$2:$G$221, I$1)
)*F46</f>
        <v>0</v>
      </c>
      <c r="J46" s="15">
        <f>SUM(
    SUMIFS(MRP!$H$2:$H$221, MRP!$B$2:$B$221, $C46, MRP!$G$2:$G$221, J$1),
    SUMIFS(MRP!$I$2:$I$221, MRP!$B$2:$B$221, $C46, MRP!$G$2:$G$221, J$1),
    SUMIFS(MRP!$J$2:$J$221, MRP!$B$2:$B$221, $C46,  MRP!$G$2:$G$221, J$1),
    SUMIFS(MRP!$K$2:$K$221, MRP!$B$2:$B$221, $C46,  MRP!$G$2:$G$221, J$1),
    SUMIFS(MRP!$L$2:$L$221, MRP!$B$2:$B$221, $C46,  MRP!$G$2:$G$221, J$1)
)*F46</f>
        <v>0</v>
      </c>
      <c r="K46" s="15">
        <f>SUM(
    SUMIFS(MRP!$H$2:$H$221, MRP!$B$2:$B$221, $C46, MRP!$G$2:$G$221, K$1),
    SUMIFS(MRP!$I$2:$I$221, MRP!$B$2:$B$221, $C46, MRP!$G$2:$G$221, K$1),
    SUMIFS(MRP!$J$2:$J$221, MRP!$B$2:$B$221, $C46,  MRP!$G$2:$G$221, K$1),
    SUMIFS(MRP!$K$2:$K$221, MRP!$B$2:$B$221, $C46,  MRP!$G$2:$G$221, K$1),
    SUMIFS(MRP!$L$2:$L$221, MRP!$B$2:$B$221, $C46,  MRP!$G$2:$G$221, K$1)
)*F46</f>
        <v>0</v>
      </c>
      <c r="L46" s="55" t="str">
        <f>TRIM(Tabla3[[#This Row],[CodInternoArti]])</f>
        <v>7790321020904</v>
      </c>
    </row>
    <row r="47" spans="1:12" hidden="1" x14ac:dyDescent="0.35">
      <c r="A47" s="38" t="str">
        <f>IF(ISNUMBER(_xlfn.XMATCH(Tabla3[[#This Row],[CodInternoArti]],'Tabla Articulos'!B:B)),"OK","NO ESTA")</f>
        <v>OK</v>
      </c>
      <c r="B47" s="38" t="str">
        <f>IF(ISNUMBER(_xlfn.XMATCH('Calcular necesidad'!E:E,'Necesidad por familia'!A:A)),"OK","NO ESTA")</f>
        <v>OK</v>
      </c>
      <c r="C47" s="17" t="s">
        <v>550</v>
      </c>
      <c r="D47" s="1" t="s">
        <v>551</v>
      </c>
      <c r="E47" s="1" t="str">
        <f>_xlfn.XLOOKUP(C47,'Tabla Articulos'!B:B,'Tabla Articulos'!D:D)</f>
        <v xml:space="preserve">SORBETE </v>
      </c>
      <c r="F47" s="1">
        <f>_xlfn.XLOOKUP(C47,'Tabla Articulos'!B:B,'Tabla Articulos'!E:E)</f>
        <v>1000</v>
      </c>
      <c r="G47" s="15">
        <f>SUM(
    SUMIFS(MRP!$H$2:$H$221, MRP!$B$2:$B$221, $C47, MRP!$G$2:$G$221, G$1),
    SUMIFS(MRP!$I$2:$I$221, MRP!$B$2:$B$221, $C47, MRP!$G$2:$G$221, G$1),
    SUMIFS(MRP!$J$2:$J$221, MRP!$B$2:$B$221, $C47,  MRP!$G$2:$G$221, G$1),
    SUMIFS(MRP!$K$2:$K$221, MRP!$B$2:$B$221, $C47,  MRP!$G$2:$G$221, G$1),
    SUMIFS(MRP!$L$2:$L$221, MRP!$B$2:$B$221, $C47,  MRP!$G$2:$G$221, G$1)
)*F47</f>
        <v>0</v>
      </c>
      <c r="H47" s="15">
        <f>SUM(
    SUMIFS(MRP!$H$2:$H$221, MRP!$B$2:$B$221, $C47, MRP!$G$2:$G$221, H$1),
    SUMIFS(MRP!$I$2:$I$221, MRP!$B$2:$B$221, $C47, MRP!$G$2:$G$221, H$1),
    SUMIFS(MRP!$J$2:$J$221, MRP!$B$2:$B$221, $C47,  MRP!$G$2:$G$221, H$1),
    SUMIFS(MRP!$K$2:$K$221, MRP!$B$2:$B$221, $C47,  MRP!$G$2:$G$221, H$1),
    SUMIFS(MRP!$L$2:$L$221, MRP!$B$2:$B$221, $C47,  MRP!$G$2:$G$221, H$1)
)*F47</f>
        <v>0</v>
      </c>
      <c r="I47" s="15">
        <f>SUM(
    SUMIFS(MRP!$H$2:$H$221, MRP!$B$2:$B$221, $C47, MRP!$G$2:$G$221, I$1),
    SUMIFS(MRP!$I$2:$I$221, MRP!$B$2:$B$221, $C47, MRP!$G$2:$G$221, I$1),
    SUMIFS(MRP!$J$2:$J$221, MRP!$B$2:$B$221, $C47,  MRP!$G$2:$G$221, I$1),
    SUMIFS(MRP!$K$2:$K$221, MRP!$B$2:$B$221, $C47,  MRP!$G$2:$G$221, I$1),
    SUMIFS(MRP!$L$2:$L$221, MRP!$B$2:$B$221, $C47,  MRP!$G$2:$G$221, I$1)
)*F47</f>
        <v>0</v>
      </c>
      <c r="J47" s="15">
        <f>SUM(
    SUMIFS(MRP!$H$2:$H$221, MRP!$B$2:$B$221, $C47, MRP!$G$2:$G$221, J$1),
    SUMIFS(MRP!$I$2:$I$221, MRP!$B$2:$B$221, $C47, MRP!$G$2:$G$221, J$1),
    SUMIFS(MRP!$J$2:$J$221, MRP!$B$2:$B$221, $C47,  MRP!$G$2:$G$221, J$1),
    SUMIFS(MRP!$K$2:$K$221, MRP!$B$2:$B$221, $C47,  MRP!$G$2:$G$221, J$1),
    SUMIFS(MRP!$L$2:$L$221, MRP!$B$2:$B$221, $C47,  MRP!$G$2:$G$221, J$1)
)*F47</f>
        <v>0</v>
      </c>
      <c r="K47" s="15">
        <f>SUM(
    SUMIFS(MRP!$H$2:$H$221, MRP!$B$2:$B$221, $C47, MRP!$G$2:$G$221, K$1),
    SUMIFS(MRP!$I$2:$I$221, MRP!$B$2:$B$221, $C47, MRP!$G$2:$G$221, K$1),
    SUMIFS(MRP!$J$2:$J$221, MRP!$B$2:$B$221, $C47,  MRP!$G$2:$G$221, K$1),
    SUMIFS(MRP!$K$2:$K$221, MRP!$B$2:$B$221, $C47,  MRP!$G$2:$G$221, K$1),
    SUMIFS(MRP!$L$2:$L$221, MRP!$B$2:$B$221, $C47,  MRP!$G$2:$G$221, K$1)
)*F47</f>
        <v>0</v>
      </c>
      <c r="L47" s="55" t="str">
        <f>TRIM(Tabla3[[#This Row],[CodInternoArti]])</f>
        <v>7790221010607</v>
      </c>
    </row>
    <row r="48" spans="1:12" hidden="1" x14ac:dyDescent="0.35">
      <c r="A48" s="38" t="str">
        <f>IF(ISNUMBER(_xlfn.XMATCH(Tabla3[[#This Row],[CodInternoArti]],'Tabla Articulos'!B:B)),"OK","NO ESTA")</f>
        <v>OK</v>
      </c>
      <c r="B48" s="38" t="str">
        <f>IF(ISNUMBER(_xlfn.XMATCH('Calcular necesidad'!E:E,'Necesidad por familia'!A:A)),"OK","NO ESTA")</f>
        <v>OK</v>
      </c>
      <c r="C48" s="17" t="s">
        <v>552</v>
      </c>
      <c r="D48" s="1" t="s">
        <v>280</v>
      </c>
      <c r="E48" s="1" t="str">
        <f>_xlfn.XLOOKUP(C48,'Tabla Articulos'!B:B,'Tabla Articulos'!D:D)</f>
        <v>BANDEJA R3</v>
      </c>
      <c r="F48" s="1">
        <f>_xlfn.XLOOKUP(C48,'Tabla Articulos'!B:B,'Tabla Articulos'!E:E)</f>
        <v>600</v>
      </c>
      <c r="G48" s="15">
        <f>SUM(
    SUMIFS(MRP!$H$2:$H$221, MRP!$B$2:$B$221, $C48, MRP!$G$2:$G$221, G$1),
    SUMIFS(MRP!$I$2:$I$221, MRP!$B$2:$B$221, $C48, MRP!$G$2:$G$221, G$1),
    SUMIFS(MRP!$J$2:$J$221, MRP!$B$2:$B$221, $C48,  MRP!$G$2:$G$221, G$1),
    SUMIFS(MRP!$K$2:$K$221, MRP!$B$2:$B$221, $C48,  MRP!$G$2:$G$221, G$1),
    SUMIFS(MRP!$L$2:$L$221, MRP!$B$2:$B$221, $C48,  MRP!$G$2:$G$221, G$1)
)*F48</f>
        <v>0</v>
      </c>
      <c r="H48" s="15">
        <f>SUM(
    SUMIFS(MRP!$H$2:$H$221, MRP!$B$2:$B$221, $C48, MRP!$G$2:$G$221, H$1),
    SUMIFS(MRP!$I$2:$I$221, MRP!$B$2:$B$221, $C48, MRP!$G$2:$G$221, H$1),
    SUMIFS(MRP!$J$2:$J$221, MRP!$B$2:$B$221, $C48,  MRP!$G$2:$G$221, H$1),
    SUMIFS(MRP!$K$2:$K$221, MRP!$B$2:$B$221, $C48,  MRP!$G$2:$G$221, H$1),
    SUMIFS(MRP!$L$2:$L$221, MRP!$B$2:$B$221, $C48,  MRP!$G$2:$G$221, H$1)
)*F48</f>
        <v>90000</v>
      </c>
      <c r="I48" s="15">
        <f>SUM(
    SUMIFS(MRP!$H$2:$H$221, MRP!$B$2:$B$221, $C48, MRP!$G$2:$G$221, I$1),
    SUMIFS(MRP!$I$2:$I$221, MRP!$B$2:$B$221, $C48, MRP!$G$2:$G$221, I$1),
    SUMIFS(MRP!$J$2:$J$221, MRP!$B$2:$B$221, $C48,  MRP!$G$2:$G$221, I$1),
    SUMIFS(MRP!$K$2:$K$221, MRP!$B$2:$B$221, $C48,  MRP!$G$2:$G$221, I$1),
    SUMIFS(MRP!$L$2:$L$221, MRP!$B$2:$B$221, $C48,  MRP!$G$2:$G$221, I$1)
)*F48</f>
        <v>0</v>
      </c>
      <c r="J48" s="15">
        <f>SUM(
    SUMIFS(MRP!$H$2:$H$221, MRP!$B$2:$B$221, $C48, MRP!$G$2:$G$221, J$1),
    SUMIFS(MRP!$I$2:$I$221, MRP!$B$2:$B$221, $C48, MRP!$G$2:$G$221, J$1),
    SUMIFS(MRP!$J$2:$J$221, MRP!$B$2:$B$221, $C48,  MRP!$G$2:$G$221, J$1),
    SUMIFS(MRP!$K$2:$K$221, MRP!$B$2:$B$221, $C48,  MRP!$G$2:$G$221, J$1),
    SUMIFS(MRP!$L$2:$L$221, MRP!$B$2:$B$221, $C48,  MRP!$G$2:$G$221, J$1)
)*F48</f>
        <v>0</v>
      </c>
      <c r="K48" s="15">
        <f>SUM(
    SUMIFS(MRP!$H$2:$H$221, MRP!$B$2:$B$221, $C48, MRP!$G$2:$G$221, K$1),
    SUMIFS(MRP!$I$2:$I$221, MRP!$B$2:$B$221, $C48, MRP!$G$2:$G$221, K$1),
    SUMIFS(MRP!$J$2:$J$221, MRP!$B$2:$B$221, $C48,  MRP!$G$2:$G$221, K$1),
    SUMIFS(MRP!$K$2:$K$221, MRP!$B$2:$B$221, $C48,  MRP!$G$2:$G$221, K$1),
    SUMIFS(MRP!$L$2:$L$221, MRP!$B$2:$B$221, $C48,  MRP!$G$2:$G$221, K$1)
)*F48</f>
        <v>0</v>
      </c>
      <c r="L48" s="55" t="str">
        <f>TRIM(Tabla3[[#This Row],[CodInternoArti]])</f>
        <v>7790321007512</v>
      </c>
    </row>
    <row r="49" spans="1:12" hidden="1" x14ac:dyDescent="0.35">
      <c r="A49" s="38" t="str">
        <f>IF(ISNUMBER(_xlfn.XMATCH(Tabla3[[#This Row],[CodInternoArti]],'Tabla Articulos'!B:B)),"OK","NO ESTA")</f>
        <v>OK</v>
      </c>
      <c r="B49" s="38" t="str">
        <f>IF(ISNUMBER(_xlfn.XMATCH('Calcular necesidad'!E:E,'Necesidad por familia'!A:A)),"OK","NO ESTA")</f>
        <v>OK</v>
      </c>
      <c r="C49" s="17" t="s">
        <v>553</v>
      </c>
      <c r="D49" s="1" t="s">
        <v>391</v>
      </c>
      <c r="E49" s="1" t="str">
        <f>_xlfn.XLOOKUP(C49,'Tabla Articulos'!B:B,'Tabla Articulos'!D:D)</f>
        <v>BANDEJA 105</v>
      </c>
      <c r="F49" s="1">
        <f>_xlfn.XLOOKUP(C49,'Tabla Articulos'!B:B,'Tabla Articulos'!E:E)</f>
        <v>100</v>
      </c>
      <c r="G49" s="15">
        <f>SUM(
    SUMIFS(MRP!$H$2:$H$221, MRP!$B$2:$B$221, $C49, MRP!$G$2:$G$221, G$1),
    SUMIFS(MRP!$I$2:$I$221, MRP!$B$2:$B$221, $C49, MRP!$G$2:$G$221, G$1),
    SUMIFS(MRP!$J$2:$J$221, MRP!$B$2:$B$221, $C49,  MRP!$G$2:$G$221, G$1),
    SUMIFS(MRP!$K$2:$K$221, MRP!$B$2:$B$221, $C49,  MRP!$G$2:$G$221, G$1),
    SUMIFS(MRP!$L$2:$L$221, MRP!$B$2:$B$221, $C49,  MRP!$G$2:$G$221, G$1)
)*F49</f>
        <v>0</v>
      </c>
      <c r="H49" s="15">
        <f>SUM(
    SUMIFS(MRP!$H$2:$H$221, MRP!$B$2:$B$221, $C49, MRP!$G$2:$G$221, H$1),
    SUMIFS(MRP!$I$2:$I$221, MRP!$B$2:$B$221, $C49, MRP!$G$2:$G$221, H$1),
    SUMIFS(MRP!$J$2:$J$221, MRP!$B$2:$B$221, $C49,  MRP!$G$2:$G$221, H$1),
    SUMIFS(MRP!$K$2:$K$221, MRP!$B$2:$B$221, $C49,  MRP!$G$2:$G$221, H$1),
    SUMIFS(MRP!$L$2:$L$221, MRP!$B$2:$B$221, $C49,  MRP!$G$2:$G$221, H$1)
)*F49</f>
        <v>26400</v>
      </c>
      <c r="I49" s="15">
        <f>SUM(
    SUMIFS(MRP!$H$2:$H$221, MRP!$B$2:$B$221, $C49, MRP!$G$2:$G$221, I$1),
    SUMIFS(MRP!$I$2:$I$221, MRP!$B$2:$B$221, $C49, MRP!$G$2:$G$221, I$1),
    SUMIFS(MRP!$J$2:$J$221, MRP!$B$2:$B$221, $C49,  MRP!$G$2:$G$221, I$1),
    SUMIFS(MRP!$K$2:$K$221, MRP!$B$2:$B$221, $C49,  MRP!$G$2:$G$221, I$1),
    SUMIFS(MRP!$L$2:$L$221, MRP!$B$2:$B$221, $C49,  MRP!$G$2:$G$221, I$1)
)*F49</f>
        <v>0</v>
      </c>
      <c r="J49" s="15">
        <f>SUM(
    SUMIFS(MRP!$H$2:$H$221, MRP!$B$2:$B$221, $C49, MRP!$G$2:$G$221, J$1),
    SUMIFS(MRP!$I$2:$I$221, MRP!$B$2:$B$221, $C49, MRP!$G$2:$G$221, J$1),
    SUMIFS(MRP!$J$2:$J$221, MRP!$B$2:$B$221, $C49,  MRP!$G$2:$G$221, J$1),
    SUMIFS(MRP!$K$2:$K$221, MRP!$B$2:$B$221, $C49,  MRP!$G$2:$G$221, J$1),
    SUMIFS(MRP!$L$2:$L$221, MRP!$B$2:$B$221, $C49,  MRP!$G$2:$G$221, J$1)
)*F49</f>
        <v>0</v>
      </c>
      <c r="K49" s="15">
        <f>SUM(
    SUMIFS(MRP!$H$2:$H$221, MRP!$B$2:$B$221, $C49, MRP!$G$2:$G$221, K$1),
    SUMIFS(MRP!$I$2:$I$221, MRP!$B$2:$B$221, $C49, MRP!$G$2:$G$221, K$1),
    SUMIFS(MRP!$J$2:$J$221, MRP!$B$2:$B$221, $C49,  MRP!$G$2:$G$221, K$1),
    SUMIFS(MRP!$K$2:$K$221, MRP!$B$2:$B$221, $C49,  MRP!$G$2:$G$221, K$1),
    SUMIFS(MRP!$L$2:$L$221, MRP!$B$2:$B$221, $C49,  MRP!$G$2:$G$221, K$1)
)*F49</f>
        <v>0</v>
      </c>
      <c r="L49" s="55" t="str">
        <f>TRIM(Tabla3[[#This Row],[CodInternoArti]])</f>
        <v>7790321020096</v>
      </c>
    </row>
    <row r="50" spans="1:12" hidden="1" x14ac:dyDescent="0.35">
      <c r="A50" s="38" t="str">
        <f>IF(ISNUMBER(_xlfn.XMATCH(Tabla3[[#This Row],[CodInternoArti]],'Tabla Articulos'!B:B)),"OK","NO ESTA")</f>
        <v>OK</v>
      </c>
      <c r="B50" s="38" t="str">
        <f>IF(ISNUMBER(_xlfn.XMATCH('Calcular necesidad'!E:E,'Necesidad por familia'!A:A)),"OK","NO ESTA")</f>
        <v>OK</v>
      </c>
      <c r="C50" s="17" t="s">
        <v>554</v>
      </c>
      <c r="D50" s="1" t="s">
        <v>292</v>
      </c>
      <c r="E50" s="1" t="str">
        <f>_xlfn.XLOOKUP(C50,'Tabla Articulos'!B:B,'Tabla Articulos'!D:D)</f>
        <v>CAMISETA NEGRA 40X50</v>
      </c>
      <c r="F50" s="1">
        <f>_xlfn.XLOOKUP(C50,'Tabla Articulos'!B:B,'Tabla Articulos'!E:E)</f>
        <v>100</v>
      </c>
      <c r="G50" s="15">
        <f>SUM(
    SUMIFS(MRP!$H$2:$H$221, MRP!$B$2:$B$221, $C50, MRP!$G$2:$G$221, G$1),
    SUMIFS(MRP!$I$2:$I$221, MRP!$B$2:$B$221, $C50, MRP!$G$2:$G$221, G$1),
    SUMIFS(MRP!$J$2:$J$221, MRP!$B$2:$B$221, $C50,  MRP!$G$2:$G$221, G$1),
    SUMIFS(MRP!$K$2:$K$221, MRP!$B$2:$B$221, $C50,  MRP!$G$2:$G$221, G$1),
    SUMIFS(MRP!$L$2:$L$221, MRP!$B$2:$B$221, $C50,  MRP!$G$2:$G$221, G$1)
)*F50</f>
        <v>0</v>
      </c>
      <c r="H50" s="15">
        <f>SUM(
    SUMIFS(MRP!$H$2:$H$221, MRP!$B$2:$B$221, $C50, MRP!$G$2:$G$221, H$1),
    SUMIFS(MRP!$I$2:$I$221, MRP!$B$2:$B$221, $C50, MRP!$G$2:$G$221, H$1),
    SUMIFS(MRP!$J$2:$J$221, MRP!$B$2:$B$221, $C50,  MRP!$G$2:$G$221, H$1),
    SUMIFS(MRP!$K$2:$K$221, MRP!$B$2:$B$221, $C50,  MRP!$G$2:$G$221, H$1),
    SUMIFS(MRP!$L$2:$L$221, MRP!$B$2:$B$221, $C50,  MRP!$G$2:$G$221, H$1)
)*F50</f>
        <v>400</v>
      </c>
      <c r="I50" s="15">
        <f>SUM(
    SUMIFS(MRP!$H$2:$H$221, MRP!$B$2:$B$221, $C50, MRP!$G$2:$G$221, I$1),
    SUMIFS(MRP!$I$2:$I$221, MRP!$B$2:$B$221, $C50, MRP!$G$2:$G$221, I$1),
    SUMIFS(MRP!$J$2:$J$221, MRP!$B$2:$B$221, $C50,  MRP!$G$2:$G$221, I$1),
    SUMIFS(MRP!$K$2:$K$221, MRP!$B$2:$B$221, $C50,  MRP!$G$2:$G$221, I$1),
    SUMIFS(MRP!$L$2:$L$221, MRP!$B$2:$B$221, $C50,  MRP!$G$2:$G$221, I$1)
)*F50</f>
        <v>0</v>
      </c>
      <c r="J50" s="15">
        <f>SUM(
    SUMIFS(MRP!$H$2:$H$221, MRP!$B$2:$B$221, $C50, MRP!$G$2:$G$221, J$1),
    SUMIFS(MRP!$I$2:$I$221, MRP!$B$2:$B$221, $C50, MRP!$G$2:$G$221, J$1),
    SUMIFS(MRP!$J$2:$J$221, MRP!$B$2:$B$221, $C50,  MRP!$G$2:$G$221, J$1),
    SUMIFS(MRP!$K$2:$K$221, MRP!$B$2:$B$221, $C50,  MRP!$G$2:$G$221, J$1),
    SUMIFS(MRP!$L$2:$L$221, MRP!$B$2:$B$221, $C50,  MRP!$G$2:$G$221, J$1)
)*F50</f>
        <v>0</v>
      </c>
      <c r="K50" s="15">
        <f>SUM(
    SUMIFS(MRP!$H$2:$H$221, MRP!$B$2:$B$221, $C50, MRP!$G$2:$G$221, K$1),
    SUMIFS(MRP!$I$2:$I$221, MRP!$B$2:$B$221, $C50, MRP!$G$2:$G$221, K$1),
    SUMIFS(MRP!$J$2:$J$221, MRP!$B$2:$B$221, $C50,  MRP!$G$2:$G$221, K$1),
    SUMIFS(MRP!$K$2:$K$221, MRP!$B$2:$B$221, $C50,  MRP!$G$2:$G$221, K$1),
    SUMIFS(MRP!$L$2:$L$221, MRP!$B$2:$B$221, $C50,  MRP!$G$2:$G$221, K$1)
)*F50</f>
        <v>0</v>
      </c>
      <c r="L50" s="55" t="str">
        <f>TRIM(Tabla3[[#This Row],[CodInternoArti]])</f>
        <v>7790321020156</v>
      </c>
    </row>
    <row r="51" spans="1:12" hidden="1" x14ac:dyDescent="0.35">
      <c r="A51" s="38" t="str">
        <f>IF(ISNUMBER(_xlfn.XMATCH(Tabla3[[#This Row],[CodInternoArti]],'Tabla Articulos'!B:B)),"OK","NO ESTA")</f>
        <v>OK</v>
      </c>
      <c r="B51" s="38" t="str">
        <f>IF(ISNUMBER(_xlfn.XMATCH('Calcular necesidad'!E:E,'Necesidad por familia'!A:A)),"OK","NO ESTA")</f>
        <v>OK</v>
      </c>
      <c r="C51" s="17" t="s">
        <v>555</v>
      </c>
      <c r="D51" s="1" t="s">
        <v>349</v>
      </c>
      <c r="E51" s="1" t="str">
        <f>_xlfn.XLOOKUP(C51,'Tabla Articulos'!B:B,'Tabla Articulos'!D:D)</f>
        <v>TENEDOR DESCARTABLE</v>
      </c>
      <c r="F51" s="1">
        <f>_xlfn.XLOOKUP(C51,'Tabla Articulos'!B:B,'Tabla Articulos'!E:E)</f>
        <v>1000</v>
      </c>
      <c r="G51" s="15">
        <f>SUM(
    SUMIFS(MRP!$H$2:$H$221, MRP!$B$2:$B$221, $C51, MRP!$G$2:$G$221, G$1),
    SUMIFS(MRP!$I$2:$I$221, MRP!$B$2:$B$221, $C51, MRP!$G$2:$G$221, G$1),
    SUMIFS(MRP!$J$2:$J$221, MRP!$B$2:$B$221, $C51,  MRP!$G$2:$G$221, G$1),
    SUMIFS(MRP!$K$2:$K$221, MRP!$B$2:$B$221, $C51,  MRP!$G$2:$G$221, G$1),
    SUMIFS(MRP!$L$2:$L$221, MRP!$B$2:$B$221, $C51,  MRP!$G$2:$G$221, G$1)
)*F51</f>
        <v>0</v>
      </c>
      <c r="H51" s="15">
        <f>SUM(
    SUMIFS(MRP!$H$2:$H$221, MRP!$B$2:$B$221, $C51, MRP!$G$2:$G$221, H$1),
    SUMIFS(MRP!$I$2:$I$221, MRP!$B$2:$B$221, $C51, MRP!$G$2:$G$221, H$1),
    SUMIFS(MRP!$J$2:$J$221, MRP!$B$2:$B$221, $C51,  MRP!$G$2:$G$221, H$1),
    SUMIFS(MRP!$K$2:$K$221, MRP!$B$2:$B$221, $C51,  MRP!$G$2:$G$221, H$1),
    SUMIFS(MRP!$L$2:$L$221, MRP!$B$2:$B$221, $C51,  MRP!$G$2:$G$221, H$1)
)*F51</f>
        <v>129000</v>
      </c>
      <c r="I51" s="15">
        <f>SUM(
    SUMIFS(MRP!$H$2:$H$221, MRP!$B$2:$B$221, $C51, MRP!$G$2:$G$221, I$1),
    SUMIFS(MRP!$I$2:$I$221, MRP!$B$2:$B$221, $C51, MRP!$G$2:$G$221, I$1),
    SUMIFS(MRP!$J$2:$J$221, MRP!$B$2:$B$221, $C51,  MRP!$G$2:$G$221, I$1),
    SUMIFS(MRP!$K$2:$K$221, MRP!$B$2:$B$221, $C51,  MRP!$G$2:$G$221, I$1),
    SUMIFS(MRP!$L$2:$L$221, MRP!$B$2:$B$221, $C51,  MRP!$G$2:$G$221, I$1)
)*F51</f>
        <v>0</v>
      </c>
      <c r="J51" s="15">
        <f>SUM(
    SUMIFS(MRP!$H$2:$H$221, MRP!$B$2:$B$221, $C51, MRP!$G$2:$G$221, J$1),
    SUMIFS(MRP!$I$2:$I$221, MRP!$B$2:$B$221, $C51, MRP!$G$2:$G$221, J$1),
    SUMIFS(MRP!$J$2:$J$221, MRP!$B$2:$B$221, $C51,  MRP!$G$2:$G$221, J$1),
    SUMIFS(MRP!$K$2:$K$221, MRP!$B$2:$B$221, $C51,  MRP!$G$2:$G$221, J$1),
    SUMIFS(MRP!$L$2:$L$221, MRP!$B$2:$B$221, $C51,  MRP!$G$2:$G$221, J$1)
)*F51</f>
        <v>0</v>
      </c>
      <c r="K51" s="15">
        <f>SUM(
    SUMIFS(MRP!$H$2:$H$221, MRP!$B$2:$B$221, $C51, MRP!$G$2:$G$221, K$1),
    SUMIFS(MRP!$I$2:$I$221, MRP!$B$2:$B$221, $C51, MRP!$G$2:$G$221, K$1),
    SUMIFS(MRP!$J$2:$J$221, MRP!$B$2:$B$221, $C51,  MRP!$G$2:$G$221, K$1),
    SUMIFS(MRP!$K$2:$K$221, MRP!$B$2:$B$221, $C51,  MRP!$G$2:$G$221, K$1),
    SUMIFS(MRP!$L$2:$L$221, MRP!$B$2:$B$221, $C51,  MRP!$G$2:$G$221, K$1)
)*F51</f>
        <v>0</v>
      </c>
      <c r="L51" s="55" t="str">
        <f>TRIM(Tabla3[[#This Row],[CodInternoArti]])</f>
        <v>7790321020336</v>
      </c>
    </row>
    <row r="52" spans="1:12" hidden="1" x14ac:dyDescent="0.35">
      <c r="A52" s="38" t="str">
        <f>IF(ISNUMBER(_xlfn.XMATCH(Tabla3[[#This Row],[CodInternoArti]],'Tabla Articulos'!B:B)),"OK","NO ESTA")</f>
        <v>OK</v>
      </c>
      <c r="B52" s="38" t="str">
        <f>IF(ISNUMBER(_xlfn.XMATCH('Calcular necesidad'!E:E,'Necesidad por familia'!A:A)),"OK","NO ESTA")</f>
        <v>OK</v>
      </c>
      <c r="C52" s="17" t="s">
        <v>556</v>
      </c>
      <c r="D52" s="1" t="s">
        <v>296</v>
      </c>
      <c r="E52" s="1" t="str">
        <f>_xlfn.XLOOKUP(C52,'Tabla Articulos'!B:B,'Tabla Articulos'!D:D)</f>
        <v>BANDEJA R5</v>
      </c>
      <c r="F52" s="1">
        <f>_xlfn.XLOOKUP(C52,'Tabla Articulos'!B:B,'Tabla Articulos'!E:E)</f>
        <v>600</v>
      </c>
      <c r="G52" s="15">
        <f>SUM(
    SUMIFS(MRP!$H$2:$H$221, MRP!$B$2:$B$221, $C52, MRP!$G$2:$G$221, G$1),
    SUMIFS(MRP!$I$2:$I$221, MRP!$B$2:$B$221, $C52, MRP!$G$2:$G$221, G$1),
    SUMIFS(MRP!$J$2:$J$221, MRP!$B$2:$B$221, $C52,  MRP!$G$2:$G$221, G$1),
    SUMIFS(MRP!$K$2:$K$221, MRP!$B$2:$B$221, $C52,  MRP!$G$2:$G$221, G$1),
    SUMIFS(MRP!$L$2:$L$221, MRP!$B$2:$B$221, $C52,  MRP!$G$2:$G$221, G$1)
)*F52</f>
        <v>0</v>
      </c>
      <c r="H52" s="15">
        <f>SUM(
    SUMIFS(MRP!$H$2:$H$221, MRP!$B$2:$B$221, $C52, MRP!$G$2:$G$221, H$1),
    SUMIFS(MRP!$I$2:$I$221, MRP!$B$2:$B$221, $C52, MRP!$G$2:$G$221, H$1),
    SUMIFS(MRP!$J$2:$J$221, MRP!$B$2:$B$221, $C52,  MRP!$G$2:$G$221, H$1),
    SUMIFS(MRP!$K$2:$K$221, MRP!$B$2:$B$221, $C52,  MRP!$G$2:$G$221, H$1),
    SUMIFS(MRP!$L$2:$L$221, MRP!$B$2:$B$221, $C52,  MRP!$G$2:$G$221, H$1)
)*F52</f>
        <v>6000</v>
      </c>
      <c r="I52" s="15">
        <f>SUM(
    SUMIFS(MRP!$H$2:$H$221, MRP!$B$2:$B$221, $C52, MRP!$G$2:$G$221, I$1),
    SUMIFS(MRP!$I$2:$I$221, MRP!$B$2:$B$221, $C52, MRP!$G$2:$G$221, I$1),
    SUMIFS(MRP!$J$2:$J$221, MRP!$B$2:$B$221, $C52,  MRP!$G$2:$G$221, I$1),
    SUMIFS(MRP!$K$2:$K$221, MRP!$B$2:$B$221, $C52,  MRP!$G$2:$G$221, I$1),
    SUMIFS(MRP!$L$2:$L$221, MRP!$B$2:$B$221, $C52,  MRP!$G$2:$G$221, I$1)
)*F52</f>
        <v>0</v>
      </c>
      <c r="J52" s="15">
        <f>SUM(
    SUMIFS(MRP!$H$2:$H$221, MRP!$B$2:$B$221, $C52, MRP!$G$2:$G$221, J$1),
    SUMIFS(MRP!$I$2:$I$221, MRP!$B$2:$B$221, $C52, MRP!$G$2:$G$221, J$1),
    SUMIFS(MRP!$J$2:$J$221, MRP!$B$2:$B$221, $C52,  MRP!$G$2:$G$221, J$1),
    SUMIFS(MRP!$K$2:$K$221, MRP!$B$2:$B$221, $C52,  MRP!$G$2:$G$221, J$1),
    SUMIFS(MRP!$L$2:$L$221, MRP!$B$2:$B$221, $C52,  MRP!$G$2:$G$221, J$1)
)*F52</f>
        <v>0</v>
      </c>
      <c r="K52" s="15">
        <f>SUM(
    SUMIFS(MRP!$H$2:$H$221, MRP!$B$2:$B$221, $C52, MRP!$G$2:$G$221, K$1),
    SUMIFS(MRP!$I$2:$I$221, MRP!$B$2:$B$221, $C52, MRP!$G$2:$G$221, K$1),
    SUMIFS(MRP!$J$2:$J$221, MRP!$B$2:$B$221, $C52,  MRP!$G$2:$G$221, K$1),
    SUMIFS(MRP!$K$2:$K$221, MRP!$B$2:$B$221, $C52,  MRP!$G$2:$G$221, K$1),
    SUMIFS(MRP!$L$2:$L$221, MRP!$B$2:$B$221, $C52,  MRP!$G$2:$G$221, K$1)
)*F52</f>
        <v>0</v>
      </c>
      <c r="L52" s="55" t="str">
        <f>TRIM(Tabla3[[#This Row],[CodInternoArti]])</f>
        <v>7790321006512</v>
      </c>
    </row>
    <row r="53" spans="1:12" hidden="1" x14ac:dyDescent="0.35">
      <c r="A53" s="38" t="str">
        <f>IF(ISNUMBER(_xlfn.XMATCH(Tabla3[[#This Row],[CodInternoArti]],'Tabla Articulos'!B:B)),"OK","NO ESTA")</f>
        <v>OK</v>
      </c>
      <c r="B53" s="38" t="str">
        <f>IF(ISNUMBER(_xlfn.XMATCH('Calcular necesidad'!E:E,'Necesidad por familia'!A:A)),"OK","NO ESTA")</f>
        <v>OK</v>
      </c>
      <c r="C53" s="17" t="s">
        <v>557</v>
      </c>
      <c r="D53" s="1" t="s">
        <v>315</v>
      </c>
      <c r="E53" s="1" t="str">
        <f>_xlfn.XLOOKUP(C53,'Tabla Articulos'!B:B,'Tabla Articulos'!D:D)</f>
        <v>CUCHARA SOPERA</v>
      </c>
      <c r="F53" s="1">
        <f>_xlfn.XLOOKUP(C53,'Tabla Articulos'!B:B,'Tabla Articulos'!E:E)</f>
        <v>1000</v>
      </c>
      <c r="G53" s="15">
        <f>SUM(
    SUMIFS(MRP!$H$2:$H$221, MRP!$B$2:$B$221, $C53, MRP!$G$2:$G$221, G$1),
    SUMIFS(MRP!$I$2:$I$221, MRP!$B$2:$B$221, $C53, MRP!$G$2:$G$221, G$1),
    SUMIFS(MRP!$J$2:$J$221, MRP!$B$2:$B$221, $C53,  MRP!$G$2:$G$221, G$1),
    SUMIFS(MRP!$K$2:$K$221, MRP!$B$2:$B$221, $C53,  MRP!$G$2:$G$221, G$1),
    SUMIFS(MRP!$L$2:$L$221, MRP!$B$2:$B$221, $C53,  MRP!$G$2:$G$221, G$1)
)*F53</f>
        <v>0</v>
      </c>
      <c r="H53" s="15">
        <f>SUM(
    SUMIFS(MRP!$H$2:$H$221, MRP!$B$2:$B$221, $C53, MRP!$G$2:$G$221, H$1),
    SUMIFS(MRP!$I$2:$I$221, MRP!$B$2:$B$221, $C53, MRP!$G$2:$G$221, H$1),
    SUMIFS(MRP!$J$2:$J$221, MRP!$B$2:$B$221, $C53,  MRP!$G$2:$G$221, H$1),
    SUMIFS(MRP!$K$2:$K$221, MRP!$B$2:$B$221, $C53,  MRP!$G$2:$G$221, H$1),
    SUMIFS(MRP!$L$2:$L$221, MRP!$B$2:$B$221, $C53,  MRP!$G$2:$G$221, H$1)
)*F53</f>
        <v>40000</v>
      </c>
      <c r="I53" s="15">
        <f>SUM(
    SUMIFS(MRP!$H$2:$H$221, MRP!$B$2:$B$221, $C53, MRP!$G$2:$G$221, I$1),
    SUMIFS(MRP!$I$2:$I$221, MRP!$B$2:$B$221, $C53, MRP!$G$2:$G$221, I$1),
    SUMIFS(MRP!$J$2:$J$221, MRP!$B$2:$B$221, $C53,  MRP!$G$2:$G$221, I$1),
    SUMIFS(MRP!$K$2:$K$221, MRP!$B$2:$B$221, $C53,  MRP!$G$2:$G$221, I$1),
    SUMIFS(MRP!$L$2:$L$221, MRP!$B$2:$B$221, $C53,  MRP!$G$2:$G$221, I$1)
)*F53</f>
        <v>0</v>
      </c>
      <c r="J53" s="15">
        <f>SUM(
    SUMIFS(MRP!$H$2:$H$221, MRP!$B$2:$B$221, $C53, MRP!$G$2:$G$221, J$1),
    SUMIFS(MRP!$I$2:$I$221, MRP!$B$2:$B$221, $C53, MRP!$G$2:$G$221, J$1),
    SUMIFS(MRP!$J$2:$J$221, MRP!$B$2:$B$221, $C53,  MRP!$G$2:$G$221, J$1),
    SUMIFS(MRP!$K$2:$K$221, MRP!$B$2:$B$221, $C53,  MRP!$G$2:$G$221, J$1),
    SUMIFS(MRP!$L$2:$L$221, MRP!$B$2:$B$221, $C53,  MRP!$G$2:$G$221, J$1)
)*F53</f>
        <v>0</v>
      </c>
      <c r="K53" s="15">
        <f>SUM(
    SUMIFS(MRP!$H$2:$H$221, MRP!$B$2:$B$221, $C53, MRP!$G$2:$G$221, K$1),
    SUMIFS(MRP!$I$2:$I$221, MRP!$B$2:$B$221, $C53, MRP!$G$2:$G$221, K$1),
    SUMIFS(MRP!$J$2:$J$221, MRP!$B$2:$B$221, $C53,  MRP!$G$2:$G$221, K$1),
    SUMIFS(MRP!$K$2:$K$221, MRP!$B$2:$B$221, $C53,  MRP!$G$2:$G$221, K$1),
    SUMIFS(MRP!$L$2:$L$221, MRP!$B$2:$B$221, $C53,  MRP!$G$2:$G$221, K$1)
)*F53</f>
        <v>0</v>
      </c>
      <c r="L53" s="55" t="str">
        <f>TRIM(Tabla3[[#This Row],[CodInternoArti]])</f>
        <v>7790321020186</v>
      </c>
    </row>
    <row r="54" spans="1:12" hidden="1" x14ac:dyDescent="0.35">
      <c r="A54" s="38" t="str">
        <f>IF(ISNUMBER(_xlfn.XMATCH(Tabla3[[#This Row],[CodInternoArti]],'Tabla Articulos'!B:B)),"OK","NO ESTA")</f>
        <v>OK</v>
      </c>
      <c r="B54" s="38" t="str">
        <f>IF(ISNUMBER(_xlfn.XMATCH('Calcular necesidad'!E:E,'Necesidad por familia'!A:A)),"OK","NO ESTA")</f>
        <v>OK</v>
      </c>
      <c r="C54" s="17" t="s">
        <v>558</v>
      </c>
      <c r="D54" s="1" t="s">
        <v>352</v>
      </c>
      <c r="E54" s="1" t="str">
        <f>_xlfn.XLOOKUP(C54,'Tabla Articulos'!B:B,'Tabla Articulos'!D:D)</f>
        <v>CUCHARA SUNDAE</v>
      </c>
      <c r="F54" s="1">
        <f>_xlfn.XLOOKUP(C54,'Tabla Articulos'!B:B,'Tabla Articulos'!E:E)</f>
        <v>1000</v>
      </c>
      <c r="G54" s="15">
        <f>SUM(
    SUMIFS(MRP!$H$2:$H$221, MRP!$B$2:$B$221, $C54, MRP!$G$2:$G$221, G$1),
    SUMIFS(MRP!$I$2:$I$221, MRP!$B$2:$B$221, $C54, MRP!$G$2:$G$221, G$1),
    SUMIFS(MRP!$J$2:$J$221, MRP!$B$2:$B$221, $C54,  MRP!$G$2:$G$221, G$1),
    SUMIFS(MRP!$K$2:$K$221, MRP!$B$2:$B$221, $C54,  MRP!$G$2:$G$221, G$1),
    SUMIFS(MRP!$L$2:$L$221, MRP!$B$2:$B$221, $C54,  MRP!$G$2:$G$221, G$1)
)*F54</f>
        <v>0</v>
      </c>
      <c r="H54" s="15">
        <f>SUM(
    SUMIFS(MRP!$H$2:$H$221, MRP!$B$2:$B$221, $C54, MRP!$G$2:$G$221, H$1),
    SUMIFS(MRP!$I$2:$I$221, MRP!$B$2:$B$221, $C54, MRP!$G$2:$G$221, H$1),
    SUMIFS(MRP!$J$2:$J$221, MRP!$B$2:$B$221, $C54,  MRP!$G$2:$G$221, H$1),
    SUMIFS(MRP!$K$2:$K$221, MRP!$B$2:$B$221, $C54,  MRP!$G$2:$G$221, H$1),
    SUMIFS(MRP!$L$2:$L$221, MRP!$B$2:$B$221, $C54,  MRP!$G$2:$G$221, H$1)
)*F54</f>
        <v>139000</v>
      </c>
      <c r="I54" s="15">
        <f>SUM(
    SUMIFS(MRP!$H$2:$H$221, MRP!$B$2:$B$221, $C54, MRP!$G$2:$G$221, I$1),
    SUMIFS(MRP!$I$2:$I$221, MRP!$B$2:$B$221, $C54, MRP!$G$2:$G$221, I$1),
    SUMIFS(MRP!$J$2:$J$221, MRP!$B$2:$B$221, $C54,  MRP!$G$2:$G$221, I$1),
    SUMIFS(MRP!$K$2:$K$221, MRP!$B$2:$B$221, $C54,  MRP!$G$2:$G$221, I$1),
    SUMIFS(MRP!$L$2:$L$221, MRP!$B$2:$B$221, $C54,  MRP!$G$2:$G$221, I$1)
)*F54</f>
        <v>0</v>
      </c>
      <c r="J54" s="15">
        <f>SUM(
    SUMIFS(MRP!$H$2:$H$221, MRP!$B$2:$B$221, $C54, MRP!$G$2:$G$221, J$1),
    SUMIFS(MRP!$I$2:$I$221, MRP!$B$2:$B$221, $C54, MRP!$G$2:$G$221, J$1),
    SUMIFS(MRP!$J$2:$J$221, MRP!$B$2:$B$221, $C54,  MRP!$G$2:$G$221, J$1),
    SUMIFS(MRP!$K$2:$K$221, MRP!$B$2:$B$221, $C54,  MRP!$G$2:$G$221, J$1),
    SUMIFS(MRP!$L$2:$L$221, MRP!$B$2:$B$221, $C54,  MRP!$G$2:$G$221, J$1)
)*F54</f>
        <v>0</v>
      </c>
      <c r="K54" s="15">
        <f>SUM(
    SUMIFS(MRP!$H$2:$H$221, MRP!$B$2:$B$221, $C54, MRP!$G$2:$G$221, K$1),
    SUMIFS(MRP!$I$2:$I$221, MRP!$B$2:$B$221, $C54, MRP!$G$2:$G$221, K$1),
    SUMIFS(MRP!$J$2:$J$221, MRP!$B$2:$B$221, $C54,  MRP!$G$2:$G$221, K$1),
    SUMIFS(MRP!$K$2:$K$221, MRP!$B$2:$B$221, $C54,  MRP!$G$2:$G$221, K$1),
    SUMIFS(MRP!$L$2:$L$221, MRP!$B$2:$B$221, $C54,  MRP!$G$2:$G$221, K$1)
)*F54</f>
        <v>0</v>
      </c>
      <c r="L54" s="55" t="str">
        <f>TRIM(Tabla3[[#This Row],[CodInternoArti]])</f>
        <v>7790321020196</v>
      </c>
    </row>
    <row r="55" spans="1:12" hidden="1" x14ac:dyDescent="0.35">
      <c r="A55" s="38" t="str">
        <f>IF(ISNUMBER(_xlfn.XMATCH(Tabla3[[#This Row],[CodInternoArti]],'Tabla Articulos'!B:B)),"OK","NO ESTA")</f>
        <v>OK</v>
      </c>
      <c r="B55" s="38" t="str">
        <f>IF(ISNUMBER(_xlfn.XMATCH('Calcular necesidad'!E:E,'Necesidad por familia'!A:A)),"OK","NO ESTA")</f>
        <v>OK</v>
      </c>
      <c r="C55" s="17" t="s">
        <v>559</v>
      </c>
      <c r="D55" s="1" t="s">
        <v>316</v>
      </c>
      <c r="E55" s="1" t="str">
        <f>_xlfn.XLOOKUP(C55,'Tabla Articulos'!B:B,'Tabla Articulos'!D:D)</f>
        <v>SERVILLETA 30X30 S/LOGO</v>
      </c>
      <c r="F55" s="1">
        <f>_xlfn.XLOOKUP(C55,'Tabla Articulos'!B:B,'Tabla Articulos'!E:E)</f>
        <v>1000</v>
      </c>
      <c r="G55" s="15">
        <f>SUM(
    SUMIFS(MRP!$H$2:$H$221, MRP!$B$2:$B$221, $C55, MRP!$G$2:$G$221, G$1),
    SUMIFS(MRP!$I$2:$I$221, MRP!$B$2:$B$221, $C55, MRP!$G$2:$G$221, G$1),
    SUMIFS(MRP!$J$2:$J$221, MRP!$B$2:$B$221, $C55,  MRP!$G$2:$G$221, G$1),
    SUMIFS(MRP!$K$2:$K$221, MRP!$B$2:$B$221, $C55,  MRP!$G$2:$G$221, G$1),
    SUMIFS(MRP!$L$2:$L$221, MRP!$B$2:$B$221, $C55,  MRP!$G$2:$G$221, G$1)
)*F55</f>
        <v>0</v>
      </c>
      <c r="H55" s="15">
        <f>SUM(
    SUMIFS(MRP!$H$2:$H$221, MRP!$B$2:$B$221, $C55, MRP!$G$2:$G$221, H$1),
    SUMIFS(MRP!$I$2:$I$221, MRP!$B$2:$B$221, $C55, MRP!$G$2:$G$221, H$1),
    SUMIFS(MRP!$J$2:$J$221, MRP!$B$2:$B$221, $C55,  MRP!$G$2:$G$221, H$1),
    SUMIFS(MRP!$K$2:$K$221, MRP!$B$2:$B$221, $C55,  MRP!$G$2:$G$221, H$1),
    SUMIFS(MRP!$L$2:$L$221, MRP!$B$2:$B$221, $C55,  MRP!$G$2:$G$221, H$1)
)*F55</f>
        <v>9000</v>
      </c>
      <c r="I55" s="15">
        <f>SUM(
    SUMIFS(MRP!$H$2:$H$221, MRP!$B$2:$B$221, $C55, MRP!$G$2:$G$221, I$1),
    SUMIFS(MRP!$I$2:$I$221, MRP!$B$2:$B$221, $C55, MRP!$G$2:$G$221, I$1),
    SUMIFS(MRP!$J$2:$J$221, MRP!$B$2:$B$221, $C55,  MRP!$G$2:$G$221, I$1),
    SUMIFS(MRP!$K$2:$K$221, MRP!$B$2:$B$221, $C55,  MRP!$G$2:$G$221, I$1),
    SUMIFS(MRP!$L$2:$L$221, MRP!$B$2:$B$221, $C55,  MRP!$G$2:$G$221, I$1)
)*F55</f>
        <v>0</v>
      </c>
      <c r="J55" s="15">
        <f>SUM(
    SUMIFS(MRP!$H$2:$H$221, MRP!$B$2:$B$221, $C55, MRP!$G$2:$G$221, J$1),
    SUMIFS(MRP!$I$2:$I$221, MRP!$B$2:$B$221, $C55, MRP!$G$2:$G$221, J$1),
    SUMIFS(MRP!$J$2:$J$221, MRP!$B$2:$B$221, $C55,  MRP!$G$2:$G$221, J$1),
    SUMIFS(MRP!$K$2:$K$221, MRP!$B$2:$B$221, $C55,  MRP!$G$2:$G$221, J$1),
    SUMIFS(MRP!$L$2:$L$221, MRP!$B$2:$B$221, $C55,  MRP!$G$2:$G$221, J$1)
)*F55</f>
        <v>0</v>
      </c>
      <c r="K55" s="15">
        <f>SUM(
    SUMIFS(MRP!$H$2:$H$221, MRP!$B$2:$B$221, $C55, MRP!$G$2:$G$221, K$1),
    SUMIFS(MRP!$I$2:$I$221, MRP!$B$2:$B$221, $C55, MRP!$G$2:$G$221, K$1),
    SUMIFS(MRP!$J$2:$J$221, MRP!$B$2:$B$221, $C55,  MRP!$G$2:$G$221, K$1),
    SUMIFS(MRP!$K$2:$K$221, MRP!$B$2:$B$221, $C55,  MRP!$G$2:$G$221, K$1),
    SUMIFS(MRP!$L$2:$L$221, MRP!$B$2:$B$221, $C55,  MRP!$G$2:$G$221, K$1)
)*F55</f>
        <v>0</v>
      </c>
      <c r="L55" s="55" t="str">
        <f>TRIM(Tabla3[[#This Row],[CodInternoArti]])</f>
        <v>7790321020526</v>
      </c>
    </row>
    <row r="56" spans="1:12" hidden="1" x14ac:dyDescent="0.35">
      <c r="A56" s="38" t="str">
        <f>IF(ISNUMBER(_xlfn.XMATCH(Tabla3[[#This Row],[CodInternoArti]],'Tabla Articulos'!B:B)),"OK","NO ESTA")</f>
        <v>OK</v>
      </c>
      <c r="B56" s="38" t="str">
        <f>IF(ISNUMBER(_xlfn.XMATCH('Calcular necesidad'!E:E,'Necesidad por familia'!A:A)),"OK","NO ESTA")</f>
        <v>OK</v>
      </c>
      <c r="C56" s="17" t="s">
        <v>560</v>
      </c>
      <c r="D56" s="1" t="s">
        <v>302</v>
      </c>
      <c r="E56" s="1" t="str">
        <f>_xlfn.XLOOKUP(C56,'Tabla Articulos'!B:B,'Tabla Articulos'!D:D)</f>
        <v>TAPA VASO TERMICO 240</v>
      </c>
      <c r="F56" s="1">
        <f>_xlfn.XLOOKUP(C56,'Tabla Articulos'!B:B,'Tabla Articulos'!E:E)</f>
        <v>100</v>
      </c>
      <c r="G56" s="15">
        <f>SUM(
    SUMIFS(MRP!$H$2:$H$221, MRP!$B$2:$B$221, $C56, MRP!$G$2:$G$221, G$1),
    SUMIFS(MRP!$I$2:$I$221, MRP!$B$2:$B$221, $C56, MRP!$G$2:$G$221, G$1),
    SUMIFS(MRP!$J$2:$J$221, MRP!$B$2:$B$221, $C56,  MRP!$G$2:$G$221, G$1),
    SUMIFS(MRP!$K$2:$K$221, MRP!$B$2:$B$221, $C56,  MRP!$G$2:$G$221, G$1),
    SUMIFS(MRP!$L$2:$L$221, MRP!$B$2:$B$221, $C56,  MRP!$G$2:$G$221, G$1)
)*F56</f>
        <v>0</v>
      </c>
      <c r="H56" s="15">
        <f>SUM(
    SUMIFS(MRP!$H$2:$H$221, MRP!$B$2:$B$221, $C56, MRP!$G$2:$G$221, H$1),
    SUMIFS(MRP!$I$2:$I$221, MRP!$B$2:$B$221, $C56, MRP!$G$2:$G$221, H$1),
    SUMIFS(MRP!$J$2:$J$221, MRP!$B$2:$B$221, $C56,  MRP!$G$2:$G$221, H$1),
    SUMIFS(MRP!$K$2:$K$221, MRP!$B$2:$B$221, $C56,  MRP!$G$2:$G$221, H$1),
    SUMIFS(MRP!$L$2:$L$221, MRP!$B$2:$B$221, $C56,  MRP!$G$2:$G$221, H$1)
)*F56</f>
        <v>800</v>
      </c>
      <c r="I56" s="15">
        <f>SUM(
    SUMIFS(MRP!$H$2:$H$221, MRP!$B$2:$B$221, $C56, MRP!$G$2:$G$221, I$1),
    SUMIFS(MRP!$I$2:$I$221, MRP!$B$2:$B$221, $C56, MRP!$G$2:$G$221, I$1),
    SUMIFS(MRP!$J$2:$J$221, MRP!$B$2:$B$221, $C56,  MRP!$G$2:$G$221, I$1),
    SUMIFS(MRP!$K$2:$K$221, MRP!$B$2:$B$221, $C56,  MRP!$G$2:$G$221, I$1),
    SUMIFS(MRP!$L$2:$L$221, MRP!$B$2:$B$221, $C56,  MRP!$G$2:$G$221, I$1)
)*F56</f>
        <v>0</v>
      </c>
      <c r="J56" s="15">
        <f>SUM(
    SUMIFS(MRP!$H$2:$H$221, MRP!$B$2:$B$221, $C56, MRP!$G$2:$G$221, J$1),
    SUMIFS(MRP!$I$2:$I$221, MRP!$B$2:$B$221, $C56, MRP!$G$2:$G$221, J$1),
    SUMIFS(MRP!$J$2:$J$221, MRP!$B$2:$B$221, $C56,  MRP!$G$2:$G$221, J$1),
    SUMIFS(MRP!$K$2:$K$221, MRP!$B$2:$B$221, $C56,  MRP!$G$2:$G$221, J$1),
    SUMIFS(MRP!$L$2:$L$221, MRP!$B$2:$B$221, $C56,  MRP!$G$2:$G$221, J$1)
)*F56</f>
        <v>0</v>
      </c>
      <c r="K56" s="15">
        <f>SUM(
    SUMIFS(MRP!$H$2:$H$221, MRP!$B$2:$B$221, $C56, MRP!$G$2:$G$221, K$1),
    SUMIFS(MRP!$I$2:$I$221, MRP!$B$2:$B$221, $C56, MRP!$G$2:$G$221, K$1),
    SUMIFS(MRP!$J$2:$J$221, MRP!$B$2:$B$221, $C56,  MRP!$G$2:$G$221, K$1),
    SUMIFS(MRP!$K$2:$K$221, MRP!$B$2:$B$221, $C56,  MRP!$G$2:$G$221, K$1),
    SUMIFS(MRP!$L$2:$L$221, MRP!$B$2:$B$221, $C56,  MRP!$G$2:$G$221, K$1)
)*F56</f>
        <v>0</v>
      </c>
      <c r="L56" s="55" t="str">
        <f>TRIM(Tabla3[[#This Row],[CodInternoArti]])</f>
        <v>7790321020326</v>
      </c>
    </row>
    <row r="57" spans="1:12" hidden="1" x14ac:dyDescent="0.35">
      <c r="A57" s="38" t="str">
        <f>IF(ISNUMBER(_xlfn.XMATCH(Tabla3[[#This Row],[CodInternoArti]],'Tabla Articulos'!B:B)),"OK","NO ESTA")</f>
        <v>OK</v>
      </c>
      <c r="B57" s="38" t="str">
        <f>IF(ISNUMBER(_xlfn.XMATCH('Calcular necesidad'!E:E,'Necesidad por familia'!A:A)),"OK","NO ESTA")</f>
        <v>OK</v>
      </c>
      <c r="C57" s="17" t="s">
        <v>561</v>
      </c>
      <c r="D57" s="1" t="s">
        <v>347</v>
      </c>
      <c r="E57" s="1" t="str">
        <f>_xlfn.XLOOKUP(C57,'Tabla Articulos'!B:B,'Tabla Articulos'!D:D)</f>
        <v>BANDEJA R3</v>
      </c>
      <c r="F57" s="1">
        <f>_xlfn.XLOOKUP(C57,'Tabla Articulos'!B:B,'Tabla Articulos'!E:E)</f>
        <v>600</v>
      </c>
      <c r="G57" s="15">
        <f>SUM(
    SUMIFS(MRP!$H$2:$H$221, MRP!$B$2:$B$221, $C57, MRP!$G$2:$G$221, G$1),
    SUMIFS(MRP!$I$2:$I$221, MRP!$B$2:$B$221, $C57, MRP!$G$2:$G$221, G$1),
    SUMIFS(MRP!$J$2:$J$221, MRP!$B$2:$B$221, $C57,  MRP!$G$2:$G$221, G$1),
    SUMIFS(MRP!$K$2:$K$221, MRP!$B$2:$B$221, $C57,  MRP!$G$2:$G$221, G$1),
    SUMIFS(MRP!$L$2:$L$221, MRP!$B$2:$B$221, $C57,  MRP!$G$2:$G$221, G$1)
)*F57</f>
        <v>0</v>
      </c>
      <c r="H57" s="15">
        <f>SUM(
    SUMIFS(MRP!$H$2:$H$221, MRP!$B$2:$B$221, $C57, MRP!$G$2:$G$221, H$1),
    SUMIFS(MRP!$I$2:$I$221, MRP!$B$2:$B$221, $C57, MRP!$G$2:$G$221, H$1),
    SUMIFS(MRP!$J$2:$J$221, MRP!$B$2:$B$221, $C57,  MRP!$G$2:$G$221, H$1),
    SUMIFS(MRP!$K$2:$K$221, MRP!$B$2:$B$221, $C57,  MRP!$G$2:$G$221, H$1),
    SUMIFS(MRP!$L$2:$L$221, MRP!$B$2:$B$221, $C57,  MRP!$G$2:$G$221, H$1)
)*F57</f>
        <v>9600</v>
      </c>
      <c r="I57" s="15">
        <f>SUM(
    SUMIFS(MRP!$H$2:$H$221, MRP!$B$2:$B$221, $C57, MRP!$G$2:$G$221, I$1),
    SUMIFS(MRP!$I$2:$I$221, MRP!$B$2:$B$221, $C57, MRP!$G$2:$G$221, I$1),
    SUMIFS(MRP!$J$2:$J$221, MRP!$B$2:$B$221, $C57,  MRP!$G$2:$G$221, I$1),
    SUMIFS(MRP!$K$2:$K$221, MRP!$B$2:$B$221, $C57,  MRP!$G$2:$G$221, I$1),
    SUMIFS(MRP!$L$2:$L$221, MRP!$B$2:$B$221, $C57,  MRP!$G$2:$G$221, I$1)
)*F57</f>
        <v>0</v>
      </c>
      <c r="J57" s="15">
        <f>SUM(
    SUMIFS(MRP!$H$2:$H$221, MRP!$B$2:$B$221, $C57, MRP!$G$2:$G$221, J$1),
    SUMIFS(MRP!$I$2:$I$221, MRP!$B$2:$B$221, $C57, MRP!$G$2:$G$221, J$1),
    SUMIFS(MRP!$J$2:$J$221, MRP!$B$2:$B$221, $C57,  MRP!$G$2:$G$221, J$1),
    SUMIFS(MRP!$K$2:$K$221, MRP!$B$2:$B$221, $C57,  MRP!$G$2:$G$221, J$1),
    SUMIFS(MRP!$L$2:$L$221, MRP!$B$2:$B$221, $C57,  MRP!$G$2:$G$221, J$1)
)*F57</f>
        <v>0</v>
      </c>
      <c r="K57" s="15">
        <f>SUM(
    SUMIFS(MRP!$H$2:$H$221, MRP!$B$2:$B$221, $C57, MRP!$G$2:$G$221, K$1),
    SUMIFS(MRP!$I$2:$I$221, MRP!$B$2:$B$221, $C57, MRP!$G$2:$G$221, K$1),
    SUMIFS(MRP!$J$2:$J$221, MRP!$B$2:$B$221, $C57,  MRP!$G$2:$G$221, K$1),
    SUMIFS(MRP!$K$2:$K$221, MRP!$B$2:$B$221, $C57,  MRP!$G$2:$G$221, K$1),
    SUMIFS(MRP!$L$2:$L$221, MRP!$B$2:$B$221, $C57,  MRP!$G$2:$G$221, K$1)
)*F57</f>
        <v>0</v>
      </c>
      <c r="L57" s="55" t="str">
        <f>TRIM(Tabla3[[#This Row],[CodInternoArti]])</f>
        <v>7790321020056</v>
      </c>
    </row>
    <row r="58" spans="1:12" hidden="1" x14ac:dyDescent="0.35">
      <c r="A58" s="38" t="str">
        <f>IF(ISNUMBER(_xlfn.XMATCH(Tabla3[[#This Row],[CodInternoArti]],'Tabla Articulos'!B:B)),"OK","NO ESTA")</f>
        <v>OK</v>
      </c>
      <c r="B58" s="38" t="str">
        <f>IF(ISNUMBER(_xlfn.XMATCH('Calcular necesidad'!E:E,'Necesidad por familia'!A:A)),"OK","NO ESTA")</f>
        <v>OK</v>
      </c>
      <c r="C58" s="17" t="s">
        <v>562</v>
      </c>
      <c r="D58" s="1" t="s">
        <v>392</v>
      </c>
      <c r="E58" s="1" t="str">
        <f>_xlfn.XLOOKUP(C58,'Tabla Articulos'!B:B,'Tabla Articulos'!D:D)</f>
        <v>TAPA R3</v>
      </c>
      <c r="F58" s="1">
        <f>_xlfn.XLOOKUP(C58,'Tabla Articulos'!B:B,'Tabla Articulos'!E:E)</f>
        <v>600</v>
      </c>
      <c r="G58" s="15">
        <f>SUM(
    SUMIFS(MRP!$H$2:$H$221, MRP!$B$2:$B$221, $C58, MRP!$G$2:$G$221, G$1),
    SUMIFS(MRP!$I$2:$I$221, MRP!$B$2:$B$221, $C58, MRP!$G$2:$G$221, G$1),
    SUMIFS(MRP!$J$2:$J$221, MRP!$B$2:$B$221, $C58,  MRP!$G$2:$G$221, G$1),
    SUMIFS(MRP!$K$2:$K$221, MRP!$B$2:$B$221, $C58,  MRP!$G$2:$G$221, G$1),
    SUMIFS(MRP!$L$2:$L$221, MRP!$B$2:$B$221, $C58,  MRP!$G$2:$G$221, G$1)
)*F58</f>
        <v>0</v>
      </c>
      <c r="H58" s="15">
        <f>SUM(
    SUMIFS(MRP!$H$2:$H$221, MRP!$B$2:$B$221, $C58, MRP!$G$2:$G$221, H$1),
    SUMIFS(MRP!$I$2:$I$221, MRP!$B$2:$B$221, $C58, MRP!$G$2:$G$221, H$1),
    SUMIFS(MRP!$J$2:$J$221, MRP!$B$2:$B$221, $C58,  MRP!$G$2:$G$221, H$1),
    SUMIFS(MRP!$K$2:$K$221, MRP!$B$2:$B$221, $C58,  MRP!$G$2:$G$221, H$1),
    SUMIFS(MRP!$L$2:$L$221, MRP!$B$2:$B$221, $C58,  MRP!$G$2:$G$221, H$1)
)*F58</f>
        <v>12000</v>
      </c>
      <c r="I58" s="15">
        <f>SUM(
    SUMIFS(MRP!$H$2:$H$221, MRP!$B$2:$B$221, $C58, MRP!$G$2:$G$221, I$1),
    SUMIFS(MRP!$I$2:$I$221, MRP!$B$2:$B$221, $C58, MRP!$G$2:$G$221, I$1),
    SUMIFS(MRP!$J$2:$J$221, MRP!$B$2:$B$221, $C58,  MRP!$G$2:$G$221, I$1),
    SUMIFS(MRP!$K$2:$K$221, MRP!$B$2:$B$221, $C58,  MRP!$G$2:$G$221, I$1),
    SUMIFS(MRP!$L$2:$L$221, MRP!$B$2:$B$221, $C58,  MRP!$G$2:$G$221, I$1)
)*F58</f>
        <v>0</v>
      </c>
      <c r="J58" s="15">
        <f>SUM(
    SUMIFS(MRP!$H$2:$H$221, MRP!$B$2:$B$221, $C58, MRP!$G$2:$G$221, J$1),
    SUMIFS(MRP!$I$2:$I$221, MRP!$B$2:$B$221, $C58, MRP!$G$2:$G$221, J$1),
    SUMIFS(MRP!$J$2:$J$221, MRP!$B$2:$B$221, $C58,  MRP!$G$2:$G$221, J$1),
    SUMIFS(MRP!$K$2:$K$221, MRP!$B$2:$B$221, $C58,  MRP!$G$2:$G$221, J$1),
    SUMIFS(MRP!$L$2:$L$221, MRP!$B$2:$B$221, $C58,  MRP!$G$2:$G$221, J$1)
)*F58</f>
        <v>0</v>
      </c>
      <c r="K58" s="15">
        <f>SUM(
    SUMIFS(MRP!$H$2:$H$221, MRP!$B$2:$B$221, $C58, MRP!$G$2:$G$221, K$1),
    SUMIFS(MRP!$I$2:$I$221, MRP!$B$2:$B$221, $C58, MRP!$G$2:$G$221, K$1),
    SUMIFS(MRP!$J$2:$J$221, MRP!$B$2:$B$221, $C58,  MRP!$G$2:$G$221, K$1),
    SUMIFS(MRP!$K$2:$K$221, MRP!$B$2:$B$221, $C58,  MRP!$G$2:$G$221, K$1),
    SUMIFS(MRP!$L$2:$L$221, MRP!$B$2:$B$221, $C58,  MRP!$G$2:$G$221, K$1)
)*F58</f>
        <v>0</v>
      </c>
      <c r="L58" s="55" t="str">
        <f>TRIM(Tabla3[[#This Row],[CodInternoArti]])</f>
        <v>7790321020296</v>
      </c>
    </row>
    <row r="59" spans="1:12" hidden="1" x14ac:dyDescent="0.35">
      <c r="A59" s="38" t="str">
        <f>IF(ISNUMBER(_xlfn.XMATCH(Tabla3[[#This Row],[CodInternoArti]],'Tabla Articulos'!B:B)),"OK","NO ESTA")</f>
        <v>OK</v>
      </c>
      <c r="B59" s="38" t="str">
        <f>IF(ISNUMBER(_xlfn.XMATCH('Calcular necesidad'!E:E,'Necesidad por familia'!A:A)),"OK","NO ESTA")</f>
        <v>OK</v>
      </c>
      <c r="C59" s="17" t="s">
        <v>563</v>
      </c>
      <c r="D59" s="1" t="s">
        <v>394</v>
      </c>
      <c r="E59" s="1" t="str">
        <f>_xlfn.XLOOKUP(C59,'Tabla Articulos'!B:B,'Tabla Articulos'!D:D)</f>
        <v>TAPA R3</v>
      </c>
      <c r="F59" s="1">
        <f>_xlfn.XLOOKUP(C59,'Tabla Articulos'!B:B,'Tabla Articulos'!E:E)</f>
        <v>1000</v>
      </c>
      <c r="G59" s="15">
        <f>SUM(
    SUMIFS(MRP!$H$2:$H$221, MRP!$B$2:$B$221, $C59, MRP!$G$2:$G$221, G$1),
    SUMIFS(MRP!$I$2:$I$221, MRP!$B$2:$B$221, $C59, MRP!$G$2:$G$221, G$1),
    SUMIFS(MRP!$J$2:$J$221, MRP!$B$2:$B$221, $C59,  MRP!$G$2:$G$221, G$1),
    SUMIFS(MRP!$K$2:$K$221, MRP!$B$2:$B$221, $C59,  MRP!$G$2:$G$221, G$1),
    SUMIFS(MRP!$L$2:$L$221, MRP!$B$2:$B$221, $C59,  MRP!$G$2:$G$221, G$1)
)*F59</f>
        <v>0</v>
      </c>
      <c r="H59" s="15">
        <f>SUM(
    SUMIFS(MRP!$H$2:$H$221, MRP!$B$2:$B$221, $C59, MRP!$G$2:$G$221, H$1),
    SUMIFS(MRP!$I$2:$I$221, MRP!$B$2:$B$221, $C59, MRP!$G$2:$G$221, H$1),
    SUMIFS(MRP!$J$2:$J$221, MRP!$B$2:$B$221, $C59,  MRP!$G$2:$G$221, H$1),
    SUMIFS(MRP!$K$2:$K$221, MRP!$B$2:$B$221, $C59,  MRP!$G$2:$G$221, H$1),
    SUMIFS(MRP!$L$2:$L$221, MRP!$B$2:$B$221, $C59,  MRP!$G$2:$G$221, H$1)
)*F59</f>
        <v>90000</v>
      </c>
      <c r="I59" s="15">
        <f>SUM(
    SUMIFS(MRP!$H$2:$H$221, MRP!$B$2:$B$221, $C59, MRP!$G$2:$G$221, I$1),
    SUMIFS(MRP!$I$2:$I$221, MRP!$B$2:$B$221, $C59, MRP!$G$2:$G$221, I$1),
    SUMIFS(MRP!$J$2:$J$221, MRP!$B$2:$B$221, $C59,  MRP!$G$2:$G$221, I$1),
    SUMIFS(MRP!$K$2:$K$221, MRP!$B$2:$B$221, $C59,  MRP!$G$2:$G$221, I$1),
    SUMIFS(MRP!$L$2:$L$221, MRP!$B$2:$B$221, $C59,  MRP!$G$2:$G$221, I$1)
)*F59</f>
        <v>0</v>
      </c>
      <c r="J59" s="15">
        <f>SUM(
    SUMIFS(MRP!$H$2:$H$221, MRP!$B$2:$B$221, $C59, MRP!$G$2:$G$221, J$1),
    SUMIFS(MRP!$I$2:$I$221, MRP!$B$2:$B$221, $C59, MRP!$G$2:$G$221, J$1),
    SUMIFS(MRP!$J$2:$J$221, MRP!$B$2:$B$221, $C59,  MRP!$G$2:$G$221, J$1),
    SUMIFS(MRP!$K$2:$K$221, MRP!$B$2:$B$221, $C59,  MRP!$G$2:$G$221, J$1),
    SUMIFS(MRP!$L$2:$L$221, MRP!$B$2:$B$221, $C59,  MRP!$G$2:$G$221, J$1)
)*F59</f>
        <v>0</v>
      </c>
      <c r="K59" s="15">
        <f>SUM(
    SUMIFS(MRP!$H$2:$H$221, MRP!$B$2:$B$221, $C59, MRP!$G$2:$G$221, K$1),
    SUMIFS(MRP!$I$2:$I$221, MRP!$B$2:$B$221, $C59, MRP!$G$2:$G$221, K$1),
    SUMIFS(MRP!$J$2:$J$221, MRP!$B$2:$B$221, $C59,  MRP!$G$2:$G$221, K$1),
    SUMIFS(MRP!$K$2:$K$221, MRP!$B$2:$B$221, $C59,  MRP!$G$2:$G$221, K$1),
    SUMIFS(MRP!$L$2:$L$221, MRP!$B$2:$B$221, $C59,  MRP!$G$2:$G$221, K$1)
)*F59</f>
        <v>0</v>
      </c>
      <c r="L59" s="55" t="str">
        <f>TRIM(Tabla3[[#This Row],[CodInternoArti]])</f>
        <v>7790321009512</v>
      </c>
    </row>
    <row r="60" spans="1:12" hidden="1" x14ac:dyDescent="0.35">
      <c r="A60" s="38" t="str">
        <f>IF(ISNUMBER(_xlfn.XMATCH(Tabla3[[#This Row],[CodInternoArti]],'Tabla Articulos'!B:B)),"OK","NO ESTA")</f>
        <v>OK</v>
      </c>
      <c r="B60" s="38" t="str">
        <f>IF(ISNUMBER(_xlfn.XMATCH('Calcular necesidad'!E:E,'Necesidad por familia'!A:A)),"OK","NO ESTA")</f>
        <v>OK</v>
      </c>
      <c r="C60" s="17" t="s">
        <v>564</v>
      </c>
      <c r="D60" s="1" t="s">
        <v>348</v>
      </c>
      <c r="E60" s="1" t="str">
        <f>_xlfn.XLOOKUP(C60,'Tabla Articulos'!B:B,'Tabla Articulos'!D:D)</f>
        <v>TAPA 105</v>
      </c>
      <c r="F60" s="1">
        <f>_xlfn.XLOOKUP(C60,'Tabla Articulos'!B:B,'Tabla Articulos'!E:E)</f>
        <v>50</v>
      </c>
      <c r="G60" s="15">
        <f>SUM(
    SUMIFS(MRP!$H$2:$H$221, MRP!$B$2:$B$221, $C60, MRP!$G$2:$G$221, G$1),
    SUMIFS(MRP!$I$2:$I$221, MRP!$B$2:$B$221, $C60, MRP!$G$2:$G$221, G$1),
    SUMIFS(MRP!$J$2:$J$221, MRP!$B$2:$B$221, $C60,  MRP!$G$2:$G$221, G$1),
    SUMIFS(MRP!$K$2:$K$221, MRP!$B$2:$B$221, $C60,  MRP!$G$2:$G$221, G$1),
    SUMIFS(MRP!$L$2:$L$221, MRP!$B$2:$B$221, $C60,  MRP!$G$2:$G$221, G$1)
)*F60</f>
        <v>0</v>
      </c>
      <c r="H60" s="15">
        <f>SUM(
    SUMIFS(MRP!$H$2:$H$221, MRP!$B$2:$B$221, $C60, MRP!$G$2:$G$221, H$1),
    SUMIFS(MRP!$I$2:$I$221, MRP!$B$2:$B$221, $C60, MRP!$G$2:$G$221, H$1),
    SUMIFS(MRP!$J$2:$J$221, MRP!$B$2:$B$221, $C60,  MRP!$G$2:$G$221, H$1),
    SUMIFS(MRP!$K$2:$K$221, MRP!$B$2:$B$221, $C60,  MRP!$G$2:$G$221, H$1),
    SUMIFS(MRP!$L$2:$L$221, MRP!$B$2:$B$221, $C60,  MRP!$G$2:$G$221, H$1)
)*F60</f>
        <v>10500</v>
      </c>
      <c r="I60" s="15">
        <f>SUM(
    SUMIFS(MRP!$H$2:$H$221, MRP!$B$2:$B$221, $C60, MRP!$G$2:$G$221, I$1),
    SUMIFS(MRP!$I$2:$I$221, MRP!$B$2:$B$221, $C60, MRP!$G$2:$G$221, I$1),
    SUMIFS(MRP!$J$2:$J$221, MRP!$B$2:$B$221, $C60,  MRP!$G$2:$G$221, I$1),
    SUMIFS(MRP!$K$2:$K$221, MRP!$B$2:$B$221, $C60,  MRP!$G$2:$G$221, I$1),
    SUMIFS(MRP!$L$2:$L$221, MRP!$B$2:$B$221, $C60,  MRP!$G$2:$G$221, I$1)
)*F60</f>
        <v>0</v>
      </c>
      <c r="J60" s="15">
        <f>SUM(
    SUMIFS(MRP!$H$2:$H$221, MRP!$B$2:$B$221, $C60, MRP!$G$2:$G$221, J$1),
    SUMIFS(MRP!$I$2:$I$221, MRP!$B$2:$B$221, $C60, MRP!$G$2:$G$221, J$1),
    SUMIFS(MRP!$J$2:$J$221, MRP!$B$2:$B$221, $C60,  MRP!$G$2:$G$221, J$1),
    SUMIFS(MRP!$K$2:$K$221, MRP!$B$2:$B$221, $C60,  MRP!$G$2:$G$221, J$1),
    SUMIFS(MRP!$L$2:$L$221, MRP!$B$2:$B$221, $C60,  MRP!$G$2:$G$221, J$1)
)*F60</f>
        <v>0</v>
      </c>
      <c r="K60" s="15">
        <f>SUM(
    SUMIFS(MRP!$H$2:$H$221, MRP!$B$2:$B$221, $C60, MRP!$G$2:$G$221, K$1),
    SUMIFS(MRP!$I$2:$I$221, MRP!$B$2:$B$221, $C60, MRP!$G$2:$G$221, K$1),
    SUMIFS(MRP!$J$2:$J$221, MRP!$B$2:$B$221, $C60,  MRP!$G$2:$G$221, K$1),
    SUMIFS(MRP!$K$2:$K$221, MRP!$B$2:$B$221, $C60,  MRP!$G$2:$G$221, K$1),
    SUMIFS(MRP!$L$2:$L$221, MRP!$B$2:$B$221, $C60,  MRP!$G$2:$G$221, K$1)
)*F60</f>
        <v>0</v>
      </c>
      <c r="L60" s="55" t="str">
        <f>TRIM(Tabla3[[#This Row],[CodInternoArti]])</f>
        <v>7790321020286</v>
      </c>
    </row>
    <row r="61" spans="1:12" hidden="1" x14ac:dyDescent="0.35">
      <c r="A61" s="38" t="str">
        <f>IF(ISNUMBER(_xlfn.XMATCH(Tabla3[[#This Row],[CodInternoArti]],'Tabla Articulos'!B:B)),"OK","NO ESTA")</f>
        <v>OK</v>
      </c>
      <c r="B61" s="38" t="str">
        <f>IF(ISNUMBER(_xlfn.XMATCH('Calcular necesidad'!E:E,'Necesidad por familia'!A:A)),"OK","NO ESTA")</f>
        <v>OK</v>
      </c>
      <c r="C61" s="17" t="s">
        <v>565</v>
      </c>
      <c r="D61" s="1" t="s">
        <v>331</v>
      </c>
      <c r="E61" s="1" t="str">
        <f>_xlfn.XLOOKUP(C61,'Tabla Articulos'!B:B,'Tabla Articulos'!D:D)</f>
        <v>VASO TERMICO 240</v>
      </c>
      <c r="F61" s="1">
        <f>_xlfn.XLOOKUP(C61,'Tabla Articulos'!B:B,'Tabla Articulos'!E:E)</f>
        <v>25</v>
      </c>
      <c r="G61" s="15">
        <f>SUM(
    SUMIFS(MRP!$H$2:$H$221, MRP!$B$2:$B$221, $C61, MRP!$G$2:$G$221, G$1),
    SUMIFS(MRP!$I$2:$I$221, MRP!$B$2:$B$221, $C61, MRP!$G$2:$G$221, G$1),
    SUMIFS(MRP!$J$2:$J$221, MRP!$B$2:$B$221, $C61,  MRP!$G$2:$G$221, G$1),
    SUMIFS(MRP!$K$2:$K$221, MRP!$B$2:$B$221, $C61,  MRP!$G$2:$G$221, G$1),
    SUMIFS(MRP!$L$2:$L$221, MRP!$B$2:$B$221, $C61,  MRP!$G$2:$G$221, G$1)
)*F61</f>
        <v>0</v>
      </c>
      <c r="H61" s="15">
        <f>SUM(
    SUMIFS(MRP!$H$2:$H$221, MRP!$B$2:$B$221, $C61, MRP!$G$2:$G$221, H$1),
    SUMIFS(MRP!$I$2:$I$221, MRP!$B$2:$B$221, $C61, MRP!$G$2:$G$221, H$1),
    SUMIFS(MRP!$J$2:$J$221, MRP!$B$2:$B$221, $C61,  MRP!$G$2:$G$221, H$1),
    SUMIFS(MRP!$K$2:$K$221, MRP!$B$2:$B$221, $C61,  MRP!$G$2:$G$221, H$1),
    SUMIFS(MRP!$L$2:$L$221, MRP!$B$2:$B$221, $C61,  MRP!$G$2:$G$221, H$1)
)*F61</f>
        <v>99375</v>
      </c>
      <c r="I61" s="15">
        <f>SUM(
    SUMIFS(MRP!$H$2:$H$221, MRP!$B$2:$B$221, $C61, MRP!$G$2:$G$221, I$1),
    SUMIFS(MRP!$I$2:$I$221, MRP!$B$2:$B$221, $C61, MRP!$G$2:$G$221, I$1),
    SUMIFS(MRP!$J$2:$J$221, MRP!$B$2:$B$221, $C61,  MRP!$G$2:$G$221, I$1),
    SUMIFS(MRP!$K$2:$K$221, MRP!$B$2:$B$221, $C61,  MRP!$G$2:$G$221, I$1),
    SUMIFS(MRP!$L$2:$L$221, MRP!$B$2:$B$221, $C61,  MRP!$G$2:$G$221, I$1)
)*F61</f>
        <v>0</v>
      </c>
      <c r="J61" s="15">
        <f>SUM(
    SUMIFS(MRP!$H$2:$H$221, MRP!$B$2:$B$221, $C61, MRP!$G$2:$G$221, J$1),
    SUMIFS(MRP!$I$2:$I$221, MRP!$B$2:$B$221, $C61, MRP!$G$2:$G$221, J$1),
    SUMIFS(MRP!$J$2:$J$221, MRP!$B$2:$B$221, $C61,  MRP!$G$2:$G$221, J$1),
    SUMIFS(MRP!$K$2:$K$221, MRP!$B$2:$B$221, $C61,  MRP!$G$2:$G$221, J$1),
    SUMIFS(MRP!$L$2:$L$221, MRP!$B$2:$B$221, $C61,  MRP!$G$2:$G$221, J$1)
)*F61</f>
        <v>0</v>
      </c>
      <c r="K61" s="15">
        <f>SUM(
    SUMIFS(MRP!$H$2:$H$221, MRP!$B$2:$B$221, $C61, MRP!$G$2:$G$221, K$1),
    SUMIFS(MRP!$I$2:$I$221, MRP!$B$2:$B$221, $C61, MRP!$G$2:$G$221, K$1),
    SUMIFS(MRP!$J$2:$J$221, MRP!$B$2:$B$221, $C61,  MRP!$G$2:$G$221, K$1),
    SUMIFS(MRP!$K$2:$K$221, MRP!$B$2:$B$221, $C61,  MRP!$G$2:$G$221, K$1),
    SUMIFS(MRP!$L$2:$L$221, MRP!$B$2:$B$221, $C61,  MRP!$G$2:$G$221, K$1)
)*F61</f>
        <v>0</v>
      </c>
      <c r="L61" s="55" t="str">
        <f>TRIM(Tabla3[[#This Row],[CodInternoArti]])</f>
        <v>7790321020396</v>
      </c>
    </row>
    <row r="62" spans="1:12" hidden="1" x14ac:dyDescent="0.35">
      <c r="A62" s="38" t="str">
        <f>IF(ISNUMBER(_xlfn.XMATCH(Tabla3[[#This Row],[CodInternoArti]],'Tabla Articulos'!B:B)),"OK","NO ESTA")</f>
        <v>OK</v>
      </c>
      <c r="B62" s="38" t="str">
        <f>IF(ISNUMBER(_xlfn.XMATCH('Calcular necesidad'!E:E,'Necesidad por familia'!A:A)),"OK","NO ESTA")</f>
        <v>OK</v>
      </c>
      <c r="C62" s="17" t="s">
        <v>566</v>
      </c>
      <c r="D62" s="1" t="s">
        <v>329</v>
      </c>
      <c r="E62" s="1" t="str">
        <f>_xlfn.XLOOKUP(C62,'Tabla Articulos'!B:B,'Tabla Articulos'!D:D)</f>
        <v>TAPA VASO TERMICO 300</v>
      </c>
      <c r="F62" s="1">
        <f>_xlfn.XLOOKUP(C62,'Tabla Articulos'!B:B,'Tabla Articulos'!E:E)</f>
        <v>100</v>
      </c>
      <c r="G62" s="15">
        <f>SUM(
    SUMIFS(MRP!$H$2:$H$221, MRP!$B$2:$B$221, $C62, MRP!$G$2:$G$221, G$1),
    SUMIFS(MRP!$I$2:$I$221, MRP!$B$2:$B$221, $C62, MRP!$G$2:$G$221, G$1),
    SUMIFS(MRP!$J$2:$J$221, MRP!$B$2:$B$221, $C62,  MRP!$G$2:$G$221, G$1),
    SUMIFS(MRP!$K$2:$K$221, MRP!$B$2:$B$221, $C62,  MRP!$G$2:$G$221, G$1),
    SUMIFS(MRP!$L$2:$L$221, MRP!$B$2:$B$221, $C62,  MRP!$G$2:$G$221, G$1)
)*F62</f>
        <v>0</v>
      </c>
      <c r="H62" s="15">
        <f>SUM(
    SUMIFS(MRP!$H$2:$H$221, MRP!$B$2:$B$221, $C62, MRP!$G$2:$G$221, H$1),
    SUMIFS(MRP!$I$2:$I$221, MRP!$B$2:$B$221, $C62, MRP!$G$2:$G$221, H$1),
    SUMIFS(MRP!$J$2:$J$221, MRP!$B$2:$B$221, $C62,  MRP!$G$2:$G$221, H$1),
    SUMIFS(MRP!$K$2:$K$221, MRP!$B$2:$B$221, $C62,  MRP!$G$2:$G$221, H$1),
    SUMIFS(MRP!$L$2:$L$221, MRP!$B$2:$B$221, $C62,  MRP!$G$2:$G$221, H$1)
)*F62</f>
        <v>1500</v>
      </c>
      <c r="I62" s="15">
        <f>SUM(
    SUMIFS(MRP!$H$2:$H$221, MRP!$B$2:$B$221, $C62, MRP!$G$2:$G$221, I$1),
    SUMIFS(MRP!$I$2:$I$221, MRP!$B$2:$B$221, $C62, MRP!$G$2:$G$221, I$1),
    SUMIFS(MRP!$J$2:$J$221, MRP!$B$2:$B$221, $C62,  MRP!$G$2:$G$221, I$1),
    SUMIFS(MRP!$K$2:$K$221, MRP!$B$2:$B$221, $C62,  MRP!$G$2:$G$221, I$1),
    SUMIFS(MRP!$L$2:$L$221, MRP!$B$2:$B$221, $C62,  MRP!$G$2:$G$221, I$1)
)*F62</f>
        <v>0</v>
      </c>
      <c r="J62" s="15">
        <f>SUM(
    SUMIFS(MRP!$H$2:$H$221, MRP!$B$2:$B$221, $C62, MRP!$G$2:$G$221, J$1),
    SUMIFS(MRP!$I$2:$I$221, MRP!$B$2:$B$221, $C62, MRP!$G$2:$G$221, J$1),
    SUMIFS(MRP!$J$2:$J$221, MRP!$B$2:$B$221, $C62,  MRP!$G$2:$G$221, J$1),
    SUMIFS(MRP!$K$2:$K$221, MRP!$B$2:$B$221, $C62,  MRP!$G$2:$G$221, J$1),
    SUMIFS(MRP!$L$2:$L$221, MRP!$B$2:$B$221, $C62,  MRP!$G$2:$G$221, J$1)
)*F62</f>
        <v>0</v>
      </c>
      <c r="K62" s="15">
        <f>SUM(
    SUMIFS(MRP!$H$2:$H$221, MRP!$B$2:$B$221, $C62, MRP!$G$2:$G$221, K$1),
    SUMIFS(MRP!$I$2:$I$221, MRP!$B$2:$B$221, $C62, MRP!$G$2:$G$221, K$1),
    SUMIFS(MRP!$J$2:$J$221, MRP!$B$2:$B$221, $C62,  MRP!$G$2:$G$221, K$1),
    SUMIFS(MRP!$K$2:$K$221, MRP!$B$2:$B$221, $C62,  MRP!$G$2:$G$221, K$1),
    SUMIFS(MRP!$L$2:$L$221, MRP!$B$2:$B$221, $C62,  MRP!$G$2:$G$221, K$1)
)*F62</f>
        <v>0</v>
      </c>
      <c r="L62" s="55" t="str">
        <f>TRIM(Tabla3[[#This Row],[CodInternoArti]])</f>
        <v>7790321020316</v>
      </c>
    </row>
    <row r="63" spans="1:12" hidden="1" x14ac:dyDescent="0.35">
      <c r="A63" s="38" t="str">
        <f>IF(ISNUMBER(_xlfn.XMATCH(Tabla3[[#This Row],[CodInternoArti]],'Tabla Articulos'!B:B)),"OK","NO ESTA")</f>
        <v>OK</v>
      </c>
      <c r="B63" s="38" t="str">
        <f>IF(ISNUMBER(_xlfn.XMATCH('Calcular necesidad'!E:E,'Necesidad por familia'!A:A)),"OK","NO ESTA")</f>
        <v>OK</v>
      </c>
      <c r="C63" s="17" t="s">
        <v>567</v>
      </c>
      <c r="D63" s="1" t="s">
        <v>326</v>
      </c>
      <c r="E63" s="1" t="str">
        <f>_xlfn.XLOOKUP(C63,'Tabla Articulos'!B:B,'Tabla Articulos'!D:D)</f>
        <v>TAPA R5</v>
      </c>
      <c r="F63" s="1">
        <f>_xlfn.XLOOKUP(C63,'Tabla Articulos'!B:B,'Tabla Articulos'!E:E)</f>
        <v>600</v>
      </c>
      <c r="G63" s="15">
        <f>SUM(
    SUMIFS(MRP!$H$2:$H$221, MRP!$B$2:$B$221, $C63, MRP!$G$2:$G$221, G$1),
    SUMIFS(MRP!$I$2:$I$221, MRP!$B$2:$B$221, $C63, MRP!$G$2:$G$221, G$1),
    SUMIFS(MRP!$J$2:$J$221, MRP!$B$2:$B$221, $C63,  MRP!$G$2:$G$221, G$1),
    SUMIFS(MRP!$K$2:$K$221, MRP!$B$2:$B$221, $C63,  MRP!$G$2:$G$221, G$1),
    SUMIFS(MRP!$L$2:$L$221, MRP!$B$2:$B$221, $C63,  MRP!$G$2:$G$221, G$1)
)*F63</f>
        <v>0</v>
      </c>
      <c r="H63" s="15">
        <f>SUM(
    SUMIFS(MRP!$H$2:$H$221, MRP!$B$2:$B$221, $C63, MRP!$G$2:$G$221, H$1),
    SUMIFS(MRP!$I$2:$I$221, MRP!$B$2:$B$221, $C63, MRP!$G$2:$G$221, H$1),
    SUMIFS(MRP!$J$2:$J$221, MRP!$B$2:$B$221, $C63,  MRP!$G$2:$G$221, H$1),
    SUMIFS(MRP!$K$2:$K$221, MRP!$B$2:$B$221, $C63,  MRP!$G$2:$G$221, H$1),
    SUMIFS(MRP!$L$2:$L$221, MRP!$B$2:$B$221, $C63,  MRP!$G$2:$G$221, H$1)
)*F63</f>
        <v>6000</v>
      </c>
      <c r="I63" s="15">
        <f>SUM(
    SUMIFS(MRP!$H$2:$H$221, MRP!$B$2:$B$221, $C63, MRP!$G$2:$G$221, I$1),
    SUMIFS(MRP!$I$2:$I$221, MRP!$B$2:$B$221, $C63, MRP!$G$2:$G$221, I$1),
    SUMIFS(MRP!$J$2:$J$221, MRP!$B$2:$B$221, $C63,  MRP!$G$2:$G$221, I$1),
    SUMIFS(MRP!$K$2:$K$221, MRP!$B$2:$B$221, $C63,  MRP!$G$2:$G$221, I$1),
    SUMIFS(MRP!$L$2:$L$221, MRP!$B$2:$B$221, $C63,  MRP!$G$2:$G$221, I$1)
)*F63</f>
        <v>0</v>
      </c>
      <c r="J63" s="15">
        <f>SUM(
    SUMIFS(MRP!$H$2:$H$221, MRP!$B$2:$B$221, $C63, MRP!$G$2:$G$221, J$1),
    SUMIFS(MRP!$I$2:$I$221, MRP!$B$2:$B$221, $C63, MRP!$G$2:$G$221, J$1),
    SUMIFS(MRP!$J$2:$J$221, MRP!$B$2:$B$221, $C63,  MRP!$G$2:$G$221, J$1),
    SUMIFS(MRP!$K$2:$K$221, MRP!$B$2:$B$221, $C63,  MRP!$G$2:$G$221, J$1),
    SUMIFS(MRP!$L$2:$L$221, MRP!$B$2:$B$221, $C63,  MRP!$G$2:$G$221, J$1)
)*F63</f>
        <v>0</v>
      </c>
      <c r="K63" s="15">
        <f>SUM(
    SUMIFS(MRP!$H$2:$H$221, MRP!$B$2:$B$221, $C63, MRP!$G$2:$G$221, K$1),
    SUMIFS(MRP!$I$2:$I$221, MRP!$B$2:$B$221, $C63, MRP!$G$2:$G$221, K$1),
    SUMIFS(MRP!$J$2:$J$221, MRP!$B$2:$B$221, $C63,  MRP!$G$2:$G$221, K$1),
    SUMIFS(MRP!$K$2:$K$221, MRP!$B$2:$B$221, $C63,  MRP!$G$2:$G$221, K$1),
    SUMIFS(MRP!$L$2:$L$221, MRP!$B$2:$B$221, $C63,  MRP!$G$2:$G$221, K$1)
)*F63</f>
        <v>0</v>
      </c>
      <c r="L63" s="55" t="str">
        <f>TRIM(Tabla3[[#This Row],[CodInternoArti]])</f>
        <v>7790321008512</v>
      </c>
    </row>
    <row r="64" spans="1:12" hidden="1" x14ac:dyDescent="0.35">
      <c r="A64" s="38" t="str">
        <f>IF(ISNUMBER(_xlfn.XMATCH(Tabla3[[#This Row],[CodInternoArti]],'Tabla Articulos'!B:B)),"OK","NO ESTA")</f>
        <v>OK</v>
      </c>
      <c r="B64" s="38" t="str">
        <f>IF(ISNUMBER(_xlfn.XMATCH('Calcular necesidad'!E:E,'Necesidad por familia'!A:A)),"OK","NO ESTA")</f>
        <v>OK</v>
      </c>
      <c r="C64" s="17" t="s">
        <v>568</v>
      </c>
      <c r="D64" s="1" t="s">
        <v>306</v>
      </c>
      <c r="E64" s="1" t="str">
        <f>_xlfn.XLOOKUP(C64,'Tabla Articulos'!B:B,'Tabla Articulos'!D:D)</f>
        <v>CAMISETA NEGRA 40X50</v>
      </c>
      <c r="F64" s="1">
        <f>_xlfn.XLOOKUP(C64,'Tabla Articulos'!B:B,'Tabla Articulos'!E:E)</f>
        <v>100</v>
      </c>
      <c r="G64" s="15">
        <f>SUM(
    SUMIFS(MRP!$H$2:$H$221, MRP!$B$2:$B$221, $C64, MRP!$G$2:$G$221, G$1),
    SUMIFS(MRP!$I$2:$I$221, MRP!$B$2:$B$221, $C64, MRP!$G$2:$G$221, G$1),
    SUMIFS(MRP!$J$2:$J$221, MRP!$B$2:$B$221, $C64,  MRP!$G$2:$G$221, G$1),
    SUMIFS(MRP!$K$2:$K$221, MRP!$B$2:$B$221, $C64,  MRP!$G$2:$G$221, G$1),
    SUMIFS(MRP!$L$2:$L$221, MRP!$B$2:$B$221, $C64,  MRP!$G$2:$G$221, G$1)
)*F64</f>
        <v>0</v>
      </c>
      <c r="H64" s="15">
        <f>SUM(
    SUMIFS(MRP!$H$2:$H$221, MRP!$B$2:$B$221, $C64, MRP!$G$2:$G$221, H$1),
    SUMIFS(MRP!$I$2:$I$221, MRP!$B$2:$B$221, $C64, MRP!$G$2:$G$221, H$1),
    SUMIFS(MRP!$J$2:$J$221, MRP!$B$2:$B$221, $C64,  MRP!$G$2:$G$221, H$1),
    SUMIFS(MRP!$K$2:$K$221, MRP!$B$2:$B$221, $C64,  MRP!$G$2:$G$221, H$1),
    SUMIFS(MRP!$L$2:$L$221, MRP!$B$2:$B$221, $C64,  MRP!$G$2:$G$221, H$1)
)*F64</f>
        <v>16500</v>
      </c>
      <c r="I64" s="15">
        <f>SUM(
    SUMIFS(MRP!$H$2:$H$221, MRP!$B$2:$B$221, $C64, MRP!$G$2:$G$221, I$1),
    SUMIFS(MRP!$I$2:$I$221, MRP!$B$2:$B$221, $C64, MRP!$G$2:$G$221, I$1),
    SUMIFS(MRP!$J$2:$J$221, MRP!$B$2:$B$221, $C64,  MRP!$G$2:$G$221, I$1),
    SUMIFS(MRP!$K$2:$K$221, MRP!$B$2:$B$221, $C64,  MRP!$G$2:$G$221, I$1),
    SUMIFS(MRP!$L$2:$L$221, MRP!$B$2:$B$221, $C64,  MRP!$G$2:$G$221, I$1)
)*F64</f>
        <v>0</v>
      </c>
      <c r="J64" s="15">
        <f>SUM(
    SUMIFS(MRP!$H$2:$H$221, MRP!$B$2:$B$221, $C64, MRP!$G$2:$G$221, J$1),
    SUMIFS(MRP!$I$2:$I$221, MRP!$B$2:$B$221, $C64, MRP!$G$2:$G$221, J$1),
    SUMIFS(MRP!$J$2:$J$221, MRP!$B$2:$B$221, $C64,  MRP!$G$2:$G$221, J$1),
    SUMIFS(MRP!$K$2:$K$221, MRP!$B$2:$B$221, $C64,  MRP!$G$2:$G$221, J$1),
    SUMIFS(MRP!$L$2:$L$221, MRP!$B$2:$B$221, $C64,  MRP!$G$2:$G$221, J$1)
)*F64</f>
        <v>0</v>
      </c>
      <c r="K64" s="15">
        <f>SUM(
    SUMIFS(MRP!$H$2:$H$221, MRP!$B$2:$B$221, $C64, MRP!$G$2:$G$221, K$1),
    SUMIFS(MRP!$I$2:$I$221, MRP!$B$2:$B$221, $C64, MRP!$G$2:$G$221, K$1),
    SUMIFS(MRP!$J$2:$J$221, MRP!$B$2:$B$221, $C64,  MRP!$G$2:$G$221, K$1),
    SUMIFS(MRP!$K$2:$K$221, MRP!$B$2:$B$221, $C64,  MRP!$G$2:$G$221, K$1),
    SUMIFS(MRP!$L$2:$L$221, MRP!$B$2:$B$221, $C64,  MRP!$G$2:$G$221, K$1)
)*F64</f>
        <v>0</v>
      </c>
      <c r="L64" s="55" t="str">
        <f>TRIM(Tabla3[[#This Row],[CodInternoArti]])</f>
        <v>7790321020146</v>
      </c>
    </row>
    <row r="65" spans="1:12" hidden="1" x14ac:dyDescent="0.35">
      <c r="A65" s="38" t="str">
        <f>IF(ISNUMBER(_xlfn.XMATCH(Tabla3[[#This Row],[CodInternoArti]],'Tabla Articulos'!B:B)),"OK","NO ESTA")</f>
        <v>OK</v>
      </c>
      <c r="B65" s="38" t="str">
        <f>IF(ISNUMBER(_xlfn.XMATCH('Calcular necesidad'!E:E,'Necesidad por familia'!A:A)),"OK","NO ESTA")</f>
        <v>OK</v>
      </c>
      <c r="C65" s="17" t="s">
        <v>569</v>
      </c>
      <c r="D65" s="1" t="s">
        <v>334</v>
      </c>
      <c r="E65" s="1" t="str">
        <f>_xlfn.XLOOKUP(C65,'Tabla Articulos'!B:B,'Tabla Articulos'!D:D)</f>
        <v>BANDEJA 105</v>
      </c>
      <c r="F65" s="1">
        <f>_xlfn.XLOOKUP(C65,'Tabla Articulos'!B:B,'Tabla Articulos'!E:E)</f>
        <v>100</v>
      </c>
      <c r="G65" s="15">
        <f>SUM(
    SUMIFS(MRP!$H$2:$H$221, MRP!$B$2:$B$221, $C65, MRP!$G$2:$G$221, G$1),
    SUMIFS(MRP!$I$2:$I$221, MRP!$B$2:$B$221, $C65, MRP!$G$2:$G$221, G$1),
    SUMIFS(MRP!$J$2:$J$221, MRP!$B$2:$B$221, $C65,  MRP!$G$2:$G$221, G$1),
    SUMIFS(MRP!$K$2:$K$221, MRP!$B$2:$B$221, $C65,  MRP!$G$2:$G$221, G$1),
    SUMIFS(MRP!$L$2:$L$221, MRP!$B$2:$B$221, $C65,  MRP!$G$2:$G$221, G$1)
)*F65</f>
        <v>0</v>
      </c>
      <c r="H65" s="15">
        <f>SUM(
    SUMIFS(MRP!$H$2:$H$221, MRP!$B$2:$B$221, $C65, MRP!$G$2:$G$221, H$1),
    SUMIFS(MRP!$I$2:$I$221, MRP!$B$2:$B$221, $C65, MRP!$G$2:$G$221, H$1),
    SUMIFS(MRP!$J$2:$J$221, MRP!$B$2:$B$221, $C65,  MRP!$G$2:$G$221, H$1),
    SUMIFS(MRP!$K$2:$K$221, MRP!$B$2:$B$221, $C65,  MRP!$G$2:$G$221, H$1),
    SUMIFS(MRP!$L$2:$L$221, MRP!$B$2:$B$221, $C65,  MRP!$G$2:$G$221, H$1)
)*F65</f>
        <v>2200</v>
      </c>
      <c r="I65" s="15">
        <f>SUM(
    SUMIFS(MRP!$H$2:$H$221, MRP!$B$2:$B$221, $C65, MRP!$G$2:$G$221, I$1),
    SUMIFS(MRP!$I$2:$I$221, MRP!$B$2:$B$221, $C65, MRP!$G$2:$G$221, I$1),
    SUMIFS(MRP!$J$2:$J$221, MRP!$B$2:$B$221, $C65,  MRP!$G$2:$G$221, I$1),
    SUMIFS(MRP!$K$2:$K$221, MRP!$B$2:$B$221, $C65,  MRP!$G$2:$G$221, I$1),
    SUMIFS(MRP!$L$2:$L$221, MRP!$B$2:$B$221, $C65,  MRP!$G$2:$G$221, I$1)
)*F65</f>
        <v>0</v>
      </c>
      <c r="J65" s="15">
        <f>SUM(
    SUMIFS(MRP!$H$2:$H$221, MRP!$B$2:$B$221, $C65, MRP!$G$2:$G$221, J$1),
    SUMIFS(MRP!$I$2:$I$221, MRP!$B$2:$B$221, $C65, MRP!$G$2:$G$221, J$1),
    SUMIFS(MRP!$J$2:$J$221, MRP!$B$2:$B$221, $C65,  MRP!$G$2:$G$221, J$1),
    SUMIFS(MRP!$K$2:$K$221, MRP!$B$2:$B$221, $C65,  MRP!$G$2:$G$221, J$1),
    SUMIFS(MRP!$L$2:$L$221, MRP!$B$2:$B$221, $C65,  MRP!$G$2:$G$221, J$1)
)*F65</f>
        <v>0</v>
      </c>
      <c r="K65" s="15">
        <f>SUM(
    SUMIFS(MRP!$H$2:$H$221, MRP!$B$2:$B$221, $C65, MRP!$G$2:$G$221, K$1),
    SUMIFS(MRP!$I$2:$I$221, MRP!$B$2:$B$221, $C65, MRP!$G$2:$G$221, K$1),
    SUMIFS(MRP!$J$2:$J$221, MRP!$B$2:$B$221, $C65,  MRP!$G$2:$G$221, K$1),
    SUMIFS(MRP!$K$2:$K$221, MRP!$B$2:$B$221, $C65,  MRP!$G$2:$G$221, K$1),
    SUMIFS(MRP!$L$2:$L$221, MRP!$B$2:$B$221, $C65,  MRP!$G$2:$G$221, K$1)
)*F65</f>
        <v>0</v>
      </c>
      <c r="L65" s="55" t="str">
        <f>TRIM(Tabla3[[#This Row],[CodInternoArti]])</f>
        <v>7790321020047</v>
      </c>
    </row>
    <row r="66" spans="1:12" hidden="1" x14ac:dyDescent="0.35">
      <c r="A66" s="38" t="str">
        <f>IF(ISNUMBER(_xlfn.XMATCH(Tabla3[[#This Row],[CodInternoArti]],'Tabla Articulos'!B:B)),"OK","NO ESTA")</f>
        <v>OK</v>
      </c>
      <c r="B66" s="38" t="str">
        <f>IF(ISNUMBER(_xlfn.XMATCH('Calcular necesidad'!E:E,'Necesidad por familia'!A:A)),"OK","NO ESTA")</f>
        <v>OK</v>
      </c>
      <c r="C66" s="17" t="s">
        <v>360</v>
      </c>
      <c r="D66" s="1" t="s">
        <v>361</v>
      </c>
      <c r="E66" s="1" t="str">
        <f>_xlfn.XLOOKUP(C66,'Tabla Articulos'!B:B,'Tabla Articulos'!D:D)</f>
        <v>BARBIJO QUIRURGICO</v>
      </c>
      <c r="F66" s="1">
        <f>_xlfn.XLOOKUP(C66,'Tabla Articulos'!B:B,'Tabla Articulos'!E:E)</f>
        <v>50</v>
      </c>
      <c r="G66" s="15">
        <f>SUM(
    SUMIFS(MRP!$H$2:$H$221, MRP!$B$2:$B$221, $C66, MRP!$G$2:$G$221, G$1),
    SUMIFS(MRP!$I$2:$I$221, MRP!$B$2:$B$221, $C66, MRP!$G$2:$G$221, G$1),
    SUMIFS(MRP!$J$2:$J$221, MRP!$B$2:$B$221, $C66,  MRP!$G$2:$G$221, G$1),
    SUMIFS(MRP!$K$2:$K$221, MRP!$B$2:$B$221, $C66,  MRP!$G$2:$G$221, G$1),
    SUMIFS(MRP!$L$2:$L$221, MRP!$B$2:$B$221, $C66,  MRP!$G$2:$G$221, G$1)
)*F66</f>
        <v>0</v>
      </c>
      <c r="H66" s="15">
        <f>SUM(
    SUMIFS(MRP!$H$2:$H$221, MRP!$B$2:$B$221, $C66, MRP!$G$2:$G$221, H$1),
    SUMIFS(MRP!$I$2:$I$221, MRP!$B$2:$B$221, $C66, MRP!$G$2:$G$221, H$1),
    SUMIFS(MRP!$J$2:$J$221, MRP!$B$2:$B$221, $C66,  MRP!$G$2:$G$221, H$1),
    SUMIFS(MRP!$K$2:$K$221, MRP!$B$2:$B$221, $C66,  MRP!$G$2:$G$221, H$1),
    SUMIFS(MRP!$L$2:$L$221, MRP!$B$2:$B$221, $C66,  MRP!$G$2:$G$221, H$1)
)*F66</f>
        <v>8200</v>
      </c>
      <c r="I66" s="15">
        <f>SUM(
    SUMIFS(MRP!$H$2:$H$221, MRP!$B$2:$B$221, $C66, MRP!$G$2:$G$221, I$1),
    SUMIFS(MRP!$I$2:$I$221, MRP!$B$2:$B$221, $C66, MRP!$G$2:$G$221, I$1),
    SUMIFS(MRP!$J$2:$J$221, MRP!$B$2:$B$221, $C66,  MRP!$G$2:$G$221, I$1),
    SUMIFS(MRP!$K$2:$K$221, MRP!$B$2:$B$221, $C66,  MRP!$G$2:$G$221, I$1),
    SUMIFS(MRP!$L$2:$L$221, MRP!$B$2:$B$221, $C66,  MRP!$G$2:$G$221, I$1)
)*F66</f>
        <v>0</v>
      </c>
      <c r="J66" s="15">
        <f>SUM(
    SUMIFS(MRP!$H$2:$H$221, MRP!$B$2:$B$221, $C66, MRP!$G$2:$G$221, J$1),
    SUMIFS(MRP!$I$2:$I$221, MRP!$B$2:$B$221, $C66, MRP!$G$2:$G$221, J$1),
    SUMIFS(MRP!$J$2:$J$221, MRP!$B$2:$B$221, $C66,  MRP!$G$2:$G$221, J$1),
    SUMIFS(MRP!$K$2:$K$221, MRP!$B$2:$B$221, $C66,  MRP!$G$2:$G$221, J$1),
    SUMIFS(MRP!$L$2:$L$221, MRP!$B$2:$B$221, $C66,  MRP!$G$2:$G$221, J$1)
)*F66</f>
        <v>0</v>
      </c>
      <c r="K66" s="15">
        <f>SUM(
    SUMIFS(MRP!$H$2:$H$221, MRP!$B$2:$B$221, $C66, MRP!$G$2:$G$221, K$1),
    SUMIFS(MRP!$I$2:$I$221, MRP!$B$2:$B$221, $C66, MRP!$G$2:$G$221, K$1),
    SUMIFS(MRP!$J$2:$J$221, MRP!$B$2:$B$221, $C66,  MRP!$G$2:$G$221, K$1),
    SUMIFS(MRP!$K$2:$K$221, MRP!$B$2:$B$221, $C66,  MRP!$G$2:$G$221, K$1),
    SUMIFS(MRP!$L$2:$L$221, MRP!$B$2:$B$221, $C66,  MRP!$G$2:$G$221, K$1)
)*F66</f>
        <v>0</v>
      </c>
      <c r="L66" s="55" t="str">
        <f>TRIM(Tabla3[[#This Row],[CodInternoArti]])</f>
        <v>LIM000462</v>
      </c>
    </row>
    <row r="67" spans="1:12" hidden="1" x14ac:dyDescent="0.35">
      <c r="A67" s="38" t="str">
        <f>IF(ISNUMBER(_xlfn.XMATCH(Tabla3[[#This Row],[CodInternoArti]],'Tabla Articulos'!B:B)),"OK","NO ESTA")</f>
        <v>OK</v>
      </c>
      <c r="B67" s="38" t="str">
        <f>IF(ISNUMBER(_xlfn.XMATCH('Calcular necesidad'!E:E,'Necesidad por familia'!A:A)),"OK","NO ESTA")</f>
        <v>OK</v>
      </c>
      <c r="C67" s="17" t="s">
        <v>570</v>
      </c>
      <c r="D67" s="1" t="s">
        <v>362</v>
      </c>
      <c r="E67" s="1" t="str">
        <f>_xlfn.XLOOKUP(C67,'Tabla Articulos'!B:B,'Tabla Articulos'!D:D)</f>
        <v>BANDEJA 102</v>
      </c>
      <c r="F67" s="1">
        <f>_xlfn.XLOOKUP(C67,'Tabla Articulos'!B:B,'Tabla Articulos'!E:E)</f>
        <v>100</v>
      </c>
      <c r="G67" s="15">
        <f>SUM(
    SUMIFS(MRP!$H$2:$H$221, MRP!$B$2:$B$221, $C67, MRP!$G$2:$G$221, G$1),
    SUMIFS(MRP!$I$2:$I$221, MRP!$B$2:$B$221, $C67, MRP!$G$2:$G$221, G$1),
    SUMIFS(MRP!$J$2:$J$221, MRP!$B$2:$B$221, $C67,  MRP!$G$2:$G$221, G$1),
    SUMIFS(MRP!$K$2:$K$221, MRP!$B$2:$B$221, $C67,  MRP!$G$2:$G$221, G$1),
    SUMIFS(MRP!$L$2:$L$221, MRP!$B$2:$B$221, $C67,  MRP!$G$2:$G$221, G$1)
)*F67</f>
        <v>0</v>
      </c>
      <c r="H67" s="15">
        <f>SUM(
    SUMIFS(MRP!$H$2:$H$221, MRP!$B$2:$B$221, $C67, MRP!$G$2:$G$221, H$1),
    SUMIFS(MRP!$I$2:$I$221, MRP!$B$2:$B$221, $C67, MRP!$G$2:$G$221, H$1),
    SUMIFS(MRP!$J$2:$J$221, MRP!$B$2:$B$221, $C67,  MRP!$G$2:$G$221, H$1),
    SUMIFS(MRP!$K$2:$K$221, MRP!$B$2:$B$221, $C67,  MRP!$G$2:$G$221, H$1),
    SUMIFS(MRP!$L$2:$L$221, MRP!$B$2:$B$221, $C67,  MRP!$G$2:$G$221, H$1)
)*F67</f>
        <v>16400</v>
      </c>
      <c r="I67" s="15">
        <f>SUM(
    SUMIFS(MRP!$H$2:$H$221, MRP!$B$2:$B$221, $C67, MRP!$G$2:$G$221, I$1),
    SUMIFS(MRP!$I$2:$I$221, MRP!$B$2:$B$221, $C67, MRP!$G$2:$G$221, I$1),
    SUMIFS(MRP!$J$2:$J$221, MRP!$B$2:$B$221, $C67,  MRP!$G$2:$G$221, I$1),
    SUMIFS(MRP!$K$2:$K$221, MRP!$B$2:$B$221, $C67,  MRP!$G$2:$G$221, I$1),
    SUMIFS(MRP!$L$2:$L$221, MRP!$B$2:$B$221, $C67,  MRP!$G$2:$G$221, I$1)
)*F67</f>
        <v>0</v>
      </c>
      <c r="J67" s="15">
        <f>SUM(
    SUMIFS(MRP!$H$2:$H$221, MRP!$B$2:$B$221, $C67, MRP!$G$2:$G$221, J$1),
    SUMIFS(MRP!$I$2:$I$221, MRP!$B$2:$B$221, $C67, MRP!$G$2:$G$221, J$1),
    SUMIFS(MRP!$J$2:$J$221, MRP!$B$2:$B$221, $C67,  MRP!$G$2:$G$221, J$1),
    SUMIFS(MRP!$K$2:$K$221, MRP!$B$2:$B$221, $C67,  MRP!$G$2:$G$221, J$1),
    SUMIFS(MRP!$L$2:$L$221, MRP!$B$2:$B$221, $C67,  MRP!$G$2:$G$221, J$1)
)*F67</f>
        <v>0</v>
      </c>
      <c r="K67" s="15">
        <f>SUM(
    SUMIFS(MRP!$H$2:$H$221, MRP!$B$2:$B$221, $C67, MRP!$G$2:$G$221, K$1),
    SUMIFS(MRP!$I$2:$I$221, MRP!$B$2:$B$221, $C67, MRP!$G$2:$G$221, K$1),
    SUMIFS(MRP!$J$2:$J$221, MRP!$B$2:$B$221, $C67,  MRP!$G$2:$G$221, K$1),
    SUMIFS(MRP!$K$2:$K$221, MRP!$B$2:$B$221, $C67,  MRP!$G$2:$G$221, K$1),
    SUMIFS(MRP!$L$2:$L$221, MRP!$B$2:$B$221, $C67,  MRP!$G$2:$G$221, K$1)
)*F67</f>
        <v>0</v>
      </c>
      <c r="L67" s="55" t="str">
        <f>TRIM(Tabla3[[#This Row],[CodInternoArti]])</f>
        <v>7790321020116</v>
      </c>
    </row>
    <row r="68" spans="1:12" hidden="1" x14ac:dyDescent="0.35">
      <c r="A68" s="38" t="str">
        <f>IF(ISNUMBER(_xlfn.XMATCH(Tabla3[[#This Row],[CodInternoArti]],'Tabla Articulos'!B:B)),"OK","NO ESTA")</f>
        <v>OK</v>
      </c>
      <c r="B68" s="38" t="str">
        <f>IF(ISNUMBER(_xlfn.XMATCH('Calcular necesidad'!E:E,'Necesidad por familia'!A:A)),"OK","NO ESTA")</f>
        <v>OK</v>
      </c>
      <c r="C68" s="17" t="s">
        <v>355</v>
      </c>
      <c r="D68" s="1" t="s">
        <v>356</v>
      </c>
      <c r="E68" s="1" t="str">
        <f>_xlfn.XLOOKUP(C68,'Tabla Articulos'!B:B,'Tabla Articulos'!D:D)</f>
        <v>BARBIJO N95</v>
      </c>
      <c r="F68" s="1">
        <f>_xlfn.XLOOKUP(C68,'Tabla Articulos'!B:B,'Tabla Articulos'!E:E)</f>
        <v>100</v>
      </c>
      <c r="G68" s="15">
        <f>SUM(
    SUMIFS(MRP!$H$2:$H$221, MRP!$B$2:$B$221, $C68, MRP!$G$2:$G$221, G$1),
    SUMIFS(MRP!$I$2:$I$221, MRP!$B$2:$B$221, $C68, MRP!$G$2:$G$221, G$1),
    SUMIFS(MRP!$J$2:$J$221, MRP!$B$2:$B$221, $C68,  MRP!$G$2:$G$221, G$1),
    SUMIFS(MRP!$K$2:$K$221, MRP!$B$2:$B$221, $C68,  MRP!$G$2:$G$221, G$1),
    SUMIFS(MRP!$L$2:$L$221, MRP!$B$2:$B$221, $C68,  MRP!$G$2:$G$221, G$1)
)*F68</f>
        <v>0</v>
      </c>
      <c r="H68" s="15">
        <f>SUM(
    SUMIFS(MRP!$H$2:$H$221, MRP!$B$2:$B$221, $C68, MRP!$G$2:$G$221, H$1),
    SUMIFS(MRP!$I$2:$I$221, MRP!$B$2:$B$221, $C68, MRP!$G$2:$G$221, H$1),
    SUMIFS(MRP!$J$2:$J$221, MRP!$B$2:$B$221, $C68,  MRP!$G$2:$G$221, H$1),
    SUMIFS(MRP!$K$2:$K$221, MRP!$B$2:$B$221, $C68,  MRP!$G$2:$G$221, H$1),
    SUMIFS(MRP!$L$2:$L$221, MRP!$B$2:$B$221, $C68,  MRP!$G$2:$G$221, H$1)
)*F68</f>
        <v>10000</v>
      </c>
      <c r="I68" s="15">
        <f>SUM(
    SUMIFS(MRP!$H$2:$H$221, MRP!$B$2:$B$221, $C68, MRP!$G$2:$G$221, I$1),
    SUMIFS(MRP!$I$2:$I$221, MRP!$B$2:$B$221, $C68, MRP!$G$2:$G$221, I$1),
    SUMIFS(MRP!$J$2:$J$221, MRP!$B$2:$B$221, $C68,  MRP!$G$2:$G$221, I$1),
    SUMIFS(MRP!$K$2:$K$221, MRP!$B$2:$B$221, $C68,  MRP!$G$2:$G$221, I$1),
    SUMIFS(MRP!$L$2:$L$221, MRP!$B$2:$B$221, $C68,  MRP!$G$2:$G$221, I$1)
)*F68</f>
        <v>0</v>
      </c>
      <c r="J68" s="15">
        <f>SUM(
    SUMIFS(MRP!$H$2:$H$221, MRP!$B$2:$B$221, $C68, MRP!$G$2:$G$221, J$1),
    SUMIFS(MRP!$I$2:$I$221, MRP!$B$2:$B$221, $C68, MRP!$G$2:$G$221, J$1),
    SUMIFS(MRP!$J$2:$J$221, MRP!$B$2:$B$221, $C68,  MRP!$G$2:$G$221, J$1),
    SUMIFS(MRP!$K$2:$K$221, MRP!$B$2:$B$221, $C68,  MRP!$G$2:$G$221, J$1),
    SUMIFS(MRP!$L$2:$L$221, MRP!$B$2:$B$221, $C68,  MRP!$G$2:$G$221, J$1)
)*F68</f>
        <v>0</v>
      </c>
      <c r="K68" s="15">
        <f>SUM(
    SUMIFS(MRP!$H$2:$H$221, MRP!$B$2:$B$221, $C68, MRP!$G$2:$G$221, K$1),
    SUMIFS(MRP!$I$2:$I$221, MRP!$B$2:$B$221, $C68, MRP!$G$2:$G$221, K$1),
    SUMIFS(MRP!$J$2:$J$221, MRP!$B$2:$B$221, $C68,  MRP!$G$2:$G$221, K$1),
    SUMIFS(MRP!$K$2:$K$221, MRP!$B$2:$B$221, $C68,  MRP!$G$2:$G$221, K$1),
    SUMIFS(MRP!$L$2:$L$221, MRP!$B$2:$B$221, $C68,  MRP!$G$2:$G$221, K$1)
)*F68</f>
        <v>0</v>
      </c>
      <c r="L68" s="55" t="str">
        <f>TRIM(Tabla3[[#This Row],[CodInternoArti]])</f>
        <v>LIM000461</v>
      </c>
    </row>
    <row r="69" spans="1:12" hidden="1" x14ac:dyDescent="0.35">
      <c r="A69" s="38" t="str">
        <f>IF(ISNUMBER(_xlfn.XMATCH(Tabla3[[#This Row],[CodInternoArti]],'Tabla Articulos'!B:B)),"OK","NO ESTA")</f>
        <v>OK</v>
      </c>
      <c r="B69" s="38" t="str">
        <f>IF(ISNUMBER(_xlfn.XMATCH('Calcular necesidad'!E:E,'Necesidad por familia'!A:A)),"OK","NO ESTA")</f>
        <v>OK</v>
      </c>
      <c r="C69" s="17" t="s">
        <v>571</v>
      </c>
      <c r="D69" s="1" t="s">
        <v>353</v>
      </c>
      <c r="E69" s="1" t="str">
        <f>_xlfn.XLOOKUP(C69,'Tabla Articulos'!B:B,'Tabla Articulos'!D:D)</f>
        <v>TAPA 102</v>
      </c>
      <c r="F69" s="1">
        <f>_xlfn.XLOOKUP(C69,'Tabla Articulos'!B:B,'Tabla Articulos'!E:E)</f>
        <v>50</v>
      </c>
      <c r="G69" s="15">
        <f>SUM(
    SUMIFS(MRP!$H$2:$H$221, MRP!$B$2:$B$221, $C69, MRP!$G$2:$G$221, G$1),
    SUMIFS(MRP!$I$2:$I$221, MRP!$B$2:$B$221, $C69, MRP!$G$2:$G$221, G$1),
    SUMIFS(MRP!$J$2:$J$221, MRP!$B$2:$B$221, $C69,  MRP!$G$2:$G$221, G$1),
    SUMIFS(MRP!$K$2:$K$221, MRP!$B$2:$B$221, $C69,  MRP!$G$2:$G$221, G$1),
    SUMIFS(MRP!$L$2:$L$221, MRP!$B$2:$B$221, $C69,  MRP!$G$2:$G$221, G$1)
)*F69</f>
        <v>0</v>
      </c>
      <c r="H69" s="15">
        <f>SUM(
    SUMIFS(MRP!$H$2:$H$221, MRP!$B$2:$B$221, $C69, MRP!$G$2:$G$221, H$1),
    SUMIFS(MRP!$I$2:$I$221, MRP!$B$2:$B$221, $C69, MRP!$G$2:$G$221, H$1),
    SUMIFS(MRP!$J$2:$J$221, MRP!$B$2:$B$221, $C69,  MRP!$G$2:$G$221, H$1),
    SUMIFS(MRP!$K$2:$K$221, MRP!$B$2:$B$221, $C69,  MRP!$G$2:$G$221, H$1),
    SUMIFS(MRP!$L$2:$L$221, MRP!$B$2:$B$221, $C69,  MRP!$G$2:$G$221, H$1)
)*F69</f>
        <v>43400</v>
      </c>
      <c r="I69" s="15">
        <f>SUM(
    SUMIFS(MRP!$H$2:$H$221, MRP!$B$2:$B$221, $C69, MRP!$G$2:$G$221, I$1),
    SUMIFS(MRP!$I$2:$I$221, MRP!$B$2:$B$221, $C69, MRP!$G$2:$G$221, I$1),
    SUMIFS(MRP!$J$2:$J$221, MRP!$B$2:$B$221, $C69,  MRP!$G$2:$G$221, I$1),
    SUMIFS(MRP!$K$2:$K$221, MRP!$B$2:$B$221, $C69,  MRP!$G$2:$G$221, I$1),
    SUMIFS(MRP!$L$2:$L$221, MRP!$B$2:$B$221, $C69,  MRP!$G$2:$G$221, I$1)
)*F69</f>
        <v>0</v>
      </c>
      <c r="J69" s="15">
        <f>SUM(
    SUMIFS(MRP!$H$2:$H$221, MRP!$B$2:$B$221, $C69, MRP!$G$2:$G$221, J$1),
    SUMIFS(MRP!$I$2:$I$221, MRP!$B$2:$B$221, $C69, MRP!$G$2:$G$221, J$1),
    SUMIFS(MRP!$J$2:$J$221, MRP!$B$2:$B$221, $C69,  MRP!$G$2:$G$221, J$1),
    SUMIFS(MRP!$K$2:$K$221, MRP!$B$2:$B$221, $C69,  MRP!$G$2:$G$221, J$1),
    SUMIFS(MRP!$L$2:$L$221, MRP!$B$2:$B$221, $C69,  MRP!$G$2:$G$221, J$1)
)*F69</f>
        <v>0</v>
      </c>
      <c r="K69" s="15">
        <f>SUM(
    SUMIFS(MRP!$H$2:$H$221, MRP!$B$2:$B$221, $C69, MRP!$G$2:$G$221, K$1),
    SUMIFS(MRP!$I$2:$I$221, MRP!$B$2:$B$221, $C69, MRP!$G$2:$G$221, K$1),
    SUMIFS(MRP!$J$2:$J$221, MRP!$B$2:$B$221, $C69,  MRP!$G$2:$G$221, K$1),
    SUMIFS(MRP!$K$2:$K$221, MRP!$B$2:$B$221, $C69,  MRP!$G$2:$G$221, K$1),
    SUMIFS(MRP!$L$2:$L$221, MRP!$B$2:$B$221, $C69,  MRP!$G$2:$G$221, K$1)
)*F69</f>
        <v>0</v>
      </c>
      <c r="L69" s="55" t="str">
        <f>TRIM(Tabla3[[#This Row],[CodInternoArti]])</f>
        <v>7790321020266</v>
      </c>
    </row>
    <row r="70" spans="1:12" hidden="1" x14ac:dyDescent="0.35">
      <c r="A70" s="38" t="str">
        <f>IF(ISNUMBER(_xlfn.XMATCH(Tabla3[[#This Row],[CodInternoArti]],'Tabla Articulos'!B:B)),"OK","NO ESTA")</f>
        <v>OK</v>
      </c>
      <c r="B70" s="38" t="str">
        <f>IF(ISNUMBER(_xlfn.XMATCH('Calcular necesidad'!E:E,'Necesidad por familia'!A:A)),"OK","NO ESTA")</f>
        <v>OK</v>
      </c>
      <c r="C70" s="17" t="s">
        <v>572</v>
      </c>
      <c r="D70" s="1" t="s">
        <v>354</v>
      </c>
      <c r="E70" s="1" t="str">
        <f>_xlfn.XLOOKUP(C70,'Tabla Articulos'!B:B,'Tabla Articulos'!D:D)</f>
        <v>TAPA R5</v>
      </c>
      <c r="F70" s="1">
        <f>_xlfn.XLOOKUP(C70,'Tabla Articulos'!B:B,'Tabla Articulos'!E:E)</f>
        <v>400</v>
      </c>
      <c r="G70" s="15">
        <f>SUM(
    SUMIFS(MRP!$H$2:$H$221, MRP!$B$2:$B$221, $C70, MRP!$G$2:$G$221, G$1),
    SUMIFS(MRP!$I$2:$I$221, MRP!$B$2:$B$221, $C70, MRP!$G$2:$G$221, G$1),
    SUMIFS(MRP!$J$2:$J$221, MRP!$B$2:$B$221, $C70,  MRP!$G$2:$G$221, G$1),
    SUMIFS(MRP!$K$2:$K$221, MRP!$B$2:$B$221, $C70,  MRP!$G$2:$G$221, G$1),
    SUMIFS(MRP!$L$2:$L$221, MRP!$B$2:$B$221, $C70,  MRP!$G$2:$G$221, G$1)
)*F70</f>
        <v>0</v>
      </c>
      <c r="H70" s="15">
        <f>SUM(
    SUMIFS(MRP!$H$2:$H$221, MRP!$B$2:$B$221, $C70, MRP!$G$2:$G$221, H$1),
    SUMIFS(MRP!$I$2:$I$221, MRP!$B$2:$B$221, $C70, MRP!$G$2:$G$221, H$1),
    SUMIFS(MRP!$J$2:$J$221, MRP!$B$2:$B$221, $C70,  MRP!$G$2:$G$221, H$1),
    SUMIFS(MRP!$K$2:$K$221, MRP!$B$2:$B$221, $C70,  MRP!$G$2:$G$221, H$1),
    SUMIFS(MRP!$L$2:$L$221, MRP!$B$2:$B$221, $C70,  MRP!$G$2:$G$221, H$1)
)*F70</f>
        <v>1600</v>
      </c>
      <c r="I70" s="15">
        <f>SUM(
    SUMIFS(MRP!$H$2:$H$221, MRP!$B$2:$B$221, $C70, MRP!$G$2:$G$221, I$1),
    SUMIFS(MRP!$I$2:$I$221, MRP!$B$2:$B$221, $C70, MRP!$G$2:$G$221, I$1),
    SUMIFS(MRP!$J$2:$J$221, MRP!$B$2:$B$221, $C70,  MRP!$G$2:$G$221, I$1),
    SUMIFS(MRP!$K$2:$K$221, MRP!$B$2:$B$221, $C70,  MRP!$G$2:$G$221, I$1),
    SUMIFS(MRP!$L$2:$L$221, MRP!$B$2:$B$221, $C70,  MRP!$G$2:$G$221, I$1)
)*F70</f>
        <v>0</v>
      </c>
      <c r="J70" s="15">
        <f>SUM(
    SUMIFS(MRP!$H$2:$H$221, MRP!$B$2:$B$221, $C70, MRP!$G$2:$G$221, J$1),
    SUMIFS(MRP!$I$2:$I$221, MRP!$B$2:$B$221, $C70, MRP!$G$2:$G$221, J$1),
    SUMIFS(MRP!$J$2:$J$221, MRP!$B$2:$B$221, $C70,  MRP!$G$2:$G$221, J$1),
    SUMIFS(MRP!$K$2:$K$221, MRP!$B$2:$B$221, $C70,  MRP!$G$2:$G$221, J$1),
    SUMIFS(MRP!$L$2:$L$221, MRP!$B$2:$B$221, $C70,  MRP!$G$2:$G$221, J$1)
)*F70</f>
        <v>0</v>
      </c>
      <c r="K70" s="15">
        <f>SUM(
    SUMIFS(MRP!$H$2:$H$221, MRP!$B$2:$B$221, $C70, MRP!$G$2:$G$221, K$1),
    SUMIFS(MRP!$I$2:$I$221, MRP!$B$2:$B$221, $C70, MRP!$G$2:$G$221, K$1),
    SUMIFS(MRP!$J$2:$J$221, MRP!$B$2:$B$221, $C70,  MRP!$G$2:$G$221, K$1),
    SUMIFS(MRP!$K$2:$K$221, MRP!$B$2:$B$221, $C70,  MRP!$G$2:$G$221, K$1),
    SUMIFS(MRP!$L$2:$L$221, MRP!$B$2:$B$221, $C70,  MRP!$G$2:$G$221, K$1)
)*F70</f>
        <v>0</v>
      </c>
      <c r="L70" s="55" t="str">
        <f>TRIM(Tabla3[[#This Row],[CodInternoArti]])</f>
        <v>7790321020306</v>
      </c>
    </row>
    <row r="71" spans="1:12" hidden="1" x14ac:dyDescent="0.35">
      <c r="A71" s="38" t="str">
        <f>IF(ISNUMBER(_xlfn.XMATCH(Tabla3[[#This Row],[CodInternoArti]],'Tabla Articulos'!B:B)),"OK","NO ESTA")</f>
        <v>OK</v>
      </c>
      <c r="B71" s="38" t="str">
        <f>IF(ISNUMBER(_xlfn.XMATCH('Calcular necesidad'!E:E,'Necesidad por familia'!A:A)),"OK","NO ESTA")</f>
        <v>OK</v>
      </c>
      <c r="C71" s="17" t="s">
        <v>573</v>
      </c>
      <c r="D71" s="1" t="s">
        <v>364</v>
      </c>
      <c r="E71" s="1" t="str">
        <f>_xlfn.XLOOKUP(C71,'Tabla Articulos'!B:B,'Tabla Articulos'!D:D)</f>
        <v>VASO TERMICO 300</v>
      </c>
      <c r="F71" s="1">
        <f>_xlfn.XLOOKUP(C71,'Tabla Articulos'!B:B,'Tabla Articulos'!E:E)</f>
        <v>25</v>
      </c>
      <c r="G71" s="15">
        <f>SUM(
    SUMIFS(MRP!$H$2:$H$221, MRP!$B$2:$B$221, $C71, MRP!$G$2:$G$221, G$1),
    SUMIFS(MRP!$I$2:$I$221, MRP!$B$2:$B$221, $C71, MRP!$G$2:$G$221, G$1),
    SUMIFS(MRP!$J$2:$J$221, MRP!$B$2:$B$221, $C71,  MRP!$G$2:$G$221, G$1),
    SUMIFS(MRP!$K$2:$K$221, MRP!$B$2:$B$221, $C71,  MRP!$G$2:$G$221, G$1),
    SUMIFS(MRP!$L$2:$L$221, MRP!$B$2:$B$221, $C71,  MRP!$G$2:$G$221, G$1)
)*F71</f>
        <v>0</v>
      </c>
      <c r="H71" s="15">
        <f>SUM(
    SUMIFS(MRP!$H$2:$H$221, MRP!$B$2:$B$221, $C71, MRP!$G$2:$G$221, H$1),
    SUMIFS(MRP!$I$2:$I$221, MRP!$B$2:$B$221, $C71, MRP!$G$2:$G$221, H$1),
    SUMIFS(MRP!$J$2:$J$221, MRP!$B$2:$B$221, $C71,  MRP!$G$2:$G$221, H$1),
    SUMIFS(MRP!$K$2:$K$221, MRP!$B$2:$B$221, $C71,  MRP!$G$2:$G$221, H$1),
    SUMIFS(MRP!$L$2:$L$221, MRP!$B$2:$B$221, $C71,  MRP!$G$2:$G$221, H$1)
)*F71</f>
        <v>8675</v>
      </c>
      <c r="I71" s="15">
        <f>SUM(
    SUMIFS(MRP!$H$2:$H$221, MRP!$B$2:$B$221, $C71, MRP!$G$2:$G$221, I$1),
    SUMIFS(MRP!$I$2:$I$221, MRP!$B$2:$B$221, $C71, MRP!$G$2:$G$221, I$1),
    SUMIFS(MRP!$J$2:$J$221, MRP!$B$2:$B$221, $C71,  MRP!$G$2:$G$221, I$1),
    SUMIFS(MRP!$K$2:$K$221, MRP!$B$2:$B$221, $C71,  MRP!$G$2:$G$221, I$1),
    SUMIFS(MRP!$L$2:$L$221, MRP!$B$2:$B$221, $C71,  MRP!$G$2:$G$221, I$1)
)*F71</f>
        <v>0</v>
      </c>
      <c r="J71" s="15">
        <f>SUM(
    SUMIFS(MRP!$H$2:$H$221, MRP!$B$2:$B$221, $C71, MRP!$G$2:$G$221, J$1),
    SUMIFS(MRP!$I$2:$I$221, MRP!$B$2:$B$221, $C71, MRP!$G$2:$G$221, J$1),
    SUMIFS(MRP!$J$2:$J$221, MRP!$B$2:$B$221, $C71,  MRP!$G$2:$G$221, J$1),
    SUMIFS(MRP!$K$2:$K$221, MRP!$B$2:$B$221, $C71,  MRP!$G$2:$G$221, J$1),
    SUMIFS(MRP!$L$2:$L$221, MRP!$B$2:$B$221, $C71,  MRP!$G$2:$G$221, J$1)
)*F71</f>
        <v>0</v>
      </c>
      <c r="K71" s="15">
        <f>SUM(
    SUMIFS(MRP!$H$2:$H$221, MRP!$B$2:$B$221, $C71, MRP!$G$2:$G$221, K$1),
    SUMIFS(MRP!$I$2:$I$221, MRP!$B$2:$B$221, $C71, MRP!$G$2:$G$221, K$1),
    SUMIFS(MRP!$J$2:$J$221, MRP!$B$2:$B$221, $C71,  MRP!$G$2:$G$221, K$1),
    SUMIFS(MRP!$K$2:$K$221, MRP!$B$2:$B$221, $C71,  MRP!$G$2:$G$221, K$1),
    SUMIFS(MRP!$L$2:$L$221, MRP!$B$2:$B$221, $C71,  MRP!$G$2:$G$221, K$1)
)*F71</f>
        <v>0</v>
      </c>
      <c r="L71" s="55" t="str">
        <f>TRIM(Tabla3[[#This Row],[CodInternoArti]])</f>
        <v>7790321020406</v>
      </c>
    </row>
    <row r="72" spans="1:12" hidden="1" x14ac:dyDescent="0.35">
      <c r="A72" s="38" t="str">
        <f>IF(ISNUMBER(_xlfn.XMATCH(Tabla3[[#This Row],[CodInternoArti]],'Tabla Articulos'!B:B)),"OK","NO ESTA")</f>
        <v>OK</v>
      </c>
      <c r="B72" s="38" t="str">
        <f>IF(ISNUMBER(_xlfn.XMATCH('Calcular necesidad'!E:E,'Necesidad por familia'!A:A)),"OK","NO ESTA")</f>
        <v>OK</v>
      </c>
      <c r="C72" s="17" t="s">
        <v>574</v>
      </c>
      <c r="D72" s="1" t="s">
        <v>323</v>
      </c>
      <c r="E72" s="1" t="str">
        <f>_xlfn.XLOOKUP(C72,'Tabla Articulos'!B:B,'Tabla Articulos'!D:D)</f>
        <v>BANDEJA R5</v>
      </c>
      <c r="F72" s="1">
        <f>_xlfn.XLOOKUP(C72,'Tabla Articulos'!B:B,'Tabla Articulos'!E:E)</f>
        <v>600</v>
      </c>
      <c r="G72" s="15">
        <f>SUM(
    SUMIFS(MRP!$H$2:$H$221, MRP!$B$2:$B$221, $C72, MRP!$G$2:$G$221, G$1),
    SUMIFS(MRP!$I$2:$I$221, MRP!$B$2:$B$221, $C72, MRP!$G$2:$G$221, G$1),
    SUMIFS(MRP!$J$2:$J$221, MRP!$B$2:$B$221, $C72,  MRP!$G$2:$G$221, G$1),
    SUMIFS(MRP!$K$2:$K$221, MRP!$B$2:$B$221, $C72,  MRP!$G$2:$G$221, G$1),
    SUMIFS(MRP!$L$2:$L$221, MRP!$B$2:$B$221, $C72,  MRP!$G$2:$G$221, G$1)
)*F72</f>
        <v>0</v>
      </c>
      <c r="H72" s="15">
        <f>SUM(
    SUMIFS(MRP!$H$2:$H$221, MRP!$B$2:$B$221, $C72, MRP!$G$2:$G$221, H$1),
    SUMIFS(MRP!$I$2:$I$221, MRP!$B$2:$B$221, $C72, MRP!$G$2:$G$221, H$1),
    SUMIFS(MRP!$J$2:$J$221, MRP!$B$2:$B$221, $C72,  MRP!$G$2:$G$221, H$1),
    SUMIFS(MRP!$K$2:$K$221, MRP!$B$2:$B$221, $C72,  MRP!$G$2:$G$221, H$1),
    SUMIFS(MRP!$L$2:$L$221, MRP!$B$2:$B$221, $C72,  MRP!$G$2:$G$221, H$1)
)*F72</f>
        <v>3600</v>
      </c>
      <c r="I72" s="15">
        <f>SUM(
    SUMIFS(MRP!$H$2:$H$221, MRP!$B$2:$B$221, $C72, MRP!$G$2:$G$221, I$1),
    SUMIFS(MRP!$I$2:$I$221, MRP!$B$2:$B$221, $C72, MRP!$G$2:$G$221, I$1),
    SUMIFS(MRP!$J$2:$J$221, MRP!$B$2:$B$221, $C72,  MRP!$G$2:$G$221, I$1),
    SUMIFS(MRP!$K$2:$K$221, MRP!$B$2:$B$221, $C72,  MRP!$G$2:$G$221, I$1),
    SUMIFS(MRP!$L$2:$L$221, MRP!$B$2:$B$221, $C72,  MRP!$G$2:$G$221, I$1)
)*F72</f>
        <v>0</v>
      </c>
      <c r="J72" s="15">
        <f>SUM(
    SUMIFS(MRP!$H$2:$H$221, MRP!$B$2:$B$221, $C72, MRP!$G$2:$G$221, J$1),
    SUMIFS(MRP!$I$2:$I$221, MRP!$B$2:$B$221, $C72, MRP!$G$2:$G$221, J$1),
    SUMIFS(MRP!$J$2:$J$221, MRP!$B$2:$B$221, $C72,  MRP!$G$2:$G$221, J$1),
    SUMIFS(MRP!$K$2:$K$221, MRP!$B$2:$B$221, $C72,  MRP!$G$2:$G$221, J$1),
    SUMIFS(MRP!$L$2:$L$221, MRP!$B$2:$B$221, $C72,  MRP!$G$2:$G$221, J$1)
)*F72</f>
        <v>0</v>
      </c>
      <c r="K72" s="15">
        <f>SUM(
    SUMIFS(MRP!$H$2:$H$221, MRP!$B$2:$B$221, $C72, MRP!$G$2:$G$221, K$1),
    SUMIFS(MRP!$I$2:$I$221, MRP!$B$2:$B$221, $C72, MRP!$G$2:$G$221, K$1),
    SUMIFS(MRP!$J$2:$J$221, MRP!$B$2:$B$221, $C72,  MRP!$G$2:$G$221, K$1),
    SUMIFS(MRP!$K$2:$K$221, MRP!$B$2:$B$221, $C72,  MRP!$G$2:$G$221, K$1),
    SUMIFS(MRP!$L$2:$L$221, MRP!$B$2:$B$221, $C72,  MRP!$G$2:$G$221, K$1)
)*F72</f>
        <v>0</v>
      </c>
      <c r="L72" s="55" t="str">
        <f>TRIM(Tabla3[[#This Row],[CodInternoArti]])</f>
        <v>7790321020066</v>
      </c>
    </row>
    <row r="73" spans="1:12" hidden="1" x14ac:dyDescent="0.35">
      <c r="A73" s="38" t="str">
        <f>IF(ISNUMBER(_xlfn.XMATCH(Tabla3[[#This Row],[CodInternoArti]],'Tabla Articulos'!B:B)),"OK","NO ESTA")</f>
        <v>OK</v>
      </c>
      <c r="B73" s="38" t="str">
        <f>IF(ISNUMBER(_xlfn.XMATCH('Calcular necesidad'!E:E,'Necesidad por familia'!A:A)),"OK","NO ESTA")</f>
        <v>OK</v>
      </c>
      <c r="C73" s="17" t="s">
        <v>575</v>
      </c>
      <c r="D73" s="1" t="s">
        <v>324</v>
      </c>
      <c r="E73" s="1" t="str">
        <f>_xlfn.XLOOKUP(C73,'Tabla Articulos'!B:B,'Tabla Articulos'!D:D)</f>
        <v>TAPA 103</v>
      </c>
      <c r="F73" s="1">
        <f>_xlfn.XLOOKUP(C73,'Tabla Articulos'!B:B,'Tabla Articulos'!E:E)</f>
        <v>50</v>
      </c>
      <c r="G73" s="15">
        <f>SUM(
    SUMIFS(MRP!$H$2:$H$221, MRP!$B$2:$B$221, $C73, MRP!$G$2:$G$221, G$1),
    SUMIFS(MRP!$I$2:$I$221, MRP!$B$2:$B$221, $C73, MRP!$G$2:$G$221, G$1),
    SUMIFS(MRP!$J$2:$J$221, MRP!$B$2:$B$221, $C73,  MRP!$G$2:$G$221, G$1),
    SUMIFS(MRP!$K$2:$K$221, MRP!$B$2:$B$221, $C73,  MRP!$G$2:$G$221, G$1),
    SUMIFS(MRP!$L$2:$L$221, MRP!$B$2:$B$221, $C73,  MRP!$G$2:$G$221, G$1)
)*F73</f>
        <v>0</v>
      </c>
      <c r="H73" s="15">
        <f>SUM(
    SUMIFS(MRP!$H$2:$H$221, MRP!$B$2:$B$221, $C73, MRP!$G$2:$G$221, H$1),
    SUMIFS(MRP!$I$2:$I$221, MRP!$B$2:$B$221, $C73, MRP!$G$2:$G$221, H$1),
    SUMIFS(MRP!$J$2:$J$221, MRP!$B$2:$B$221, $C73,  MRP!$G$2:$G$221, H$1),
    SUMIFS(MRP!$K$2:$K$221, MRP!$B$2:$B$221, $C73,  MRP!$G$2:$G$221, H$1),
    SUMIFS(MRP!$L$2:$L$221, MRP!$B$2:$B$221, $C73,  MRP!$G$2:$G$221, H$1)
)*F73</f>
        <v>23350</v>
      </c>
      <c r="I73" s="15">
        <f>SUM(
    SUMIFS(MRP!$H$2:$H$221, MRP!$B$2:$B$221, $C73, MRP!$G$2:$G$221, I$1),
    SUMIFS(MRP!$I$2:$I$221, MRP!$B$2:$B$221, $C73, MRP!$G$2:$G$221, I$1),
    SUMIFS(MRP!$J$2:$J$221, MRP!$B$2:$B$221, $C73,  MRP!$G$2:$G$221, I$1),
    SUMIFS(MRP!$K$2:$K$221, MRP!$B$2:$B$221, $C73,  MRP!$G$2:$G$221, I$1),
    SUMIFS(MRP!$L$2:$L$221, MRP!$B$2:$B$221, $C73,  MRP!$G$2:$G$221, I$1)
)*F73</f>
        <v>0</v>
      </c>
      <c r="J73" s="15">
        <f>SUM(
    SUMIFS(MRP!$H$2:$H$221, MRP!$B$2:$B$221, $C73, MRP!$G$2:$G$221, J$1),
    SUMIFS(MRP!$I$2:$I$221, MRP!$B$2:$B$221, $C73, MRP!$G$2:$G$221, J$1),
    SUMIFS(MRP!$J$2:$J$221, MRP!$B$2:$B$221, $C73,  MRP!$G$2:$G$221, J$1),
    SUMIFS(MRP!$K$2:$K$221, MRP!$B$2:$B$221, $C73,  MRP!$G$2:$G$221, J$1),
    SUMIFS(MRP!$L$2:$L$221, MRP!$B$2:$B$221, $C73,  MRP!$G$2:$G$221, J$1)
)*F73</f>
        <v>0</v>
      </c>
      <c r="K73" s="15">
        <f>SUM(
    SUMIFS(MRP!$H$2:$H$221, MRP!$B$2:$B$221, $C73, MRP!$G$2:$G$221, K$1),
    SUMIFS(MRP!$I$2:$I$221, MRP!$B$2:$B$221, $C73, MRP!$G$2:$G$221, K$1),
    SUMIFS(MRP!$J$2:$J$221, MRP!$B$2:$B$221, $C73,  MRP!$G$2:$G$221, K$1),
    SUMIFS(MRP!$K$2:$K$221, MRP!$B$2:$B$221, $C73,  MRP!$G$2:$G$221, K$1),
    SUMIFS(MRP!$L$2:$L$221, MRP!$B$2:$B$221, $C73,  MRP!$G$2:$G$221, K$1)
)*F73</f>
        <v>0</v>
      </c>
      <c r="L73" s="55" t="str">
        <f>TRIM(Tabla3[[#This Row],[CodInternoArti]])</f>
        <v>7790321020276</v>
      </c>
    </row>
    <row r="74" spans="1:12" hidden="1" x14ac:dyDescent="0.35">
      <c r="A74" s="38" t="str">
        <f>IF(ISNUMBER(_xlfn.XMATCH(Tabla3[[#This Row],[CodInternoArti]],'Tabla Articulos'!B:B)),"OK","NO ESTA")</f>
        <v>OK</v>
      </c>
      <c r="B74" s="38" t="str">
        <f>IF(ISNUMBER(_xlfn.XMATCH('Calcular necesidad'!E:E,'Necesidad por familia'!A:A)),"OK","NO ESTA")</f>
        <v>OK</v>
      </c>
      <c r="C74" s="17" t="s">
        <v>576</v>
      </c>
      <c r="D74" s="1" t="s">
        <v>325</v>
      </c>
      <c r="E74" s="1" t="str">
        <f>_xlfn.XLOOKUP(C74,'Tabla Articulos'!B:B,'Tabla Articulos'!D:D)</f>
        <v>VASO PLASTICO 180</v>
      </c>
      <c r="F74" s="1">
        <f>_xlfn.XLOOKUP(C74,'Tabla Articulos'!B:B,'Tabla Articulos'!E:E)</f>
        <v>100</v>
      </c>
      <c r="G74" s="15">
        <f>SUM(
    SUMIFS(MRP!$H$2:$H$221, MRP!$B$2:$B$221, $C74, MRP!$G$2:$G$221, G$1),
    SUMIFS(MRP!$I$2:$I$221, MRP!$B$2:$B$221, $C74, MRP!$G$2:$G$221, G$1),
    SUMIFS(MRP!$J$2:$J$221, MRP!$B$2:$B$221, $C74,  MRP!$G$2:$G$221, G$1),
    SUMIFS(MRP!$K$2:$K$221, MRP!$B$2:$B$221, $C74,  MRP!$G$2:$G$221, G$1),
    SUMIFS(MRP!$L$2:$L$221, MRP!$B$2:$B$221, $C74,  MRP!$G$2:$G$221, G$1)
)*F74</f>
        <v>0</v>
      </c>
      <c r="H74" s="15">
        <f>SUM(
    SUMIFS(MRP!$H$2:$H$221, MRP!$B$2:$B$221, $C74, MRP!$G$2:$G$221, H$1),
    SUMIFS(MRP!$I$2:$I$221, MRP!$B$2:$B$221, $C74, MRP!$G$2:$G$221, H$1),
    SUMIFS(MRP!$J$2:$J$221, MRP!$B$2:$B$221, $C74,  MRP!$G$2:$G$221, H$1),
    SUMIFS(MRP!$K$2:$K$221, MRP!$B$2:$B$221, $C74,  MRP!$G$2:$G$221, H$1),
    SUMIFS(MRP!$L$2:$L$221, MRP!$B$2:$B$221, $C74,  MRP!$G$2:$G$221, H$1)
)*F74</f>
        <v>1700</v>
      </c>
      <c r="I74" s="15">
        <f>SUM(
    SUMIFS(MRP!$H$2:$H$221, MRP!$B$2:$B$221, $C74, MRP!$G$2:$G$221, I$1),
    SUMIFS(MRP!$I$2:$I$221, MRP!$B$2:$B$221, $C74, MRP!$G$2:$G$221, I$1),
    SUMIFS(MRP!$J$2:$J$221, MRP!$B$2:$B$221, $C74,  MRP!$G$2:$G$221, I$1),
    SUMIFS(MRP!$K$2:$K$221, MRP!$B$2:$B$221, $C74,  MRP!$G$2:$G$221, I$1),
    SUMIFS(MRP!$L$2:$L$221, MRP!$B$2:$B$221, $C74,  MRP!$G$2:$G$221, I$1)
)*F74</f>
        <v>0</v>
      </c>
      <c r="J74" s="15">
        <f>SUM(
    SUMIFS(MRP!$H$2:$H$221, MRP!$B$2:$B$221, $C74, MRP!$G$2:$G$221, J$1),
    SUMIFS(MRP!$I$2:$I$221, MRP!$B$2:$B$221, $C74, MRP!$G$2:$G$221, J$1),
    SUMIFS(MRP!$J$2:$J$221, MRP!$B$2:$B$221, $C74,  MRP!$G$2:$G$221, J$1),
    SUMIFS(MRP!$K$2:$K$221, MRP!$B$2:$B$221, $C74,  MRP!$G$2:$G$221, J$1),
    SUMIFS(MRP!$L$2:$L$221, MRP!$B$2:$B$221, $C74,  MRP!$G$2:$G$221, J$1)
)*F74</f>
        <v>0</v>
      </c>
      <c r="K74" s="15">
        <f>SUM(
    SUMIFS(MRP!$H$2:$H$221, MRP!$B$2:$B$221, $C74, MRP!$G$2:$G$221, K$1),
    SUMIFS(MRP!$I$2:$I$221, MRP!$B$2:$B$221, $C74, MRP!$G$2:$G$221, K$1),
    SUMIFS(MRP!$J$2:$J$221, MRP!$B$2:$B$221, $C74,  MRP!$G$2:$G$221, K$1),
    SUMIFS(MRP!$K$2:$K$221, MRP!$B$2:$B$221, $C74,  MRP!$G$2:$G$221, K$1),
    SUMIFS(MRP!$L$2:$L$221, MRP!$B$2:$B$221, $C74,  MRP!$G$2:$G$221, K$1)
)*F74</f>
        <v>0</v>
      </c>
      <c r="L74" s="55" t="str">
        <f>TRIM(Tabla3[[#This Row],[CodInternoArti]])</f>
        <v>7790321020356</v>
      </c>
    </row>
    <row r="75" spans="1:12" hidden="1" x14ac:dyDescent="0.35">
      <c r="A75" s="38" t="str">
        <f>IF(ISNUMBER(_xlfn.XMATCH(Tabla3[[#This Row],[CodInternoArti]],'Tabla Articulos'!B:B)),"OK","NO ESTA")</f>
        <v>OK</v>
      </c>
      <c r="B75" s="38" t="str">
        <f>IF(ISNUMBER(_xlfn.XMATCH('Calcular necesidad'!E:E,'Necesidad por familia'!A:A)),"OK","NO ESTA")</f>
        <v>OK</v>
      </c>
      <c r="C75" s="17" t="s">
        <v>577</v>
      </c>
      <c r="D75" s="1" t="s">
        <v>300</v>
      </c>
      <c r="E75" s="1" t="str">
        <f>_xlfn.XLOOKUP(C75,'Tabla Articulos'!B:B,'Tabla Articulos'!D:D)</f>
        <v>CANCELADO</v>
      </c>
      <c r="F75" s="1">
        <f>_xlfn.XLOOKUP(C75,'Tabla Articulos'!B:B,'Tabla Articulos'!E:E)</f>
        <v>1000</v>
      </c>
      <c r="G75" s="15">
        <f>SUM(
    SUMIFS(MRP!$H$2:$H$221, MRP!$B$2:$B$221, $C75, MRP!$G$2:$G$221, G$1),
    SUMIFS(MRP!$I$2:$I$221, MRP!$B$2:$B$221, $C75, MRP!$G$2:$G$221, G$1),
    SUMIFS(MRP!$J$2:$J$221, MRP!$B$2:$B$221, $C75,  MRP!$G$2:$G$221, G$1),
    SUMIFS(MRP!$K$2:$K$221, MRP!$B$2:$B$221, $C75,  MRP!$G$2:$G$221, G$1),
    SUMIFS(MRP!$L$2:$L$221, MRP!$B$2:$B$221, $C75,  MRP!$G$2:$G$221, G$1)
)*F75</f>
        <v>0</v>
      </c>
      <c r="H75" s="15">
        <f>SUM(
    SUMIFS(MRP!$H$2:$H$221, MRP!$B$2:$B$221, $C75, MRP!$G$2:$G$221, H$1),
    SUMIFS(MRP!$I$2:$I$221, MRP!$B$2:$B$221, $C75, MRP!$G$2:$G$221, H$1),
    SUMIFS(MRP!$J$2:$J$221, MRP!$B$2:$B$221, $C75,  MRP!$G$2:$G$221, H$1),
    SUMIFS(MRP!$K$2:$K$221, MRP!$B$2:$B$221, $C75,  MRP!$G$2:$G$221, H$1),
    SUMIFS(MRP!$L$2:$L$221, MRP!$B$2:$B$221, $C75,  MRP!$G$2:$G$221, H$1)
)*F75</f>
        <v>1000</v>
      </c>
      <c r="I75" s="15">
        <f>SUM(
    SUMIFS(MRP!$H$2:$H$221, MRP!$B$2:$B$221, $C75, MRP!$G$2:$G$221, I$1),
    SUMIFS(MRP!$I$2:$I$221, MRP!$B$2:$B$221, $C75, MRP!$G$2:$G$221, I$1),
    SUMIFS(MRP!$J$2:$J$221, MRP!$B$2:$B$221, $C75,  MRP!$G$2:$G$221, I$1),
    SUMIFS(MRP!$K$2:$K$221, MRP!$B$2:$B$221, $C75,  MRP!$G$2:$G$221, I$1),
    SUMIFS(MRP!$L$2:$L$221, MRP!$B$2:$B$221, $C75,  MRP!$G$2:$G$221, I$1)
)*F75</f>
        <v>0</v>
      </c>
      <c r="J75" s="15">
        <f>SUM(
    SUMIFS(MRP!$H$2:$H$221, MRP!$B$2:$B$221, $C75, MRP!$G$2:$G$221, J$1),
    SUMIFS(MRP!$I$2:$I$221, MRP!$B$2:$B$221, $C75, MRP!$G$2:$G$221, J$1),
    SUMIFS(MRP!$J$2:$J$221, MRP!$B$2:$B$221, $C75,  MRP!$G$2:$G$221, J$1),
    SUMIFS(MRP!$K$2:$K$221, MRP!$B$2:$B$221, $C75,  MRP!$G$2:$G$221, J$1),
    SUMIFS(MRP!$L$2:$L$221, MRP!$B$2:$B$221, $C75,  MRP!$G$2:$G$221, J$1)
)*F75</f>
        <v>0</v>
      </c>
      <c r="K75" s="15">
        <f>SUM(
    SUMIFS(MRP!$H$2:$H$221, MRP!$B$2:$B$221, $C75, MRP!$G$2:$G$221, K$1),
    SUMIFS(MRP!$I$2:$I$221, MRP!$B$2:$B$221, $C75, MRP!$G$2:$G$221, K$1),
    SUMIFS(MRP!$J$2:$J$221, MRP!$B$2:$B$221, $C75,  MRP!$G$2:$G$221, K$1),
    SUMIFS(MRP!$K$2:$K$221, MRP!$B$2:$B$221, $C75,  MRP!$G$2:$G$221, K$1),
    SUMIFS(MRP!$L$2:$L$221, MRP!$B$2:$B$221, $C75,  MRP!$G$2:$G$221, K$1)
)*F75</f>
        <v>0</v>
      </c>
      <c r="L75" s="55" t="str">
        <f>TRIM(Tabla3[[#This Row],[CodInternoArti]])</f>
        <v>7790321020237</v>
      </c>
    </row>
    <row r="76" spans="1:12" hidden="1" x14ac:dyDescent="0.35">
      <c r="A76" s="38" t="str">
        <f>IF(ISNUMBER(_xlfn.XMATCH(Tabla3[[#This Row],[CodInternoArti]],'Tabla Articulos'!B:B)),"OK","NO ESTA")</f>
        <v>OK</v>
      </c>
      <c r="B76" s="38" t="str">
        <f>IF(ISNUMBER(_xlfn.XMATCH('Calcular necesidad'!E:E,'Necesidad por familia'!A:A)),"OK","NO ESTA")</f>
        <v>OK</v>
      </c>
      <c r="C76" s="17" t="s">
        <v>578</v>
      </c>
      <c r="D76" s="1" t="s">
        <v>336</v>
      </c>
      <c r="E76" s="1" t="str">
        <f>_xlfn.XLOOKUP(C76,'Tabla Articulos'!B:B,'Tabla Articulos'!D:D)</f>
        <v>TAPA ENSALADERA CRISTAL</v>
      </c>
      <c r="F76" s="1">
        <f>_xlfn.XLOOKUP(C76,'Tabla Articulos'!B:B,'Tabla Articulos'!E:E)</f>
        <v>100</v>
      </c>
      <c r="G76" s="15">
        <f>SUM(
    SUMIFS(MRP!$H$2:$H$221, MRP!$B$2:$B$221, $C76, MRP!$G$2:$G$221, G$1),
    SUMIFS(MRP!$I$2:$I$221, MRP!$B$2:$B$221, $C76, MRP!$G$2:$G$221, G$1),
    SUMIFS(MRP!$J$2:$J$221, MRP!$B$2:$B$221, $C76,  MRP!$G$2:$G$221, G$1),
    SUMIFS(MRP!$K$2:$K$221, MRP!$B$2:$B$221, $C76,  MRP!$G$2:$G$221, G$1),
    SUMIFS(MRP!$L$2:$L$221, MRP!$B$2:$B$221, $C76,  MRP!$G$2:$G$221, G$1)
)*F76</f>
        <v>0</v>
      </c>
      <c r="H76" s="15">
        <f>SUM(
    SUMIFS(MRP!$H$2:$H$221, MRP!$B$2:$B$221, $C76, MRP!$G$2:$G$221, H$1),
    SUMIFS(MRP!$I$2:$I$221, MRP!$B$2:$B$221, $C76, MRP!$G$2:$G$221, H$1),
    SUMIFS(MRP!$J$2:$J$221, MRP!$B$2:$B$221, $C76,  MRP!$G$2:$G$221, H$1),
    SUMIFS(MRP!$K$2:$K$221, MRP!$B$2:$B$221, $C76,  MRP!$G$2:$G$221, H$1),
    SUMIFS(MRP!$L$2:$L$221, MRP!$B$2:$B$221, $C76,  MRP!$G$2:$G$221, H$1)
)*F76</f>
        <v>700</v>
      </c>
      <c r="I76" s="15">
        <f>SUM(
    SUMIFS(MRP!$H$2:$H$221, MRP!$B$2:$B$221, $C76, MRP!$G$2:$G$221, I$1),
    SUMIFS(MRP!$I$2:$I$221, MRP!$B$2:$B$221, $C76, MRP!$G$2:$G$221, I$1),
    SUMIFS(MRP!$J$2:$J$221, MRP!$B$2:$B$221, $C76,  MRP!$G$2:$G$221, I$1),
    SUMIFS(MRP!$K$2:$K$221, MRP!$B$2:$B$221, $C76,  MRP!$G$2:$G$221, I$1),
    SUMIFS(MRP!$L$2:$L$221, MRP!$B$2:$B$221, $C76,  MRP!$G$2:$G$221, I$1)
)*F76</f>
        <v>0</v>
      </c>
      <c r="J76" s="15">
        <f>SUM(
    SUMIFS(MRP!$H$2:$H$221, MRP!$B$2:$B$221, $C76, MRP!$G$2:$G$221, J$1),
    SUMIFS(MRP!$I$2:$I$221, MRP!$B$2:$B$221, $C76, MRP!$G$2:$G$221, J$1),
    SUMIFS(MRP!$J$2:$J$221, MRP!$B$2:$B$221, $C76,  MRP!$G$2:$G$221, J$1),
    SUMIFS(MRP!$K$2:$K$221, MRP!$B$2:$B$221, $C76,  MRP!$G$2:$G$221, J$1),
    SUMIFS(MRP!$L$2:$L$221, MRP!$B$2:$B$221, $C76,  MRP!$G$2:$G$221, J$1)
)*F76</f>
        <v>0</v>
      </c>
      <c r="K76" s="15">
        <f>SUM(
    SUMIFS(MRP!$H$2:$H$221, MRP!$B$2:$B$221, $C76, MRP!$G$2:$G$221, K$1),
    SUMIFS(MRP!$I$2:$I$221, MRP!$B$2:$B$221, $C76, MRP!$G$2:$G$221, K$1),
    SUMIFS(MRP!$J$2:$J$221, MRP!$B$2:$B$221, $C76,  MRP!$G$2:$G$221, K$1),
    SUMIFS(MRP!$K$2:$K$221, MRP!$B$2:$B$221, $C76,  MRP!$G$2:$G$221, K$1),
    SUMIFS(MRP!$L$2:$L$221, MRP!$B$2:$B$221, $C76,  MRP!$G$2:$G$221, K$1)
)*F76</f>
        <v>0</v>
      </c>
      <c r="L76" s="55" t="str">
        <f>TRIM(Tabla3[[#This Row],[CodInternoArti]])</f>
        <v>7790321000063</v>
      </c>
    </row>
    <row r="77" spans="1:12" hidden="1" x14ac:dyDescent="0.35">
      <c r="A77" s="38" t="str">
        <f>IF(ISNUMBER(_xlfn.XMATCH(Tabla3[[#This Row],[CodInternoArti]],'Tabla Articulos'!B:B)),"OK","NO ESTA")</f>
        <v>OK</v>
      </c>
      <c r="B77" s="38" t="str">
        <f>IF(ISNUMBER(_xlfn.XMATCH('Calcular necesidad'!E:E,'Necesidad por familia'!A:A)),"OK","NO ESTA")</f>
        <v>OK</v>
      </c>
      <c r="C77" s="17" t="s">
        <v>579</v>
      </c>
      <c r="D77" s="1" t="s">
        <v>580</v>
      </c>
      <c r="E77" s="1" t="str">
        <f>_xlfn.XLOOKUP(C77,'Tabla Articulos'!B:B,'Tabla Articulos'!D:D)</f>
        <v>POTE 230CC</v>
      </c>
      <c r="F77" s="1">
        <f>_xlfn.XLOOKUP(C77,'Tabla Articulos'!B:B,'Tabla Articulos'!E:E)</f>
        <v>1000</v>
      </c>
      <c r="G77" s="15">
        <f>SUM(
    SUMIFS(MRP!$H$2:$H$221, MRP!$B$2:$B$221, $C77, MRP!$G$2:$G$221, G$1),
    SUMIFS(MRP!$I$2:$I$221, MRP!$B$2:$B$221, $C77, MRP!$G$2:$G$221, G$1),
    SUMIFS(MRP!$J$2:$J$221, MRP!$B$2:$B$221, $C77,  MRP!$G$2:$G$221, G$1),
    SUMIFS(MRP!$K$2:$K$221, MRP!$B$2:$B$221, $C77,  MRP!$G$2:$G$221, G$1),
    SUMIFS(MRP!$L$2:$L$221, MRP!$B$2:$B$221, $C77,  MRP!$G$2:$G$221, G$1)
)*F77</f>
        <v>0</v>
      </c>
      <c r="H77" s="15">
        <f>SUM(
    SUMIFS(MRP!$H$2:$H$221, MRP!$B$2:$B$221, $C77, MRP!$G$2:$G$221, H$1),
    SUMIFS(MRP!$I$2:$I$221, MRP!$B$2:$B$221, $C77, MRP!$G$2:$G$221, H$1),
    SUMIFS(MRP!$J$2:$J$221, MRP!$B$2:$B$221, $C77,  MRP!$G$2:$G$221, H$1),
    SUMIFS(MRP!$K$2:$K$221, MRP!$B$2:$B$221, $C77,  MRP!$G$2:$G$221, H$1),
    SUMIFS(MRP!$L$2:$L$221, MRP!$B$2:$B$221, $C77,  MRP!$G$2:$G$221, H$1)
)*F77</f>
        <v>0</v>
      </c>
      <c r="I77" s="15">
        <f>SUM(
    SUMIFS(MRP!$H$2:$H$221, MRP!$B$2:$B$221, $C77, MRP!$G$2:$G$221, I$1),
    SUMIFS(MRP!$I$2:$I$221, MRP!$B$2:$B$221, $C77, MRP!$G$2:$G$221, I$1),
    SUMIFS(MRP!$J$2:$J$221, MRP!$B$2:$B$221, $C77,  MRP!$G$2:$G$221, I$1),
    SUMIFS(MRP!$K$2:$K$221, MRP!$B$2:$B$221, $C77,  MRP!$G$2:$G$221, I$1),
    SUMIFS(MRP!$L$2:$L$221, MRP!$B$2:$B$221, $C77,  MRP!$G$2:$G$221, I$1)
)*F77</f>
        <v>0</v>
      </c>
      <c r="J77" s="15">
        <f>SUM(
    SUMIFS(MRP!$H$2:$H$221, MRP!$B$2:$B$221, $C77, MRP!$G$2:$G$221, J$1),
    SUMIFS(MRP!$I$2:$I$221, MRP!$B$2:$B$221, $C77, MRP!$G$2:$G$221, J$1),
    SUMIFS(MRP!$J$2:$J$221, MRP!$B$2:$B$221, $C77,  MRP!$G$2:$G$221, J$1),
    SUMIFS(MRP!$K$2:$K$221, MRP!$B$2:$B$221, $C77,  MRP!$G$2:$G$221, J$1),
    SUMIFS(MRP!$L$2:$L$221, MRP!$B$2:$B$221, $C77,  MRP!$G$2:$G$221, J$1)
)*F77</f>
        <v>0</v>
      </c>
      <c r="K77" s="15">
        <f>SUM(
    SUMIFS(MRP!$H$2:$H$221, MRP!$B$2:$B$221, $C77, MRP!$G$2:$G$221, K$1),
    SUMIFS(MRP!$I$2:$I$221, MRP!$B$2:$B$221, $C77, MRP!$G$2:$G$221, K$1),
    SUMIFS(MRP!$J$2:$J$221, MRP!$B$2:$B$221, $C77,  MRP!$G$2:$G$221, K$1),
    SUMIFS(MRP!$K$2:$K$221, MRP!$B$2:$B$221, $C77,  MRP!$G$2:$G$221, K$1),
    SUMIFS(MRP!$L$2:$L$221, MRP!$B$2:$B$221, $C77,  MRP!$G$2:$G$221, K$1)
)*F77</f>
        <v>0</v>
      </c>
      <c r="L77" s="55" t="str">
        <f>TRIM(Tabla3[[#This Row],[CodInternoArti]])</f>
        <v>7790321060978</v>
      </c>
    </row>
    <row r="78" spans="1:12" hidden="1" x14ac:dyDescent="0.35">
      <c r="A78" s="38" t="str">
        <f>IF(ISNUMBER(_xlfn.XMATCH(Tabla3[[#This Row],[CodInternoArti]],'Tabla Articulos'!B:B)),"OK","NO ESTA")</f>
        <v>OK</v>
      </c>
      <c r="B78" s="38" t="str">
        <f>IF(ISNUMBER(_xlfn.XMATCH('Calcular necesidad'!E:E,'Necesidad por familia'!A:A)),"OK","NO ESTA")</f>
        <v>OK</v>
      </c>
      <c r="C78" s="17" t="s">
        <v>339</v>
      </c>
      <c r="D78" s="1" t="s">
        <v>340</v>
      </c>
      <c r="E78" s="1" t="str">
        <f>_xlfn.XLOOKUP(C78,'Tabla Articulos'!B:B,'Tabla Articulos'!D:D)</f>
        <v>ARRANQUE 40X60</v>
      </c>
      <c r="F78" s="1">
        <f>_xlfn.XLOOKUP(C78,'Tabla Articulos'!B:B,'Tabla Articulos'!E:E)</f>
        <v>1</v>
      </c>
      <c r="G78" s="15">
        <f>SUM(
    SUMIFS(MRP!$H$2:$H$221, MRP!$B$2:$B$221, $C78, MRP!$G$2:$G$221, G$1),
    SUMIFS(MRP!$I$2:$I$221, MRP!$B$2:$B$221, $C78, MRP!$G$2:$G$221, G$1),
    SUMIFS(MRP!$J$2:$J$221, MRP!$B$2:$B$221, $C78,  MRP!$G$2:$G$221, G$1),
    SUMIFS(MRP!$K$2:$K$221, MRP!$B$2:$B$221, $C78,  MRP!$G$2:$G$221, G$1),
    SUMIFS(MRP!$L$2:$L$221, MRP!$B$2:$B$221, $C78,  MRP!$G$2:$G$221, G$1)
)*F78</f>
        <v>0</v>
      </c>
      <c r="H78" s="15">
        <f>SUM(
    SUMIFS(MRP!$H$2:$H$221, MRP!$B$2:$B$221, $C78, MRP!$G$2:$G$221, H$1),
    SUMIFS(MRP!$I$2:$I$221, MRP!$B$2:$B$221, $C78, MRP!$G$2:$G$221, H$1),
    SUMIFS(MRP!$J$2:$J$221, MRP!$B$2:$B$221, $C78,  MRP!$G$2:$G$221, H$1),
    SUMIFS(MRP!$K$2:$K$221, MRP!$B$2:$B$221, $C78,  MRP!$G$2:$G$221, H$1),
    SUMIFS(MRP!$L$2:$L$221, MRP!$B$2:$B$221, $C78,  MRP!$G$2:$G$221, H$1)
)*F78</f>
        <v>2</v>
      </c>
      <c r="I78" s="15">
        <f>SUM(
    SUMIFS(MRP!$H$2:$H$221, MRP!$B$2:$B$221, $C78, MRP!$G$2:$G$221, I$1),
    SUMIFS(MRP!$I$2:$I$221, MRP!$B$2:$B$221, $C78, MRP!$G$2:$G$221, I$1),
    SUMIFS(MRP!$J$2:$J$221, MRP!$B$2:$B$221, $C78,  MRP!$G$2:$G$221, I$1),
    SUMIFS(MRP!$K$2:$K$221, MRP!$B$2:$B$221, $C78,  MRP!$G$2:$G$221, I$1),
    SUMIFS(MRP!$L$2:$L$221, MRP!$B$2:$B$221, $C78,  MRP!$G$2:$G$221, I$1)
)*F78</f>
        <v>0</v>
      </c>
      <c r="J78" s="15">
        <f>SUM(
    SUMIFS(MRP!$H$2:$H$221, MRP!$B$2:$B$221, $C78, MRP!$G$2:$G$221, J$1),
    SUMIFS(MRP!$I$2:$I$221, MRP!$B$2:$B$221, $C78, MRP!$G$2:$G$221, J$1),
    SUMIFS(MRP!$J$2:$J$221, MRP!$B$2:$B$221, $C78,  MRP!$G$2:$G$221, J$1),
    SUMIFS(MRP!$K$2:$K$221, MRP!$B$2:$B$221, $C78,  MRP!$G$2:$G$221, J$1),
    SUMIFS(MRP!$L$2:$L$221, MRP!$B$2:$B$221, $C78,  MRP!$G$2:$G$221, J$1)
)*F78</f>
        <v>0</v>
      </c>
      <c r="K78" s="15">
        <f>SUM(
    SUMIFS(MRP!$H$2:$H$221, MRP!$B$2:$B$221, $C78, MRP!$G$2:$G$221, K$1),
    SUMIFS(MRP!$I$2:$I$221, MRP!$B$2:$B$221, $C78, MRP!$G$2:$G$221, K$1),
    SUMIFS(MRP!$J$2:$J$221, MRP!$B$2:$B$221, $C78,  MRP!$G$2:$G$221, K$1),
    SUMIFS(MRP!$K$2:$K$221, MRP!$B$2:$B$221, $C78,  MRP!$G$2:$G$221, K$1),
    SUMIFS(MRP!$L$2:$L$221, MRP!$B$2:$B$221, $C78,  MRP!$G$2:$G$221, K$1)
)*F78</f>
        <v>0</v>
      </c>
      <c r="L78" s="55" t="str">
        <f>TRIM(Tabla3[[#This Row],[CodInternoArti]])</f>
        <v>EMB000055</v>
      </c>
    </row>
    <row r="79" spans="1:12" hidden="1" x14ac:dyDescent="0.35">
      <c r="A79" s="38" t="str">
        <f>IF(ISNUMBER(_xlfn.XMATCH(Tabla3[[#This Row],[CodInternoArti]],'Tabla Articulos'!B:B)),"OK","NO ESTA")</f>
        <v>OK</v>
      </c>
      <c r="B79" s="38" t="str">
        <f>IF(ISNUMBER(_xlfn.XMATCH('Calcular necesidad'!E:E,'Necesidad por familia'!A:A)),"OK","NO ESTA")</f>
        <v>OK</v>
      </c>
      <c r="C79" s="17" t="s">
        <v>581</v>
      </c>
      <c r="D79" s="1" t="s">
        <v>582</v>
      </c>
      <c r="E79" s="1" t="str">
        <f>_xlfn.XLOOKUP(C79,'Tabla Articulos'!B:B,'Tabla Articulos'!D:D)</f>
        <v>VASO PLASTICO 180</v>
      </c>
      <c r="F79" s="1">
        <f>_xlfn.XLOOKUP(C79,'Tabla Articulos'!B:B,'Tabla Articulos'!E:E)</f>
        <v>100</v>
      </c>
      <c r="G79" s="15">
        <f>SUM(
    SUMIFS(MRP!$H$2:$H$221, MRP!$B$2:$B$221, $C79, MRP!$G$2:$G$221, G$1),
    SUMIFS(MRP!$I$2:$I$221, MRP!$B$2:$B$221, $C79, MRP!$G$2:$G$221, G$1),
    SUMIFS(MRP!$J$2:$J$221, MRP!$B$2:$B$221, $C79,  MRP!$G$2:$G$221, G$1),
    SUMIFS(MRP!$K$2:$K$221, MRP!$B$2:$B$221, $C79,  MRP!$G$2:$G$221, G$1),
    SUMIFS(MRP!$L$2:$L$221, MRP!$B$2:$B$221, $C79,  MRP!$G$2:$G$221, G$1)
)*F79</f>
        <v>0</v>
      </c>
      <c r="H79" s="15">
        <f>SUM(
    SUMIFS(MRP!$H$2:$H$221, MRP!$B$2:$B$221, $C79, MRP!$G$2:$G$221, H$1),
    SUMIFS(MRP!$I$2:$I$221, MRP!$B$2:$B$221, $C79, MRP!$G$2:$G$221, H$1),
    SUMIFS(MRP!$J$2:$J$221, MRP!$B$2:$B$221, $C79,  MRP!$G$2:$G$221, H$1),
    SUMIFS(MRP!$K$2:$K$221, MRP!$B$2:$B$221, $C79,  MRP!$G$2:$G$221, H$1),
    SUMIFS(MRP!$L$2:$L$221, MRP!$B$2:$B$221, $C79,  MRP!$G$2:$G$221, H$1)
)*F79</f>
        <v>0</v>
      </c>
      <c r="I79" s="15">
        <f>SUM(
    SUMIFS(MRP!$H$2:$H$221, MRP!$B$2:$B$221, $C79, MRP!$G$2:$G$221, I$1),
    SUMIFS(MRP!$I$2:$I$221, MRP!$B$2:$B$221, $C79, MRP!$G$2:$G$221, I$1),
    SUMIFS(MRP!$J$2:$J$221, MRP!$B$2:$B$221, $C79,  MRP!$G$2:$G$221, I$1),
    SUMIFS(MRP!$K$2:$K$221, MRP!$B$2:$B$221, $C79,  MRP!$G$2:$G$221, I$1),
    SUMIFS(MRP!$L$2:$L$221, MRP!$B$2:$B$221, $C79,  MRP!$G$2:$G$221, I$1)
)*F79</f>
        <v>0</v>
      </c>
      <c r="J79" s="15">
        <f>SUM(
    SUMIFS(MRP!$H$2:$H$221, MRP!$B$2:$B$221, $C79, MRP!$G$2:$G$221, J$1),
    SUMIFS(MRP!$I$2:$I$221, MRP!$B$2:$B$221, $C79, MRP!$G$2:$G$221, J$1),
    SUMIFS(MRP!$J$2:$J$221, MRP!$B$2:$B$221, $C79,  MRP!$G$2:$G$221, J$1),
    SUMIFS(MRP!$K$2:$K$221, MRP!$B$2:$B$221, $C79,  MRP!$G$2:$G$221, J$1),
    SUMIFS(MRP!$L$2:$L$221, MRP!$B$2:$B$221, $C79,  MRP!$G$2:$G$221, J$1)
)*F79</f>
        <v>0</v>
      </c>
      <c r="K79" s="15">
        <f>SUM(
    SUMIFS(MRP!$H$2:$H$221, MRP!$B$2:$B$221, $C79, MRP!$G$2:$G$221, K$1),
    SUMIFS(MRP!$I$2:$I$221, MRP!$B$2:$B$221, $C79, MRP!$G$2:$G$221, K$1),
    SUMIFS(MRP!$J$2:$J$221, MRP!$B$2:$B$221, $C79,  MRP!$G$2:$G$221, K$1),
    SUMIFS(MRP!$K$2:$K$221, MRP!$B$2:$B$221, $C79,  MRP!$G$2:$G$221, K$1),
    SUMIFS(MRP!$L$2:$L$221, MRP!$B$2:$B$221, $C79,  MRP!$G$2:$G$221, K$1)
)*F79</f>
        <v>0</v>
      </c>
      <c r="L79" s="55" t="str">
        <f>TRIM(Tabla3[[#This Row],[CodInternoArti]])</f>
        <v>7790321020905</v>
      </c>
    </row>
    <row r="80" spans="1:12" hidden="1" x14ac:dyDescent="0.35">
      <c r="A80" s="38" t="str">
        <f>IF(ISNUMBER(_xlfn.XMATCH(Tabla3[[#This Row],[CodInternoArti]],'Tabla Articulos'!B:B)),"OK","NO ESTA")</f>
        <v>OK</v>
      </c>
      <c r="B80" s="38" t="str">
        <f>IF(ISNUMBER(_xlfn.XMATCH('Calcular necesidad'!E:E,'Necesidad por familia'!A:A)),"OK","NO ESTA")</f>
        <v>OK</v>
      </c>
      <c r="C80" s="17" t="s">
        <v>583</v>
      </c>
      <c r="D80" s="1" t="s">
        <v>584</v>
      </c>
      <c r="E80" s="1" t="str">
        <f>_xlfn.XLOOKUP(C80,'Tabla Articulos'!B:B,'Tabla Articulos'!D:D)</f>
        <v>PLATO DESCARTABLE</v>
      </c>
      <c r="F80" s="1">
        <f>_xlfn.XLOOKUP(C80,'Tabla Articulos'!B:B,'Tabla Articulos'!E:E)</f>
        <v>1000</v>
      </c>
      <c r="G80" s="15">
        <f>SUM(
    SUMIFS(MRP!$H$2:$H$221, MRP!$B$2:$B$221, $C80, MRP!$G$2:$G$221, G$1),
    SUMIFS(MRP!$I$2:$I$221, MRP!$B$2:$B$221, $C80, MRP!$G$2:$G$221, G$1),
    SUMIFS(MRP!$J$2:$J$221, MRP!$B$2:$B$221, $C80,  MRP!$G$2:$G$221, G$1),
    SUMIFS(MRP!$K$2:$K$221, MRP!$B$2:$B$221, $C80,  MRP!$G$2:$G$221, G$1),
    SUMIFS(MRP!$L$2:$L$221, MRP!$B$2:$B$221, $C80,  MRP!$G$2:$G$221, G$1)
)*F80</f>
        <v>0</v>
      </c>
      <c r="H80" s="15">
        <f>SUM(
    SUMIFS(MRP!$H$2:$H$221, MRP!$B$2:$B$221, $C80, MRP!$G$2:$G$221, H$1),
    SUMIFS(MRP!$I$2:$I$221, MRP!$B$2:$B$221, $C80, MRP!$G$2:$G$221, H$1),
    SUMIFS(MRP!$J$2:$J$221, MRP!$B$2:$B$221, $C80,  MRP!$G$2:$G$221, H$1),
    SUMIFS(MRP!$K$2:$K$221, MRP!$B$2:$B$221, $C80,  MRP!$G$2:$G$221, H$1),
    SUMIFS(MRP!$L$2:$L$221, MRP!$B$2:$B$221, $C80,  MRP!$G$2:$G$221, H$1)
)*F80</f>
        <v>0</v>
      </c>
      <c r="I80" s="15">
        <f>SUM(
    SUMIFS(MRP!$H$2:$H$221, MRP!$B$2:$B$221, $C80, MRP!$G$2:$G$221, I$1),
    SUMIFS(MRP!$I$2:$I$221, MRP!$B$2:$B$221, $C80, MRP!$G$2:$G$221, I$1),
    SUMIFS(MRP!$J$2:$J$221, MRP!$B$2:$B$221, $C80,  MRP!$G$2:$G$221, I$1),
    SUMIFS(MRP!$K$2:$K$221, MRP!$B$2:$B$221, $C80,  MRP!$G$2:$G$221, I$1),
    SUMIFS(MRP!$L$2:$L$221, MRP!$B$2:$B$221, $C80,  MRP!$G$2:$G$221, I$1)
)*F80</f>
        <v>0</v>
      </c>
      <c r="J80" s="15">
        <f>SUM(
    SUMIFS(MRP!$H$2:$H$221, MRP!$B$2:$B$221, $C80, MRP!$G$2:$G$221, J$1),
    SUMIFS(MRP!$I$2:$I$221, MRP!$B$2:$B$221, $C80, MRP!$G$2:$G$221, J$1),
    SUMIFS(MRP!$J$2:$J$221, MRP!$B$2:$B$221, $C80,  MRP!$G$2:$G$221, J$1),
    SUMIFS(MRP!$K$2:$K$221, MRP!$B$2:$B$221, $C80,  MRP!$G$2:$G$221, J$1),
    SUMIFS(MRP!$L$2:$L$221, MRP!$B$2:$B$221, $C80,  MRP!$G$2:$G$221, J$1)
)*F80</f>
        <v>0</v>
      </c>
      <c r="K80" s="15">
        <f>SUM(
    SUMIFS(MRP!$H$2:$H$221, MRP!$B$2:$B$221, $C80, MRP!$G$2:$G$221, K$1),
    SUMIFS(MRP!$I$2:$I$221, MRP!$B$2:$B$221, $C80, MRP!$G$2:$G$221, K$1),
    SUMIFS(MRP!$J$2:$J$221, MRP!$B$2:$B$221, $C80,  MRP!$G$2:$G$221, K$1),
    SUMIFS(MRP!$K$2:$K$221, MRP!$B$2:$B$221, $C80,  MRP!$G$2:$G$221, K$1),
    SUMIFS(MRP!$L$2:$L$221, MRP!$B$2:$B$221, $C80,  MRP!$G$2:$G$221, K$1)
)*F80</f>
        <v>0</v>
      </c>
      <c r="L80" s="55" t="str">
        <f>TRIM(Tabla3[[#This Row],[CodInternoArti]])</f>
        <v>779032060649</v>
      </c>
    </row>
    <row r="81" spans="1:12" hidden="1" x14ac:dyDescent="0.35">
      <c r="A81" s="38" t="str">
        <f>IF(ISNUMBER(_xlfn.XMATCH(Tabla3[[#This Row],[CodInternoArti]],'Tabla Articulos'!B:B)),"OK","NO ESTA")</f>
        <v>OK</v>
      </c>
      <c r="B81" s="38" t="str">
        <f>IF(ISNUMBER(_xlfn.XMATCH('Calcular necesidad'!E:E,'Necesidad por familia'!A:A)),"OK","NO ESTA")</f>
        <v>OK</v>
      </c>
      <c r="C81" s="17" t="s">
        <v>585</v>
      </c>
      <c r="D81" s="1" t="s">
        <v>388</v>
      </c>
      <c r="E81" s="1" t="str">
        <f>_xlfn.XLOOKUP(C81,'Tabla Articulos'!B:B,'Tabla Articulos'!D:D)</f>
        <v>VASO CRISTAL 325</v>
      </c>
      <c r="F81" s="1">
        <f>_xlfn.XLOOKUP(C81,'Tabla Articulos'!B:B,'Tabla Articulos'!E:E)</f>
        <v>860</v>
      </c>
      <c r="G81" s="15">
        <f>SUM(
    SUMIFS(MRP!$H$2:$H$221, MRP!$B$2:$B$221, $C81, MRP!$G$2:$G$221, G$1),
    SUMIFS(MRP!$I$2:$I$221, MRP!$B$2:$B$221, $C81, MRP!$G$2:$G$221, G$1),
    SUMIFS(MRP!$J$2:$J$221, MRP!$B$2:$B$221, $C81,  MRP!$G$2:$G$221, G$1),
    SUMIFS(MRP!$K$2:$K$221, MRP!$B$2:$B$221, $C81,  MRP!$G$2:$G$221, G$1),
    SUMIFS(MRP!$L$2:$L$221, MRP!$B$2:$B$221, $C81,  MRP!$G$2:$G$221, G$1)
)*F81</f>
        <v>0</v>
      </c>
      <c r="H81" s="15">
        <f>SUM(
    SUMIFS(MRP!$H$2:$H$221, MRP!$B$2:$B$221, $C81, MRP!$G$2:$G$221, H$1),
    SUMIFS(MRP!$I$2:$I$221, MRP!$B$2:$B$221, $C81, MRP!$G$2:$G$221, H$1),
    SUMIFS(MRP!$J$2:$J$221, MRP!$B$2:$B$221, $C81,  MRP!$G$2:$G$221, H$1),
    SUMIFS(MRP!$K$2:$K$221, MRP!$B$2:$B$221, $C81,  MRP!$G$2:$G$221, H$1),
    SUMIFS(MRP!$L$2:$L$221, MRP!$B$2:$B$221, $C81,  MRP!$G$2:$G$221, H$1)
)*F81</f>
        <v>1720</v>
      </c>
      <c r="I81" s="15">
        <f>SUM(
    SUMIFS(MRP!$H$2:$H$221, MRP!$B$2:$B$221, $C81, MRP!$G$2:$G$221, I$1),
    SUMIFS(MRP!$I$2:$I$221, MRP!$B$2:$B$221, $C81, MRP!$G$2:$G$221, I$1),
    SUMIFS(MRP!$J$2:$J$221, MRP!$B$2:$B$221, $C81,  MRP!$G$2:$G$221, I$1),
    SUMIFS(MRP!$K$2:$K$221, MRP!$B$2:$B$221, $C81,  MRP!$G$2:$G$221, I$1),
    SUMIFS(MRP!$L$2:$L$221, MRP!$B$2:$B$221, $C81,  MRP!$G$2:$G$221, I$1)
)*F81</f>
        <v>0</v>
      </c>
      <c r="J81" s="15">
        <f>SUM(
    SUMIFS(MRP!$H$2:$H$221, MRP!$B$2:$B$221, $C81, MRP!$G$2:$G$221, J$1),
    SUMIFS(MRP!$I$2:$I$221, MRP!$B$2:$B$221, $C81, MRP!$G$2:$G$221, J$1),
    SUMIFS(MRP!$J$2:$J$221, MRP!$B$2:$B$221, $C81,  MRP!$G$2:$G$221, J$1),
    SUMIFS(MRP!$K$2:$K$221, MRP!$B$2:$B$221, $C81,  MRP!$G$2:$G$221, J$1),
    SUMIFS(MRP!$L$2:$L$221, MRP!$B$2:$B$221, $C81,  MRP!$G$2:$G$221, J$1)
)*F81</f>
        <v>0</v>
      </c>
      <c r="K81" s="15">
        <f>SUM(
    SUMIFS(MRP!$H$2:$H$221, MRP!$B$2:$B$221, $C81, MRP!$G$2:$G$221, K$1),
    SUMIFS(MRP!$I$2:$I$221, MRP!$B$2:$B$221, $C81, MRP!$G$2:$G$221, K$1),
    SUMIFS(MRP!$J$2:$J$221, MRP!$B$2:$B$221, $C81,  MRP!$G$2:$G$221, K$1),
    SUMIFS(MRP!$K$2:$K$221, MRP!$B$2:$B$221, $C81,  MRP!$G$2:$G$221, K$1),
    SUMIFS(MRP!$L$2:$L$221, MRP!$B$2:$B$221, $C81,  MRP!$G$2:$G$221, K$1)
)*F81</f>
        <v>0</v>
      </c>
      <c r="L81" s="55" t="str">
        <f>TRIM(Tabla3[[#This Row],[CodInternoArti]])</f>
        <v>7790321020388</v>
      </c>
    </row>
    <row r="82" spans="1:12" hidden="1" x14ac:dyDescent="0.35">
      <c r="A82" s="38" t="str">
        <f>IF(ISNUMBER(_xlfn.XMATCH(Tabla3[[#This Row],[CodInternoArti]],'Tabla Articulos'!B:B)),"OK","NO ESTA")</f>
        <v>OK</v>
      </c>
      <c r="B82" s="38" t="str">
        <f>IF(ISNUMBER(_xlfn.XMATCH('Calcular necesidad'!E:E,'Necesidad por familia'!A:A)),"OK","NO ESTA")</f>
        <v>OK</v>
      </c>
      <c r="C82" s="17" t="s">
        <v>586</v>
      </c>
      <c r="D82" s="1" t="s">
        <v>346</v>
      </c>
      <c r="E82" s="1" t="str">
        <f>_xlfn.XLOOKUP(C82,'Tabla Articulos'!B:B,'Tabla Articulos'!D:D)</f>
        <v>SERVILLETA C/ LOGO BLUE 33X21.5</v>
      </c>
      <c r="F82" s="1">
        <f>_xlfn.XLOOKUP(C82,'Tabla Articulos'!B:B,'Tabla Articulos'!E:E)</f>
        <v>1000</v>
      </c>
      <c r="G82" s="15">
        <f>SUM(
    SUMIFS(MRP!$H$2:$H$221, MRP!$B$2:$B$221, $C82, MRP!$G$2:$G$221, G$1),
    SUMIFS(MRP!$I$2:$I$221, MRP!$B$2:$B$221, $C82, MRP!$G$2:$G$221, G$1),
    SUMIFS(MRP!$J$2:$J$221, MRP!$B$2:$B$221, $C82,  MRP!$G$2:$G$221, G$1),
    SUMIFS(MRP!$K$2:$K$221, MRP!$B$2:$B$221, $C82,  MRP!$G$2:$G$221, G$1),
    SUMIFS(MRP!$L$2:$L$221, MRP!$B$2:$B$221, $C82,  MRP!$G$2:$G$221, G$1)
)*F82</f>
        <v>0</v>
      </c>
      <c r="H82" s="15">
        <f>SUM(
    SUMIFS(MRP!$H$2:$H$221, MRP!$B$2:$B$221, $C82, MRP!$G$2:$G$221, H$1),
    SUMIFS(MRP!$I$2:$I$221, MRP!$B$2:$B$221, $C82, MRP!$G$2:$G$221, H$1),
    SUMIFS(MRP!$J$2:$J$221, MRP!$B$2:$B$221, $C82,  MRP!$G$2:$G$221, H$1),
    SUMIFS(MRP!$K$2:$K$221, MRP!$B$2:$B$221, $C82,  MRP!$G$2:$G$221, H$1),
    SUMIFS(MRP!$L$2:$L$221, MRP!$B$2:$B$221, $C82,  MRP!$G$2:$G$221, H$1)
)*F82</f>
        <v>37000</v>
      </c>
      <c r="I82" s="15">
        <f>SUM(
    SUMIFS(MRP!$H$2:$H$221, MRP!$B$2:$B$221, $C82, MRP!$G$2:$G$221, I$1),
    SUMIFS(MRP!$I$2:$I$221, MRP!$B$2:$B$221, $C82, MRP!$G$2:$G$221, I$1),
    SUMIFS(MRP!$J$2:$J$221, MRP!$B$2:$B$221, $C82,  MRP!$G$2:$G$221, I$1),
    SUMIFS(MRP!$K$2:$K$221, MRP!$B$2:$B$221, $C82,  MRP!$G$2:$G$221, I$1),
    SUMIFS(MRP!$L$2:$L$221, MRP!$B$2:$B$221, $C82,  MRP!$G$2:$G$221, I$1)
)*F82</f>
        <v>0</v>
      </c>
      <c r="J82" s="15">
        <f>SUM(
    SUMIFS(MRP!$H$2:$H$221, MRP!$B$2:$B$221, $C82, MRP!$G$2:$G$221, J$1),
    SUMIFS(MRP!$I$2:$I$221, MRP!$B$2:$B$221, $C82, MRP!$G$2:$G$221, J$1),
    SUMIFS(MRP!$J$2:$J$221, MRP!$B$2:$B$221, $C82,  MRP!$G$2:$G$221, J$1),
    SUMIFS(MRP!$K$2:$K$221, MRP!$B$2:$B$221, $C82,  MRP!$G$2:$G$221, J$1),
    SUMIFS(MRP!$L$2:$L$221, MRP!$B$2:$B$221, $C82,  MRP!$G$2:$G$221, J$1)
)*F82</f>
        <v>0</v>
      </c>
      <c r="K82" s="15">
        <f>SUM(
    SUMIFS(MRP!$H$2:$H$221, MRP!$B$2:$B$221, $C82, MRP!$G$2:$G$221, K$1),
    SUMIFS(MRP!$I$2:$I$221, MRP!$B$2:$B$221, $C82, MRP!$G$2:$G$221, K$1),
    SUMIFS(MRP!$J$2:$J$221, MRP!$B$2:$B$221, $C82,  MRP!$G$2:$G$221, K$1),
    SUMIFS(MRP!$K$2:$K$221, MRP!$B$2:$B$221, $C82,  MRP!$G$2:$G$221, K$1),
    SUMIFS(MRP!$L$2:$L$221, MRP!$B$2:$B$221, $C82,  MRP!$G$2:$G$221, K$1)
)*F82</f>
        <v>0</v>
      </c>
      <c r="L82" s="55" t="str">
        <f>TRIM(Tabla3[[#This Row],[CodInternoArti]])</f>
        <v>7790321020529</v>
      </c>
    </row>
    <row r="83" spans="1:12" hidden="1" x14ac:dyDescent="0.35">
      <c r="A83" s="38" t="str">
        <f>IF(ISNUMBER(_xlfn.XMATCH(Tabla3[[#This Row],[CodInternoArti]],'Tabla Articulos'!B:B)),"OK","NO ESTA")</f>
        <v>OK</v>
      </c>
      <c r="B83" s="38" t="str">
        <f>IF(ISNUMBER(_xlfn.XMATCH('Calcular necesidad'!E:E,'Necesidad por familia'!A:A)),"OK","NO ESTA")</f>
        <v>OK</v>
      </c>
      <c r="C83" s="17" t="s">
        <v>587</v>
      </c>
      <c r="D83" s="1" t="s">
        <v>398</v>
      </c>
      <c r="E83" s="1" t="str">
        <f>_xlfn.XLOOKUP(C83,'Tabla Articulos'!B:B,'Tabla Articulos'!D:D)</f>
        <v>ANTORCHITAS</v>
      </c>
      <c r="F83" s="1">
        <f>_xlfn.XLOOKUP(C83,'Tabla Articulos'!B:B,'Tabla Articulos'!E:E)</f>
        <v>24</v>
      </c>
      <c r="G83" s="15">
        <f>SUM(
    SUMIFS(MRP!$H$2:$H$221, MRP!$B$2:$B$221, $C83, MRP!$G$2:$G$221, G$1),
    SUMIFS(MRP!$I$2:$I$221, MRP!$B$2:$B$221, $C83, MRP!$G$2:$G$221, G$1),
    SUMIFS(MRP!$J$2:$J$221, MRP!$B$2:$B$221, $C83,  MRP!$G$2:$G$221, G$1),
    SUMIFS(MRP!$K$2:$K$221, MRP!$B$2:$B$221, $C83,  MRP!$G$2:$G$221, G$1),
    SUMIFS(MRP!$L$2:$L$221, MRP!$B$2:$B$221, $C83,  MRP!$G$2:$G$221, G$1)
)*F83</f>
        <v>0</v>
      </c>
      <c r="H83" s="15">
        <f>SUM(
    SUMIFS(MRP!$H$2:$H$221, MRP!$B$2:$B$221, $C83, MRP!$G$2:$G$221, H$1),
    SUMIFS(MRP!$I$2:$I$221, MRP!$B$2:$B$221, $C83, MRP!$G$2:$G$221, H$1),
    SUMIFS(MRP!$J$2:$J$221, MRP!$B$2:$B$221, $C83,  MRP!$G$2:$G$221, H$1),
    SUMIFS(MRP!$K$2:$K$221, MRP!$B$2:$B$221, $C83,  MRP!$G$2:$G$221, H$1),
    SUMIFS(MRP!$L$2:$L$221, MRP!$B$2:$B$221, $C83,  MRP!$G$2:$G$221, H$1)
)*F83</f>
        <v>144</v>
      </c>
      <c r="I83" s="15">
        <f>SUM(
    SUMIFS(MRP!$H$2:$H$221, MRP!$B$2:$B$221, $C83, MRP!$G$2:$G$221, I$1),
    SUMIFS(MRP!$I$2:$I$221, MRP!$B$2:$B$221, $C83, MRP!$G$2:$G$221, I$1),
    SUMIFS(MRP!$J$2:$J$221, MRP!$B$2:$B$221, $C83,  MRP!$G$2:$G$221, I$1),
    SUMIFS(MRP!$K$2:$K$221, MRP!$B$2:$B$221, $C83,  MRP!$G$2:$G$221, I$1),
    SUMIFS(MRP!$L$2:$L$221, MRP!$B$2:$B$221, $C83,  MRP!$G$2:$G$221, I$1)
)*F83</f>
        <v>0</v>
      </c>
      <c r="J83" s="15">
        <f>SUM(
    SUMIFS(MRP!$H$2:$H$221, MRP!$B$2:$B$221, $C83, MRP!$G$2:$G$221, J$1),
    SUMIFS(MRP!$I$2:$I$221, MRP!$B$2:$B$221, $C83, MRP!$G$2:$G$221, J$1),
    SUMIFS(MRP!$J$2:$J$221, MRP!$B$2:$B$221, $C83,  MRP!$G$2:$G$221, J$1),
    SUMIFS(MRP!$K$2:$K$221, MRP!$B$2:$B$221, $C83,  MRP!$G$2:$G$221, J$1),
    SUMIFS(MRP!$L$2:$L$221, MRP!$B$2:$B$221, $C83,  MRP!$G$2:$G$221, J$1)
)*F83</f>
        <v>0</v>
      </c>
      <c r="K83" s="15">
        <f>SUM(
    SUMIFS(MRP!$H$2:$H$221, MRP!$B$2:$B$221, $C83, MRP!$G$2:$G$221, K$1),
    SUMIFS(MRP!$I$2:$I$221, MRP!$B$2:$B$221, $C83, MRP!$G$2:$G$221, K$1),
    SUMIFS(MRP!$J$2:$J$221, MRP!$B$2:$B$221, $C83,  MRP!$G$2:$G$221, K$1),
    SUMIFS(MRP!$K$2:$K$221, MRP!$B$2:$B$221, $C83,  MRP!$G$2:$G$221, K$1),
    SUMIFS(MRP!$L$2:$L$221, MRP!$B$2:$B$221, $C83,  MRP!$G$2:$G$221, K$1)
)*F83</f>
        <v>0</v>
      </c>
      <c r="L83" s="55" t="str">
        <f>TRIM(Tabla3[[#This Row],[CodInternoArti]])</f>
        <v>7797390190505</v>
      </c>
    </row>
    <row r="84" spans="1:12" hidden="1" x14ac:dyDescent="0.35">
      <c r="A84" s="38" t="str">
        <f>IF(ISNUMBER(_xlfn.XMATCH(Tabla3[[#This Row],[CodInternoArti]],'Tabla Articulos'!B:B)),"OK","NO ESTA")</f>
        <v>OK</v>
      </c>
      <c r="B84" s="38" t="str">
        <f>IF(ISNUMBER(_xlfn.XMATCH('Calcular necesidad'!E:E,'Necesidad por familia'!A:A)),"OK","NO ESTA")</f>
        <v>OK</v>
      </c>
      <c r="C84" s="17" t="s">
        <v>588</v>
      </c>
      <c r="D84" s="1" t="s">
        <v>359</v>
      </c>
      <c r="E84" s="1" t="str">
        <f>_xlfn.XLOOKUP(C84,'Tabla Articulos'!B:B,'Tabla Articulos'!D:D)</f>
        <v>TAPA VASO TERMICO 300</v>
      </c>
      <c r="F84" s="1">
        <f>_xlfn.XLOOKUP(C84,'Tabla Articulos'!B:B,'Tabla Articulos'!E:E)</f>
        <v>100</v>
      </c>
      <c r="G84" s="15">
        <f>SUM(
    SUMIFS(MRP!$H$2:$H$221, MRP!$B$2:$B$221, $C84, MRP!$G$2:$G$221, G$1),
    SUMIFS(MRP!$I$2:$I$221, MRP!$B$2:$B$221, $C84, MRP!$G$2:$G$221, G$1),
    SUMIFS(MRP!$J$2:$J$221, MRP!$B$2:$B$221, $C84,  MRP!$G$2:$G$221, G$1),
    SUMIFS(MRP!$K$2:$K$221, MRP!$B$2:$B$221, $C84,  MRP!$G$2:$G$221, G$1),
    SUMIFS(MRP!$L$2:$L$221, MRP!$B$2:$B$221, $C84,  MRP!$G$2:$G$221, G$1)
)*F84</f>
        <v>0</v>
      </c>
      <c r="H84" s="15">
        <f>SUM(
    SUMIFS(MRP!$H$2:$H$221, MRP!$B$2:$B$221, $C84, MRP!$G$2:$G$221, H$1),
    SUMIFS(MRP!$I$2:$I$221, MRP!$B$2:$B$221, $C84, MRP!$G$2:$G$221, H$1),
    SUMIFS(MRP!$J$2:$J$221, MRP!$B$2:$B$221, $C84,  MRP!$G$2:$G$221, H$1),
    SUMIFS(MRP!$K$2:$K$221, MRP!$B$2:$B$221, $C84,  MRP!$G$2:$G$221, H$1),
    SUMIFS(MRP!$L$2:$L$221, MRP!$B$2:$B$221, $C84,  MRP!$G$2:$G$221, H$1)
)*F84</f>
        <v>2500</v>
      </c>
      <c r="I84" s="15">
        <f>SUM(
    SUMIFS(MRP!$H$2:$H$221, MRP!$B$2:$B$221, $C84, MRP!$G$2:$G$221, I$1),
    SUMIFS(MRP!$I$2:$I$221, MRP!$B$2:$B$221, $C84, MRP!$G$2:$G$221, I$1),
    SUMIFS(MRP!$J$2:$J$221, MRP!$B$2:$B$221, $C84,  MRP!$G$2:$G$221, I$1),
    SUMIFS(MRP!$K$2:$K$221, MRP!$B$2:$B$221, $C84,  MRP!$G$2:$G$221, I$1),
    SUMIFS(MRP!$L$2:$L$221, MRP!$B$2:$B$221, $C84,  MRP!$G$2:$G$221, I$1)
)*F84</f>
        <v>0</v>
      </c>
      <c r="J84" s="15">
        <f>SUM(
    SUMIFS(MRP!$H$2:$H$221, MRP!$B$2:$B$221, $C84, MRP!$G$2:$G$221, J$1),
    SUMIFS(MRP!$I$2:$I$221, MRP!$B$2:$B$221, $C84, MRP!$G$2:$G$221, J$1),
    SUMIFS(MRP!$J$2:$J$221, MRP!$B$2:$B$221, $C84,  MRP!$G$2:$G$221, J$1),
    SUMIFS(MRP!$K$2:$K$221, MRP!$B$2:$B$221, $C84,  MRP!$G$2:$G$221, J$1),
    SUMIFS(MRP!$L$2:$L$221, MRP!$B$2:$B$221, $C84,  MRP!$G$2:$G$221, J$1)
)*F84</f>
        <v>0</v>
      </c>
      <c r="K84" s="15">
        <f>SUM(
    SUMIFS(MRP!$H$2:$H$221, MRP!$B$2:$B$221, $C84, MRP!$G$2:$G$221, K$1),
    SUMIFS(MRP!$I$2:$I$221, MRP!$B$2:$B$221, $C84, MRP!$G$2:$G$221, K$1),
    SUMIFS(MRP!$J$2:$J$221, MRP!$B$2:$B$221, $C84,  MRP!$G$2:$G$221, K$1),
    SUMIFS(MRP!$K$2:$K$221, MRP!$B$2:$B$221, $C84,  MRP!$G$2:$G$221, K$1),
    SUMIFS(MRP!$L$2:$L$221, MRP!$B$2:$B$221, $C84,  MRP!$G$2:$G$221, K$1)
)*F84</f>
        <v>0</v>
      </c>
      <c r="L84" s="55" t="str">
        <f>TRIM(Tabla3[[#This Row],[CodInternoArti]])</f>
        <v>7790321020328</v>
      </c>
    </row>
    <row r="85" spans="1:12" hidden="1" x14ac:dyDescent="0.35">
      <c r="A85" s="38" t="str">
        <f>IF(ISNUMBER(_xlfn.XMATCH(Tabla3[[#This Row],[CodInternoArti]],'Tabla Articulos'!B:B)),"OK","NO ESTA")</f>
        <v>OK</v>
      </c>
      <c r="B85" s="38" t="str">
        <f>IF(ISNUMBER(_xlfn.XMATCH('Calcular necesidad'!E:E,'Necesidad por familia'!A:A)),"OK","NO ESTA")</f>
        <v>OK</v>
      </c>
      <c r="C85" s="17" t="s">
        <v>589</v>
      </c>
      <c r="D85" s="1" t="s">
        <v>378</v>
      </c>
      <c r="E85" s="1" t="str">
        <f>_xlfn.XLOOKUP(C85,'Tabla Articulos'!B:B,'Tabla Articulos'!D:D)</f>
        <v>ESCARBADIENTE</v>
      </c>
      <c r="F85" s="1">
        <f>_xlfn.XLOOKUP(C85,'Tabla Articulos'!B:B,'Tabla Articulos'!E:E)</f>
        <v>1000</v>
      </c>
      <c r="G85" s="15">
        <f>SUM(
    SUMIFS(MRP!$H$2:$H$221, MRP!$B$2:$B$221, $C85, MRP!$G$2:$G$221, G$1),
    SUMIFS(MRP!$I$2:$I$221, MRP!$B$2:$B$221, $C85, MRP!$G$2:$G$221, G$1),
    SUMIFS(MRP!$J$2:$J$221, MRP!$B$2:$B$221, $C85,  MRP!$G$2:$G$221, G$1),
    SUMIFS(MRP!$K$2:$K$221, MRP!$B$2:$B$221, $C85,  MRP!$G$2:$G$221, G$1),
    SUMIFS(MRP!$L$2:$L$221, MRP!$B$2:$B$221, $C85,  MRP!$G$2:$G$221, G$1)
)*F85</f>
        <v>0</v>
      </c>
      <c r="H85" s="15">
        <f>SUM(
    SUMIFS(MRP!$H$2:$H$221, MRP!$B$2:$B$221, $C85, MRP!$G$2:$G$221, H$1),
    SUMIFS(MRP!$I$2:$I$221, MRP!$B$2:$B$221, $C85, MRP!$G$2:$G$221, H$1),
    SUMIFS(MRP!$J$2:$J$221, MRP!$B$2:$B$221, $C85,  MRP!$G$2:$G$221, H$1),
    SUMIFS(MRP!$K$2:$K$221, MRP!$B$2:$B$221, $C85,  MRP!$G$2:$G$221, H$1),
    SUMIFS(MRP!$L$2:$L$221, MRP!$B$2:$B$221, $C85,  MRP!$G$2:$G$221, H$1)
)*F85</f>
        <v>1000</v>
      </c>
      <c r="I85" s="15">
        <f>SUM(
    SUMIFS(MRP!$H$2:$H$221, MRP!$B$2:$B$221, $C85, MRP!$G$2:$G$221, I$1),
    SUMIFS(MRP!$I$2:$I$221, MRP!$B$2:$B$221, $C85, MRP!$G$2:$G$221, I$1),
    SUMIFS(MRP!$J$2:$J$221, MRP!$B$2:$B$221, $C85,  MRP!$G$2:$G$221, I$1),
    SUMIFS(MRP!$K$2:$K$221, MRP!$B$2:$B$221, $C85,  MRP!$G$2:$G$221, I$1),
    SUMIFS(MRP!$L$2:$L$221, MRP!$B$2:$B$221, $C85,  MRP!$G$2:$G$221, I$1)
)*F85</f>
        <v>0</v>
      </c>
      <c r="J85" s="15">
        <f>SUM(
    SUMIFS(MRP!$H$2:$H$221, MRP!$B$2:$B$221, $C85, MRP!$G$2:$G$221, J$1),
    SUMIFS(MRP!$I$2:$I$221, MRP!$B$2:$B$221, $C85, MRP!$G$2:$G$221, J$1),
    SUMIFS(MRP!$J$2:$J$221, MRP!$B$2:$B$221, $C85,  MRP!$G$2:$G$221, J$1),
    SUMIFS(MRP!$K$2:$K$221, MRP!$B$2:$B$221, $C85,  MRP!$G$2:$G$221, J$1),
    SUMIFS(MRP!$L$2:$L$221, MRP!$B$2:$B$221, $C85,  MRP!$G$2:$G$221, J$1)
)*F85</f>
        <v>0</v>
      </c>
      <c r="K85" s="15">
        <f>SUM(
    SUMIFS(MRP!$H$2:$H$221, MRP!$B$2:$B$221, $C85, MRP!$G$2:$G$221, K$1),
    SUMIFS(MRP!$I$2:$I$221, MRP!$B$2:$B$221, $C85, MRP!$G$2:$G$221, K$1),
    SUMIFS(MRP!$J$2:$J$221, MRP!$B$2:$B$221, $C85,  MRP!$G$2:$G$221, K$1),
    SUMIFS(MRP!$K$2:$K$221, MRP!$B$2:$B$221, $C85,  MRP!$G$2:$G$221, K$1),
    SUMIFS(MRP!$L$2:$L$221, MRP!$B$2:$B$221, $C85,  MRP!$G$2:$G$221, K$1)
)*F85</f>
        <v>0</v>
      </c>
      <c r="L85" s="55" t="str">
        <f>TRIM(Tabla3[[#This Row],[CodInternoArti]])</f>
        <v>7790122000219</v>
      </c>
    </row>
    <row r="86" spans="1:12" hidden="1" x14ac:dyDescent="0.35">
      <c r="A86" s="38" t="str">
        <f>IF(ISNUMBER(_xlfn.XMATCH(Tabla3[[#This Row],[CodInternoArti]],'Tabla Articulos'!B:B)),"OK","NO ESTA")</f>
        <v>OK</v>
      </c>
      <c r="B86" s="38" t="str">
        <f>IF(ISNUMBER(_xlfn.XMATCH('Calcular necesidad'!E:E,'Necesidad por familia'!A:A)),"OK","NO ESTA")</f>
        <v>OK</v>
      </c>
      <c r="C86" s="17" t="s">
        <v>590</v>
      </c>
      <c r="D86" s="1" t="s">
        <v>379</v>
      </c>
      <c r="E86" s="1" t="str">
        <f>_xlfn.XLOOKUP(C86,'Tabla Articulos'!B:B,'Tabla Articulos'!D:D)</f>
        <v>VASO PLASTICO 180</v>
      </c>
      <c r="F86" s="1">
        <f>_xlfn.XLOOKUP(C86,'Tabla Articulos'!B:B,'Tabla Articulos'!E:E)</f>
        <v>100</v>
      </c>
      <c r="G86" s="15">
        <f>SUM(
    SUMIFS(MRP!$H$2:$H$221, MRP!$B$2:$B$221, $C86, MRP!$G$2:$G$221, G$1),
    SUMIFS(MRP!$I$2:$I$221, MRP!$B$2:$B$221, $C86, MRP!$G$2:$G$221, G$1),
    SUMIFS(MRP!$J$2:$J$221, MRP!$B$2:$B$221, $C86,  MRP!$G$2:$G$221, G$1),
    SUMIFS(MRP!$K$2:$K$221, MRP!$B$2:$B$221, $C86,  MRP!$G$2:$G$221, G$1),
    SUMIFS(MRP!$L$2:$L$221, MRP!$B$2:$B$221, $C86,  MRP!$G$2:$G$221, G$1)
)*F86</f>
        <v>0</v>
      </c>
      <c r="H86" s="15">
        <f>SUM(
    SUMIFS(MRP!$H$2:$H$221, MRP!$B$2:$B$221, $C86, MRP!$G$2:$G$221, H$1),
    SUMIFS(MRP!$I$2:$I$221, MRP!$B$2:$B$221, $C86, MRP!$G$2:$G$221, H$1),
    SUMIFS(MRP!$J$2:$J$221, MRP!$B$2:$B$221, $C86,  MRP!$G$2:$G$221, H$1),
    SUMIFS(MRP!$K$2:$K$221, MRP!$B$2:$B$221, $C86,  MRP!$G$2:$G$221, H$1),
    SUMIFS(MRP!$L$2:$L$221, MRP!$B$2:$B$221, $C86,  MRP!$G$2:$G$221, H$1)
)*F86</f>
        <v>30400</v>
      </c>
      <c r="I86" s="15">
        <f>SUM(
    SUMIFS(MRP!$H$2:$H$221, MRP!$B$2:$B$221, $C86, MRP!$G$2:$G$221, I$1),
    SUMIFS(MRP!$I$2:$I$221, MRP!$B$2:$B$221, $C86, MRP!$G$2:$G$221, I$1),
    SUMIFS(MRP!$J$2:$J$221, MRP!$B$2:$B$221, $C86,  MRP!$G$2:$G$221, I$1),
    SUMIFS(MRP!$K$2:$K$221, MRP!$B$2:$B$221, $C86,  MRP!$G$2:$G$221, I$1),
    SUMIFS(MRP!$L$2:$L$221, MRP!$B$2:$B$221, $C86,  MRP!$G$2:$G$221, I$1)
)*F86</f>
        <v>0</v>
      </c>
      <c r="J86" s="15">
        <f>SUM(
    SUMIFS(MRP!$H$2:$H$221, MRP!$B$2:$B$221, $C86, MRP!$G$2:$G$221, J$1),
    SUMIFS(MRP!$I$2:$I$221, MRP!$B$2:$B$221, $C86, MRP!$G$2:$G$221, J$1),
    SUMIFS(MRP!$J$2:$J$221, MRP!$B$2:$B$221, $C86,  MRP!$G$2:$G$221, J$1),
    SUMIFS(MRP!$K$2:$K$221, MRP!$B$2:$B$221, $C86,  MRP!$G$2:$G$221, J$1),
    SUMIFS(MRP!$L$2:$L$221, MRP!$B$2:$B$221, $C86,  MRP!$G$2:$G$221, J$1)
)*F86</f>
        <v>0</v>
      </c>
      <c r="K86" s="15">
        <f>SUM(
    SUMIFS(MRP!$H$2:$H$221, MRP!$B$2:$B$221, $C86, MRP!$G$2:$G$221, K$1),
    SUMIFS(MRP!$I$2:$I$221, MRP!$B$2:$B$221, $C86, MRP!$G$2:$G$221, K$1),
    SUMIFS(MRP!$J$2:$J$221, MRP!$B$2:$B$221, $C86,  MRP!$G$2:$G$221, K$1),
    SUMIFS(MRP!$K$2:$K$221, MRP!$B$2:$B$221, $C86,  MRP!$G$2:$G$221, K$1),
    SUMIFS(MRP!$L$2:$L$221, MRP!$B$2:$B$221, $C86,  MRP!$G$2:$G$221, K$1)
)*F86</f>
        <v>0</v>
      </c>
      <c r="L86" s="55" t="str">
        <f>TRIM(Tabla3[[#This Row],[CodInternoArti]])</f>
        <v>7790321020408</v>
      </c>
    </row>
    <row r="87" spans="1:12" hidden="1" x14ac:dyDescent="0.35">
      <c r="A87" s="38" t="str">
        <f>IF(ISNUMBER(_xlfn.XMATCH(Tabla3[[#This Row],[CodInternoArti]],'Tabla Articulos'!B:B)),"OK","NO ESTA")</f>
        <v>OK</v>
      </c>
      <c r="B87" s="38" t="str">
        <f>IF(ISNUMBER(_xlfn.XMATCH('Calcular necesidad'!E:E,'Necesidad por familia'!A:A)),"OK","NO ESTA")</f>
        <v>OK</v>
      </c>
      <c r="C87" s="17" t="s">
        <v>591</v>
      </c>
      <c r="D87" s="1" t="s">
        <v>592</v>
      </c>
      <c r="E87" s="1" t="str">
        <f>_xlfn.XLOOKUP(C87,'Tabla Articulos'!B:B,'Tabla Articulos'!D:D)</f>
        <v>CAJA PIZZA CHICA</v>
      </c>
      <c r="F87" s="1">
        <f>_xlfn.XLOOKUP(C87,'Tabla Articulos'!B:B,'Tabla Articulos'!E:E)</f>
        <v>100</v>
      </c>
      <c r="G87" s="15">
        <f>SUM(
    SUMIFS(MRP!$H$2:$H$221, MRP!$B$2:$B$221, $C87, MRP!$G$2:$G$221, G$1),
    SUMIFS(MRP!$I$2:$I$221, MRP!$B$2:$B$221, $C87, MRP!$G$2:$G$221, G$1),
    SUMIFS(MRP!$J$2:$J$221, MRP!$B$2:$B$221, $C87,  MRP!$G$2:$G$221, G$1),
    SUMIFS(MRP!$K$2:$K$221, MRP!$B$2:$B$221, $C87,  MRP!$G$2:$G$221, G$1),
    SUMIFS(MRP!$L$2:$L$221, MRP!$B$2:$B$221, $C87,  MRP!$G$2:$G$221, G$1)
)*F87</f>
        <v>0</v>
      </c>
      <c r="H87" s="15">
        <f>SUM(
    SUMIFS(MRP!$H$2:$H$221, MRP!$B$2:$B$221, $C87, MRP!$G$2:$G$221, H$1),
    SUMIFS(MRP!$I$2:$I$221, MRP!$B$2:$B$221, $C87, MRP!$G$2:$G$221, H$1),
    SUMIFS(MRP!$J$2:$J$221, MRP!$B$2:$B$221, $C87,  MRP!$G$2:$G$221, H$1),
    SUMIFS(MRP!$K$2:$K$221, MRP!$B$2:$B$221, $C87,  MRP!$G$2:$G$221, H$1),
    SUMIFS(MRP!$L$2:$L$221, MRP!$B$2:$B$221, $C87,  MRP!$G$2:$G$221, H$1)
)*F87</f>
        <v>0</v>
      </c>
      <c r="I87" s="15">
        <f>SUM(
    SUMIFS(MRP!$H$2:$H$221, MRP!$B$2:$B$221, $C87, MRP!$G$2:$G$221, I$1),
    SUMIFS(MRP!$I$2:$I$221, MRP!$B$2:$B$221, $C87, MRP!$G$2:$G$221, I$1),
    SUMIFS(MRP!$J$2:$J$221, MRP!$B$2:$B$221, $C87,  MRP!$G$2:$G$221, I$1),
    SUMIFS(MRP!$K$2:$K$221, MRP!$B$2:$B$221, $C87,  MRP!$G$2:$G$221, I$1),
    SUMIFS(MRP!$L$2:$L$221, MRP!$B$2:$B$221, $C87,  MRP!$G$2:$G$221, I$1)
)*F87</f>
        <v>0</v>
      </c>
      <c r="J87" s="15">
        <f>SUM(
    SUMIFS(MRP!$H$2:$H$221, MRP!$B$2:$B$221, $C87, MRP!$G$2:$G$221, J$1),
    SUMIFS(MRP!$I$2:$I$221, MRP!$B$2:$B$221, $C87, MRP!$G$2:$G$221, J$1),
    SUMIFS(MRP!$J$2:$J$221, MRP!$B$2:$B$221, $C87,  MRP!$G$2:$G$221, J$1),
    SUMIFS(MRP!$K$2:$K$221, MRP!$B$2:$B$221, $C87,  MRP!$G$2:$G$221, J$1),
    SUMIFS(MRP!$L$2:$L$221, MRP!$B$2:$B$221, $C87,  MRP!$G$2:$G$221, J$1)
)*F87</f>
        <v>0</v>
      </c>
      <c r="K87" s="15">
        <f>SUM(
    SUMIFS(MRP!$H$2:$H$221, MRP!$B$2:$B$221, $C87, MRP!$G$2:$G$221, K$1),
    SUMIFS(MRP!$I$2:$I$221, MRP!$B$2:$B$221, $C87, MRP!$G$2:$G$221, K$1),
    SUMIFS(MRP!$J$2:$J$221, MRP!$B$2:$B$221, $C87,  MRP!$G$2:$G$221, K$1),
    SUMIFS(MRP!$K$2:$K$221, MRP!$B$2:$B$221, $C87,  MRP!$G$2:$G$221, K$1),
    SUMIFS(MRP!$L$2:$L$221, MRP!$B$2:$B$221, $C87,  MRP!$G$2:$G$221, K$1)
)*F87</f>
        <v>0</v>
      </c>
      <c r="L87" s="55" t="str">
        <f>TRIM(Tabla3[[#This Row],[CodInternoArti]])</f>
        <v>EMB000130</v>
      </c>
    </row>
    <row r="88" spans="1:12" hidden="1" x14ac:dyDescent="0.35">
      <c r="A88" s="38" t="str">
        <f>IF(ISNUMBER(_xlfn.XMATCH(Tabla3[[#This Row],[CodInternoArti]],'Tabla Articulos'!B:B)),"OK","NO ESTA")</f>
        <v>OK</v>
      </c>
      <c r="B88" s="38" t="str">
        <f>IF(ISNUMBER(_xlfn.XMATCH('Calcular necesidad'!E:E,'Necesidad por familia'!A:A)),"OK","NO ESTA")</f>
        <v>OK</v>
      </c>
      <c r="C88" s="17" t="s">
        <v>593</v>
      </c>
      <c r="D88" s="1" t="s">
        <v>385</v>
      </c>
      <c r="E88" s="1" t="str">
        <f>_xlfn.XLOOKUP(C88,'Tabla Articulos'!B:B,'Tabla Articulos'!D:D)</f>
        <v>BOLSA CUBIERTO 10X25</v>
      </c>
      <c r="F88" s="1">
        <f>_xlfn.XLOOKUP(C88,'Tabla Articulos'!B:B,'Tabla Articulos'!E:E)</f>
        <v>100</v>
      </c>
      <c r="G88" s="15">
        <f>SUM(
    SUMIFS(MRP!$H$2:$H$221, MRP!$B$2:$B$221, $C88, MRP!$G$2:$G$221, G$1),
    SUMIFS(MRP!$I$2:$I$221, MRP!$B$2:$B$221, $C88, MRP!$G$2:$G$221, G$1),
    SUMIFS(MRP!$J$2:$J$221, MRP!$B$2:$B$221, $C88,  MRP!$G$2:$G$221, G$1),
    SUMIFS(MRP!$K$2:$K$221, MRP!$B$2:$B$221, $C88,  MRP!$G$2:$G$221, G$1),
    SUMIFS(MRP!$L$2:$L$221, MRP!$B$2:$B$221, $C88,  MRP!$G$2:$G$221, G$1)
)*F88</f>
        <v>0</v>
      </c>
      <c r="H88" s="15">
        <f>SUM(
    SUMIFS(MRP!$H$2:$H$221, MRP!$B$2:$B$221, $C88, MRP!$G$2:$G$221, H$1),
    SUMIFS(MRP!$I$2:$I$221, MRP!$B$2:$B$221, $C88, MRP!$G$2:$G$221, H$1),
    SUMIFS(MRP!$J$2:$J$221, MRP!$B$2:$B$221, $C88,  MRP!$G$2:$G$221, H$1),
    SUMIFS(MRP!$K$2:$K$221, MRP!$B$2:$B$221, $C88,  MRP!$G$2:$G$221, H$1),
    SUMIFS(MRP!$L$2:$L$221, MRP!$B$2:$B$221, $C88,  MRP!$G$2:$G$221, H$1)
)*F88</f>
        <v>19300</v>
      </c>
      <c r="I88" s="15">
        <f>SUM(
    SUMIFS(MRP!$H$2:$H$221, MRP!$B$2:$B$221, $C88, MRP!$G$2:$G$221, I$1),
    SUMIFS(MRP!$I$2:$I$221, MRP!$B$2:$B$221, $C88, MRP!$G$2:$G$221, I$1),
    SUMIFS(MRP!$J$2:$J$221, MRP!$B$2:$B$221, $C88,  MRP!$G$2:$G$221, I$1),
    SUMIFS(MRP!$K$2:$K$221, MRP!$B$2:$B$221, $C88,  MRP!$G$2:$G$221, I$1),
    SUMIFS(MRP!$L$2:$L$221, MRP!$B$2:$B$221, $C88,  MRP!$G$2:$G$221, I$1)
)*F88</f>
        <v>0</v>
      </c>
      <c r="J88" s="15">
        <f>SUM(
    SUMIFS(MRP!$H$2:$H$221, MRP!$B$2:$B$221, $C88, MRP!$G$2:$G$221, J$1),
    SUMIFS(MRP!$I$2:$I$221, MRP!$B$2:$B$221, $C88, MRP!$G$2:$G$221, J$1),
    SUMIFS(MRP!$J$2:$J$221, MRP!$B$2:$B$221, $C88,  MRP!$G$2:$G$221, J$1),
    SUMIFS(MRP!$K$2:$K$221, MRP!$B$2:$B$221, $C88,  MRP!$G$2:$G$221, J$1),
    SUMIFS(MRP!$L$2:$L$221, MRP!$B$2:$B$221, $C88,  MRP!$G$2:$G$221, J$1)
)*F88</f>
        <v>0</v>
      </c>
      <c r="K88" s="15">
        <f>SUM(
    SUMIFS(MRP!$H$2:$H$221, MRP!$B$2:$B$221, $C88, MRP!$G$2:$G$221, K$1),
    SUMIFS(MRP!$I$2:$I$221, MRP!$B$2:$B$221, $C88, MRP!$G$2:$G$221, K$1),
    SUMIFS(MRP!$J$2:$J$221, MRP!$B$2:$B$221, $C88,  MRP!$G$2:$G$221, K$1),
    SUMIFS(MRP!$K$2:$K$221, MRP!$B$2:$B$221, $C88,  MRP!$G$2:$G$221, K$1),
    SUMIFS(MRP!$L$2:$L$221, MRP!$B$2:$B$221, $C88,  MRP!$G$2:$G$221, K$1)
)*F88</f>
        <v>0</v>
      </c>
      <c r="L88" s="55" t="str">
        <f>TRIM(Tabla3[[#This Row],[CodInternoArti]])</f>
        <v>7790321020992</v>
      </c>
    </row>
    <row r="89" spans="1:12" hidden="1" x14ac:dyDescent="0.35">
      <c r="A89" s="38" t="str">
        <f>IF(ISNUMBER(_xlfn.XMATCH(Tabla3[[#This Row],[CodInternoArti]],'Tabla Articulos'!B:B)),"OK","NO ESTA")</f>
        <v>OK</v>
      </c>
      <c r="B89" s="38" t="str">
        <f>IF(ISNUMBER(_xlfn.XMATCH('Calcular necesidad'!E:E,'Necesidad por familia'!A:A)),"OK","NO ESTA")</f>
        <v>OK</v>
      </c>
      <c r="C89" s="17" t="s">
        <v>594</v>
      </c>
      <c r="D89" s="1" t="s">
        <v>595</v>
      </c>
      <c r="E89" s="1" t="str">
        <f>_xlfn.XLOOKUP(C89,'Tabla Articulos'!B:B,'Tabla Articulos'!D:D)</f>
        <v>SERVILLETA 30X30 S/LOGO</v>
      </c>
      <c r="F89" s="1">
        <f>_xlfn.XLOOKUP(C89,'Tabla Articulos'!B:B,'Tabla Articulos'!E:E)</f>
        <v>1000</v>
      </c>
      <c r="G89" s="15">
        <f>SUM(
    SUMIFS(MRP!$H$2:$H$221, MRP!$B$2:$B$221, $C89, MRP!$G$2:$G$221, G$1),
    SUMIFS(MRP!$I$2:$I$221, MRP!$B$2:$B$221, $C89, MRP!$G$2:$G$221, G$1),
    SUMIFS(MRP!$J$2:$J$221, MRP!$B$2:$B$221, $C89,  MRP!$G$2:$G$221, G$1),
    SUMIFS(MRP!$K$2:$K$221, MRP!$B$2:$B$221, $C89,  MRP!$G$2:$G$221, G$1),
    SUMIFS(MRP!$L$2:$L$221, MRP!$B$2:$B$221, $C89,  MRP!$G$2:$G$221, G$1)
)*F89</f>
        <v>0</v>
      </c>
      <c r="H89" s="15">
        <f>SUM(
    SUMIFS(MRP!$H$2:$H$221, MRP!$B$2:$B$221, $C89, MRP!$G$2:$G$221, H$1),
    SUMIFS(MRP!$I$2:$I$221, MRP!$B$2:$B$221, $C89, MRP!$G$2:$G$221, H$1),
    SUMIFS(MRP!$J$2:$J$221, MRP!$B$2:$B$221, $C89,  MRP!$G$2:$G$221, H$1),
    SUMIFS(MRP!$K$2:$K$221, MRP!$B$2:$B$221, $C89,  MRP!$G$2:$G$221, H$1),
    SUMIFS(MRP!$L$2:$L$221, MRP!$B$2:$B$221, $C89,  MRP!$G$2:$G$221, H$1)
)*F89</f>
        <v>10000</v>
      </c>
      <c r="I89" s="15">
        <f>SUM(
    SUMIFS(MRP!$H$2:$H$221, MRP!$B$2:$B$221, $C89, MRP!$G$2:$G$221, I$1),
    SUMIFS(MRP!$I$2:$I$221, MRP!$B$2:$B$221, $C89, MRP!$G$2:$G$221, I$1),
    SUMIFS(MRP!$J$2:$J$221, MRP!$B$2:$B$221, $C89,  MRP!$G$2:$G$221, I$1),
    SUMIFS(MRP!$K$2:$K$221, MRP!$B$2:$B$221, $C89,  MRP!$G$2:$G$221, I$1),
    SUMIFS(MRP!$L$2:$L$221, MRP!$B$2:$B$221, $C89,  MRP!$G$2:$G$221, I$1)
)*F89</f>
        <v>0</v>
      </c>
      <c r="J89" s="15">
        <f>SUM(
    SUMIFS(MRP!$H$2:$H$221, MRP!$B$2:$B$221, $C89, MRP!$G$2:$G$221, J$1),
    SUMIFS(MRP!$I$2:$I$221, MRP!$B$2:$B$221, $C89, MRP!$G$2:$G$221, J$1),
    SUMIFS(MRP!$J$2:$J$221, MRP!$B$2:$B$221, $C89,  MRP!$G$2:$G$221, J$1),
    SUMIFS(MRP!$K$2:$K$221, MRP!$B$2:$B$221, $C89,  MRP!$G$2:$G$221, J$1),
    SUMIFS(MRP!$L$2:$L$221, MRP!$B$2:$B$221, $C89,  MRP!$G$2:$G$221, J$1)
)*F89</f>
        <v>0</v>
      </c>
      <c r="K89" s="15">
        <f>SUM(
    SUMIFS(MRP!$H$2:$H$221, MRP!$B$2:$B$221, $C89, MRP!$G$2:$G$221, K$1),
    SUMIFS(MRP!$I$2:$I$221, MRP!$B$2:$B$221, $C89, MRP!$G$2:$G$221, K$1),
    SUMIFS(MRP!$J$2:$J$221, MRP!$B$2:$B$221, $C89,  MRP!$G$2:$G$221, K$1),
    SUMIFS(MRP!$K$2:$K$221, MRP!$B$2:$B$221, $C89,  MRP!$G$2:$G$221, K$1),
    SUMIFS(MRP!$L$2:$L$221, MRP!$B$2:$B$221, $C89,  MRP!$G$2:$G$221, K$1)
)*F89</f>
        <v>0</v>
      </c>
      <c r="L89" s="55" t="str">
        <f>TRIM(Tabla3[[#This Row],[CodInternoArti]])</f>
        <v>7790321020535</v>
      </c>
    </row>
    <row r="90" spans="1:12" hidden="1" x14ac:dyDescent="0.35">
      <c r="A90" s="38" t="str">
        <f>IF(ISNUMBER(_xlfn.XMATCH(Tabla3[[#This Row],[CodInternoArti]],'Tabla Articulos'!B:B)),"OK","NO ESTA")</f>
        <v>OK</v>
      </c>
      <c r="B90" s="38" t="str">
        <f>IF(ISNUMBER(_xlfn.XMATCH('Calcular necesidad'!E:E,'Necesidad por familia'!A:A)),"OK","NO ESTA")</f>
        <v>OK</v>
      </c>
      <c r="C90" s="17" t="s">
        <v>596</v>
      </c>
      <c r="D90" s="1" t="s">
        <v>411</v>
      </c>
      <c r="E90" s="1" t="str">
        <f>_xlfn.XLOOKUP(C90,'Tabla Articulos'!B:B,'Tabla Articulos'!D:D)</f>
        <v>CAMISETA 50X60 REF</v>
      </c>
      <c r="F90" s="1">
        <f>_xlfn.XLOOKUP(C90,'Tabla Articulos'!B:B,'Tabla Articulos'!E:E)</f>
        <v>100</v>
      </c>
      <c r="G90" s="15">
        <f>SUM(
    SUMIFS(MRP!$H$2:$H$221, MRP!$B$2:$B$221, $C90, MRP!$G$2:$G$221, G$1),
    SUMIFS(MRP!$I$2:$I$221, MRP!$B$2:$B$221, $C90, MRP!$G$2:$G$221, G$1),
    SUMIFS(MRP!$J$2:$J$221, MRP!$B$2:$B$221, $C90,  MRP!$G$2:$G$221, G$1),
    SUMIFS(MRP!$K$2:$K$221, MRP!$B$2:$B$221, $C90,  MRP!$G$2:$G$221, G$1),
    SUMIFS(MRP!$L$2:$L$221, MRP!$B$2:$B$221, $C90,  MRP!$G$2:$G$221, G$1)
)*F90</f>
        <v>0</v>
      </c>
      <c r="H90" s="15">
        <f>SUM(
    SUMIFS(MRP!$H$2:$H$221, MRP!$B$2:$B$221, $C90, MRP!$G$2:$G$221, H$1),
    SUMIFS(MRP!$I$2:$I$221, MRP!$B$2:$B$221, $C90, MRP!$G$2:$G$221, H$1),
    SUMIFS(MRP!$J$2:$J$221, MRP!$B$2:$B$221, $C90,  MRP!$G$2:$G$221, H$1),
    SUMIFS(MRP!$K$2:$K$221, MRP!$B$2:$B$221, $C90,  MRP!$G$2:$G$221, H$1),
    SUMIFS(MRP!$L$2:$L$221, MRP!$B$2:$B$221, $C90,  MRP!$G$2:$G$221, H$1)
)*F90</f>
        <v>4000</v>
      </c>
      <c r="I90" s="15">
        <f>SUM(
    SUMIFS(MRP!$H$2:$H$221, MRP!$B$2:$B$221, $C90, MRP!$G$2:$G$221, I$1),
    SUMIFS(MRP!$I$2:$I$221, MRP!$B$2:$B$221, $C90, MRP!$G$2:$G$221, I$1),
    SUMIFS(MRP!$J$2:$J$221, MRP!$B$2:$B$221, $C90,  MRP!$G$2:$G$221, I$1),
    SUMIFS(MRP!$K$2:$K$221, MRP!$B$2:$B$221, $C90,  MRP!$G$2:$G$221, I$1),
    SUMIFS(MRP!$L$2:$L$221, MRP!$B$2:$B$221, $C90,  MRP!$G$2:$G$221, I$1)
)*F90</f>
        <v>0</v>
      </c>
      <c r="J90" s="15">
        <f>SUM(
    SUMIFS(MRP!$H$2:$H$221, MRP!$B$2:$B$221, $C90, MRP!$G$2:$G$221, J$1),
    SUMIFS(MRP!$I$2:$I$221, MRP!$B$2:$B$221, $C90, MRP!$G$2:$G$221, J$1),
    SUMIFS(MRP!$J$2:$J$221, MRP!$B$2:$B$221, $C90,  MRP!$G$2:$G$221, J$1),
    SUMIFS(MRP!$K$2:$K$221, MRP!$B$2:$B$221, $C90,  MRP!$G$2:$G$221, J$1),
    SUMIFS(MRP!$L$2:$L$221, MRP!$B$2:$B$221, $C90,  MRP!$G$2:$G$221, J$1)
)*F90</f>
        <v>0</v>
      </c>
      <c r="K90" s="15">
        <f>SUM(
    SUMIFS(MRP!$H$2:$H$221, MRP!$B$2:$B$221, $C90, MRP!$G$2:$G$221, K$1),
    SUMIFS(MRP!$I$2:$I$221, MRP!$B$2:$B$221, $C90, MRP!$G$2:$G$221, K$1),
    SUMIFS(MRP!$J$2:$J$221, MRP!$B$2:$B$221, $C90,  MRP!$G$2:$G$221, K$1),
    SUMIFS(MRP!$K$2:$K$221, MRP!$B$2:$B$221, $C90,  MRP!$G$2:$G$221, K$1),
    SUMIFS(MRP!$L$2:$L$221, MRP!$B$2:$B$221, $C90,  MRP!$G$2:$G$221, K$1)
)*F90</f>
        <v>0</v>
      </c>
      <c r="L90" s="55" t="str">
        <f>TRIM(Tabla3[[#This Row],[CodInternoArti]])</f>
        <v>7791165719767</v>
      </c>
    </row>
    <row r="91" spans="1:12" hidden="1" x14ac:dyDescent="0.35">
      <c r="A91" s="38" t="str">
        <f>IF(ISNUMBER(_xlfn.XMATCH(Tabla3[[#This Row],[CodInternoArti]],'Tabla Articulos'!B:B)),"OK","NO ESTA")</f>
        <v>OK</v>
      </c>
      <c r="B91" s="38" t="str">
        <f>IF(ISNUMBER(_xlfn.XMATCH('Calcular necesidad'!E:E,'Necesidad por familia'!A:A)),"OK","NO ESTA")</f>
        <v>OK</v>
      </c>
      <c r="C91" s="17" t="s">
        <v>597</v>
      </c>
      <c r="D91" s="1" t="s">
        <v>368</v>
      </c>
      <c r="E91" s="1" t="str">
        <f>_xlfn.XLOOKUP(C91,'Tabla Articulos'!B:B,'Tabla Articulos'!D:D)</f>
        <v>PAPEL HAMBURGUESA</v>
      </c>
      <c r="F91" s="1">
        <f>_xlfn.XLOOKUP(C91,'Tabla Articulos'!B:B,'Tabla Articulos'!E:E)</f>
        <v>116</v>
      </c>
      <c r="G91" s="15">
        <f>SUM(
    SUMIFS(MRP!$H$2:$H$221, MRP!$B$2:$B$221, $C91, MRP!$G$2:$G$221, G$1),
    SUMIFS(MRP!$I$2:$I$221, MRP!$B$2:$B$221, $C91, MRP!$G$2:$G$221, G$1),
    SUMIFS(MRP!$J$2:$J$221, MRP!$B$2:$B$221, $C91,  MRP!$G$2:$G$221, G$1),
    SUMIFS(MRP!$K$2:$K$221, MRP!$B$2:$B$221, $C91,  MRP!$G$2:$G$221, G$1),
    SUMIFS(MRP!$L$2:$L$221, MRP!$B$2:$B$221, $C91,  MRP!$G$2:$G$221, G$1)
)*F91</f>
        <v>0</v>
      </c>
      <c r="H91" s="15">
        <f>SUM(
    SUMIFS(MRP!$H$2:$H$221, MRP!$B$2:$B$221, $C91, MRP!$G$2:$G$221, H$1),
    SUMIFS(MRP!$I$2:$I$221, MRP!$B$2:$B$221, $C91, MRP!$G$2:$G$221, H$1),
    SUMIFS(MRP!$J$2:$J$221, MRP!$B$2:$B$221, $C91,  MRP!$G$2:$G$221, H$1),
    SUMIFS(MRP!$K$2:$K$221, MRP!$B$2:$B$221, $C91,  MRP!$G$2:$G$221, H$1),
    SUMIFS(MRP!$L$2:$L$221, MRP!$B$2:$B$221, $C91,  MRP!$G$2:$G$221, H$1)
)*F91</f>
        <v>464</v>
      </c>
      <c r="I91" s="15">
        <f>SUM(
    SUMIFS(MRP!$H$2:$H$221, MRP!$B$2:$B$221, $C91, MRP!$G$2:$G$221, I$1),
    SUMIFS(MRP!$I$2:$I$221, MRP!$B$2:$B$221, $C91, MRP!$G$2:$G$221, I$1),
    SUMIFS(MRP!$J$2:$J$221, MRP!$B$2:$B$221, $C91,  MRP!$G$2:$G$221, I$1),
    SUMIFS(MRP!$K$2:$K$221, MRP!$B$2:$B$221, $C91,  MRP!$G$2:$G$221, I$1),
    SUMIFS(MRP!$L$2:$L$221, MRP!$B$2:$B$221, $C91,  MRP!$G$2:$G$221, I$1)
)*F91</f>
        <v>0</v>
      </c>
      <c r="J91" s="15">
        <f>SUM(
    SUMIFS(MRP!$H$2:$H$221, MRP!$B$2:$B$221, $C91, MRP!$G$2:$G$221, J$1),
    SUMIFS(MRP!$I$2:$I$221, MRP!$B$2:$B$221, $C91, MRP!$G$2:$G$221, J$1),
    SUMIFS(MRP!$J$2:$J$221, MRP!$B$2:$B$221, $C91,  MRP!$G$2:$G$221, J$1),
    SUMIFS(MRP!$K$2:$K$221, MRP!$B$2:$B$221, $C91,  MRP!$G$2:$G$221, J$1),
    SUMIFS(MRP!$L$2:$L$221, MRP!$B$2:$B$221, $C91,  MRP!$G$2:$G$221, J$1)
)*F91</f>
        <v>0</v>
      </c>
      <c r="K91" s="15">
        <f>SUM(
    SUMIFS(MRP!$H$2:$H$221, MRP!$B$2:$B$221, $C91, MRP!$G$2:$G$221, K$1),
    SUMIFS(MRP!$I$2:$I$221, MRP!$B$2:$B$221, $C91, MRP!$G$2:$G$221, K$1),
    SUMIFS(MRP!$J$2:$J$221, MRP!$B$2:$B$221, $C91,  MRP!$G$2:$G$221, K$1),
    SUMIFS(MRP!$K$2:$K$221, MRP!$B$2:$B$221, $C91,  MRP!$G$2:$G$221, K$1),
    SUMIFS(MRP!$L$2:$L$221, MRP!$B$2:$B$221, $C91,  MRP!$G$2:$G$221, K$1)
)*F91</f>
        <v>0</v>
      </c>
      <c r="L91" s="55" t="str">
        <f>TRIM(Tabla3[[#This Row],[CodInternoArti]])</f>
        <v>7798188651181</v>
      </c>
    </row>
    <row r="92" spans="1:12" hidden="1" x14ac:dyDescent="0.35">
      <c r="A92" s="38" t="str">
        <f>IF(ISNUMBER(_xlfn.XMATCH(Tabla3[[#This Row],[CodInternoArti]],'Tabla Articulos'!B:B)),"OK","NO ESTA")</f>
        <v>OK</v>
      </c>
      <c r="B92" s="38" t="str">
        <f>IF(ISNUMBER(_xlfn.XMATCH('Calcular necesidad'!E:E,'Necesidad por familia'!A:A)),"OK","NO ESTA")</f>
        <v>OK</v>
      </c>
      <c r="C92" s="17" t="s">
        <v>428</v>
      </c>
      <c r="D92" s="1" t="s">
        <v>429</v>
      </c>
      <c r="E92" s="1" t="str">
        <f>_xlfn.XLOOKUP(C92,'Tabla Articulos'!B:B,'Tabla Articulos'!D:D)</f>
        <v>TAPA VASO TERMICO 300</v>
      </c>
      <c r="F92" s="1">
        <f>_xlfn.XLOOKUP(C92,'Tabla Articulos'!B:B,'Tabla Articulos'!E:E)</f>
        <v>50</v>
      </c>
      <c r="G92" s="15">
        <f>SUM(
    SUMIFS(MRP!$H$2:$H$221, MRP!$B$2:$B$221, $C92, MRP!$G$2:$G$221, G$1),
    SUMIFS(MRP!$I$2:$I$221, MRP!$B$2:$B$221, $C92, MRP!$G$2:$G$221, G$1),
    SUMIFS(MRP!$J$2:$J$221, MRP!$B$2:$B$221, $C92,  MRP!$G$2:$G$221, G$1),
    SUMIFS(MRP!$K$2:$K$221, MRP!$B$2:$B$221, $C92,  MRP!$G$2:$G$221, G$1),
    SUMIFS(MRP!$L$2:$L$221, MRP!$B$2:$B$221, $C92,  MRP!$G$2:$G$221, G$1)
)*F92</f>
        <v>0</v>
      </c>
      <c r="H92" s="15">
        <f>SUM(
    SUMIFS(MRP!$H$2:$H$221, MRP!$B$2:$B$221, $C92, MRP!$G$2:$G$221, H$1),
    SUMIFS(MRP!$I$2:$I$221, MRP!$B$2:$B$221, $C92, MRP!$G$2:$G$221, H$1),
    SUMIFS(MRP!$J$2:$J$221, MRP!$B$2:$B$221, $C92,  MRP!$G$2:$G$221, H$1),
    SUMIFS(MRP!$K$2:$K$221, MRP!$B$2:$B$221, $C92,  MRP!$G$2:$G$221, H$1),
    SUMIFS(MRP!$L$2:$L$221, MRP!$B$2:$B$221, $C92,  MRP!$G$2:$G$221, H$1)
)*F92</f>
        <v>150</v>
      </c>
      <c r="I92" s="15">
        <f>SUM(
    SUMIFS(MRP!$H$2:$H$221, MRP!$B$2:$B$221, $C92, MRP!$G$2:$G$221, I$1),
    SUMIFS(MRP!$I$2:$I$221, MRP!$B$2:$B$221, $C92, MRP!$G$2:$G$221, I$1),
    SUMIFS(MRP!$J$2:$J$221, MRP!$B$2:$B$221, $C92,  MRP!$G$2:$G$221, I$1),
    SUMIFS(MRP!$K$2:$K$221, MRP!$B$2:$B$221, $C92,  MRP!$G$2:$G$221, I$1),
    SUMIFS(MRP!$L$2:$L$221, MRP!$B$2:$B$221, $C92,  MRP!$G$2:$G$221, I$1)
)*F92</f>
        <v>0</v>
      </c>
      <c r="J92" s="15">
        <f>SUM(
    SUMIFS(MRP!$H$2:$H$221, MRP!$B$2:$B$221, $C92, MRP!$G$2:$G$221, J$1),
    SUMIFS(MRP!$I$2:$I$221, MRP!$B$2:$B$221, $C92, MRP!$G$2:$G$221, J$1),
    SUMIFS(MRP!$J$2:$J$221, MRP!$B$2:$B$221, $C92,  MRP!$G$2:$G$221, J$1),
    SUMIFS(MRP!$K$2:$K$221, MRP!$B$2:$B$221, $C92,  MRP!$G$2:$G$221, J$1),
    SUMIFS(MRP!$L$2:$L$221, MRP!$B$2:$B$221, $C92,  MRP!$G$2:$G$221, J$1)
)*F92</f>
        <v>0</v>
      </c>
      <c r="K92" s="15">
        <f>SUM(
    SUMIFS(MRP!$H$2:$H$221, MRP!$B$2:$B$221, $C92, MRP!$G$2:$G$221, K$1),
    SUMIFS(MRP!$I$2:$I$221, MRP!$B$2:$B$221, $C92, MRP!$G$2:$G$221, K$1),
    SUMIFS(MRP!$J$2:$J$221, MRP!$B$2:$B$221, $C92,  MRP!$G$2:$G$221, K$1),
    SUMIFS(MRP!$K$2:$K$221, MRP!$B$2:$B$221, $C92,  MRP!$G$2:$G$221, K$1),
    SUMIFS(MRP!$L$2:$L$221, MRP!$B$2:$B$221, $C92,  MRP!$G$2:$G$221, K$1)
)*F92</f>
        <v>0</v>
      </c>
      <c r="L92" s="55" t="str">
        <f>TRIM(Tabla3[[#This Row],[CodInternoArti]])</f>
        <v>BAZ00012</v>
      </c>
    </row>
    <row r="93" spans="1:12" hidden="1" x14ac:dyDescent="0.35">
      <c r="A93" s="38" t="str">
        <f>IF(ISNUMBER(_xlfn.XMATCH(Tabla3[[#This Row],[CodInternoArti]],'Tabla Articulos'!B:B)),"OK","NO ESTA")</f>
        <v>OK</v>
      </c>
      <c r="B93" s="38" t="str">
        <f>IF(ISNUMBER(_xlfn.XMATCH('Calcular necesidad'!E:E,'Necesidad por familia'!A:A)),"OK","NO ESTA")</f>
        <v>OK</v>
      </c>
      <c r="C93" s="17" t="s">
        <v>598</v>
      </c>
      <c r="D93" s="1" t="s">
        <v>370</v>
      </c>
      <c r="E93" s="1" t="str">
        <f>_xlfn.XLOOKUP(C93,'Tabla Articulos'!B:B,'Tabla Articulos'!D:D)</f>
        <v>BANDEJA 103</v>
      </c>
      <c r="F93" s="1">
        <f>_xlfn.XLOOKUP(C93,'Tabla Articulos'!B:B,'Tabla Articulos'!E:E)</f>
        <v>100</v>
      </c>
      <c r="G93" s="15">
        <f>SUM(
    SUMIFS(MRP!$H$2:$H$221, MRP!$B$2:$B$221, $C93, MRP!$G$2:$G$221, G$1),
    SUMIFS(MRP!$I$2:$I$221, MRP!$B$2:$B$221, $C93, MRP!$G$2:$G$221, G$1),
    SUMIFS(MRP!$J$2:$J$221, MRP!$B$2:$B$221, $C93,  MRP!$G$2:$G$221, G$1),
    SUMIFS(MRP!$K$2:$K$221, MRP!$B$2:$B$221, $C93,  MRP!$G$2:$G$221, G$1),
    SUMIFS(MRP!$L$2:$L$221, MRP!$B$2:$B$221, $C93,  MRP!$G$2:$G$221, G$1)
)*F93</f>
        <v>0</v>
      </c>
      <c r="H93" s="15">
        <f>SUM(
    SUMIFS(MRP!$H$2:$H$221, MRP!$B$2:$B$221, $C93, MRP!$G$2:$G$221, H$1),
    SUMIFS(MRP!$I$2:$I$221, MRP!$B$2:$B$221, $C93, MRP!$G$2:$G$221, H$1),
    SUMIFS(MRP!$J$2:$J$221, MRP!$B$2:$B$221, $C93,  MRP!$G$2:$G$221, H$1),
    SUMIFS(MRP!$K$2:$K$221, MRP!$B$2:$B$221, $C93,  MRP!$G$2:$G$221, H$1),
    SUMIFS(MRP!$L$2:$L$221, MRP!$B$2:$B$221, $C93,  MRP!$G$2:$G$221, H$1)
)*F93</f>
        <v>300</v>
      </c>
      <c r="I93" s="15">
        <f>SUM(
    SUMIFS(MRP!$H$2:$H$221, MRP!$B$2:$B$221, $C93, MRP!$G$2:$G$221, I$1),
    SUMIFS(MRP!$I$2:$I$221, MRP!$B$2:$B$221, $C93, MRP!$G$2:$G$221, I$1),
    SUMIFS(MRP!$J$2:$J$221, MRP!$B$2:$B$221, $C93,  MRP!$G$2:$G$221, I$1),
    SUMIFS(MRP!$K$2:$K$221, MRP!$B$2:$B$221, $C93,  MRP!$G$2:$G$221, I$1),
    SUMIFS(MRP!$L$2:$L$221, MRP!$B$2:$B$221, $C93,  MRP!$G$2:$G$221, I$1)
)*F93</f>
        <v>0</v>
      </c>
      <c r="J93" s="15">
        <f>SUM(
    SUMIFS(MRP!$H$2:$H$221, MRP!$B$2:$B$221, $C93, MRP!$G$2:$G$221, J$1),
    SUMIFS(MRP!$I$2:$I$221, MRP!$B$2:$B$221, $C93, MRP!$G$2:$G$221, J$1),
    SUMIFS(MRP!$J$2:$J$221, MRP!$B$2:$B$221, $C93,  MRP!$G$2:$G$221, J$1),
    SUMIFS(MRP!$K$2:$K$221, MRP!$B$2:$B$221, $C93,  MRP!$G$2:$G$221, J$1),
    SUMIFS(MRP!$L$2:$L$221, MRP!$B$2:$B$221, $C93,  MRP!$G$2:$G$221, J$1)
)*F93</f>
        <v>0</v>
      </c>
      <c r="K93" s="15">
        <f>SUM(
    SUMIFS(MRP!$H$2:$H$221, MRP!$B$2:$B$221, $C93, MRP!$G$2:$G$221, K$1),
    SUMIFS(MRP!$I$2:$I$221, MRP!$B$2:$B$221, $C93, MRP!$G$2:$G$221, K$1),
    SUMIFS(MRP!$J$2:$J$221, MRP!$B$2:$B$221, $C93,  MRP!$G$2:$G$221, K$1),
    SUMIFS(MRP!$K$2:$K$221, MRP!$B$2:$B$221, $C93,  MRP!$G$2:$G$221, K$1),
    SUMIFS(MRP!$L$2:$L$221, MRP!$B$2:$B$221, $C93,  MRP!$G$2:$G$221, K$1)
)*F93</f>
        <v>0</v>
      </c>
      <c r="L93" s="55" t="str">
        <f>TRIM(Tabla3[[#This Row],[CodInternoArti]])</f>
        <v>7790321020291</v>
      </c>
    </row>
    <row r="94" spans="1:12" hidden="1" x14ac:dyDescent="0.35">
      <c r="A94" s="38" t="str">
        <f>IF(ISNUMBER(_xlfn.XMATCH(Tabla3[[#This Row],[CodInternoArti]],'Tabla Articulos'!B:B)),"OK","NO ESTA")</f>
        <v>OK</v>
      </c>
      <c r="B94" s="38" t="str">
        <f>IF(ISNUMBER(_xlfn.XMATCH('Calcular necesidad'!E:E,'Necesidad por familia'!A:A)),"OK","NO ESTA")</f>
        <v>OK</v>
      </c>
      <c r="C94" s="17" t="s">
        <v>599</v>
      </c>
      <c r="D94" s="1" t="s">
        <v>402</v>
      </c>
      <c r="E94" s="1" t="str">
        <f>_xlfn.XLOOKUP(C94,'Tabla Articulos'!B:B,'Tabla Articulos'!D:D)</f>
        <v>TAPA DOMO</v>
      </c>
      <c r="F94" s="1">
        <f>_xlfn.XLOOKUP(C94,'Tabla Articulos'!B:B,'Tabla Articulos'!E:E)</f>
        <v>800</v>
      </c>
      <c r="G94" s="15">
        <f>SUM(
    SUMIFS(MRP!$H$2:$H$221, MRP!$B$2:$B$221, $C94, MRP!$G$2:$G$221, G$1),
    SUMIFS(MRP!$I$2:$I$221, MRP!$B$2:$B$221, $C94, MRP!$G$2:$G$221, G$1),
    SUMIFS(MRP!$J$2:$J$221, MRP!$B$2:$B$221, $C94,  MRP!$G$2:$G$221, G$1),
    SUMIFS(MRP!$K$2:$K$221, MRP!$B$2:$B$221, $C94,  MRP!$G$2:$G$221, G$1),
    SUMIFS(MRP!$L$2:$L$221, MRP!$B$2:$B$221, $C94,  MRP!$G$2:$G$221, G$1)
)*F94</f>
        <v>0</v>
      </c>
      <c r="H94" s="15">
        <f>SUM(
    SUMIFS(MRP!$H$2:$H$221, MRP!$B$2:$B$221, $C94, MRP!$G$2:$G$221, H$1),
    SUMIFS(MRP!$I$2:$I$221, MRP!$B$2:$B$221, $C94, MRP!$G$2:$G$221, H$1),
    SUMIFS(MRP!$J$2:$J$221, MRP!$B$2:$B$221, $C94,  MRP!$G$2:$G$221, H$1),
    SUMIFS(MRP!$K$2:$K$221, MRP!$B$2:$B$221, $C94,  MRP!$G$2:$G$221, H$1),
    SUMIFS(MRP!$L$2:$L$221, MRP!$B$2:$B$221, $C94,  MRP!$G$2:$G$221, H$1)
)*F94</f>
        <v>6400</v>
      </c>
      <c r="I94" s="15">
        <f>SUM(
    SUMIFS(MRP!$H$2:$H$221, MRP!$B$2:$B$221, $C94, MRP!$G$2:$G$221, I$1),
    SUMIFS(MRP!$I$2:$I$221, MRP!$B$2:$B$221, $C94, MRP!$G$2:$G$221, I$1),
    SUMIFS(MRP!$J$2:$J$221, MRP!$B$2:$B$221, $C94,  MRP!$G$2:$G$221, I$1),
    SUMIFS(MRP!$K$2:$K$221, MRP!$B$2:$B$221, $C94,  MRP!$G$2:$G$221, I$1),
    SUMIFS(MRP!$L$2:$L$221, MRP!$B$2:$B$221, $C94,  MRP!$G$2:$G$221, I$1)
)*F94</f>
        <v>0</v>
      </c>
      <c r="J94" s="15">
        <f>SUM(
    SUMIFS(MRP!$H$2:$H$221, MRP!$B$2:$B$221, $C94, MRP!$G$2:$G$221, J$1),
    SUMIFS(MRP!$I$2:$I$221, MRP!$B$2:$B$221, $C94, MRP!$G$2:$G$221, J$1),
    SUMIFS(MRP!$J$2:$J$221, MRP!$B$2:$B$221, $C94,  MRP!$G$2:$G$221, J$1),
    SUMIFS(MRP!$K$2:$K$221, MRP!$B$2:$B$221, $C94,  MRP!$G$2:$G$221, J$1),
    SUMIFS(MRP!$L$2:$L$221, MRP!$B$2:$B$221, $C94,  MRP!$G$2:$G$221, J$1)
)*F94</f>
        <v>0</v>
      </c>
      <c r="K94" s="15">
        <f>SUM(
    SUMIFS(MRP!$H$2:$H$221, MRP!$B$2:$B$221, $C94, MRP!$G$2:$G$221, K$1),
    SUMIFS(MRP!$I$2:$I$221, MRP!$B$2:$B$221, $C94, MRP!$G$2:$G$221, K$1),
    SUMIFS(MRP!$J$2:$J$221, MRP!$B$2:$B$221, $C94,  MRP!$G$2:$G$221, K$1),
    SUMIFS(MRP!$K$2:$K$221, MRP!$B$2:$B$221, $C94,  MRP!$G$2:$G$221, K$1),
    SUMIFS(MRP!$L$2:$L$221, MRP!$B$2:$B$221, $C94,  MRP!$G$2:$G$221, K$1)
)*F94</f>
        <v>0</v>
      </c>
      <c r="L94" s="55" t="str">
        <f>TRIM(Tabla3[[#This Row],[CodInternoArti]])</f>
        <v>7790321020390</v>
      </c>
    </row>
    <row r="95" spans="1:12" hidden="1" x14ac:dyDescent="0.35">
      <c r="A95" s="38" t="str">
        <f>IF(ISNUMBER(_xlfn.XMATCH(Tabla3[[#This Row],[CodInternoArti]],'Tabla Articulos'!B:B)),"OK","NO ESTA")</f>
        <v>OK</v>
      </c>
      <c r="B95" s="38" t="str">
        <f>IF(ISNUMBER(_xlfn.XMATCH('Calcular necesidad'!E:E,'Necesidad por familia'!A:A)),"OK","NO ESTA")</f>
        <v>OK</v>
      </c>
      <c r="C95" s="17" t="s">
        <v>600</v>
      </c>
      <c r="D95" s="1" t="s">
        <v>515</v>
      </c>
      <c r="E95" s="1" t="str">
        <f>_xlfn.XLOOKUP(C95,'Tabla Articulos'!B:B,'Tabla Articulos'!D:D)</f>
        <v>TAPA 103</v>
      </c>
      <c r="F95" s="1">
        <f>_xlfn.XLOOKUP(C95,'Tabla Articulos'!B:B,'Tabla Articulos'!E:E)</f>
        <v>50</v>
      </c>
      <c r="G95" s="15">
        <f>SUM(
    SUMIFS(MRP!$H$2:$H$221, MRP!$B$2:$B$221, $C95, MRP!$G$2:$G$221, G$1),
    SUMIFS(MRP!$I$2:$I$221, MRP!$B$2:$B$221, $C95, MRP!$G$2:$G$221, G$1),
    SUMIFS(MRP!$J$2:$J$221, MRP!$B$2:$B$221, $C95,  MRP!$G$2:$G$221, G$1),
    SUMIFS(MRP!$K$2:$K$221, MRP!$B$2:$B$221, $C95,  MRP!$G$2:$G$221, G$1),
    SUMIFS(MRP!$L$2:$L$221, MRP!$B$2:$B$221, $C95,  MRP!$G$2:$G$221, G$1)
)*F95</f>
        <v>0</v>
      </c>
      <c r="H95" s="15">
        <f>SUM(
    SUMIFS(MRP!$H$2:$H$221, MRP!$B$2:$B$221, $C95, MRP!$G$2:$G$221, H$1),
    SUMIFS(MRP!$I$2:$I$221, MRP!$B$2:$B$221, $C95, MRP!$G$2:$G$221, H$1),
    SUMIFS(MRP!$J$2:$J$221, MRP!$B$2:$B$221, $C95,  MRP!$G$2:$G$221, H$1),
    SUMIFS(MRP!$K$2:$K$221, MRP!$B$2:$B$221, $C95,  MRP!$G$2:$G$221, H$1),
    SUMIFS(MRP!$L$2:$L$221, MRP!$B$2:$B$221, $C95,  MRP!$G$2:$G$221, H$1)
)*F95</f>
        <v>2900</v>
      </c>
      <c r="I95" s="15">
        <f>SUM(
    SUMIFS(MRP!$H$2:$H$221, MRP!$B$2:$B$221, $C95, MRP!$G$2:$G$221, I$1),
    SUMIFS(MRP!$I$2:$I$221, MRP!$B$2:$B$221, $C95, MRP!$G$2:$G$221, I$1),
    SUMIFS(MRP!$J$2:$J$221, MRP!$B$2:$B$221, $C95,  MRP!$G$2:$G$221, I$1),
    SUMIFS(MRP!$K$2:$K$221, MRP!$B$2:$B$221, $C95,  MRP!$G$2:$G$221, I$1),
    SUMIFS(MRP!$L$2:$L$221, MRP!$B$2:$B$221, $C95,  MRP!$G$2:$G$221, I$1)
)*F95</f>
        <v>0</v>
      </c>
      <c r="J95" s="15">
        <f>SUM(
    SUMIFS(MRP!$H$2:$H$221, MRP!$B$2:$B$221, $C95, MRP!$G$2:$G$221, J$1),
    SUMIFS(MRP!$I$2:$I$221, MRP!$B$2:$B$221, $C95, MRP!$G$2:$G$221, J$1),
    SUMIFS(MRP!$J$2:$J$221, MRP!$B$2:$B$221, $C95,  MRP!$G$2:$G$221, J$1),
    SUMIFS(MRP!$K$2:$K$221, MRP!$B$2:$B$221, $C95,  MRP!$G$2:$G$221, J$1),
    SUMIFS(MRP!$L$2:$L$221, MRP!$B$2:$B$221, $C95,  MRP!$G$2:$G$221, J$1)
)*F95</f>
        <v>0</v>
      </c>
      <c r="K95" s="15">
        <f>SUM(
    SUMIFS(MRP!$H$2:$H$221, MRP!$B$2:$B$221, $C95, MRP!$G$2:$G$221, K$1),
    SUMIFS(MRP!$I$2:$I$221, MRP!$B$2:$B$221, $C95, MRP!$G$2:$G$221, K$1),
    SUMIFS(MRP!$J$2:$J$221, MRP!$B$2:$B$221, $C95,  MRP!$G$2:$G$221, K$1),
    SUMIFS(MRP!$K$2:$K$221, MRP!$B$2:$B$221, $C95,  MRP!$G$2:$G$221, K$1),
    SUMIFS(MRP!$L$2:$L$221, MRP!$B$2:$B$221, $C95,  MRP!$G$2:$G$221, K$1)
)*F95</f>
        <v>0</v>
      </c>
      <c r="L95" s="55" t="str">
        <f>TRIM(Tabla3[[#This Row],[CodInternoArti]])</f>
        <v>7790321020348</v>
      </c>
    </row>
    <row r="96" spans="1:12" hidden="1" x14ac:dyDescent="0.35">
      <c r="A96" s="38" t="str">
        <f>IF(ISNUMBER(_xlfn.XMATCH(Tabla3[[#This Row],[CodInternoArti]],'Tabla Articulos'!B:B)),"OK","NO ESTA")</f>
        <v>OK</v>
      </c>
      <c r="B96" s="38" t="str">
        <f>IF(ISNUMBER(_xlfn.XMATCH('Calcular necesidad'!E:E,'Necesidad por familia'!A:A)),"OK","NO ESTA")</f>
        <v>OK</v>
      </c>
      <c r="C96" s="17" t="s">
        <v>601</v>
      </c>
      <c r="D96" s="1" t="s">
        <v>374</v>
      </c>
      <c r="E96" s="1" t="str">
        <f>_xlfn.XLOOKUP(C96,'Tabla Articulos'!B:B,'Tabla Articulos'!D:D)</f>
        <v>BASE ENSALADERA CRISTAL</v>
      </c>
      <c r="F96" s="1">
        <f>_xlfn.XLOOKUP(C96,'Tabla Articulos'!B:B,'Tabla Articulos'!E:E)</f>
        <v>100</v>
      </c>
      <c r="G96" s="15">
        <f>SUM(
    SUMIFS(MRP!$H$2:$H$221, MRP!$B$2:$B$221, $C96, MRP!$G$2:$G$221, G$1),
    SUMIFS(MRP!$I$2:$I$221, MRP!$B$2:$B$221, $C96, MRP!$G$2:$G$221, G$1),
    SUMIFS(MRP!$J$2:$J$221, MRP!$B$2:$B$221, $C96,  MRP!$G$2:$G$221, G$1),
    SUMIFS(MRP!$K$2:$K$221, MRP!$B$2:$B$221, $C96,  MRP!$G$2:$G$221, G$1),
    SUMIFS(MRP!$L$2:$L$221, MRP!$B$2:$B$221, $C96,  MRP!$G$2:$G$221, G$1)
)*F96</f>
        <v>0</v>
      </c>
      <c r="H96" s="15">
        <f>SUM(
    SUMIFS(MRP!$H$2:$H$221, MRP!$B$2:$B$221, $C96, MRP!$G$2:$G$221, H$1),
    SUMIFS(MRP!$I$2:$I$221, MRP!$B$2:$B$221, $C96, MRP!$G$2:$G$221, H$1),
    SUMIFS(MRP!$J$2:$J$221, MRP!$B$2:$B$221, $C96,  MRP!$G$2:$G$221, H$1),
    SUMIFS(MRP!$K$2:$K$221, MRP!$B$2:$B$221, $C96,  MRP!$G$2:$G$221, H$1),
    SUMIFS(MRP!$L$2:$L$221, MRP!$B$2:$B$221, $C96,  MRP!$G$2:$G$221, H$1)
)*F96</f>
        <v>800</v>
      </c>
      <c r="I96" s="15">
        <f>SUM(
    SUMIFS(MRP!$H$2:$H$221, MRP!$B$2:$B$221, $C96, MRP!$G$2:$G$221, I$1),
    SUMIFS(MRP!$I$2:$I$221, MRP!$B$2:$B$221, $C96, MRP!$G$2:$G$221, I$1),
    SUMIFS(MRP!$J$2:$J$221, MRP!$B$2:$B$221, $C96,  MRP!$G$2:$G$221, I$1),
    SUMIFS(MRP!$K$2:$K$221, MRP!$B$2:$B$221, $C96,  MRP!$G$2:$G$221, I$1),
    SUMIFS(MRP!$L$2:$L$221, MRP!$B$2:$B$221, $C96,  MRP!$G$2:$G$221, I$1)
)*F96</f>
        <v>0</v>
      </c>
      <c r="J96" s="15">
        <f>SUM(
    SUMIFS(MRP!$H$2:$H$221, MRP!$B$2:$B$221, $C96, MRP!$G$2:$G$221, J$1),
    SUMIFS(MRP!$I$2:$I$221, MRP!$B$2:$B$221, $C96, MRP!$G$2:$G$221, J$1),
    SUMIFS(MRP!$J$2:$J$221, MRP!$B$2:$B$221, $C96,  MRP!$G$2:$G$221, J$1),
    SUMIFS(MRP!$K$2:$K$221, MRP!$B$2:$B$221, $C96,  MRP!$G$2:$G$221, J$1),
    SUMIFS(MRP!$L$2:$L$221, MRP!$B$2:$B$221, $C96,  MRP!$G$2:$G$221, J$1)
)*F96</f>
        <v>0</v>
      </c>
      <c r="K96" s="15">
        <f>SUM(
    SUMIFS(MRP!$H$2:$H$221, MRP!$B$2:$B$221, $C96, MRP!$G$2:$G$221, K$1),
    SUMIFS(MRP!$I$2:$I$221, MRP!$B$2:$B$221, $C96, MRP!$G$2:$G$221, K$1),
    SUMIFS(MRP!$J$2:$J$221, MRP!$B$2:$B$221, $C96,  MRP!$G$2:$G$221, K$1),
    SUMIFS(MRP!$K$2:$K$221, MRP!$B$2:$B$221, $C96,  MRP!$G$2:$G$221, K$1),
    SUMIFS(MRP!$L$2:$L$221, MRP!$B$2:$B$221, $C96,  MRP!$G$2:$G$221, K$1)
)*F96</f>
        <v>0</v>
      </c>
      <c r="L96" s="55" t="str">
        <f>TRIM(Tabla3[[#This Row],[CodInternoArti]])</f>
        <v>7790321130874</v>
      </c>
    </row>
    <row r="97" spans="1:12" hidden="1" x14ac:dyDescent="0.35">
      <c r="A97" s="38" t="str">
        <f>IF(ISNUMBER(_xlfn.XMATCH(Tabla3[[#This Row],[CodInternoArti]],'Tabla Articulos'!B:B)),"OK","NO ESTA")</f>
        <v>OK</v>
      </c>
      <c r="B97" s="38" t="str">
        <f>IF(ISNUMBER(_xlfn.XMATCH('Calcular necesidad'!E:E,'Necesidad por familia'!A:A)),"OK","NO ESTA")</f>
        <v>OK</v>
      </c>
      <c r="C97" s="17" t="s">
        <v>602</v>
      </c>
      <c r="D97" s="1" t="s">
        <v>401</v>
      </c>
      <c r="E97" s="1" t="str">
        <f>_xlfn.XLOOKUP(C97,'Tabla Articulos'!B:B,'Tabla Articulos'!D:D)</f>
        <v>SERVILLETA 18x18 NUTRIRE</v>
      </c>
      <c r="F97" s="1">
        <f>_xlfn.XLOOKUP(C97,'Tabla Articulos'!B:B,'Tabla Articulos'!E:E)</f>
        <v>1000</v>
      </c>
      <c r="G97" s="15">
        <f>SUM(
    SUMIFS(MRP!$H$2:$H$221, MRP!$B$2:$B$221, $C97, MRP!$G$2:$G$221, G$1),
    SUMIFS(MRP!$I$2:$I$221, MRP!$B$2:$B$221, $C97, MRP!$G$2:$G$221, G$1),
    SUMIFS(MRP!$J$2:$J$221, MRP!$B$2:$B$221, $C97,  MRP!$G$2:$G$221, G$1),
    SUMIFS(MRP!$K$2:$K$221, MRP!$B$2:$B$221, $C97,  MRP!$G$2:$G$221, G$1),
    SUMIFS(MRP!$L$2:$L$221, MRP!$B$2:$B$221, $C97,  MRP!$G$2:$G$221, G$1)
)*F97</f>
        <v>0</v>
      </c>
      <c r="H97" s="15">
        <f>SUM(
    SUMIFS(MRP!$H$2:$H$221, MRP!$B$2:$B$221, $C97, MRP!$G$2:$G$221, H$1),
    SUMIFS(MRP!$I$2:$I$221, MRP!$B$2:$B$221, $C97, MRP!$G$2:$G$221, H$1),
    SUMIFS(MRP!$J$2:$J$221, MRP!$B$2:$B$221, $C97,  MRP!$G$2:$G$221, H$1),
    SUMIFS(MRP!$K$2:$K$221, MRP!$B$2:$B$221, $C97,  MRP!$G$2:$G$221, H$1),
    SUMIFS(MRP!$L$2:$L$221, MRP!$B$2:$B$221, $C97,  MRP!$G$2:$G$221, H$1)
)*F97</f>
        <v>3000</v>
      </c>
      <c r="I97" s="15">
        <f>SUM(
    SUMIFS(MRP!$H$2:$H$221, MRP!$B$2:$B$221, $C97, MRP!$G$2:$G$221, I$1),
    SUMIFS(MRP!$I$2:$I$221, MRP!$B$2:$B$221, $C97, MRP!$G$2:$G$221, I$1),
    SUMIFS(MRP!$J$2:$J$221, MRP!$B$2:$B$221, $C97,  MRP!$G$2:$G$221, I$1),
    SUMIFS(MRP!$K$2:$K$221, MRP!$B$2:$B$221, $C97,  MRP!$G$2:$G$221, I$1),
    SUMIFS(MRP!$L$2:$L$221, MRP!$B$2:$B$221, $C97,  MRP!$G$2:$G$221, I$1)
)*F97</f>
        <v>0</v>
      </c>
      <c r="J97" s="15">
        <f>SUM(
    SUMIFS(MRP!$H$2:$H$221, MRP!$B$2:$B$221, $C97, MRP!$G$2:$G$221, J$1),
    SUMIFS(MRP!$I$2:$I$221, MRP!$B$2:$B$221, $C97, MRP!$G$2:$G$221, J$1),
    SUMIFS(MRP!$J$2:$J$221, MRP!$B$2:$B$221, $C97,  MRP!$G$2:$G$221, J$1),
    SUMIFS(MRP!$K$2:$K$221, MRP!$B$2:$B$221, $C97,  MRP!$G$2:$G$221, J$1),
    SUMIFS(MRP!$L$2:$L$221, MRP!$B$2:$B$221, $C97,  MRP!$G$2:$G$221, J$1)
)*F97</f>
        <v>0</v>
      </c>
      <c r="K97" s="15">
        <f>SUM(
    SUMIFS(MRP!$H$2:$H$221, MRP!$B$2:$B$221, $C97, MRP!$G$2:$G$221, K$1),
    SUMIFS(MRP!$I$2:$I$221, MRP!$B$2:$B$221, $C97, MRP!$G$2:$G$221, K$1),
    SUMIFS(MRP!$J$2:$J$221, MRP!$B$2:$B$221, $C97,  MRP!$G$2:$G$221, K$1),
    SUMIFS(MRP!$K$2:$K$221, MRP!$B$2:$B$221, $C97,  MRP!$G$2:$G$221, K$1),
    SUMIFS(MRP!$L$2:$L$221, MRP!$B$2:$B$221, $C97,  MRP!$G$2:$G$221, K$1)
)*F97</f>
        <v>0</v>
      </c>
      <c r="L97" s="55" t="str">
        <f>TRIM(Tabla3[[#This Row],[CodInternoArti]])</f>
        <v>7790321020532</v>
      </c>
    </row>
    <row r="98" spans="1:12" hidden="1" x14ac:dyDescent="0.35">
      <c r="A98" s="38" t="str">
        <f>IF(ISNUMBER(_xlfn.XMATCH(Tabla3[[#This Row],[CodInternoArti]],'Tabla Articulos'!B:B)),"OK","NO ESTA")</f>
        <v>OK</v>
      </c>
      <c r="B98" s="38" t="str">
        <f>IF(ISNUMBER(_xlfn.XMATCH('Calcular necesidad'!E:E,'Necesidad por familia'!A:A)),"OK","NO ESTA")</f>
        <v>OK</v>
      </c>
      <c r="C98" s="17" t="s">
        <v>603</v>
      </c>
      <c r="D98" s="1" t="s">
        <v>382</v>
      </c>
      <c r="E98" s="1" t="str">
        <f>_xlfn.XLOOKUP(C98,'Tabla Articulos'!B:B,'Tabla Articulos'!D:D)</f>
        <v>GUANTE LATEX L</v>
      </c>
      <c r="F98" s="1">
        <f>_xlfn.XLOOKUP(C98,'Tabla Articulos'!B:B,'Tabla Articulos'!E:E)</f>
        <v>100</v>
      </c>
      <c r="G98" s="15">
        <f>SUM(
    SUMIFS(MRP!$H$2:$H$221, MRP!$B$2:$B$221, $C98, MRP!$G$2:$G$221, G$1),
    SUMIFS(MRP!$I$2:$I$221, MRP!$B$2:$B$221, $C98, MRP!$G$2:$G$221, G$1),
    SUMIFS(MRP!$J$2:$J$221, MRP!$B$2:$B$221, $C98,  MRP!$G$2:$G$221, G$1),
    SUMIFS(MRP!$K$2:$K$221, MRP!$B$2:$B$221, $C98,  MRP!$G$2:$G$221, G$1),
    SUMIFS(MRP!$L$2:$L$221, MRP!$B$2:$B$221, $C98,  MRP!$G$2:$G$221, G$1)
)*F98</f>
        <v>0</v>
      </c>
      <c r="H98" s="15">
        <f>SUM(
    SUMIFS(MRP!$H$2:$H$221, MRP!$B$2:$B$221, $C98, MRP!$G$2:$G$221, H$1),
    SUMIFS(MRP!$I$2:$I$221, MRP!$B$2:$B$221, $C98, MRP!$G$2:$G$221, H$1),
    SUMIFS(MRP!$J$2:$J$221, MRP!$B$2:$B$221, $C98,  MRP!$G$2:$G$221, H$1),
    SUMIFS(MRP!$K$2:$K$221, MRP!$B$2:$B$221, $C98,  MRP!$G$2:$G$221, H$1),
    SUMIFS(MRP!$L$2:$L$221, MRP!$B$2:$B$221, $C98,  MRP!$G$2:$G$221, H$1)
)*F98</f>
        <v>11400</v>
      </c>
      <c r="I98" s="15">
        <f>SUM(
    SUMIFS(MRP!$H$2:$H$221, MRP!$B$2:$B$221, $C98, MRP!$G$2:$G$221, I$1),
    SUMIFS(MRP!$I$2:$I$221, MRP!$B$2:$B$221, $C98, MRP!$G$2:$G$221, I$1),
    SUMIFS(MRP!$J$2:$J$221, MRP!$B$2:$B$221, $C98,  MRP!$G$2:$G$221, I$1),
    SUMIFS(MRP!$K$2:$K$221, MRP!$B$2:$B$221, $C98,  MRP!$G$2:$G$221, I$1),
    SUMIFS(MRP!$L$2:$L$221, MRP!$B$2:$B$221, $C98,  MRP!$G$2:$G$221, I$1)
)*F98</f>
        <v>0</v>
      </c>
      <c r="J98" s="15">
        <f>SUM(
    SUMIFS(MRP!$H$2:$H$221, MRP!$B$2:$B$221, $C98, MRP!$G$2:$G$221, J$1),
    SUMIFS(MRP!$I$2:$I$221, MRP!$B$2:$B$221, $C98, MRP!$G$2:$G$221, J$1),
    SUMIFS(MRP!$J$2:$J$221, MRP!$B$2:$B$221, $C98,  MRP!$G$2:$G$221, J$1),
    SUMIFS(MRP!$K$2:$K$221, MRP!$B$2:$B$221, $C98,  MRP!$G$2:$G$221, J$1),
    SUMIFS(MRP!$L$2:$L$221, MRP!$B$2:$B$221, $C98,  MRP!$G$2:$G$221, J$1)
)*F98</f>
        <v>0</v>
      </c>
      <c r="K98" s="15">
        <f>SUM(
    SUMIFS(MRP!$H$2:$H$221, MRP!$B$2:$B$221, $C98, MRP!$G$2:$G$221, K$1),
    SUMIFS(MRP!$I$2:$I$221, MRP!$B$2:$B$221, $C98, MRP!$G$2:$G$221, K$1),
    SUMIFS(MRP!$J$2:$J$221, MRP!$B$2:$B$221, $C98,  MRP!$G$2:$G$221, K$1),
    SUMIFS(MRP!$K$2:$K$221, MRP!$B$2:$B$221, $C98,  MRP!$G$2:$G$221, K$1),
    SUMIFS(MRP!$L$2:$L$221, MRP!$B$2:$B$221, $C98,  MRP!$G$2:$G$221, K$1)
)*F98</f>
        <v>0</v>
      </c>
      <c r="L98" s="55" t="str">
        <f>TRIM(Tabla3[[#This Row],[CodInternoArti]])</f>
        <v>7797749103867</v>
      </c>
    </row>
    <row r="99" spans="1:12" hidden="1" x14ac:dyDescent="0.35">
      <c r="A99" s="38" t="str">
        <f>IF(ISNUMBER(_xlfn.XMATCH(Tabla3[[#This Row],[CodInternoArti]],'Tabla Articulos'!B:B)),"OK","NO ESTA")</f>
        <v>OK</v>
      </c>
      <c r="B99" s="38" t="str">
        <f>IF(ISNUMBER(_xlfn.XMATCH('Calcular necesidad'!E:E,'Necesidad por familia'!A:A)),"OK","NO ESTA")</f>
        <v>OK</v>
      </c>
      <c r="C99" s="17" t="s">
        <v>604</v>
      </c>
      <c r="D99" s="1" t="s">
        <v>380</v>
      </c>
      <c r="E99" s="1" t="str">
        <f>_xlfn.XLOOKUP(C99,'Tabla Articulos'!B:B,'Tabla Articulos'!D:D)</f>
        <v>BOLSA CUBIERTOS 25X35</v>
      </c>
      <c r="F99" s="1">
        <f>_xlfn.XLOOKUP(C99,'Tabla Articulos'!B:B,'Tabla Articulos'!E:E)</f>
        <v>100</v>
      </c>
      <c r="G99" s="15">
        <f>SUM(
    SUMIFS(MRP!$H$2:$H$221, MRP!$B$2:$B$221, $C99, MRP!$G$2:$G$221, G$1),
    SUMIFS(MRP!$I$2:$I$221, MRP!$B$2:$B$221, $C99, MRP!$G$2:$G$221, G$1),
    SUMIFS(MRP!$J$2:$J$221, MRP!$B$2:$B$221, $C99,  MRP!$G$2:$G$221, G$1),
    SUMIFS(MRP!$K$2:$K$221, MRP!$B$2:$B$221, $C99,  MRP!$G$2:$G$221, G$1),
    SUMIFS(MRP!$L$2:$L$221, MRP!$B$2:$B$221, $C99,  MRP!$G$2:$G$221, G$1)
)*F99</f>
        <v>0</v>
      </c>
      <c r="H99" s="15">
        <f>SUM(
    SUMIFS(MRP!$H$2:$H$221, MRP!$B$2:$B$221, $C99, MRP!$G$2:$G$221, H$1),
    SUMIFS(MRP!$I$2:$I$221, MRP!$B$2:$B$221, $C99, MRP!$G$2:$G$221, H$1),
    SUMIFS(MRP!$J$2:$J$221, MRP!$B$2:$B$221, $C99,  MRP!$G$2:$G$221, H$1),
    SUMIFS(MRP!$K$2:$K$221, MRP!$B$2:$B$221, $C99,  MRP!$G$2:$G$221, H$1),
    SUMIFS(MRP!$L$2:$L$221, MRP!$B$2:$B$221, $C99,  MRP!$G$2:$G$221, H$1)
)*F99</f>
        <v>500</v>
      </c>
      <c r="I99" s="15">
        <f>SUM(
    SUMIFS(MRP!$H$2:$H$221, MRP!$B$2:$B$221, $C99, MRP!$G$2:$G$221, I$1),
    SUMIFS(MRP!$I$2:$I$221, MRP!$B$2:$B$221, $C99, MRP!$G$2:$G$221, I$1),
    SUMIFS(MRP!$J$2:$J$221, MRP!$B$2:$B$221, $C99,  MRP!$G$2:$G$221, I$1),
    SUMIFS(MRP!$K$2:$K$221, MRP!$B$2:$B$221, $C99,  MRP!$G$2:$G$221, I$1),
    SUMIFS(MRP!$L$2:$L$221, MRP!$B$2:$B$221, $C99,  MRP!$G$2:$G$221, I$1)
)*F99</f>
        <v>0</v>
      </c>
      <c r="J99" s="15">
        <f>SUM(
    SUMIFS(MRP!$H$2:$H$221, MRP!$B$2:$B$221, $C99, MRP!$G$2:$G$221, J$1),
    SUMIFS(MRP!$I$2:$I$221, MRP!$B$2:$B$221, $C99, MRP!$G$2:$G$221, J$1),
    SUMIFS(MRP!$J$2:$J$221, MRP!$B$2:$B$221, $C99,  MRP!$G$2:$G$221, J$1),
    SUMIFS(MRP!$K$2:$K$221, MRP!$B$2:$B$221, $C99,  MRP!$G$2:$G$221, J$1),
    SUMIFS(MRP!$L$2:$L$221, MRP!$B$2:$B$221, $C99,  MRP!$G$2:$G$221, J$1)
)*F99</f>
        <v>0</v>
      </c>
      <c r="K99" s="15">
        <f>SUM(
    SUMIFS(MRP!$H$2:$H$221, MRP!$B$2:$B$221, $C99, MRP!$G$2:$G$221, K$1),
    SUMIFS(MRP!$I$2:$I$221, MRP!$B$2:$B$221, $C99, MRP!$G$2:$G$221, K$1),
    SUMIFS(MRP!$J$2:$J$221, MRP!$B$2:$B$221, $C99,  MRP!$G$2:$G$221, K$1),
    SUMIFS(MRP!$K$2:$K$221, MRP!$B$2:$B$221, $C99,  MRP!$G$2:$G$221, K$1),
    SUMIFS(MRP!$L$2:$L$221, MRP!$B$2:$B$221, $C99,  MRP!$G$2:$G$221, K$1)
)*F99</f>
        <v>0</v>
      </c>
      <c r="L99" s="55" t="str">
        <f>TRIM(Tabla3[[#This Row],[CodInternoArti]])</f>
        <v>7790321020996</v>
      </c>
    </row>
    <row r="100" spans="1:12" hidden="1" x14ac:dyDescent="0.35">
      <c r="A100" s="38" t="str">
        <f>IF(ISNUMBER(_xlfn.XMATCH(Tabla3[[#This Row],[CodInternoArti]],'Tabla Articulos'!B:B)),"OK","NO ESTA")</f>
        <v>OK</v>
      </c>
      <c r="B100" s="38" t="str">
        <f>IF(ISNUMBER(_xlfn.XMATCH('Calcular necesidad'!E:E,'Necesidad por familia'!A:A)),"OK","NO ESTA")</f>
        <v>OK</v>
      </c>
      <c r="C100" s="17" t="s">
        <v>605</v>
      </c>
      <c r="D100" s="1" t="s">
        <v>606</v>
      </c>
      <c r="E100" s="1" t="str">
        <f>_xlfn.XLOOKUP(C100,'Tabla Articulos'!B:B,'Tabla Articulos'!D:D)</f>
        <v>ESCARBADIENTE</v>
      </c>
      <c r="F100" s="1">
        <f>_xlfn.XLOOKUP(C100,'Tabla Articulos'!B:B,'Tabla Articulos'!E:E)</f>
        <v>800</v>
      </c>
      <c r="G100" s="15">
        <f>SUM(
    SUMIFS(MRP!$H$2:$H$221, MRP!$B$2:$B$221, $C100, MRP!$G$2:$G$221, G$1),
    SUMIFS(MRP!$I$2:$I$221, MRP!$B$2:$B$221, $C100, MRP!$G$2:$G$221, G$1),
    SUMIFS(MRP!$J$2:$J$221, MRP!$B$2:$B$221, $C100,  MRP!$G$2:$G$221, G$1),
    SUMIFS(MRP!$K$2:$K$221, MRP!$B$2:$B$221, $C100,  MRP!$G$2:$G$221, G$1),
    SUMIFS(MRP!$L$2:$L$221, MRP!$B$2:$B$221, $C100,  MRP!$G$2:$G$221, G$1)
)*F100</f>
        <v>0</v>
      </c>
      <c r="H100" s="15">
        <f>SUM(
    SUMIFS(MRP!$H$2:$H$221, MRP!$B$2:$B$221, $C100, MRP!$G$2:$G$221, H$1),
    SUMIFS(MRP!$I$2:$I$221, MRP!$B$2:$B$221, $C100, MRP!$G$2:$G$221, H$1),
    SUMIFS(MRP!$J$2:$J$221, MRP!$B$2:$B$221, $C100,  MRP!$G$2:$G$221, H$1),
    SUMIFS(MRP!$K$2:$K$221, MRP!$B$2:$B$221, $C100,  MRP!$G$2:$G$221, H$1),
    SUMIFS(MRP!$L$2:$L$221, MRP!$B$2:$B$221, $C100,  MRP!$G$2:$G$221, H$1)
)*F100</f>
        <v>0</v>
      </c>
      <c r="I100" s="15">
        <f>SUM(
    SUMIFS(MRP!$H$2:$H$221, MRP!$B$2:$B$221, $C100, MRP!$G$2:$G$221, I$1),
    SUMIFS(MRP!$I$2:$I$221, MRP!$B$2:$B$221, $C100, MRP!$G$2:$G$221, I$1),
    SUMIFS(MRP!$J$2:$J$221, MRP!$B$2:$B$221, $C100,  MRP!$G$2:$G$221, I$1),
    SUMIFS(MRP!$K$2:$K$221, MRP!$B$2:$B$221, $C100,  MRP!$G$2:$G$221, I$1),
    SUMIFS(MRP!$L$2:$L$221, MRP!$B$2:$B$221, $C100,  MRP!$G$2:$G$221, I$1)
)*F100</f>
        <v>0</v>
      </c>
      <c r="J100" s="15">
        <f>SUM(
    SUMIFS(MRP!$H$2:$H$221, MRP!$B$2:$B$221, $C100, MRP!$G$2:$G$221, J$1),
    SUMIFS(MRP!$I$2:$I$221, MRP!$B$2:$B$221, $C100, MRP!$G$2:$G$221, J$1),
    SUMIFS(MRP!$J$2:$J$221, MRP!$B$2:$B$221, $C100,  MRP!$G$2:$G$221, J$1),
    SUMIFS(MRP!$K$2:$K$221, MRP!$B$2:$B$221, $C100,  MRP!$G$2:$G$221, J$1),
    SUMIFS(MRP!$L$2:$L$221, MRP!$B$2:$B$221, $C100,  MRP!$G$2:$G$221, J$1)
)*F100</f>
        <v>0</v>
      </c>
      <c r="K100" s="15">
        <f>SUM(
    SUMIFS(MRP!$H$2:$H$221, MRP!$B$2:$B$221, $C100, MRP!$G$2:$G$221, K$1),
    SUMIFS(MRP!$I$2:$I$221, MRP!$B$2:$B$221, $C100, MRP!$G$2:$G$221, K$1),
    SUMIFS(MRP!$J$2:$J$221, MRP!$B$2:$B$221, $C100,  MRP!$G$2:$G$221, K$1),
    SUMIFS(MRP!$K$2:$K$221, MRP!$B$2:$B$221, $C100,  MRP!$G$2:$G$221, K$1),
    SUMIFS(MRP!$L$2:$L$221, MRP!$B$2:$B$221, $C100,  MRP!$G$2:$G$221, K$1)
)*F100</f>
        <v>0</v>
      </c>
      <c r="L100" s="55" t="str">
        <f>TRIM(Tabla3[[#This Row],[CodInternoArti]])</f>
        <v>7790629589411</v>
      </c>
    </row>
    <row r="101" spans="1:12" hidden="1" x14ac:dyDescent="0.35">
      <c r="A101" s="38" t="str">
        <f>IF(ISNUMBER(_xlfn.XMATCH(Tabla3[[#This Row],[CodInternoArti]],'Tabla Articulos'!B:B)),"OK","NO ESTA")</f>
        <v>OK</v>
      </c>
      <c r="B101" s="38" t="str">
        <f>IF(ISNUMBER(_xlfn.XMATCH('Calcular necesidad'!E:E,'Necesidad por familia'!A:A)),"OK","NO ESTA")</f>
        <v>OK</v>
      </c>
      <c r="C101" s="17" t="s">
        <v>607</v>
      </c>
      <c r="D101" s="1" t="s">
        <v>608</v>
      </c>
      <c r="E101" s="1" t="str">
        <f>_xlfn.XLOOKUP(C101,'Tabla Articulos'!B:B,'Tabla Articulos'!D:D)</f>
        <v>SERVILLETA 30X30 S/LOGO</v>
      </c>
      <c r="F101" s="1">
        <f>_xlfn.XLOOKUP(C101,'Tabla Articulos'!B:B,'Tabla Articulos'!E:E)</f>
        <v>2000</v>
      </c>
      <c r="G101" s="15">
        <f>SUM(
    SUMIFS(MRP!$H$2:$H$221, MRP!$B$2:$B$221, $C101, MRP!$G$2:$G$221, G$1),
    SUMIFS(MRP!$I$2:$I$221, MRP!$B$2:$B$221, $C101, MRP!$G$2:$G$221, G$1),
    SUMIFS(MRP!$J$2:$J$221, MRP!$B$2:$B$221, $C101,  MRP!$G$2:$G$221, G$1),
    SUMIFS(MRP!$K$2:$K$221, MRP!$B$2:$B$221, $C101,  MRP!$G$2:$G$221, G$1),
    SUMIFS(MRP!$L$2:$L$221, MRP!$B$2:$B$221, $C101,  MRP!$G$2:$G$221, G$1)
)*F101</f>
        <v>0</v>
      </c>
      <c r="H101" s="15">
        <f>SUM(
    SUMIFS(MRP!$H$2:$H$221, MRP!$B$2:$B$221, $C101, MRP!$G$2:$G$221, H$1),
    SUMIFS(MRP!$I$2:$I$221, MRP!$B$2:$B$221, $C101, MRP!$G$2:$G$221, H$1),
    SUMIFS(MRP!$J$2:$J$221, MRP!$B$2:$B$221, $C101,  MRP!$G$2:$G$221, H$1),
    SUMIFS(MRP!$K$2:$K$221, MRP!$B$2:$B$221, $C101,  MRP!$G$2:$G$221, H$1),
    SUMIFS(MRP!$L$2:$L$221, MRP!$B$2:$B$221, $C101,  MRP!$G$2:$G$221, H$1)
)*F101</f>
        <v>0</v>
      </c>
      <c r="I101" s="15">
        <f>SUM(
    SUMIFS(MRP!$H$2:$H$221, MRP!$B$2:$B$221, $C101, MRP!$G$2:$G$221, I$1),
    SUMIFS(MRP!$I$2:$I$221, MRP!$B$2:$B$221, $C101, MRP!$G$2:$G$221, I$1),
    SUMIFS(MRP!$J$2:$J$221, MRP!$B$2:$B$221, $C101,  MRP!$G$2:$G$221, I$1),
    SUMIFS(MRP!$K$2:$K$221, MRP!$B$2:$B$221, $C101,  MRP!$G$2:$G$221, I$1),
    SUMIFS(MRP!$L$2:$L$221, MRP!$B$2:$B$221, $C101,  MRP!$G$2:$G$221, I$1)
)*F101</f>
        <v>0</v>
      </c>
      <c r="J101" s="15">
        <f>SUM(
    SUMIFS(MRP!$H$2:$H$221, MRP!$B$2:$B$221, $C101, MRP!$G$2:$G$221, J$1),
    SUMIFS(MRP!$I$2:$I$221, MRP!$B$2:$B$221, $C101, MRP!$G$2:$G$221, J$1),
    SUMIFS(MRP!$J$2:$J$221, MRP!$B$2:$B$221, $C101,  MRP!$G$2:$G$221, J$1),
    SUMIFS(MRP!$K$2:$K$221, MRP!$B$2:$B$221, $C101,  MRP!$G$2:$G$221, J$1),
    SUMIFS(MRP!$L$2:$L$221, MRP!$B$2:$B$221, $C101,  MRP!$G$2:$G$221, J$1)
)*F101</f>
        <v>0</v>
      </c>
      <c r="K101" s="15">
        <f>SUM(
    SUMIFS(MRP!$H$2:$H$221, MRP!$B$2:$B$221, $C101, MRP!$G$2:$G$221, K$1),
    SUMIFS(MRP!$I$2:$I$221, MRP!$B$2:$B$221, $C101, MRP!$G$2:$G$221, K$1),
    SUMIFS(MRP!$J$2:$J$221, MRP!$B$2:$B$221, $C101,  MRP!$G$2:$G$221, K$1),
    SUMIFS(MRP!$K$2:$K$221, MRP!$B$2:$B$221, $C101,  MRP!$G$2:$G$221, K$1),
    SUMIFS(MRP!$L$2:$L$221, MRP!$B$2:$B$221, $C101,  MRP!$G$2:$G$221, K$1)
)*F101</f>
        <v>0</v>
      </c>
      <c r="L101" s="55" t="str">
        <f>TRIM(Tabla3[[#This Row],[CodInternoArti]])</f>
        <v>7790321020537</v>
      </c>
    </row>
    <row r="102" spans="1:12" hidden="1" x14ac:dyDescent="0.35">
      <c r="A102" s="38" t="str">
        <f>IF(ISNUMBER(_xlfn.XMATCH(Tabla3[[#This Row],[CodInternoArti]],'Tabla Articulos'!B:B)),"OK","NO ESTA")</f>
        <v>OK</v>
      </c>
      <c r="B102" s="38" t="str">
        <f>IF(ISNUMBER(_xlfn.XMATCH('Calcular necesidad'!E:E,'Necesidad por familia'!A:A)),"OK","NO ESTA")</f>
        <v>OK</v>
      </c>
      <c r="C102" s="17" t="s">
        <v>609</v>
      </c>
      <c r="D102" s="1" t="s">
        <v>413</v>
      </c>
      <c r="E102" s="1" t="str">
        <f>_xlfn.XLOOKUP(C102,'Tabla Articulos'!B:B,'Tabla Articulos'!D:D)</f>
        <v>GUANTE LATEX M</v>
      </c>
      <c r="F102" s="1">
        <f>_xlfn.XLOOKUP(C102,'Tabla Articulos'!B:B,'Tabla Articulos'!E:E)</f>
        <v>100</v>
      </c>
      <c r="G102" s="15">
        <f>SUM(
    SUMIFS(MRP!$H$2:$H$221, MRP!$B$2:$B$221, $C102, MRP!$G$2:$G$221, G$1),
    SUMIFS(MRP!$I$2:$I$221, MRP!$B$2:$B$221, $C102, MRP!$G$2:$G$221, G$1),
    SUMIFS(MRP!$J$2:$J$221, MRP!$B$2:$B$221, $C102,  MRP!$G$2:$G$221, G$1),
    SUMIFS(MRP!$K$2:$K$221, MRP!$B$2:$B$221, $C102,  MRP!$G$2:$G$221, G$1),
    SUMIFS(MRP!$L$2:$L$221, MRP!$B$2:$B$221, $C102,  MRP!$G$2:$G$221, G$1)
)*F102</f>
        <v>0</v>
      </c>
      <c r="H102" s="15">
        <f>SUM(
    SUMIFS(MRP!$H$2:$H$221, MRP!$B$2:$B$221, $C102, MRP!$G$2:$G$221, H$1),
    SUMIFS(MRP!$I$2:$I$221, MRP!$B$2:$B$221, $C102, MRP!$G$2:$G$221, H$1),
    SUMIFS(MRP!$J$2:$J$221, MRP!$B$2:$B$221, $C102,  MRP!$G$2:$G$221, H$1),
    SUMIFS(MRP!$K$2:$K$221, MRP!$B$2:$B$221, $C102,  MRP!$G$2:$G$221, H$1),
    SUMIFS(MRP!$L$2:$L$221, MRP!$B$2:$B$221, $C102,  MRP!$G$2:$G$221, H$1)
)*F102</f>
        <v>1300</v>
      </c>
      <c r="I102" s="15">
        <f>SUM(
    SUMIFS(MRP!$H$2:$H$221, MRP!$B$2:$B$221, $C102, MRP!$G$2:$G$221, I$1),
    SUMIFS(MRP!$I$2:$I$221, MRP!$B$2:$B$221, $C102, MRP!$G$2:$G$221, I$1),
    SUMIFS(MRP!$J$2:$J$221, MRP!$B$2:$B$221, $C102,  MRP!$G$2:$G$221, I$1),
    SUMIFS(MRP!$K$2:$K$221, MRP!$B$2:$B$221, $C102,  MRP!$G$2:$G$221, I$1),
    SUMIFS(MRP!$L$2:$L$221, MRP!$B$2:$B$221, $C102,  MRP!$G$2:$G$221, I$1)
)*F102</f>
        <v>0</v>
      </c>
      <c r="J102" s="15">
        <f>SUM(
    SUMIFS(MRP!$H$2:$H$221, MRP!$B$2:$B$221, $C102, MRP!$G$2:$G$221, J$1),
    SUMIFS(MRP!$I$2:$I$221, MRP!$B$2:$B$221, $C102, MRP!$G$2:$G$221, J$1),
    SUMIFS(MRP!$J$2:$J$221, MRP!$B$2:$B$221, $C102,  MRP!$G$2:$G$221, J$1),
    SUMIFS(MRP!$K$2:$K$221, MRP!$B$2:$B$221, $C102,  MRP!$G$2:$G$221, J$1),
    SUMIFS(MRP!$L$2:$L$221, MRP!$B$2:$B$221, $C102,  MRP!$G$2:$G$221, J$1)
)*F102</f>
        <v>0</v>
      </c>
      <c r="K102" s="15">
        <f>SUM(
    SUMIFS(MRP!$H$2:$H$221, MRP!$B$2:$B$221, $C102, MRP!$G$2:$G$221, K$1),
    SUMIFS(MRP!$I$2:$I$221, MRP!$B$2:$B$221, $C102, MRP!$G$2:$G$221, K$1),
    SUMIFS(MRP!$J$2:$J$221, MRP!$B$2:$B$221, $C102,  MRP!$G$2:$G$221, K$1),
    SUMIFS(MRP!$K$2:$K$221, MRP!$B$2:$B$221, $C102,  MRP!$G$2:$G$221, K$1),
    SUMIFS(MRP!$L$2:$L$221, MRP!$B$2:$B$221, $C102,  MRP!$G$2:$G$221, K$1)
)*F102</f>
        <v>0</v>
      </c>
      <c r="L102" s="55" t="str">
        <f>TRIM(Tabla3[[#This Row],[CodInternoArti]])</f>
        <v>7798188570219</v>
      </c>
    </row>
    <row r="103" spans="1:12" hidden="1" x14ac:dyDescent="0.35">
      <c r="A103" s="38" t="str">
        <f>IF(ISNUMBER(_xlfn.XMATCH(Tabla3[[#This Row],[CodInternoArti]],'Tabla Articulos'!B:B)),"OK","NO ESTA")</f>
        <v>OK</v>
      </c>
      <c r="B103" s="38" t="str">
        <f>IF(ISNUMBER(_xlfn.XMATCH('Calcular necesidad'!E:E,'Necesidad por familia'!A:A)),"OK","NO ESTA")</f>
        <v>OK</v>
      </c>
      <c r="C103" s="17" t="s">
        <v>610</v>
      </c>
      <c r="D103" s="1" t="s">
        <v>611</v>
      </c>
      <c r="E103" s="1" t="str">
        <f>_xlfn.XLOOKUP(C103,'Tabla Articulos'!B:B,'Tabla Articulos'!D:D)</f>
        <v>BANDEJA 101</v>
      </c>
      <c r="F103" s="1">
        <f>_xlfn.XLOOKUP(C103,'Tabla Articulos'!B:B,'Tabla Articulos'!E:E)</f>
        <v>100</v>
      </c>
      <c r="G103" s="15">
        <f>SUM(
    SUMIFS(MRP!$H$2:$H$221, MRP!$B$2:$B$221, $C103, MRP!$G$2:$G$221, G$1),
    SUMIFS(MRP!$I$2:$I$221, MRP!$B$2:$B$221, $C103, MRP!$G$2:$G$221, G$1),
    SUMIFS(MRP!$J$2:$J$221, MRP!$B$2:$B$221, $C103,  MRP!$G$2:$G$221, G$1),
    SUMIFS(MRP!$K$2:$K$221, MRP!$B$2:$B$221, $C103,  MRP!$G$2:$G$221, G$1),
    SUMIFS(MRP!$L$2:$L$221, MRP!$B$2:$B$221, $C103,  MRP!$G$2:$G$221, G$1)
)*F103</f>
        <v>0</v>
      </c>
      <c r="H103" s="15">
        <f>SUM(
    SUMIFS(MRP!$H$2:$H$221, MRP!$B$2:$B$221, $C103, MRP!$G$2:$G$221, H$1),
    SUMIFS(MRP!$I$2:$I$221, MRP!$B$2:$B$221, $C103, MRP!$G$2:$G$221, H$1),
    SUMIFS(MRP!$J$2:$J$221, MRP!$B$2:$B$221, $C103,  MRP!$G$2:$G$221, H$1),
    SUMIFS(MRP!$K$2:$K$221, MRP!$B$2:$B$221, $C103,  MRP!$G$2:$G$221, H$1),
    SUMIFS(MRP!$L$2:$L$221, MRP!$B$2:$B$221, $C103,  MRP!$G$2:$G$221, H$1)
)*F103</f>
        <v>0</v>
      </c>
      <c r="I103" s="15">
        <f>SUM(
    SUMIFS(MRP!$H$2:$H$221, MRP!$B$2:$B$221, $C103, MRP!$G$2:$G$221, I$1),
    SUMIFS(MRP!$I$2:$I$221, MRP!$B$2:$B$221, $C103, MRP!$G$2:$G$221, I$1),
    SUMIFS(MRP!$J$2:$J$221, MRP!$B$2:$B$221, $C103,  MRP!$G$2:$G$221, I$1),
    SUMIFS(MRP!$K$2:$K$221, MRP!$B$2:$B$221, $C103,  MRP!$G$2:$G$221, I$1),
    SUMIFS(MRP!$L$2:$L$221, MRP!$B$2:$B$221, $C103,  MRP!$G$2:$G$221, I$1)
)*F103</f>
        <v>0</v>
      </c>
      <c r="J103" s="15">
        <f>SUM(
    SUMIFS(MRP!$H$2:$H$221, MRP!$B$2:$B$221, $C103, MRP!$G$2:$G$221, J$1),
    SUMIFS(MRP!$I$2:$I$221, MRP!$B$2:$B$221, $C103, MRP!$G$2:$G$221, J$1),
    SUMIFS(MRP!$J$2:$J$221, MRP!$B$2:$B$221, $C103,  MRP!$G$2:$G$221, J$1),
    SUMIFS(MRP!$K$2:$K$221, MRP!$B$2:$B$221, $C103,  MRP!$G$2:$G$221, J$1),
    SUMIFS(MRP!$L$2:$L$221, MRP!$B$2:$B$221, $C103,  MRP!$G$2:$G$221, J$1)
)*F103</f>
        <v>0</v>
      </c>
      <c r="K103" s="15">
        <f>SUM(
    SUMIFS(MRP!$H$2:$H$221, MRP!$B$2:$B$221, $C103, MRP!$G$2:$G$221, K$1),
    SUMIFS(MRP!$I$2:$I$221, MRP!$B$2:$B$221, $C103, MRP!$G$2:$G$221, K$1),
    SUMIFS(MRP!$J$2:$J$221, MRP!$B$2:$B$221, $C103,  MRP!$G$2:$G$221, K$1),
    SUMIFS(MRP!$K$2:$K$221, MRP!$B$2:$B$221, $C103,  MRP!$G$2:$G$221, K$1),
    SUMIFS(MRP!$L$2:$L$221, MRP!$B$2:$B$221, $C103,  MRP!$G$2:$G$221, K$1)
)*F103</f>
        <v>0</v>
      </c>
      <c r="L103" s="55" t="str">
        <f>TRIM(Tabla3[[#This Row],[CodInternoArti]])</f>
        <v>7790321020293</v>
      </c>
    </row>
    <row r="104" spans="1:12" hidden="1" x14ac:dyDescent="0.35">
      <c r="A104" s="38" t="str">
        <f>IF(ISNUMBER(_xlfn.XMATCH(Tabla3[[#This Row],[CodInternoArti]],'Tabla Articulos'!B:B)),"OK","NO ESTA")</f>
        <v>OK</v>
      </c>
      <c r="B104" s="38" t="str">
        <f>IF(ISNUMBER(_xlfn.XMATCH('Calcular necesidad'!E:E,'Necesidad por familia'!A:A)),"OK","NO ESTA")</f>
        <v>OK</v>
      </c>
      <c r="C104" s="17" t="s">
        <v>612</v>
      </c>
      <c r="D104" s="1" t="s">
        <v>613</v>
      </c>
      <c r="E104" s="1" t="str">
        <f>_xlfn.XLOOKUP(C104,'Tabla Articulos'!B:B,'Tabla Articulos'!D:D)</f>
        <v>BANDEJA 102</v>
      </c>
      <c r="F104" s="1">
        <f>_xlfn.XLOOKUP(C104,'Tabla Articulos'!B:B,'Tabla Articulos'!E:E)</f>
        <v>100</v>
      </c>
      <c r="G104" s="15">
        <f>SUM(
    SUMIFS(MRP!$H$2:$H$221, MRP!$B$2:$B$221, $C104, MRP!$G$2:$G$221, G$1),
    SUMIFS(MRP!$I$2:$I$221, MRP!$B$2:$B$221, $C104, MRP!$G$2:$G$221, G$1),
    SUMIFS(MRP!$J$2:$J$221, MRP!$B$2:$B$221, $C104,  MRP!$G$2:$G$221, G$1),
    SUMIFS(MRP!$K$2:$K$221, MRP!$B$2:$B$221, $C104,  MRP!$G$2:$G$221, G$1),
    SUMIFS(MRP!$L$2:$L$221, MRP!$B$2:$B$221, $C104,  MRP!$G$2:$G$221, G$1)
)*F104</f>
        <v>0</v>
      </c>
      <c r="H104" s="15">
        <f>SUM(
    SUMIFS(MRP!$H$2:$H$221, MRP!$B$2:$B$221, $C104, MRP!$G$2:$G$221, H$1),
    SUMIFS(MRP!$I$2:$I$221, MRP!$B$2:$B$221, $C104, MRP!$G$2:$G$221, H$1),
    SUMIFS(MRP!$J$2:$J$221, MRP!$B$2:$B$221, $C104,  MRP!$G$2:$G$221, H$1),
    SUMIFS(MRP!$K$2:$K$221, MRP!$B$2:$B$221, $C104,  MRP!$G$2:$G$221, H$1),
    SUMIFS(MRP!$L$2:$L$221, MRP!$B$2:$B$221, $C104,  MRP!$G$2:$G$221, H$1)
)*F104</f>
        <v>0</v>
      </c>
      <c r="I104" s="15">
        <f>SUM(
    SUMIFS(MRP!$H$2:$H$221, MRP!$B$2:$B$221, $C104, MRP!$G$2:$G$221, I$1),
    SUMIFS(MRP!$I$2:$I$221, MRP!$B$2:$B$221, $C104, MRP!$G$2:$G$221, I$1),
    SUMIFS(MRP!$J$2:$J$221, MRP!$B$2:$B$221, $C104,  MRP!$G$2:$G$221, I$1),
    SUMIFS(MRP!$K$2:$K$221, MRP!$B$2:$B$221, $C104,  MRP!$G$2:$G$221, I$1),
    SUMIFS(MRP!$L$2:$L$221, MRP!$B$2:$B$221, $C104,  MRP!$G$2:$G$221, I$1)
)*F104</f>
        <v>0</v>
      </c>
      <c r="J104" s="15">
        <f>SUM(
    SUMIFS(MRP!$H$2:$H$221, MRP!$B$2:$B$221, $C104, MRP!$G$2:$G$221, J$1),
    SUMIFS(MRP!$I$2:$I$221, MRP!$B$2:$B$221, $C104, MRP!$G$2:$G$221, J$1),
    SUMIFS(MRP!$J$2:$J$221, MRP!$B$2:$B$221, $C104,  MRP!$G$2:$G$221, J$1),
    SUMIFS(MRP!$K$2:$K$221, MRP!$B$2:$B$221, $C104,  MRP!$G$2:$G$221, J$1),
    SUMIFS(MRP!$L$2:$L$221, MRP!$B$2:$B$221, $C104,  MRP!$G$2:$G$221, J$1)
)*F104</f>
        <v>0</v>
      </c>
      <c r="K104" s="15">
        <f>SUM(
    SUMIFS(MRP!$H$2:$H$221, MRP!$B$2:$B$221, $C104, MRP!$G$2:$G$221, K$1),
    SUMIFS(MRP!$I$2:$I$221, MRP!$B$2:$B$221, $C104, MRP!$G$2:$G$221, K$1),
    SUMIFS(MRP!$J$2:$J$221, MRP!$B$2:$B$221, $C104,  MRP!$G$2:$G$221, K$1),
    SUMIFS(MRP!$K$2:$K$221, MRP!$B$2:$B$221, $C104,  MRP!$G$2:$G$221, K$1),
    SUMIFS(MRP!$L$2:$L$221, MRP!$B$2:$B$221, $C104,  MRP!$G$2:$G$221, K$1)
)*F104</f>
        <v>0</v>
      </c>
      <c r="L104" s="55" t="str">
        <f>TRIM(Tabla3[[#This Row],[CodInternoArti]])</f>
        <v>7790321020290</v>
      </c>
    </row>
    <row r="105" spans="1:12" hidden="1" x14ac:dyDescent="0.35">
      <c r="A105" s="38" t="str">
        <f>IF(ISNUMBER(_xlfn.XMATCH(Tabla3[[#This Row],[CodInternoArti]],'Tabla Articulos'!B:B)),"OK","NO ESTA")</f>
        <v>OK</v>
      </c>
      <c r="B105" s="38" t="str">
        <f>IF(ISNUMBER(_xlfn.XMATCH('Calcular necesidad'!E:E,'Necesidad por familia'!A:A)),"OK","NO ESTA")</f>
        <v>OK</v>
      </c>
      <c r="C105" s="17" t="s">
        <v>614</v>
      </c>
      <c r="D105" s="1" t="s">
        <v>366</v>
      </c>
      <c r="E105" s="1" t="str">
        <f>_xlfn.XLOOKUP(C105,'Tabla Articulos'!B:B,'Tabla Articulos'!D:D)</f>
        <v>TAPA 105</v>
      </c>
      <c r="F105" s="1">
        <f>_xlfn.XLOOKUP(C105,'Tabla Articulos'!B:B,'Tabla Articulos'!E:E)</f>
        <v>100</v>
      </c>
      <c r="G105" s="15">
        <f>SUM(
    SUMIFS(MRP!$H$2:$H$221, MRP!$B$2:$B$221, $C105, MRP!$G$2:$G$221, G$1),
    SUMIFS(MRP!$I$2:$I$221, MRP!$B$2:$B$221, $C105, MRP!$G$2:$G$221, G$1),
    SUMIFS(MRP!$J$2:$J$221, MRP!$B$2:$B$221, $C105,  MRP!$G$2:$G$221, G$1),
    SUMIFS(MRP!$K$2:$K$221, MRP!$B$2:$B$221, $C105,  MRP!$G$2:$G$221, G$1),
    SUMIFS(MRP!$L$2:$L$221, MRP!$B$2:$B$221, $C105,  MRP!$G$2:$G$221, G$1)
)*F105</f>
        <v>0</v>
      </c>
      <c r="H105" s="15">
        <f>SUM(
    SUMIFS(MRP!$H$2:$H$221, MRP!$B$2:$B$221, $C105, MRP!$G$2:$G$221, H$1),
    SUMIFS(MRP!$I$2:$I$221, MRP!$B$2:$B$221, $C105, MRP!$G$2:$G$221, H$1),
    SUMIFS(MRP!$J$2:$J$221, MRP!$B$2:$B$221, $C105,  MRP!$G$2:$G$221, H$1),
    SUMIFS(MRP!$K$2:$K$221, MRP!$B$2:$B$221, $C105,  MRP!$G$2:$G$221, H$1),
    SUMIFS(MRP!$L$2:$L$221, MRP!$B$2:$B$221, $C105,  MRP!$G$2:$G$221, H$1)
)*F105</f>
        <v>1400</v>
      </c>
      <c r="I105" s="15">
        <f>SUM(
    SUMIFS(MRP!$H$2:$H$221, MRP!$B$2:$B$221, $C105, MRP!$G$2:$G$221, I$1),
    SUMIFS(MRP!$I$2:$I$221, MRP!$B$2:$B$221, $C105, MRP!$G$2:$G$221, I$1),
    SUMIFS(MRP!$J$2:$J$221, MRP!$B$2:$B$221, $C105,  MRP!$G$2:$G$221, I$1),
    SUMIFS(MRP!$K$2:$K$221, MRP!$B$2:$B$221, $C105,  MRP!$G$2:$G$221, I$1),
    SUMIFS(MRP!$L$2:$L$221, MRP!$B$2:$B$221, $C105,  MRP!$G$2:$G$221, I$1)
)*F105</f>
        <v>0</v>
      </c>
      <c r="J105" s="15">
        <f>SUM(
    SUMIFS(MRP!$H$2:$H$221, MRP!$B$2:$B$221, $C105, MRP!$G$2:$G$221, J$1),
    SUMIFS(MRP!$I$2:$I$221, MRP!$B$2:$B$221, $C105, MRP!$G$2:$G$221, J$1),
    SUMIFS(MRP!$J$2:$J$221, MRP!$B$2:$B$221, $C105,  MRP!$G$2:$G$221, J$1),
    SUMIFS(MRP!$K$2:$K$221, MRP!$B$2:$B$221, $C105,  MRP!$G$2:$G$221, J$1),
    SUMIFS(MRP!$L$2:$L$221, MRP!$B$2:$B$221, $C105,  MRP!$G$2:$G$221, J$1)
)*F105</f>
        <v>0</v>
      </c>
      <c r="K105" s="15">
        <f>SUM(
    SUMIFS(MRP!$H$2:$H$221, MRP!$B$2:$B$221, $C105, MRP!$G$2:$G$221, K$1),
    SUMIFS(MRP!$I$2:$I$221, MRP!$B$2:$B$221, $C105, MRP!$G$2:$G$221, K$1),
    SUMIFS(MRP!$J$2:$J$221, MRP!$B$2:$B$221, $C105,  MRP!$G$2:$G$221, K$1),
    SUMIFS(MRP!$K$2:$K$221, MRP!$B$2:$B$221, $C105,  MRP!$G$2:$G$221, K$1),
    SUMIFS(MRP!$L$2:$L$221, MRP!$B$2:$B$221, $C105,  MRP!$G$2:$G$221, K$1)
)*F105</f>
        <v>0</v>
      </c>
      <c r="L105" s="55" t="str">
        <f>TRIM(Tabla3[[#This Row],[CodInternoArti]])</f>
        <v>7790321020287</v>
      </c>
    </row>
    <row r="106" spans="1:12" hidden="1" x14ac:dyDescent="0.35">
      <c r="A106" s="38" t="str">
        <f>IF(ISNUMBER(_xlfn.XMATCH(Tabla3[[#This Row],[CodInternoArti]],'Tabla Articulos'!B:B)),"OK","NO ESTA")</f>
        <v>OK</v>
      </c>
      <c r="B106" s="38" t="str">
        <f>IF(ISNUMBER(_xlfn.XMATCH('Calcular necesidad'!E:E,'Necesidad por familia'!A:A)),"OK","NO ESTA")</f>
        <v>OK</v>
      </c>
      <c r="C106" s="17" t="s">
        <v>615</v>
      </c>
      <c r="D106" s="1" t="s">
        <v>517</v>
      </c>
      <c r="E106" s="1" t="str">
        <f>_xlfn.XLOOKUP(C106,'Tabla Articulos'!B:B,'Tabla Articulos'!D:D)</f>
        <v>CAMISETA NEGRA 40X50</v>
      </c>
      <c r="F106" s="1">
        <f>_xlfn.XLOOKUP(C106,'Tabla Articulos'!B:B,'Tabla Articulos'!E:E)</f>
        <v>60</v>
      </c>
      <c r="G106" s="15">
        <f>SUM(
    SUMIFS(MRP!$H$2:$H$221, MRP!$B$2:$B$221, $C106, MRP!$G$2:$G$221, G$1),
    SUMIFS(MRP!$I$2:$I$221, MRP!$B$2:$B$221, $C106, MRP!$G$2:$G$221, G$1),
    SUMIFS(MRP!$J$2:$J$221, MRP!$B$2:$B$221, $C106,  MRP!$G$2:$G$221, G$1),
    SUMIFS(MRP!$K$2:$K$221, MRP!$B$2:$B$221, $C106,  MRP!$G$2:$G$221, G$1),
    SUMIFS(MRP!$L$2:$L$221, MRP!$B$2:$B$221, $C106,  MRP!$G$2:$G$221, G$1)
)*F106</f>
        <v>0</v>
      </c>
      <c r="H106" s="15">
        <f>SUM(
    SUMIFS(MRP!$H$2:$H$221, MRP!$B$2:$B$221, $C106, MRP!$G$2:$G$221, H$1),
    SUMIFS(MRP!$I$2:$I$221, MRP!$B$2:$B$221, $C106, MRP!$G$2:$G$221, H$1),
    SUMIFS(MRP!$J$2:$J$221, MRP!$B$2:$B$221, $C106,  MRP!$G$2:$G$221, H$1),
    SUMIFS(MRP!$K$2:$K$221, MRP!$B$2:$B$221, $C106,  MRP!$G$2:$G$221, H$1),
    SUMIFS(MRP!$L$2:$L$221, MRP!$B$2:$B$221, $C106,  MRP!$G$2:$G$221, H$1)
)*F106</f>
        <v>2940</v>
      </c>
      <c r="I106" s="15">
        <f>SUM(
    SUMIFS(MRP!$H$2:$H$221, MRP!$B$2:$B$221, $C106, MRP!$G$2:$G$221, I$1),
    SUMIFS(MRP!$I$2:$I$221, MRP!$B$2:$B$221, $C106, MRP!$G$2:$G$221, I$1),
    SUMIFS(MRP!$J$2:$J$221, MRP!$B$2:$B$221, $C106,  MRP!$G$2:$G$221, I$1),
    SUMIFS(MRP!$K$2:$K$221, MRP!$B$2:$B$221, $C106,  MRP!$G$2:$G$221, I$1),
    SUMIFS(MRP!$L$2:$L$221, MRP!$B$2:$B$221, $C106,  MRP!$G$2:$G$221, I$1)
)*F106</f>
        <v>0</v>
      </c>
      <c r="J106" s="15">
        <f>SUM(
    SUMIFS(MRP!$H$2:$H$221, MRP!$B$2:$B$221, $C106, MRP!$G$2:$G$221, J$1),
    SUMIFS(MRP!$I$2:$I$221, MRP!$B$2:$B$221, $C106, MRP!$G$2:$G$221, J$1),
    SUMIFS(MRP!$J$2:$J$221, MRP!$B$2:$B$221, $C106,  MRP!$G$2:$G$221, J$1),
    SUMIFS(MRP!$K$2:$K$221, MRP!$B$2:$B$221, $C106,  MRP!$G$2:$G$221, J$1),
    SUMIFS(MRP!$L$2:$L$221, MRP!$B$2:$B$221, $C106,  MRP!$G$2:$G$221, J$1)
)*F106</f>
        <v>0</v>
      </c>
      <c r="K106" s="15">
        <f>SUM(
    SUMIFS(MRP!$H$2:$H$221, MRP!$B$2:$B$221, $C106, MRP!$G$2:$G$221, K$1),
    SUMIFS(MRP!$I$2:$I$221, MRP!$B$2:$B$221, $C106, MRP!$G$2:$G$221, K$1),
    SUMIFS(MRP!$J$2:$J$221, MRP!$B$2:$B$221, $C106,  MRP!$G$2:$G$221, K$1),
    SUMIFS(MRP!$K$2:$K$221, MRP!$B$2:$B$221, $C106,  MRP!$G$2:$G$221, K$1),
    SUMIFS(MRP!$L$2:$L$221, MRP!$B$2:$B$221, $C106,  MRP!$G$2:$G$221, K$1)
)*F106</f>
        <v>0</v>
      </c>
      <c r="L106" s="55" t="str">
        <f>TRIM(Tabla3[[#This Row],[CodInternoArti]])</f>
        <v>7790321020147</v>
      </c>
    </row>
    <row r="107" spans="1:12" hidden="1" x14ac:dyDescent="0.35">
      <c r="A107" s="38" t="str">
        <f>IF(ISNUMBER(_xlfn.XMATCH(Tabla3[[#This Row],[CodInternoArti]],'Tabla Articulos'!B:B)),"OK","NO ESTA")</f>
        <v>OK</v>
      </c>
      <c r="B107" s="38" t="str">
        <f>IF(ISNUMBER(_xlfn.XMATCH('Calcular necesidad'!E:E,'Necesidad por familia'!A:A)),"OK","NO ESTA")</f>
        <v>OK</v>
      </c>
      <c r="C107" s="17" t="s">
        <v>616</v>
      </c>
      <c r="D107" s="1" t="s">
        <v>418</v>
      </c>
      <c r="E107" s="1" t="str">
        <f>_xlfn.XLOOKUP(C107,'Tabla Articulos'!B:B,'Tabla Articulos'!D:D)</f>
        <v>TAPA ENSALADERA CRISTAL</v>
      </c>
      <c r="F107" s="1">
        <f>_xlfn.XLOOKUP(C107,'Tabla Articulos'!B:B,'Tabla Articulos'!E:E)</f>
        <v>100</v>
      </c>
      <c r="G107" s="15">
        <f>SUM(
    SUMIFS(MRP!$H$2:$H$221, MRP!$B$2:$B$221, $C107, MRP!$G$2:$G$221, G$1),
    SUMIFS(MRP!$I$2:$I$221, MRP!$B$2:$B$221, $C107, MRP!$G$2:$G$221, G$1),
    SUMIFS(MRP!$J$2:$J$221, MRP!$B$2:$B$221, $C107,  MRP!$G$2:$G$221, G$1),
    SUMIFS(MRP!$K$2:$K$221, MRP!$B$2:$B$221, $C107,  MRP!$G$2:$G$221, G$1),
    SUMIFS(MRP!$L$2:$L$221, MRP!$B$2:$B$221, $C107,  MRP!$G$2:$G$221, G$1)
)*F107</f>
        <v>0</v>
      </c>
      <c r="H107" s="15">
        <f>SUM(
    SUMIFS(MRP!$H$2:$H$221, MRP!$B$2:$B$221, $C107, MRP!$G$2:$G$221, H$1),
    SUMIFS(MRP!$I$2:$I$221, MRP!$B$2:$B$221, $C107, MRP!$G$2:$G$221, H$1),
    SUMIFS(MRP!$J$2:$J$221, MRP!$B$2:$B$221, $C107,  MRP!$G$2:$G$221, H$1),
    SUMIFS(MRP!$K$2:$K$221, MRP!$B$2:$B$221, $C107,  MRP!$G$2:$G$221, H$1),
    SUMIFS(MRP!$L$2:$L$221, MRP!$B$2:$B$221, $C107,  MRP!$G$2:$G$221, H$1)
)*F107</f>
        <v>20000</v>
      </c>
      <c r="I107" s="15">
        <f>SUM(
    SUMIFS(MRP!$H$2:$H$221, MRP!$B$2:$B$221, $C107, MRP!$G$2:$G$221, I$1),
    SUMIFS(MRP!$I$2:$I$221, MRP!$B$2:$B$221, $C107, MRP!$G$2:$G$221, I$1),
    SUMIFS(MRP!$J$2:$J$221, MRP!$B$2:$B$221, $C107,  MRP!$G$2:$G$221, I$1),
    SUMIFS(MRP!$K$2:$K$221, MRP!$B$2:$B$221, $C107,  MRP!$G$2:$G$221, I$1),
    SUMIFS(MRP!$L$2:$L$221, MRP!$B$2:$B$221, $C107,  MRP!$G$2:$G$221, I$1)
)*F107</f>
        <v>0</v>
      </c>
      <c r="J107" s="15">
        <f>SUM(
    SUMIFS(MRP!$H$2:$H$221, MRP!$B$2:$B$221, $C107, MRP!$G$2:$G$221, J$1),
    SUMIFS(MRP!$I$2:$I$221, MRP!$B$2:$B$221, $C107, MRP!$G$2:$G$221, J$1),
    SUMIFS(MRP!$J$2:$J$221, MRP!$B$2:$B$221, $C107,  MRP!$G$2:$G$221, J$1),
    SUMIFS(MRP!$K$2:$K$221, MRP!$B$2:$B$221, $C107,  MRP!$G$2:$G$221, J$1),
    SUMIFS(MRP!$L$2:$L$221, MRP!$B$2:$B$221, $C107,  MRP!$G$2:$G$221, J$1)
)*F107</f>
        <v>0</v>
      </c>
      <c r="K107" s="15">
        <f>SUM(
    SUMIFS(MRP!$H$2:$H$221, MRP!$B$2:$B$221, $C107, MRP!$G$2:$G$221, K$1),
    SUMIFS(MRP!$I$2:$I$221, MRP!$B$2:$B$221, $C107, MRP!$G$2:$G$221, K$1),
    SUMIFS(MRP!$J$2:$J$221, MRP!$B$2:$B$221, $C107,  MRP!$G$2:$G$221, K$1),
    SUMIFS(MRP!$K$2:$K$221, MRP!$B$2:$B$221, $C107,  MRP!$G$2:$G$221, K$1),
    SUMIFS(MRP!$L$2:$L$221, MRP!$B$2:$B$221, $C107,  MRP!$G$2:$G$221, K$1)
)*F107</f>
        <v>0</v>
      </c>
      <c r="L107" s="55" t="str">
        <f>TRIM(Tabla3[[#This Row],[CodInternoArti]])</f>
        <v>779032011155</v>
      </c>
    </row>
    <row r="108" spans="1:12" hidden="1" x14ac:dyDescent="0.35">
      <c r="A108" s="38" t="str">
        <f>IF(ISNUMBER(_xlfn.XMATCH(Tabla3[[#This Row],[CodInternoArti]],'Tabla Articulos'!B:B)),"OK","NO ESTA")</f>
        <v>OK</v>
      </c>
      <c r="B108" s="38" t="str">
        <f>IF(ISNUMBER(_xlfn.XMATCH('Calcular necesidad'!E:E,'Necesidad por familia'!A:A)),"OK","NO ESTA")</f>
        <v>OK</v>
      </c>
      <c r="C108" s="17" t="s">
        <v>617</v>
      </c>
      <c r="D108" s="1" t="s">
        <v>422</v>
      </c>
      <c r="E108" s="1" t="str">
        <f>_xlfn.XLOOKUP(C108,'Tabla Articulos'!B:B,'Tabla Articulos'!D:D)</f>
        <v>MANGAS DESCARTABLES</v>
      </c>
      <c r="F108" s="1">
        <f>_xlfn.XLOOKUP(C108,'Tabla Articulos'!B:B,'Tabla Articulos'!E:E)</f>
        <v>50</v>
      </c>
      <c r="G108" s="15">
        <f>SUM(
    SUMIFS(MRP!$H$2:$H$221, MRP!$B$2:$B$221, $C108, MRP!$G$2:$G$221, G$1),
    SUMIFS(MRP!$I$2:$I$221, MRP!$B$2:$B$221, $C108, MRP!$G$2:$G$221, G$1),
    SUMIFS(MRP!$J$2:$J$221, MRP!$B$2:$B$221, $C108,  MRP!$G$2:$G$221, G$1),
    SUMIFS(MRP!$K$2:$K$221, MRP!$B$2:$B$221, $C108,  MRP!$G$2:$G$221, G$1),
    SUMIFS(MRP!$L$2:$L$221, MRP!$B$2:$B$221, $C108,  MRP!$G$2:$G$221, G$1)
)*F108</f>
        <v>0</v>
      </c>
      <c r="H108" s="15">
        <f>SUM(
    SUMIFS(MRP!$H$2:$H$221, MRP!$B$2:$B$221, $C108, MRP!$G$2:$G$221, H$1),
    SUMIFS(MRP!$I$2:$I$221, MRP!$B$2:$B$221, $C108, MRP!$G$2:$G$221, H$1),
    SUMIFS(MRP!$J$2:$J$221, MRP!$B$2:$B$221, $C108,  MRP!$G$2:$G$221, H$1),
    SUMIFS(MRP!$K$2:$K$221, MRP!$B$2:$B$221, $C108,  MRP!$G$2:$G$221, H$1),
    SUMIFS(MRP!$L$2:$L$221, MRP!$B$2:$B$221, $C108,  MRP!$G$2:$G$221, H$1)
)*F108</f>
        <v>300</v>
      </c>
      <c r="I108" s="15">
        <f>SUM(
    SUMIFS(MRP!$H$2:$H$221, MRP!$B$2:$B$221, $C108, MRP!$G$2:$G$221, I$1),
    SUMIFS(MRP!$I$2:$I$221, MRP!$B$2:$B$221, $C108, MRP!$G$2:$G$221, I$1),
    SUMIFS(MRP!$J$2:$J$221, MRP!$B$2:$B$221, $C108,  MRP!$G$2:$G$221, I$1),
    SUMIFS(MRP!$K$2:$K$221, MRP!$B$2:$B$221, $C108,  MRP!$G$2:$G$221, I$1),
    SUMIFS(MRP!$L$2:$L$221, MRP!$B$2:$B$221, $C108,  MRP!$G$2:$G$221, I$1)
)*F108</f>
        <v>0</v>
      </c>
      <c r="J108" s="15">
        <f>SUM(
    SUMIFS(MRP!$H$2:$H$221, MRP!$B$2:$B$221, $C108, MRP!$G$2:$G$221, J$1),
    SUMIFS(MRP!$I$2:$I$221, MRP!$B$2:$B$221, $C108, MRP!$G$2:$G$221, J$1),
    SUMIFS(MRP!$J$2:$J$221, MRP!$B$2:$B$221, $C108,  MRP!$G$2:$G$221, J$1),
    SUMIFS(MRP!$K$2:$K$221, MRP!$B$2:$B$221, $C108,  MRP!$G$2:$G$221, J$1),
    SUMIFS(MRP!$L$2:$L$221, MRP!$B$2:$B$221, $C108,  MRP!$G$2:$G$221, J$1)
)*F108</f>
        <v>0</v>
      </c>
      <c r="K108" s="15">
        <f>SUM(
    SUMIFS(MRP!$H$2:$H$221, MRP!$B$2:$B$221, $C108, MRP!$G$2:$G$221, K$1),
    SUMIFS(MRP!$I$2:$I$221, MRP!$B$2:$B$221, $C108, MRP!$G$2:$G$221, K$1),
    SUMIFS(MRP!$J$2:$J$221, MRP!$B$2:$B$221, $C108,  MRP!$G$2:$G$221, K$1),
    SUMIFS(MRP!$K$2:$K$221, MRP!$B$2:$B$221, $C108,  MRP!$G$2:$G$221, K$1),
    SUMIFS(MRP!$L$2:$L$221, MRP!$B$2:$B$221, $C108,  MRP!$G$2:$G$221, K$1)
)*F108</f>
        <v>0</v>
      </c>
      <c r="L108" s="55" t="str">
        <f>TRIM(Tabla3[[#This Row],[CodInternoArti]])</f>
        <v>7981889753416</v>
      </c>
    </row>
    <row r="109" spans="1:12" hidden="1" x14ac:dyDescent="0.35">
      <c r="A109" s="38" t="str">
        <f>IF(ISNUMBER(_xlfn.XMATCH(Tabla3[[#This Row],[CodInternoArti]],'Tabla Articulos'!B:B)),"OK","NO ESTA")</f>
        <v>OK</v>
      </c>
      <c r="B109" s="38" t="str">
        <f>IF(ISNUMBER(_xlfn.XMATCH('Calcular necesidad'!E:E,'Necesidad por familia'!A:A)),"OK","NO ESTA")</f>
        <v>OK</v>
      </c>
      <c r="C109" s="17" t="s">
        <v>433</v>
      </c>
      <c r="D109" s="1" t="s">
        <v>434</v>
      </c>
      <c r="E109" s="1" t="str">
        <f>_xlfn.XLOOKUP(C109,'Tabla Articulos'!B:B,'Tabla Articulos'!D:D)</f>
        <v>TAPA ENSALADERA CRISTAL</v>
      </c>
      <c r="F109" s="1">
        <f>_xlfn.XLOOKUP(C109,'Tabla Articulos'!B:B,'Tabla Articulos'!E:E)</f>
        <v>600</v>
      </c>
      <c r="G109" s="15">
        <f>SUM(
    SUMIFS(MRP!$H$2:$H$221, MRP!$B$2:$B$221, $C109, MRP!$G$2:$G$221, G$1),
    SUMIFS(MRP!$I$2:$I$221, MRP!$B$2:$B$221, $C109, MRP!$G$2:$G$221, G$1),
    SUMIFS(MRP!$J$2:$J$221, MRP!$B$2:$B$221, $C109,  MRP!$G$2:$G$221, G$1),
    SUMIFS(MRP!$K$2:$K$221, MRP!$B$2:$B$221, $C109,  MRP!$G$2:$G$221, G$1),
    SUMIFS(MRP!$L$2:$L$221, MRP!$B$2:$B$221, $C109,  MRP!$G$2:$G$221, G$1)
)*F109</f>
        <v>0</v>
      </c>
      <c r="H109" s="15">
        <f>SUM(
    SUMIFS(MRP!$H$2:$H$221, MRP!$B$2:$B$221, $C109, MRP!$G$2:$G$221, H$1),
    SUMIFS(MRP!$I$2:$I$221, MRP!$B$2:$B$221, $C109, MRP!$G$2:$G$221, H$1),
    SUMIFS(MRP!$J$2:$J$221, MRP!$B$2:$B$221, $C109,  MRP!$G$2:$G$221, H$1),
    SUMIFS(MRP!$K$2:$K$221, MRP!$B$2:$B$221, $C109,  MRP!$G$2:$G$221, H$1),
    SUMIFS(MRP!$L$2:$L$221, MRP!$B$2:$B$221, $C109,  MRP!$G$2:$G$221, H$1)
)*F109</f>
        <v>1200</v>
      </c>
      <c r="I109" s="15">
        <f>SUM(
    SUMIFS(MRP!$H$2:$H$221, MRP!$B$2:$B$221, $C109, MRP!$G$2:$G$221, I$1),
    SUMIFS(MRP!$I$2:$I$221, MRP!$B$2:$B$221, $C109, MRP!$G$2:$G$221, I$1),
    SUMIFS(MRP!$J$2:$J$221, MRP!$B$2:$B$221, $C109,  MRP!$G$2:$G$221, I$1),
    SUMIFS(MRP!$K$2:$K$221, MRP!$B$2:$B$221, $C109,  MRP!$G$2:$G$221, I$1),
    SUMIFS(MRP!$L$2:$L$221, MRP!$B$2:$B$221, $C109,  MRP!$G$2:$G$221, I$1)
)*F109</f>
        <v>0</v>
      </c>
      <c r="J109" s="15">
        <f>SUM(
    SUMIFS(MRP!$H$2:$H$221, MRP!$B$2:$B$221, $C109, MRP!$G$2:$G$221, J$1),
    SUMIFS(MRP!$I$2:$I$221, MRP!$B$2:$B$221, $C109, MRP!$G$2:$G$221, J$1),
    SUMIFS(MRP!$J$2:$J$221, MRP!$B$2:$B$221, $C109,  MRP!$G$2:$G$221, J$1),
    SUMIFS(MRP!$K$2:$K$221, MRP!$B$2:$B$221, $C109,  MRP!$G$2:$G$221, J$1),
    SUMIFS(MRP!$L$2:$L$221, MRP!$B$2:$B$221, $C109,  MRP!$G$2:$G$221, J$1)
)*F109</f>
        <v>0</v>
      </c>
      <c r="K109" s="15">
        <f>SUM(
    SUMIFS(MRP!$H$2:$H$221, MRP!$B$2:$B$221, $C109, MRP!$G$2:$G$221, K$1),
    SUMIFS(MRP!$I$2:$I$221, MRP!$B$2:$B$221, $C109, MRP!$G$2:$G$221, K$1),
    SUMIFS(MRP!$J$2:$J$221, MRP!$B$2:$B$221, $C109,  MRP!$G$2:$G$221, K$1),
    SUMIFS(MRP!$K$2:$K$221, MRP!$B$2:$B$221, $C109,  MRP!$G$2:$G$221, K$1),
    SUMIFS(MRP!$L$2:$L$221, MRP!$B$2:$B$221, $C109,  MRP!$G$2:$G$221, K$1)
)*F109</f>
        <v>0</v>
      </c>
      <c r="L109" s="55" t="str">
        <f>TRIM(Tabla3[[#This Row],[CodInternoArti]])</f>
        <v>BAZ00011</v>
      </c>
    </row>
    <row r="110" spans="1:12" hidden="1" x14ac:dyDescent="0.35">
      <c r="A110" s="38" t="str">
        <f>IF(ISNUMBER(_xlfn.XMATCH(Tabla3[[#This Row],[CodInternoArti]],'Tabla Articulos'!B:B)),"OK","NO ESTA")</f>
        <v>OK</v>
      </c>
      <c r="B110" s="38" t="str">
        <f>IF(ISNUMBER(_xlfn.XMATCH('Calcular necesidad'!E:E,'Necesidad por familia'!A:A)),"OK","NO ESTA")</f>
        <v>OK</v>
      </c>
      <c r="C110" s="17" t="s">
        <v>414</v>
      </c>
      <c r="D110" s="1" t="s">
        <v>415</v>
      </c>
      <c r="E110" s="1" t="str">
        <f>_xlfn.XLOOKUP(C110,'Tabla Articulos'!B:B,'Tabla Articulos'!D:D)</f>
        <v>MANGAS DESCARTABLES</v>
      </c>
      <c r="F110" s="1">
        <f>_xlfn.XLOOKUP(C110,'Tabla Articulos'!B:B,'Tabla Articulos'!E:E)</f>
        <v>25</v>
      </c>
      <c r="G110" s="15">
        <f>SUM(
    SUMIFS(MRP!$H$2:$H$221, MRP!$B$2:$B$221, $C110, MRP!$G$2:$G$221, G$1),
    SUMIFS(MRP!$I$2:$I$221, MRP!$B$2:$B$221, $C110, MRP!$G$2:$G$221, G$1),
    SUMIFS(MRP!$J$2:$J$221, MRP!$B$2:$B$221, $C110,  MRP!$G$2:$G$221, G$1),
    SUMIFS(MRP!$K$2:$K$221, MRP!$B$2:$B$221, $C110,  MRP!$G$2:$G$221, G$1),
    SUMIFS(MRP!$L$2:$L$221, MRP!$B$2:$B$221, $C110,  MRP!$G$2:$G$221, G$1)
)*F110</f>
        <v>0</v>
      </c>
      <c r="H110" s="15">
        <f>SUM(
    SUMIFS(MRP!$H$2:$H$221, MRP!$B$2:$B$221, $C110, MRP!$G$2:$G$221, H$1),
    SUMIFS(MRP!$I$2:$I$221, MRP!$B$2:$B$221, $C110, MRP!$G$2:$G$221, H$1),
    SUMIFS(MRP!$J$2:$J$221, MRP!$B$2:$B$221, $C110,  MRP!$G$2:$G$221, H$1),
    SUMIFS(MRP!$K$2:$K$221, MRP!$B$2:$B$221, $C110,  MRP!$G$2:$G$221, H$1),
    SUMIFS(MRP!$L$2:$L$221, MRP!$B$2:$B$221, $C110,  MRP!$G$2:$G$221, H$1)
)*F110</f>
        <v>100</v>
      </c>
      <c r="I110" s="15">
        <f>SUM(
    SUMIFS(MRP!$H$2:$H$221, MRP!$B$2:$B$221, $C110, MRP!$G$2:$G$221, I$1),
    SUMIFS(MRP!$I$2:$I$221, MRP!$B$2:$B$221, $C110, MRP!$G$2:$G$221, I$1),
    SUMIFS(MRP!$J$2:$J$221, MRP!$B$2:$B$221, $C110,  MRP!$G$2:$G$221, I$1),
    SUMIFS(MRP!$K$2:$K$221, MRP!$B$2:$B$221, $C110,  MRP!$G$2:$G$221, I$1),
    SUMIFS(MRP!$L$2:$L$221, MRP!$B$2:$B$221, $C110,  MRP!$G$2:$G$221, I$1)
)*F110</f>
        <v>0</v>
      </c>
      <c r="J110" s="15">
        <f>SUM(
    SUMIFS(MRP!$H$2:$H$221, MRP!$B$2:$B$221, $C110, MRP!$G$2:$G$221, J$1),
    SUMIFS(MRP!$I$2:$I$221, MRP!$B$2:$B$221, $C110, MRP!$G$2:$G$221, J$1),
    SUMIFS(MRP!$J$2:$J$221, MRP!$B$2:$B$221, $C110,  MRP!$G$2:$G$221, J$1),
    SUMIFS(MRP!$K$2:$K$221, MRP!$B$2:$B$221, $C110,  MRP!$G$2:$G$221, J$1),
    SUMIFS(MRP!$L$2:$L$221, MRP!$B$2:$B$221, $C110,  MRP!$G$2:$G$221, J$1)
)*F110</f>
        <v>0</v>
      </c>
      <c r="K110" s="15">
        <f>SUM(
    SUMIFS(MRP!$H$2:$H$221, MRP!$B$2:$B$221, $C110, MRP!$G$2:$G$221, K$1),
    SUMIFS(MRP!$I$2:$I$221, MRP!$B$2:$B$221, $C110, MRP!$G$2:$G$221, K$1),
    SUMIFS(MRP!$J$2:$J$221, MRP!$B$2:$B$221, $C110,  MRP!$G$2:$G$221, K$1),
    SUMIFS(MRP!$K$2:$K$221, MRP!$B$2:$B$221, $C110,  MRP!$G$2:$G$221, K$1),
    SUMIFS(MRP!$L$2:$L$221, MRP!$B$2:$B$221, $C110,  MRP!$G$2:$G$221, K$1)
)*F110</f>
        <v>0</v>
      </c>
      <c r="L110" s="55" t="str">
        <f>TRIM(Tabla3[[#This Row],[CodInternoArti]])</f>
        <v>BAZ000712</v>
      </c>
    </row>
    <row r="111" spans="1:12" hidden="1" x14ac:dyDescent="0.35">
      <c r="A111" s="38" t="str">
        <f>IF(ISNUMBER(_xlfn.XMATCH(Tabla3[[#This Row],[CodInternoArti]],'Tabla Articulos'!B:B)),"OK","NO ESTA")</f>
        <v>OK</v>
      </c>
      <c r="B111" s="38" t="str">
        <f>IF(ISNUMBER(_xlfn.XMATCH('Calcular necesidad'!E:E,'Necesidad por familia'!A:A)),"OK","NO ESTA")</f>
        <v>OK</v>
      </c>
      <c r="C111" s="17" t="s">
        <v>618</v>
      </c>
      <c r="D111" s="1" t="s">
        <v>619</v>
      </c>
      <c r="E111" s="1" t="str">
        <f>_xlfn.XLOOKUP(C111,'Tabla Articulos'!B:B,'Tabla Articulos'!D:D)</f>
        <v>MANGAS DESCARTABLES</v>
      </c>
      <c r="F111" s="1">
        <f>_xlfn.XLOOKUP(C111,'Tabla Articulos'!B:B,'Tabla Articulos'!E:E)</f>
        <v>25</v>
      </c>
      <c r="G111" s="15">
        <f>SUM(
    SUMIFS(MRP!$H$2:$H$221, MRP!$B$2:$B$221, $C111, MRP!$G$2:$G$221, G$1),
    SUMIFS(MRP!$I$2:$I$221, MRP!$B$2:$B$221, $C111, MRP!$G$2:$G$221, G$1),
    SUMIFS(MRP!$J$2:$J$221, MRP!$B$2:$B$221, $C111,  MRP!$G$2:$G$221, G$1),
    SUMIFS(MRP!$K$2:$K$221, MRP!$B$2:$B$221, $C111,  MRP!$G$2:$G$221, G$1),
    SUMIFS(MRP!$L$2:$L$221, MRP!$B$2:$B$221, $C111,  MRP!$G$2:$G$221, G$1)
)*F111</f>
        <v>0</v>
      </c>
      <c r="H111" s="15">
        <f>SUM(
    SUMIFS(MRP!$H$2:$H$221, MRP!$B$2:$B$221, $C111, MRP!$G$2:$G$221, H$1),
    SUMIFS(MRP!$I$2:$I$221, MRP!$B$2:$B$221, $C111, MRP!$G$2:$G$221, H$1),
    SUMIFS(MRP!$J$2:$J$221, MRP!$B$2:$B$221, $C111,  MRP!$G$2:$G$221, H$1),
    SUMIFS(MRP!$K$2:$K$221, MRP!$B$2:$B$221, $C111,  MRP!$G$2:$G$221, H$1),
    SUMIFS(MRP!$L$2:$L$221, MRP!$B$2:$B$221, $C111,  MRP!$G$2:$G$221, H$1)
)*F111</f>
        <v>0</v>
      </c>
      <c r="I111" s="15">
        <f>SUM(
    SUMIFS(MRP!$H$2:$H$221, MRP!$B$2:$B$221, $C111, MRP!$G$2:$G$221, I$1),
    SUMIFS(MRP!$I$2:$I$221, MRP!$B$2:$B$221, $C111, MRP!$G$2:$G$221, I$1),
    SUMIFS(MRP!$J$2:$J$221, MRP!$B$2:$B$221, $C111,  MRP!$G$2:$G$221, I$1),
    SUMIFS(MRP!$K$2:$K$221, MRP!$B$2:$B$221, $C111,  MRP!$G$2:$G$221, I$1),
    SUMIFS(MRP!$L$2:$L$221, MRP!$B$2:$B$221, $C111,  MRP!$G$2:$G$221, I$1)
)*F111</f>
        <v>0</v>
      </c>
      <c r="J111" s="15">
        <f>SUM(
    SUMIFS(MRP!$H$2:$H$221, MRP!$B$2:$B$221, $C111, MRP!$G$2:$G$221, J$1),
    SUMIFS(MRP!$I$2:$I$221, MRP!$B$2:$B$221, $C111, MRP!$G$2:$G$221, J$1),
    SUMIFS(MRP!$J$2:$J$221, MRP!$B$2:$B$221, $C111,  MRP!$G$2:$G$221, J$1),
    SUMIFS(MRP!$K$2:$K$221, MRP!$B$2:$B$221, $C111,  MRP!$G$2:$G$221, J$1),
    SUMIFS(MRP!$L$2:$L$221, MRP!$B$2:$B$221, $C111,  MRP!$G$2:$G$221, J$1)
)*F111</f>
        <v>0</v>
      </c>
      <c r="K111" s="15">
        <f>SUM(
    SUMIFS(MRP!$H$2:$H$221, MRP!$B$2:$B$221, $C111, MRP!$G$2:$G$221, K$1),
    SUMIFS(MRP!$I$2:$I$221, MRP!$B$2:$B$221, $C111, MRP!$G$2:$G$221, K$1),
    SUMIFS(MRP!$J$2:$J$221, MRP!$B$2:$B$221, $C111,  MRP!$G$2:$G$221, K$1),
    SUMIFS(MRP!$K$2:$K$221, MRP!$B$2:$B$221, $C111,  MRP!$G$2:$G$221, K$1),
    SUMIFS(MRP!$L$2:$L$221, MRP!$B$2:$B$221, $C111,  MRP!$G$2:$G$221, K$1)
)*F111</f>
        <v>0</v>
      </c>
      <c r="L111" s="55" t="str">
        <f>TRIM(Tabla3[[#This Row],[CodInternoArti]])</f>
        <v>7798934234564</v>
      </c>
    </row>
    <row r="112" spans="1:12" hidden="1" x14ac:dyDescent="0.35">
      <c r="A112" s="38" t="str">
        <f>IF(ISNUMBER(_xlfn.XMATCH(Tabla3[[#This Row],[CodInternoArti]],'Tabla Articulos'!B:B)),"OK","NO ESTA")</f>
        <v>OK</v>
      </c>
      <c r="B112" s="38" t="str">
        <f>IF(ISNUMBER(_xlfn.XMATCH('Calcular necesidad'!E:E,'Necesidad por familia'!A:A)),"OK","NO ESTA")</f>
        <v>OK</v>
      </c>
      <c r="C112" s="17" t="s">
        <v>438</v>
      </c>
      <c r="D112" s="1" t="s">
        <v>439</v>
      </c>
      <c r="E112" s="1" t="str">
        <f>_xlfn.XLOOKUP(C112,'Tabla Articulos'!B:B,'Tabla Articulos'!D:D)</f>
        <v>BASE ENSALADERA CRISTAL</v>
      </c>
      <c r="F112" s="1">
        <f>_xlfn.XLOOKUP(C112,'Tabla Articulos'!B:B,'Tabla Articulos'!E:E)</f>
        <v>600</v>
      </c>
      <c r="G112" s="15">
        <f>SUM(
    SUMIFS(MRP!$H$2:$H$221, MRP!$B$2:$B$221, $C112, MRP!$G$2:$G$221, G$1),
    SUMIFS(MRP!$I$2:$I$221, MRP!$B$2:$B$221, $C112, MRP!$G$2:$G$221, G$1),
    SUMIFS(MRP!$J$2:$J$221, MRP!$B$2:$B$221, $C112,  MRP!$G$2:$G$221, G$1),
    SUMIFS(MRP!$K$2:$K$221, MRP!$B$2:$B$221, $C112,  MRP!$G$2:$G$221, G$1),
    SUMIFS(MRP!$L$2:$L$221, MRP!$B$2:$B$221, $C112,  MRP!$G$2:$G$221, G$1)
)*F112</f>
        <v>0</v>
      </c>
      <c r="H112" s="15">
        <f>SUM(
    SUMIFS(MRP!$H$2:$H$221, MRP!$B$2:$B$221, $C112, MRP!$G$2:$G$221, H$1),
    SUMIFS(MRP!$I$2:$I$221, MRP!$B$2:$B$221, $C112, MRP!$G$2:$G$221, H$1),
    SUMIFS(MRP!$J$2:$J$221, MRP!$B$2:$B$221, $C112,  MRP!$G$2:$G$221, H$1),
    SUMIFS(MRP!$K$2:$K$221, MRP!$B$2:$B$221, $C112,  MRP!$G$2:$G$221, H$1),
    SUMIFS(MRP!$L$2:$L$221, MRP!$B$2:$B$221, $C112,  MRP!$G$2:$G$221, H$1)
)*F112</f>
        <v>1200</v>
      </c>
      <c r="I112" s="15">
        <f>SUM(
    SUMIFS(MRP!$H$2:$H$221, MRP!$B$2:$B$221, $C112, MRP!$G$2:$G$221, I$1),
    SUMIFS(MRP!$I$2:$I$221, MRP!$B$2:$B$221, $C112, MRP!$G$2:$G$221, I$1),
    SUMIFS(MRP!$J$2:$J$221, MRP!$B$2:$B$221, $C112,  MRP!$G$2:$G$221, I$1),
    SUMIFS(MRP!$K$2:$K$221, MRP!$B$2:$B$221, $C112,  MRP!$G$2:$G$221, I$1),
    SUMIFS(MRP!$L$2:$L$221, MRP!$B$2:$B$221, $C112,  MRP!$G$2:$G$221, I$1)
)*F112</f>
        <v>0</v>
      </c>
      <c r="J112" s="15">
        <f>SUM(
    SUMIFS(MRP!$H$2:$H$221, MRP!$B$2:$B$221, $C112, MRP!$G$2:$G$221, J$1),
    SUMIFS(MRP!$I$2:$I$221, MRP!$B$2:$B$221, $C112, MRP!$G$2:$G$221, J$1),
    SUMIFS(MRP!$J$2:$J$221, MRP!$B$2:$B$221, $C112,  MRP!$G$2:$G$221, J$1),
    SUMIFS(MRP!$K$2:$K$221, MRP!$B$2:$B$221, $C112,  MRP!$G$2:$G$221, J$1),
    SUMIFS(MRP!$L$2:$L$221, MRP!$B$2:$B$221, $C112,  MRP!$G$2:$G$221, J$1)
)*F112</f>
        <v>0</v>
      </c>
      <c r="K112" s="15">
        <f>SUM(
    SUMIFS(MRP!$H$2:$H$221, MRP!$B$2:$B$221, $C112, MRP!$G$2:$G$221, K$1),
    SUMIFS(MRP!$I$2:$I$221, MRP!$B$2:$B$221, $C112, MRP!$G$2:$G$221, K$1),
    SUMIFS(MRP!$J$2:$J$221, MRP!$B$2:$B$221, $C112,  MRP!$G$2:$G$221, K$1),
    SUMIFS(MRP!$K$2:$K$221, MRP!$B$2:$B$221, $C112,  MRP!$G$2:$G$221, K$1),
    SUMIFS(MRP!$L$2:$L$221, MRP!$B$2:$B$221, $C112,  MRP!$G$2:$G$221, K$1)
)*F112</f>
        <v>0</v>
      </c>
      <c r="L112" s="55" t="str">
        <f>TRIM(Tabla3[[#This Row],[CodInternoArti]])</f>
        <v>105445B</v>
      </c>
    </row>
    <row r="113" spans="1:12" hidden="1" x14ac:dyDescent="0.35">
      <c r="A113" s="38" t="str">
        <f>IF(ISNUMBER(_xlfn.XMATCH(Tabla3[[#This Row],[CodInternoArti]],'Tabla Articulos'!B:B)),"OK","NO ESTA")</f>
        <v>OK</v>
      </c>
      <c r="B113" s="38" t="str">
        <f>IF(ISNUMBER(_xlfn.XMATCH('Calcular necesidad'!E:E,'Necesidad por familia'!A:A)),"OK","NO ESTA")</f>
        <v>OK</v>
      </c>
      <c r="C113" s="17" t="s">
        <v>620</v>
      </c>
      <c r="D113" s="1" t="s">
        <v>395</v>
      </c>
      <c r="E113" s="1" t="str">
        <f>_xlfn.XLOOKUP(C113,'Tabla Articulos'!B:B,'Tabla Articulos'!D:D)</f>
        <v>SERVILLETA 33X33 NUTRIRE</v>
      </c>
      <c r="F113" s="1">
        <f>_xlfn.XLOOKUP(C113,'Tabla Articulos'!B:B,'Tabla Articulos'!E:E)</f>
        <v>1000</v>
      </c>
      <c r="G113" s="15">
        <f>SUM(
    SUMIFS(MRP!$H$2:$H$221, MRP!$B$2:$B$221, $C113, MRP!$G$2:$G$221, G$1),
    SUMIFS(MRP!$I$2:$I$221, MRP!$B$2:$B$221, $C113, MRP!$G$2:$G$221, G$1),
    SUMIFS(MRP!$J$2:$J$221, MRP!$B$2:$B$221, $C113,  MRP!$G$2:$G$221, G$1),
    SUMIFS(MRP!$K$2:$K$221, MRP!$B$2:$B$221, $C113,  MRP!$G$2:$G$221, G$1),
    SUMIFS(MRP!$L$2:$L$221, MRP!$B$2:$B$221, $C113,  MRP!$G$2:$G$221, G$1)
)*F113</f>
        <v>0</v>
      </c>
      <c r="H113" s="15">
        <f>SUM(
    SUMIFS(MRP!$H$2:$H$221, MRP!$B$2:$B$221, $C113, MRP!$G$2:$G$221, H$1),
    SUMIFS(MRP!$I$2:$I$221, MRP!$B$2:$B$221, $C113, MRP!$G$2:$G$221, H$1),
    SUMIFS(MRP!$J$2:$J$221, MRP!$B$2:$B$221, $C113,  MRP!$G$2:$G$221, H$1),
    SUMIFS(MRP!$K$2:$K$221, MRP!$B$2:$B$221, $C113,  MRP!$G$2:$G$221, H$1),
    SUMIFS(MRP!$L$2:$L$221, MRP!$B$2:$B$221, $C113,  MRP!$G$2:$G$221, H$1)
)*F113</f>
        <v>44000</v>
      </c>
      <c r="I113" s="15">
        <f>SUM(
    SUMIFS(MRP!$H$2:$H$221, MRP!$B$2:$B$221, $C113, MRP!$G$2:$G$221, I$1),
    SUMIFS(MRP!$I$2:$I$221, MRP!$B$2:$B$221, $C113, MRP!$G$2:$G$221, I$1),
    SUMIFS(MRP!$J$2:$J$221, MRP!$B$2:$B$221, $C113,  MRP!$G$2:$G$221, I$1),
    SUMIFS(MRP!$K$2:$K$221, MRP!$B$2:$B$221, $C113,  MRP!$G$2:$G$221, I$1),
    SUMIFS(MRP!$L$2:$L$221, MRP!$B$2:$B$221, $C113,  MRP!$G$2:$G$221, I$1)
)*F113</f>
        <v>0</v>
      </c>
      <c r="J113" s="15">
        <f>SUM(
    SUMIFS(MRP!$H$2:$H$221, MRP!$B$2:$B$221, $C113, MRP!$G$2:$G$221, J$1),
    SUMIFS(MRP!$I$2:$I$221, MRP!$B$2:$B$221, $C113, MRP!$G$2:$G$221, J$1),
    SUMIFS(MRP!$J$2:$J$221, MRP!$B$2:$B$221, $C113,  MRP!$G$2:$G$221, J$1),
    SUMIFS(MRP!$K$2:$K$221, MRP!$B$2:$B$221, $C113,  MRP!$G$2:$G$221, J$1),
    SUMIFS(MRP!$L$2:$L$221, MRP!$B$2:$B$221, $C113,  MRP!$G$2:$G$221, J$1)
)*F113</f>
        <v>0</v>
      </c>
      <c r="K113" s="15">
        <f>SUM(
    SUMIFS(MRP!$H$2:$H$221, MRP!$B$2:$B$221, $C113, MRP!$G$2:$G$221, K$1),
    SUMIFS(MRP!$I$2:$I$221, MRP!$B$2:$B$221, $C113, MRP!$G$2:$G$221, K$1),
    SUMIFS(MRP!$J$2:$J$221, MRP!$B$2:$B$221, $C113,  MRP!$G$2:$G$221, K$1),
    SUMIFS(MRP!$K$2:$K$221, MRP!$B$2:$B$221, $C113,  MRP!$G$2:$G$221, K$1),
    SUMIFS(MRP!$L$2:$L$221, MRP!$B$2:$B$221, $C113,  MRP!$G$2:$G$221, K$1)
)*F113</f>
        <v>0</v>
      </c>
      <c r="L113" s="55" t="str">
        <f>TRIM(Tabla3[[#This Row],[CodInternoArti]])</f>
        <v>7790321020533</v>
      </c>
    </row>
    <row r="114" spans="1:12" hidden="1" x14ac:dyDescent="0.35">
      <c r="A114" s="38" t="str">
        <f>IF(ISNUMBER(_xlfn.XMATCH(Tabla3[[#This Row],[CodInternoArti]],'Tabla Articulos'!B:B)),"OK","NO ESTA")</f>
        <v>OK</v>
      </c>
      <c r="B114" s="38" t="str">
        <f>IF(ISNUMBER(_xlfn.XMATCH('Calcular necesidad'!E:E,'Necesidad por familia'!A:A)),"OK","NO ESTA")</f>
        <v>OK</v>
      </c>
      <c r="C114" s="17" t="s">
        <v>621</v>
      </c>
      <c r="D114" s="1" t="s">
        <v>521</v>
      </c>
      <c r="E114" s="1" t="str">
        <f>_xlfn.XLOOKUP(C114,'Tabla Articulos'!B:B,'Tabla Articulos'!D:D)</f>
        <v>SERVILLETA 30X30 S/LOGO</v>
      </c>
      <c r="F114" s="14"/>
      <c r="G114" s="15">
        <f>SUM(
    SUMIFS(MRP!$H$2:$H$221, MRP!$B$2:$B$221, $C114, MRP!$G$2:$G$221, G$1),
    SUMIFS(MRP!$I$2:$I$221, MRP!$B$2:$B$221, $C114, MRP!$G$2:$G$221, G$1),
    SUMIFS(MRP!$J$2:$J$221, MRP!$B$2:$B$221, $C114,  MRP!$G$2:$G$221, G$1),
    SUMIFS(MRP!$K$2:$K$221, MRP!$B$2:$B$221, $C114,  MRP!$G$2:$G$221, G$1),
    SUMIFS(MRP!$L$2:$L$221, MRP!$B$2:$B$221, $C114,  MRP!$G$2:$G$221, G$1)
)*F114</f>
        <v>0</v>
      </c>
      <c r="H114" s="15">
        <f>SUM(
    SUMIFS(MRP!$H$2:$H$221, MRP!$B$2:$B$221, $C114, MRP!$G$2:$G$221, H$1),
    SUMIFS(MRP!$I$2:$I$221, MRP!$B$2:$B$221, $C114, MRP!$G$2:$G$221, H$1),
    SUMIFS(MRP!$J$2:$J$221, MRP!$B$2:$B$221, $C114,  MRP!$G$2:$G$221, H$1),
    SUMIFS(MRP!$K$2:$K$221, MRP!$B$2:$B$221, $C114,  MRP!$G$2:$G$221, H$1),
    SUMIFS(MRP!$L$2:$L$221, MRP!$B$2:$B$221, $C114,  MRP!$G$2:$G$221, H$1)
)*F114</f>
        <v>0</v>
      </c>
      <c r="I114" s="15">
        <f>SUM(
    SUMIFS(MRP!$H$2:$H$221, MRP!$B$2:$B$221, $C114, MRP!$G$2:$G$221, I$1),
    SUMIFS(MRP!$I$2:$I$221, MRP!$B$2:$B$221, $C114, MRP!$G$2:$G$221, I$1),
    SUMIFS(MRP!$J$2:$J$221, MRP!$B$2:$B$221, $C114,  MRP!$G$2:$G$221, I$1),
    SUMIFS(MRP!$K$2:$K$221, MRP!$B$2:$B$221, $C114,  MRP!$G$2:$G$221, I$1),
    SUMIFS(MRP!$L$2:$L$221, MRP!$B$2:$B$221, $C114,  MRP!$G$2:$G$221, I$1)
)*F114</f>
        <v>0</v>
      </c>
      <c r="J114" s="15">
        <f>SUM(
    SUMIFS(MRP!$H$2:$H$221, MRP!$B$2:$B$221, $C114, MRP!$G$2:$G$221, J$1),
    SUMIFS(MRP!$I$2:$I$221, MRP!$B$2:$B$221, $C114, MRP!$G$2:$G$221, J$1),
    SUMIFS(MRP!$J$2:$J$221, MRP!$B$2:$B$221, $C114,  MRP!$G$2:$G$221, J$1),
    SUMIFS(MRP!$K$2:$K$221, MRP!$B$2:$B$221, $C114,  MRP!$G$2:$G$221, J$1),
    SUMIFS(MRP!$L$2:$L$221, MRP!$B$2:$B$221, $C114,  MRP!$G$2:$G$221, J$1)
)*F114</f>
        <v>0</v>
      </c>
      <c r="K114" s="15">
        <f>SUM(
    SUMIFS(MRP!$H$2:$H$221, MRP!$B$2:$B$221, $C114, MRP!$G$2:$G$221, K$1),
    SUMIFS(MRP!$I$2:$I$221, MRP!$B$2:$B$221, $C114, MRP!$G$2:$G$221, K$1),
    SUMIFS(MRP!$J$2:$J$221, MRP!$B$2:$B$221, $C114,  MRP!$G$2:$G$221, K$1),
    SUMIFS(MRP!$K$2:$K$221, MRP!$B$2:$B$221, $C114,  MRP!$G$2:$G$221, K$1),
    SUMIFS(MRP!$L$2:$L$221, MRP!$B$2:$B$221, $C114,  MRP!$G$2:$G$221, K$1)
)*F114</f>
        <v>0</v>
      </c>
      <c r="L114" s="55" t="str">
        <f>TRIM(Tabla3[[#This Row],[CodInternoArti]])</f>
        <v>1404700012</v>
      </c>
    </row>
    <row r="115" spans="1:12" hidden="1" x14ac:dyDescent="0.35">
      <c r="A115" s="38" t="str">
        <f>IF(ISNUMBER(_xlfn.XMATCH(Tabla3[[#This Row],[CodInternoArti]],'Tabla Articulos'!B:B)),"OK","NO ESTA")</f>
        <v>OK</v>
      </c>
      <c r="B115" s="38" t="str">
        <f>IF(ISNUMBER(_xlfn.XMATCH('Calcular necesidad'!E:E,'Necesidad por familia'!A:A)),"OK","NO ESTA")</f>
        <v>OK</v>
      </c>
      <c r="C115" s="17" t="s">
        <v>622</v>
      </c>
      <c r="D115" s="1" t="s">
        <v>623</v>
      </c>
      <c r="E115" s="1" t="str">
        <f>_xlfn.XLOOKUP(C115,'Tabla Articulos'!B:B,'Tabla Articulos'!D:D)</f>
        <v>GUANTE LATEX L</v>
      </c>
      <c r="F115" s="1">
        <v>100</v>
      </c>
      <c r="G115" s="15">
        <f>SUM(
    SUMIFS(MRP!$H$2:$H$221, MRP!$B$2:$B$221, $C115, MRP!$G$2:$G$221, G$1),
    SUMIFS(MRP!$I$2:$I$221, MRP!$B$2:$B$221, $C115, MRP!$G$2:$G$221, G$1),
    SUMIFS(MRP!$J$2:$J$221, MRP!$B$2:$B$221, $C115,  MRP!$G$2:$G$221, G$1),
    SUMIFS(MRP!$K$2:$K$221, MRP!$B$2:$B$221, $C115,  MRP!$G$2:$G$221, G$1),
    SUMIFS(MRP!$L$2:$L$221, MRP!$B$2:$B$221, $C115,  MRP!$G$2:$G$221, G$1)
)*F115</f>
        <v>0</v>
      </c>
      <c r="H115" s="15">
        <f>SUM(
    SUMIFS(MRP!$H$2:$H$221, MRP!$B$2:$B$221, $C115, MRP!$G$2:$G$221, H$1),
    SUMIFS(MRP!$I$2:$I$221, MRP!$B$2:$B$221, $C115, MRP!$G$2:$G$221, H$1),
    SUMIFS(MRP!$J$2:$J$221, MRP!$B$2:$B$221, $C115,  MRP!$G$2:$G$221, H$1),
    SUMIFS(MRP!$K$2:$K$221, MRP!$B$2:$B$221, $C115,  MRP!$G$2:$G$221, H$1),
    SUMIFS(MRP!$L$2:$L$221, MRP!$B$2:$B$221, $C115,  MRP!$G$2:$G$221, H$1)
)*F115</f>
        <v>0</v>
      </c>
      <c r="I115" s="15">
        <f>SUM(
    SUMIFS(MRP!$H$2:$H$221, MRP!$B$2:$B$221, $C115, MRP!$G$2:$G$221, I$1),
    SUMIFS(MRP!$I$2:$I$221, MRP!$B$2:$B$221, $C115, MRP!$G$2:$G$221, I$1),
    SUMIFS(MRP!$J$2:$J$221, MRP!$B$2:$B$221, $C115,  MRP!$G$2:$G$221, I$1),
    SUMIFS(MRP!$K$2:$K$221, MRP!$B$2:$B$221, $C115,  MRP!$G$2:$G$221, I$1),
    SUMIFS(MRP!$L$2:$L$221, MRP!$B$2:$B$221, $C115,  MRP!$G$2:$G$221, I$1)
)*F115</f>
        <v>0</v>
      </c>
      <c r="J115" s="15">
        <f>SUM(
    SUMIFS(MRP!$H$2:$H$221, MRP!$B$2:$B$221, $C115, MRP!$G$2:$G$221, J$1),
    SUMIFS(MRP!$I$2:$I$221, MRP!$B$2:$B$221, $C115, MRP!$G$2:$G$221, J$1),
    SUMIFS(MRP!$J$2:$J$221, MRP!$B$2:$B$221, $C115,  MRP!$G$2:$G$221, J$1),
    SUMIFS(MRP!$K$2:$K$221, MRP!$B$2:$B$221, $C115,  MRP!$G$2:$G$221, J$1),
    SUMIFS(MRP!$L$2:$L$221, MRP!$B$2:$B$221, $C115,  MRP!$G$2:$G$221, J$1)
)*F115</f>
        <v>0</v>
      </c>
      <c r="K115" s="15">
        <f>SUM(
    SUMIFS(MRP!$H$2:$H$221, MRP!$B$2:$B$221, $C115, MRP!$G$2:$G$221, K$1),
    SUMIFS(MRP!$I$2:$I$221, MRP!$B$2:$B$221, $C115, MRP!$G$2:$G$221, K$1),
    SUMIFS(MRP!$J$2:$J$221, MRP!$B$2:$B$221, $C115,  MRP!$G$2:$G$221, K$1),
    SUMIFS(MRP!$K$2:$K$221, MRP!$B$2:$B$221, $C115,  MRP!$G$2:$G$221, K$1),
    SUMIFS(MRP!$L$2:$L$221, MRP!$B$2:$B$221, $C115,  MRP!$G$2:$G$221, K$1)
)*F115</f>
        <v>0</v>
      </c>
      <c r="L115" s="55" t="str">
        <f>TRIM(Tabla3[[#This Row],[CodInternoArti]])</f>
        <v>7791337118101</v>
      </c>
    </row>
    <row r="116" spans="1:12" hidden="1" x14ac:dyDescent="0.35">
      <c r="A116" s="38" t="str">
        <f>IF(ISNUMBER(_xlfn.XMATCH(Tabla3[[#This Row],[CodInternoArti]],'Tabla Articulos'!B:B)),"OK","NO ESTA")</f>
        <v>OK</v>
      </c>
      <c r="B116" s="38" t="str">
        <f>IF(ISNUMBER(_xlfn.XMATCH('Calcular necesidad'!E:E,'Necesidad por familia'!A:A)),"OK","NO ESTA")</f>
        <v>OK</v>
      </c>
      <c r="C116" s="17" t="s">
        <v>624</v>
      </c>
      <c r="D116" s="1" t="s">
        <v>408</v>
      </c>
      <c r="E116" s="1" t="str">
        <f>_xlfn.XLOOKUP(C116,'Tabla Articulos'!B:B,'Tabla Articulos'!D:D)</f>
        <v>VASO CRISTAL 325</v>
      </c>
      <c r="F116" s="1">
        <v>800</v>
      </c>
      <c r="G116" s="15">
        <f>SUM(
    SUMIFS(MRP!$H$2:$H$221, MRP!$B$2:$B$221, $C116, MRP!$G$2:$G$221, G$1),
    SUMIFS(MRP!$I$2:$I$221, MRP!$B$2:$B$221, $C116, MRP!$G$2:$G$221, G$1),
    SUMIFS(MRP!$J$2:$J$221, MRP!$B$2:$B$221, $C116,  MRP!$G$2:$G$221, G$1),
    SUMIFS(MRP!$K$2:$K$221, MRP!$B$2:$B$221, $C116,  MRP!$G$2:$G$221, G$1),
    SUMIFS(MRP!$L$2:$L$221, MRP!$B$2:$B$221, $C116,  MRP!$G$2:$G$221, G$1)
)*F116</f>
        <v>0</v>
      </c>
      <c r="H116" s="15">
        <f>SUM(
    SUMIFS(MRP!$H$2:$H$221, MRP!$B$2:$B$221, $C116, MRP!$G$2:$G$221, H$1),
    SUMIFS(MRP!$I$2:$I$221, MRP!$B$2:$B$221, $C116, MRP!$G$2:$G$221, H$1),
    SUMIFS(MRP!$J$2:$J$221, MRP!$B$2:$B$221, $C116,  MRP!$G$2:$G$221, H$1),
    SUMIFS(MRP!$K$2:$K$221, MRP!$B$2:$B$221, $C116,  MRP!$G$2:$G$221, H$1),
    SUMIFS(MRP!$L$2:$L$221, MRP!$B$2:$B$221, $C116,  MRP!$G$2:$G$221, H$1)
)*F116</f>
        <v>7200</v>
      </c>
      <c r="I116" s="15">
        <f>SUM(
    SUMIFS(MRP!$H$2:$H$221, MRP!$B$2:$B$221, $C116, MRP!$G$2:$G$221, I$1),
    SUMIFS(MRP!$I$2:$I$221, MRP!$B$2:$B$221, $C116, MRP!$G$2:$G$221, I$1),
    SUMIFS(MRP!$J$2:$J$221, MRP!$B$2:$B$221, $C116,  MRP!$G$2:$G$221, I$1),
    SUMIFS(MRP!$K$2:$K$221, MRP!$B$2:$B$221, $C116,  MRP!$G$2:$G$221, I$1),
    SUMIFS(MRP!$L$2:$L$221, MRP!$B$2:$B$221, $C116,  MRP!$G$2:$G$221, I$1)
)*F116</f>
        <v>0</v>
      </c>
      <c r="J116" s="15">
        <f>SUM(
    SUMIFS(MRP!$H$2:$H$221, MRP!$B$2:$B$221, $C116, MRP!$G$2:$G$221, J$1),
    SUMIFS(MRP!$I$2:$I$221, MRP!$B$2:$B$221, $C116, MRP!$G$2:$G$221, J$1),
    SUMIFS(MRP!$J$2:$J$221, MRP!$B$2:$B$221, $C116,  MRP!$G$2:$G$221, J$1),
    SUMIFS(MRP!$K$2:$K$221, MRP!$B$2:$B$221, $C116,  MRP!$G$2:$G$221, J$1),
    SUMIFS(MRP!$L$2:$L$221, MRP!$B$2:$B$221, $C116,  MRP!$G$2:$G$221, J$1)
)*F116</f>
        <v>0</v>
      </c>
      <c r="K116" s="15">
        <f>SUM(
    SUMIFS(MRP!$H$2:$H$221, MRP!$B$2:$B$221, $C116, MRP!$G$2:$G$221, K$1),
    SUMIFS(MRP!$I$2:$I$221, MRP!$B$2:$B$221, $C116, MRP!$G$2:$G$221, K$1),
    SUMIFS(MRP!$J$2:$J$221, MRP!$B$2:$B$221, $C116,  MRP!$G$2:$G$221, K$1),
    SUMIFS(MRP!$K$2:$K$221, MRP!$B$2:$B$221, $C116,  MRP!$G$2:$G$221, K$1),
    SUMIFS(MRP!$L$2:$L$221, MRP!$B$2:$B$221, $C116,  MRP!$G$2:$G$221, K$1)
)*F116</f>
        <v>0</v>
      </c>
      <c r="L116" s="55" t="str">
        <f>TRIM(Tabla3[[#This Row],[CodInternoArti]])</f>
        <v>7790321020393</v>
      </c>
    </row>
    <row r="117" spans="1:12" hidden="1" x14ac:dyDescent="0.35">
      <c r="A117" s="38" t="str">
        <f>IF(ISNUMBER(_xlfn.XMATCH(Tabla3[[#This Row],[CodInternoArti]],'Tabla Articulos'!B:B)),"OK","NO ESTA")</f>
        <v>OK</v>
      </c>
      <c r="B117" s="38" t="str">
        <f>IF(ISNUMBER(_xlfn.XMATCH('Calcular necesidad'!E:E,'Necesidad por familia'!A:A)),"OK","NO ESTA")</f>
        <v>OK</v>
      </c>
      <c r="C117" s="17" t="s">
        <v>625</v>
      </c>
      <c r="D117" s="1" t="s">
        <v>409</v>
      </c>
      <c r="E117" s="1" t="str">
        <f>_xlfn.XLOOKUP(C117,'Tabla Articulos'!B:B,'Tabla Articulos'!D:D)</f>
        <v>TAPA VASO TERMICO 240</v>
      </c>
      <c r="F117" s="1">
        <f>_xlfn.XLOOKUP(C117,'Tabla Articulos'!B:B,'Tabla Articulos'!E:E)</f>
        <v>50</v>
      </c>
      <c r="G117" s="15">
        <f>SUM(
    SUMIFS(MRP!$H$2:$H$221, MRP!$B$2:$B$221, $C117, MRP!$G$2:$G$221, G$1),
    SUMIFS(MRP!$I$2:$I$221, MRP!$B$2:$B$221, $C117, MRP!$G$2:$G$221, G$1),
    SUMIFS(MRP!$J$2:$J$221, MRP!$B$2:$B$221, $C117,  MRP!$G$2:$G$221, G$1),
    SUMIFS(MRP!$K$2:$K$221, MRP!$B$2:$B$221, $C117,  MRP!$G$2:$G$221, G$1),
    SUMIFS(MRP!$L$2:$L$221, MRP!$B$2:$B$221, $C117,  MRP!$G$2:$G$221, G$1)
)*F117</f>
        <v>0</v>
      </c>
      <c r="H117" s="15">
        <f>SUM(
    SUMIFS(MRP!$H$2:$H$221, MRP!$B$2:$B$221, $C117, MRP!$G$2:$G$221, H$1),
    SUMIFS(MRP!$I$2:$I$221, MRP!$B$2:$B$221, $C117, MRP!$G$2:$G$221, H$1),
    SUMIFS(MRP!$J$2:$J$221, MRP!$B$2:$B$221, $C117,  MRP!$G$2:$G$221, H$1),
    SUMIFS(MRP!$K$2:$K$221, MRP!$B$2:$B$221, $C117,  MRP!$G$2:$G$221, H$1),
    SUMIFS(MRP!$L$2:$L$221, MRP!$B$2:$B$221, $C117,  MRP!$G$2:$G$221, H$1)
)*F117</f>
        <v>17500</v>
      </c>
      <c r="I117" s="15">
        <f>SUM(
    SUMIFS(MRP!$H$2:$H$221, MRP!$B$2:$B$221, $C117, MRP!$G$2:$G$221, I$1),
    SUMIFS(MRP!$I$2:$I$221, MRP!$B$2:$B$221, $C117, MRP!$G$2:$G$221, I$1),
    SUMIFS(MRP!$J$2:$J$221, MRP!$B$2:$B$221, $C117,  MRP!$G$2:$G$221, I$1),
    SUMIFS(MRP!$K$2:$K$221, MRP!$B$2:$B$221, $C117,  MRP!$G$2:$G$221, I$1),
    SUMIFS(MRP!$L$2:$L$221, MRP!$B$2:$B$221, $C117,  MRP!$G$2:$G$221, I$1)
)*F117</f>
        <v>0</v>
      </c>
      <c r="J117" s="15">
        <f>SUM(
    SUMIFS(MRP!$H$2:$H$221, MRP!$B$2:$B$221, $C117, MRP!$G$2:$G$221, J$1),
    SUMIFS(MRP!$I$2:$I$221, MRP!$B$2:$B$221, $C117, MRP!$G$2:$G$221, J$1),
    SUMIFS(MRP!$J$2:$J$221, MRP!$B$2:$B$221, $C117,  MRP!$G$2:$G$221, J$1),
    SUMIFS(MRP!$K$2:$K$221, MRP!$B$2:$B$221, $C117,  MRP!$G$2:$G$221, J$1),
    SUMIFS(MRP!$L$2:$L$221, MRP!$B$2:$B$221, $C117,  MRP!$G$2:$G$221, J$1)
)*F117</f>
        <v>0</v>
      </c>
      <c r="K117" s="15">
        <f>SUM(
    SUMIFS(MRP!$H$2:$H$221, MRP!$B$2:$B$221, $C117, MRP!$G$2:$G$221, K$1),
    SUMIFS(MRP!$I$2:$I$221, MRP!$B$2:$B$221, $C117, MRP!$G$2:$G$221, K$1),
    SUMIFS(MRP!$J$2:$J$221, MRP!$B$2:$B$221, $C117,  MRP!$G$2:$G$221, K$1),
    SUMIFS(MRP!$K$2:$K$221, MRP!$B$2:$B$221, $C117,  MRP!$G$2:$G$221, K$1),
    SUMIFS(MRP!$L$2:$L$221, MRP!$B$2:$B$221, $C117,  MRP!$G$2:$G$221, K$1)
)*F117</f>
        <v>0</v>
      </c>
      <c r="L117" s="55" t="str">
        <f>TRIM(Tabla3[[#This Row],[CodInternoArti]])</f>
        <v>7790321020329</v>
      </c>
    </row>
    <row r="118" spans="1:12" hidden="1" x14ac:dyDescent="0.35">
      <c r="A118" s="38" t="str">
        <f>IF(ISNUMBER(_xlfn.XMATCH(Tabla3[[#This Row],[CodInternoArti]],'Tabla Articulos'!B:B)),"OK","NO ESTA")</f>
        <v>OK</v>
      </c>
      <c r="B118" s="38" t="str">
        <f>IF(ISNUMBER(_xlfn.XMATCH('Calcular necesidad'!E:E,'Necesidad por familia'!A:A)),"OK","NO ESTA")</f>
        <v>OK</v>
      </c>
      <c r="C118" s="17" t="s">
        <v>626</v>
      </c>
      <c r="D118" s="1" t="s">
        <v>405</v>
      </c>
      <c r="E118" s="1" t="str">
        <f>_xlfn.XLOOKUP(C118,'Tabla Articulos'!B:B,'Tabla Articulos'!D:D)</f>
        <v>FILM PVC 38</v>
      </c>
      <c r="F118" s="1">
        <v>1</v>
      </c>
      <c r="G118" s="15">
        <f>SUM(
    SUMIFS(MRP!$H$2:$H$221, MRP!$B$2:$B$221, $C118, MRP!$G$2:$G$221, G$1),
    SUMIFS(MRP!$I$2:$I$221, MRP!$B$2:$B$221, $C118, MRP!$G$2:$G$221, G$1),
    SUMIFS(MRP!$J$2:$J$221, MRP!$B$2:$B$221, $C118,  MRP!$G$2:$G$221, G$1),
    SUMIFS(MRP!$K$2:$K$221, MRP!$B$2:$B$221, $C118,  MRP!$G$2:$G$221, G$1),
    SUMIFS(MRP!$L$2:$L$221, MRP!$B$2:$B$221, $C118,  MRP!$G$2:$G$221, G$1)
)*F118</f>
        <v>0</v>
      </c>
      <c r="H118" s="15">
        <f>SUM(
    SUMIFS(MRP!$H$2:$H$221, MRP!$B$2:$B$221, $C118, MRP!$G$2:$G$221, H$1),
    SUMIFS(MRP!$I$2:$I$221, MRP!$B$2:$B$221, $C118, MRP!$G$2:$G$221, H$1),
    SUMIFS(MRP!$J$2:$J$221, MRP!$B$2:$B$221, $C118,  MRP!$G$2:$G$221, H$1),
    SUMIFS(MRP!$K$2:$K$221, MRP!$B$2:$B$221, $C118,  MRP!$G$2:$G$221, H$1),
    SUMIFS(MRP!$L$2:$L$221, MRP!$B$2:$B$221, $C118,  MRP!$G$2:$G$221, H$1)
)*F118</f>
        <v>126</v>
      </c>
      <c r="I118" s="15">
        <f>SUM(
    SUMIFS(MRP!$H$2:$H$221, MRP!$B$2:$B$221, $C118, MRP!$G$2:$G$221, I$1),
    SUMIFS(MRP!$I$2:$I$221, MRP!$B$2:$B$221, $C118, MRP!$G$2:$G$221, I$1),
    SUMIFS(MRP!$J$2:$J$221, MRP!$B$2:$B$221, $C118,  MRP!$G$2:$G$221, I$1),
    SUMIFS(MRP!$K$2:$K$221, MRP!$B$2:$B$221, $C118,  MRP!$G$2:$G$221, I$1),
    SUMIFS(MRP!$L$2:$L$221, MRP!$B$2:$B$221, $C118,  MRP!$G$2:$G$221, I$1)
)*F118</f>
        <v>0</v>
      </c>
      <c r="J118" s="15">
        <f>SUM(
    SUMIFS(MRP!$H$2:$H$221, MRP!$B$2:$B$221, $C118, MRP!$G$2:$G$221, J$1),
    SUMIFS(MRP!$I$2:$I$221, MRP!$B$2:$B$221, $C118, MRP!$G$2:$G$221, J$1),
    SUMIFS(MRP!$J$2:$J$221, MRP!$B$2:$B$221, $C118,  MRP!$G$2:$G$221, J$1),
    SUMIFS(MRP!$K$2:$K$221, MRP!$B$2:$B$221, $C118,  MRP!$G$2:$G$221, J$1),
    SUMIFS(MRP!$L$2:$L$221, MRP!$B$2:$B$221, $C118,  MRP!$G$2:$G$221, J$1)
)*F118</f>
        <v>0</v>
      </c>
      <c r="K118" s="15">
        <f>SUM(
    SUMIFS(MRP!$H$2:$H$221, MRP!$B$2:$B$221, $C118, MRP!$G$2:$G$221, K$1),
    SUMIFS(MRP!$I$2:$I$221, MRP!$B$2:$B$221, $C118, MRP!$G$2:$G$221, K$1),
    SUMIFS(MRP!$J$2:$J$221, MRP!$B$2:$B$221, $C118,  MRP!$G$2:$G$221, K$1),
    SUMIFS(MRP!$K$2:$K$221, MRP!$B$2:$B$221, $C118,  MRP!$G$2:$G$221, K$1),
    SUMIFS(MRP!$L$2:$L$221, MRP!$B$2:$B$221, $C118,  MRP!$G$2:$G$221, K$1)
)*F118</f>
        <v>0</v>
      </c>
      <c r="L118" s="55" t="str">
        <f>TRIM(Tabla3[[#This Row],[CodInternoArti]])</f>
        <v>9992017100464</v>
      </c>
    </row>
    <row r="119" spans="1:12" hidden="1" x14ac:dyDescent="0.35">
      <c r="A119" s="38" t="str">
        <f>IF(ISNUMBER(_xlfn.XMATCH(Tabla3[[#This Row],[CodInternoArti]],'Tabla Articulos'!B:B)),"OK","NO ESTA")</f>
        <v>OK</v>
      </c>
      <c r="B119" s="38" t="str">
        <f>IF(ISNUMBER(_xlfn.XMATCH('Calcular necesidad'!E:E,'Necesidad por familia'!A:A)),"OK","NO ESTA")</f>
        <v>OK</v>
      </c>
      <c r="C119" s="17" t="s">
        <v>627</v>
      </c>
      <c r="D119" s="1" t="s">
        <v>407</v>
      </c>
      <c r="E119" s="1" t="str">
        <f>_xlfn.XLOOKUP(C119,'Tabla Articulos'!B:B,'Tabla Articulos'!D:D)</f>
        <v>VASO TERMICO 180</v>
      </c>
      <c r="F119" s="1">
        <f>_xlfn.XLOOKUP(C119,'Tabla Articulos'!B:B,'Tabla Articulos'!E:E)</f>
        <v>50</v>
      </c>
      <c r="G119" s="15">
        <f>SUM(
    SUMIFS(MRP!$H$2:$H$221, MRP!$B$2:$B$221, $C119, MRP!$G$2:$G$221, G$1),
    SUMIFS(MRP!$I$2:$I$221, MRP!$B$2:$B$221, $C119, MRP!$G$2:$G$221, G$1),
    SUMIFS(MRP!$J$2:$J$221, MRP!$B$2:$B$221, $C119,  MRP!$G$2:$G$221, G$1),
    SUMIFS(MRP!$K$2:$K$221, MRP!$B$2:$B$221, $C119,  MRP!$G$2:$G$221, G$1),
    SUMIFS(MRP!$L$2:$L$221, MRP!$B$2:$B$221, $C119,  MRP!$G$2:$G$221, G$1)
)*F119</f>
        <v>0</v>
      </c>
      <c r="H119" s="15">
        <f>SUM(
    SUMIFS(MRP!$H$2:$H$221, MRP!$B$2:$B$221, $C119, MRP!$G$2:$G$221, H$1),
    SUMIFS(MRP!$I$2:$I$221, MRP!$B$2:$B$221, $C119, MRP!$G$2:$G$221, H$1),
    SUMIFS(MRP!$J$2:$J$221, MRP!$B$2:$B$221, $C119,  MRP!$G$2:$G$221, H$1),
    SUMIFS(MRP!$K$2:$K$221, MRP!$B$2:$B$221, $C119,  MRP!$G$2:$G$221, H$1),
    SUMIFS(MRP!$L$2:$L$221, MRP!$B$2:$B$221, $C119,  MRP!$G$2:$G$221, H$1)
)*F119</f>
        <v>250</v>
      </c>
      <c r="I119" s="15">
        <f>SUM(
    SUMIFS(MRP!$H$2:$H$221, MRP!$B$2:$B$221, $C119, MRP!$G$2:$G$221, I$1),
    SUMIFS(MRP!$I$2:$I$221, MRP!$B$2:$B$221, $C119, MRP!$G$2:$G$221, I$1),
    SUMIFS(MRP!$J$2:$J$221, MRP!$B$2:$B$221, $C119,  MRP!$G$2:$G$221, I$1),
    SUMIFS(MRP!$K$2:$K$221, MRP!$B$2:$B$221, $C119,  MRP!$G$2:$G$221, I$1),
    SUMIFS(MRP!$L$2:$L$221, MRP!$B$2:$B$221, $C119,  MRP!$G$2:$G$221, I$1)
)*F119</f>
        <v>0</v>
      </c>
      <c r="J119" s="15">
        <f>SUM(
    SUMIFS(MRP!$H$2:$H$221, MRP!$B$2:$B$221, $C119, MRP!$G$2:$G$221, J$1),
    SUMIFS(MRP!$I$2:$I$221, MRP!$B$2:$B$221, $C119, MRP!$G$2:$G$221, J$1),
    SUMIFS(MRP!$J$2:$J$221, MRP!$B$2:$B$221, $C119,  MRP!$G$2:$G$221, J$1),
    SUMIFS(MRP!$K$2:$K$221, MRP!$B$2:$B$221, $C119,  MRP!$G$2:$G$221, J$1),
    SUMIFS(MRP!$L$2:$L$221, MRP!$B$2:$B$221, $C119,  MRP!$G$2:$G$221, J$1)
)*F119</f>
        <v>0</v>
      </c>
      <c r="K119" s="15">
        <f>SUM(
    SUMIFS(MRP!$H$2:$H$221, MRP!$B$2:$B$221, $C119, MRP!$G$2:$G$221, K$1),
    SUMIFS(MRP!$I$2:$I$221, MRP!$B$2:$B$221, $C119, MRP!$G$2:$G$221, K$1),
    SUMIFS(MRP!$J$2:$J$221, MRP!$B$2:$B$221, $C119,  MRP!$G$2:$G$221, K$1),
    SUMIFS(MRP!$K$2:$K$221, MRP!$B$2:$B$221, $C119,  MRP!$G$2:$G$221, K$1),
    SUMIFS(MRP!$L$2:$L$221, MRP!$B$2:$B$221, $C119,  MRP!$G$2:$G$221, K$1)
)*F119</f>
        <v>0</v>
      </c>
      <c r="L119" s="55" t="str">
        <f>TRIM(Tabla3[[#This Row],[CodInternoArti]])</f>
        <v>7790321020387</v>
      </c>
    </row>
    <row r="120" spans="1:12" hidden="1" x14ac:dyDescent="0.35">
      <c r="A120" s="38" t="str">
        <f>IF(ISNUMBER(_xlfn.XMATCH(Tabla3[[#This Row],[CodInternoArti]],'Tabla Articulos'!B:B)),"OK","NO ESTA")</f>
        <v>OK</v>
      </c>
      <c r="B120" s="38" t="str">
        <f>IF(ISNUMBER(_xlfn.XMATCH('Calcular necesidad'!E:E,'Necesidad por familia'!A:A)),"OK","NO ESTA")</f>
        <v>OK</v>
      </c>
      <c r="C120" s="17" t="s">
        <v>628</v>
      </c>
      <c r="D120" s="1" t="s">
        <v>421</v>
      </c>
      <c r="E120" s="1" t="str">
        <f>_xlfn.XLOOKUP(C120,'Tabla Articulos'!B:B,'Tabla Articulos'!D:D)</f>
        <v>GUANTE LATEX L</v>
      </c>
      <c r="F120" s="1">
        <v>100</v>
      </c>
      <c r="G120" s="15">
        <f>SUM(
    SUMIFS(MRP!$H$2:$H$221, MRP!$B$2:$B$221, $C120, MRP!$G$2:$G$221, G$1),
    SUMIFS(MRP!$I$2:$I$221, MRP!$B$2:$B$221, $C120, MRP!$G$2:$G$221, G$1),
    SUMIFS(MRP!$J$2:$J$221, MRP!$B$2:$B$221, $C120,  MRP!$G$2:$G$221, G$1),
    SUMIFS(MRP!$K$2:$K$221, MRP!$B$2:$B$221, $C120,  MRP!$G$2:$G$221, G$1),
    SUMIFS(MRP!$L$2:$L$221, MRP!$B$2:$B$221, $C120,  MRP!$G$2:$G$221, G$1)
)*F120</f>
        <v>0</v>
      </c>
      <c r="H120" s="15">
        <f>SUM(
    SUMIFS(MRP!$H$2:$H$221, MRP!$B$2:$B$221, $C120, MRP!$G$2:$G$221, H$1),
    SUMIFS(MRP!$I$2:$I$221, MRP!$B$2:$B$221, $C120, MRP!$G$2:$G$221, H$1),
    SUMIFS(MRP!$J$2:$J$221, MRP!$B$2:$B$221, $C120,  MRP!$G$2:$G$221, H$1),
    SUMIFS(MRP!$K$2:$K$221, MRP!$B$2:$B$221, $C120,  MRP!$G$2:$G$221, H$1),
    SUMIFS(MRP!$L$2:$L$221, MRP!$B$2:$B$221, $C120,  MRP!$G$2:$G$221, H$1)
)*F120</f>
        <v>200</v>
      </c>
      <c r="I120" s="15">
        <f>SUM(
    SUMIFS(MRP!$H$2:$H$221, MRP!$B$2:$B$221, $C120, MRP!$G$2:$G$221, I$1),
    SUMIFS(MRP!$I$2:$I$221, MRP!$B$2:$B$221, $C120, MRP!$G$2:$G$221, I$1),
    SUMIFS(MRP!$J$2:$J$221, MRP!$B$2:$B$221, $C120,  MRP!$G$2:$G$221, I$1),
    SUMIFS(MRP!$K$2:$K$221, MRP!$B$2:$B$221, $C120,  MRP!$G$2:$G$221, I$1),
    SUMIFS(MRP!$L$2:$L$221, MRP!$B$2:$B$221, $C120,  MRP!$G$2:$G$221, I$1)
)*F120</f>
        <v>0</v>
      </c>
      <c r="J120" s="15">
        <f>SUM(
    SUMIFS(MRP!$H$2:$H$221, MRP!$B$2:$B$221, $C120, MRP!$G$2:$G$221, J$1),
    SUMIFS(MRP!$I$2:$I$221, MRP!$B$2:$B$221, $C120, MRP!$G$2:$G$221, J$1),
    SUMIFS(MRP!$J$2:$J$221, MRP!$B$2:$B$221, $C120,  MRP!$G$2:$G$221, J$1),
    SUMIFS(MRP!$K$2:$K$221, MRP!$B$2:$B$221, $C120,  MRP!$G$2:$G$221, J$1),
    SUMIFS(MRP!$L$2:$L$221, MRP!$B$2:$B$221, $C120,  MRP!$G$2:$G$221, J$1)
)*F120</f>
        <v>0</v>
      </c>
      <c r="K120" s="15">
        <f>SUM(
    SUMIFS(MRP!$H$2:$H$221, MRP!$B$2:$B$221, $C120, MRP!$G$2:$G$221, K$1),
    SUMIFS(MRP!$I$2:$I$221, MRP!$B$2:$B$221, $C120, MRP!$G$2:$G$221, K$1),
    SUMIFS(MRP!$J$2:$J$221, MRP!$B$2:$B$221, $C120,  MRP!$G$2:$G$221, K$1),
    SUMIFS(MRP!$K$2:$K$221, MRP!$B$2:$B$221, $C120,  MRP!$G$2:$G$221, K$1),
    SUMIFS(MRP!$L$2:$L$221, MRP!$B$2:$B$221, $C120,  MRP!$G$2:$G$221, K$1)
)*F120</f>
        <v>0</v>
      </c>
      <c r="L120" s="55" t="str">
        <f>TRIM(Tabla3[[#This Row],[CodInternoArti]])</f>
        <v>7790430132763</v>
      </c>
    </row>
    <row r="121" spans="1:12" hidden="1" x14ac:dyDescent="0.35">
      <c r="A121" s="38" t="str">
        <f>IF(ISNUMBER(_xlfn.XMATCH(Tabla3[[#This Row],[CodInternoArti]],'Tabla Articulos'!B:B)),"OK","NO ESTA")</f>
        <v>OK</v>
      </c>
      <c r="B121" s="38" t="str">
        <f>IF(ISNUMBER(_xlfn.XMATCH('Calcular necesidad'!E:E,'Necesidad por familia'!A:A)),"OK","NO ESTA")</f>
        <v>OK</v>
      </c>
      <c r="C121" s="17" t="s">
        <v>629</v>
      </c>
      <c r="D121" s="1" t="s">
        <v>426</v>
      </c>
      <c r="E121" s="1" t="str">
        <f>_xlfn.XLOOKUP(C121,'Tabla Articulos'!B:B,'Tabla Articulos'!D:D)</f>
        <v>TAPA DOMO</v>
      </c>
      <c r="F121" s="1">
        <v>800</v>
      </c>
      <c r="G121" s="15">
        <f>SUM(
    SUMIFS(MRP!$H$2:$H$221, MRP!$B$2:$B$221, $C121, MRP!$G$2:$G$221, G$1),
    SUMIFS(MRP!$I$2:$I$221, MRP!$B$2:$B$221, $C121, MRP!$G$2:$G$221, G$1),
    SUMIFS(MRP!$J$2:$J$221, MRP!$B$2:$B$221, $C121,  MRP!$G$2:$G$221, G$1),
    SUMIFS(MRP!$K$2:$K$221, MRP!$B$2:$B$221, $C121,  MRP!$G$2:$G$221, G$1),
    SUMIFS(MRP!$L$2:$L$221, MRP!$B$2:$B$221, $C121,  MRP!$G$2:$G$221, G$1)
)*F121</f>
        <v>0</v>
      </c>
      <c r="H121" s="15">
        <f>SUM(
    SUMIFS(MRP!$H$2:$H$221, MRP!$B$2:$B$221, $C121, MRP!$G$2:$G$221, H$1),
    SUMIFS(MRP!$I$2:$I$221, MRP!$B$2:$B$221, $C121, MRP!$G$2:$G$221, H$1),
    SUMIFS(MRP!$J$2:$J$221, MRP!$B$2:$B$221, $C121,  MRP!$G$2:$G$221, H$1),
    SUMIFS(MRP!$K$2:$K$221, MRP!$B$2:$B$221, $C121,  MRP!$G$2:$G$221, H$1),
    SUMIFS(MRP!$L$2:$L$221, MRP!$B$2:$B$221, $C121,  MRP!$G$2:$G$221, H$1)
)*F121</f>
        <v>800</v>
      </c>
      <c r="I121" s="15">
        <f>SUM(
    SUMIFS(MRP!$H$2:$H$221, MRP!$B$2:$B$221, $C121, MRP!$G$2:$G$221, I$1),
    SUMIFS(MRP!$I$2:$I$221, MRP!$B$2:$B$221, $C121, MRP!$G$2:$G$221, I$1),
    SUMIFS(MRP!$J$2:$J$221, MRP!$B$2:$B$221, $C121,  MRP!$G$2:$G$221, I$1),
    SUMIFS(MRP!$K$2:$K$221, MRP!$B$2:$B$221, $C121,  MRP!$G$2:$G$221, I$1),
    SUMIFS(MRP!$L$2:$L$221, MRP!$B$2:$B$221, $C121,  MRP!$G$2:$G$221, I$1)
)*F121</f>
        <v>0</v>
      </c>
      <c r="J121" s="15">
        <f>SUM(
    SUMIFS(MRP!$H$2:$H$221, MRP!$B$2:$B$221, $C121, MRP!$G$2:$G$221, J$1),
    SUMIFS(MRP!$I$2:$I$221, MRP!$B$2:$B$221, $C121, MRP!$G$2:$G$221, J$1),
    SUMIFS(MRP!$J$2:$J$221, MRP!$B$2:$B$221, $C121,  MRP!$G$2:$G$221, J$1),
    SUMIFS(MRP!$K$2:$K$221, MRP!$B$2:$B$221, $C121,  MRP!$G$2:$G$221, J$1),
    SUMIFS(MRP!$L$2:$L$221, MRP!$B$2:$B$221, $C121,  MRP!$G$2:$G$221, J$1)
)*F121</f>
        <v>0</v>
      </c>
      <c r="K121" s="15">
        <f>SUM(
    SUMIFS(MRP!$H$2:$H$221, MRP!$B$2:$B$221, $C121, MRP!$G$2:$G$221, K$1),
    SUMIFS(MRP!$I$2:$I$221, MRP!$B$2:$B$221, $C121, MRP!$G$2:$G$221, K$1),
    SUMIFS(MRP!$J$2:$J$221, MRP!$B$2:$B$221, $C121,  MRP!$G$2:$G$221, K$1),
    SUMIFS(MRP!$K$2:$K$221, MRP!$B$2:$B$221, $C121,  MRP!$G$2:$G$221, K$1),
    SUMIFS(MRP!$L$2:$L$221, MRP!$B$2:$B$221, $C121,  MRP!$G$2:$G$221, K$1)
)*F121</f>
        <v>0</v>
      </c>
      <c r="L121" s="55" t="str">
        <f>TRIM(Tabla3[[#This Row],[CodInternoArti]])</f>
        <v>7790321020389</v>
      </c>
    </row>
    <row r="122" spans="1:12" hidden="1" x14ac:dyDescent="0.35">
      <c r="A122" s="38" t="str">
        <f>IF(ISNUMBER(_xlfn.XMATCH(Tabla3[[#This Row],[CodInternoArti]],'Tabla Articulos'!B:B)),"OK","NO ESTA")</f>
        <v>OK</v>
      </c>
      <c r="B122" s="38" t="str">
        <f>IF(ISNUMBER(_xlfn.XMATCH('Calcular necesidad'!E:E,'Necesidad por familia'!A:A)),"OK","NO ESTA")</f>
        <v>OK</v>
      </c>
      <c r="C122" s="17" t="s">
        <v>630</v>
      </c>
      <c r="D122" s="1" t="s">
        <v>631</v>
      </c>
      <c r="E122" s="1" t="str">
        <f>_xlfn.XLOOKUP(C122,'Tabla Articulos'!B:B,'Tabla Articulos'!D:D)</f>
        <v>ARRANQUE 60X90</v>
      </c>
      <c r="F122" s="1">
        <v>1</v>
      </c>
      <c r="G122" s="15">
        <f>SUM(
    SUMIFS(MRP!$H$2:$H$221, MRP!$B$2:$B$221, $C122, MRP!$G$2:$G$221, G$1),
    SUMIFS(MRP!$I$2:$I$221, MRP!$B$2:$B$221, $C122, MRP!$G$2:$G$221, G$1),
    SUMIFS(MRP!$J$2:$J$221, MRP!$B$2:$B$221, $C122,  MRP!$G$2:$G$221, G$1),
    SUMIFS(MRP!$K$2:$K$221, MRP!$B$2:$B$221, $C122,  MRP!$G$2:$G$221, G$1),
    SUMIFS(MRP!$L$2:$L$221, MRP!$B$2:$B$221, $C122,  MRP!$G$2:$G$221, G$1)
)*F122</f>
        <v>0</v>
      </c>
      <c r="H122" s="15">
        <f>SUM(
    SUMIFS(MRP!$H$2:$H$221, MRP!$B$2:$B$221, $C122, MRP!$G$2:$G$221, H$1),
    SUMIFS(MRP!$I$2:$I$221, MRP!$B$2:$B$221, $C122, MRP!$G$2:$G$221, H$1),
    SUMIFS(MRP!$J$2:$J$221, MRP!$B$2:$B$221, $C122,  MRP!$G$2:$G$221, H$1),
    SUMIFS(MRP!$K$2:$K$221, MRP!$B$2:$B$221, $C122,  MRP!$G$2:$G$221, H$1),
    SUMIFS(MRP!$L$2:$L$221, MRP!$B$2:$B$221, $C122,  MRP!$G$2:$G$221, H$1)
)*F122</f>
        <v>0</v>
      </c>
      <c r="I122" s="15">
        <f>SUM(
    SUMIFS(MRP!$H$2:$H$221, MRP!$B$2:$B$221, $C122, MRP!$G$2:$G$221, I$1),
    SUMIFS(MRP!$I$2:$I$221, MRP!$B$2:$B$221, $C122, MRP!$G$2:$G$221, I$1),
    SUMIFS(MRP!$J$2:$J$221, MRP!$B$2:$B$221, $C122,  MRP!$G$2:$G$221, I$1),
    SUMIFS(MRP!$K$2:$K$221, MRP!$B$2:$B$221, $C122,  MRP!$G$2:$G$221, I$1),
    SUMIFS(MRP!$L$2:$L$221, MRP!$B$2:$B$221, $C122,  MRP!$G$2:$G$221, I$1)
)*F122</f>
        <v>0</v>
      </c>
      <c r="J122" s="15">
        <f>SUM(
    SUMIFS(MRP!$H$2:$H$221, MRP!$B$2:$B$221, $C122, MRP!$G$2:$G$221, J$1),
    SUMIFS(MRP!$I$2:$I$221, MRP!$B$2:$B$221, $C122, MRP!$G$2:$G$221, J$1),
    SUMIFS(MRP!$J$2:$J$221, MRP!$B$2:$B$221, $C122,  MRP!$G$2:$G$221, J$1),
    SUMIFS(MRP!$K$2:$K$221, MRP!$B$2:$B$221, $C122,  MRP!$G$2:$G$221, J$1),
    SUMIFS(MRP!$L$2:$L$221, MRP!$B$2:$B$221, $C122,  MRP!$G$2:$G$221, J$1)
)*F122</f>
        <v>0</v>
      </c>
      <c r="K122" s="15">
        <f>SUM(
    SUMIFS(MRP!$H$2:$H$221, MRP!$B$2:$B$221, $C122, MRP!$G$2:$G$221, K$1),
    SUMIFS(MRP!$I$2:$I$221, MRP!$B$2:$B$221, $C122, MRP!$G$2:$G$221, K$1),
    SUMIFS(MRP!$J$2:$J$221, MRP!$B$2:$B$221, $C122,  MRP!$G$2:$G$221, K$1),
    SUMIFS(MRP!$K$2:$K$221, MRP!$B$2:$B$221, $C122,  MRP!$G$2:$G$221, K$1),
    SUMIFS(MRP!$L$2:$L$221, MRP!$B$2:$B$221, $C122,  MRP!$G$2:$G$221, K$1)
)*F122</f>
        <v>0</v>
      </c>
      <c r="L122" s="55" t="str">
        <f>TRIM(Tabla3[[#This Row],[CodInternoArti]])</f>
        <v>7905512648244</v>
      </c>
    </row>
    <row r="123" spans="1:12" hidden="1" x14ac:dyDescent="0.35">
      <c r="A123" s="38" t="str">
        <f>IF(ISNUMBER(_xlfn.XMATCH(Tabla3[[#This Row],[CodInternoArti]],'Tabla Articulos'!B:B)),"OK","NO ESTA")</f>
        <v>OK</v>
      </c>
      <c r="B123" s="38" t="str">
        <f>IF(ISNUMBER(_xlfn.XMATCH('Calcular necesidad'!E:E,'Necesidad por familia'!A:A)),"OK","NO ESTA")</f>
        <v>OK</v>
      </c>
      <c r="C123" s="17" t="s">
        <v>632</v>
      </c>
      <c r="D123" s="1" t="s">
        <v>419</v>
      </c>
      <c r="E123" s="1" t="str">
        <f>_xlfn.XLOOKUP(C123,'Tabla Articulos'!B:B,'Tabla Articulos'!D:D)</f>
        <v xml:space="preserve">SERVILLETA 16X21 </v>
      </c>
      <c r="F123" s="1">
        <v>8400</v>
      </c>
      <c r="G123" s="15">
        <f>SUM(
    SUMIFS(MRP!$H$2:$H$221, MRP!$B$2:$B$221, $C123, MRP!$G$2:$G$221, G$1),
    SUMIFS(MRP!$I$2:$I$221, MRP!$B$2:$B$221, $C123, MRP!$G$2:$G$221, G$1),
    SUMIFS(MRP!$J$2:$J$221, MRP!$B$2:$B$221, $C123,  MRP!$G$2:$G$221, G$1),
    SUMIFS(MRP!$K$2:$K$221, MRP!$B$2:$B$221, $C123,  MRP!$G$2:$G$221, G$1),
    SUMIFS(MRP!$L$2:$L$221, MRP!$B$2:$B$221, $C123,  MRP!$G$2:$G$221, G$1)
)*F123</f>
        <v>0</v>
      </c>
      <c r="H123" s="15">
        <f>SUM(
    SUMIFS(MRP!$H$2:$H$221, MRP!$B$2:$B$221, $C123, MRP!$G$2:$G$221, H$1),
    SUMIFS(MRP!$I$2:$I$221, MRP!$B$2:$B$221, $C123, MRP!$G$2:$G$221, H$1),
    SUMIFS(MRP!$J$2:$J$221, MRP!$B$2:$B$221, $C123,  MRP!$G$2:$G$221, H$1),
    SUMIFS(MRP!$K$2:$K$221, MRP!$B$2:$B$221, $C123,  MRP!$G$2:$G$221, H$1),
    SUMIFS(MRP!$L$2:$L$221, MRP!$B$2:$B$221, $C123,  MRP!$G$2:$G$221, H$1)
)*F123</f>
        <v>16800</v>
      </c>
      <c r="I123" s="15">
        <f>SUM(
    SUMIFS(MRP!$H$2:$H$221, MRP!$B$2:$B$221, $C123, MRP!$G$2:$G$221, I$1),
    SUMIFS(MRP!$I$2:$I$221, MRP!$B$2:$B$221, $C123, MRP!$G$2:$G$221, I$1),
    SUMIFS(MRP!$J$2:$J$221, MRP!$B$2:$B$221, $C123,  MRP!$G$2:$G$221, I$1),
    SUMIFS(MRP!$K$2:$K$221, MRP!$B$2:$B$221, $C123,  MRP!$G$2:$G$221, I$1),
    SUMIFS(MRP!$L$2:$L$221, MRP!$B$2:$B$221, $C123,  MRP!$G$2:$G$221, I$1)
)*F123</f>
        <v>0</v>
      </c>
      <c r="J123" s="15">
        <f>SUM(
    SUMIFS(MRP!$H$2:$H$221, MRP!$B$2:$B$221, $C123, MRP!$G$2:$G$221, J$1),
    SUMIFS(MRP!$I$2:$I$221, MRP!$B$2:$B$221, $C123, MRP!$G$2:$G$221, J$1),
    SUMIFS(MRP!$J$2:$J$221, MRP!$B$2:$B$221, $C123,  MRP!$G$2:$G$221, J$1),
    SUMIFS(MRP!$K$2:$K$221, MRP!$B$2:$B$221, $C123,  MRP!$G$2:$G$221, J$1),
    SUMIFS(MRP!$L$2:$L$221, MRP!$B$2:$B$221, $C123,  MRP!$G$2:$G$221, J$1)
)*F123</f>
        <v>0</v>
      </c>
      <c r="K123" s="15">
        <f>SUM(
    SUMIFS(MRP!$H$2:$H$221, MRP!$B$2:$B$221, $C123, MRP!$G$2:$G$221, K$1),
    SUMIFS(MRP!$I$2:$I$221, MRP!$B$2:$B$221, $C123, MRP!$G$2:$G$221, K$1),
    SUMIFS(MRP!$J$2:$J$221, MRP!$B$2:$B$221, $C123,  MRP!$G$2:$G$221, K$1),
    SUMIFS(MRP!$K$2:$K$221, MRP!$B$2:$B$221, $C123,  MRP!$G$2:$G$221, K$1),
    SUMIFS(MRP!$L$2:$L$221, MRP!$B$2:$B$221, $C123,  MRP!$G$2:$G$221, K$1)
)*F123</f>
        <v>0</v>
      </c>
      <c r="L123" s="55" t="str">
        <f>TRIM(Tabla3[[#This Row],[CodInternoArti]])</f>
        <v>17790250912825</v>
      </c>
    </row>
    <row r="124" spans="1:12" hidden="1" x14ac:dyDescent="0.35">
      <c r="A124" s="38" t="str">
        <f>IF(ISNUMBER(_xlfn.XMATCH(Tabla3[[#This Row],[CodInternoArti]],'Tabla Articulos'!B:B)),"OK","NO ESTA")</f>
        <v>OK</v>
      </c>
      <c r="B124" s="38" t="str">
        <f>IF(ISNUMBER(_xlfn.XMATCH('Calcular necesidad'!E:E,'Necesidad por familia'!A:A)),"OK","NO ESTA")</f>
        <v>OK</v>
      </c>
      <c r="C124" s="17" t="s">
        <v>633</v>
      </c>
      <c r="D124" s="1" t="s">
        <v>410</v>
      </c>
      <c r="E124" s="1" t="str">
        <f>_xlfn.XLOOKUP(C124,'Tabla Articulos'!B:B,'Tabla Articulos'!D:D)</f>
        <v>GUANTE LATEX M</v>
      </c>
      <c r="F124" s="1">
        <v>100</v>
      </c>
      <c r="G124" s="15">
        <f>SUM(
    SUMIFS(MRP!$H$2:$H$221, MRP!$B$2:$B$221, $C124, MRP!$G$2:$G$221, G$1),
    SUMIFS(MRP!$I$2:$I$221, MRP!$B$2:$B$221, $C124, MRP!$G$2:$G$221, G$1),
    SUMIFS(MRP!$J$2:$J$221, MRP!$B$2:$B$221, $C124,  MRP!$G$2:$G$221, G$1),
    SUMIFS(MRP!$K$2:$K$221, MRP!$B$2:$B$221, $C124,  MRP!$G$2:$G$221, G$1),
    SUMIFS(MRP!$L$2:$L$221, MRP!$B$2:$B$221, $C124,  MRP!$G$2:$G$221, G$1)
)*F124</f>
        <v>0</v>
      </c>
      <c r="H124" s="15">
        <f>SUM(
    SUMIFS(MRP!$H$2:$H$221, MRP!$B$2:$B$221, $C124, MRP!$G$2:$G$221, H$1),
    SUMIFS(MRP!$I$2:$I$221, MRP!$B$2:$B$221, $C124, MRP!$G$2:$G$221, H$1),
    SUMIFS(MRP!$J$2:$J$221, MRP!$B$2:$B$221, $C124,  MRP!$G$2:$G$221, H$1),
    SUMIFS(MRP!$K$2:$K$221, MRP!$B$2:$B$221, $C124,  MRP!$G$2:$G$221, H$1),
    SUMIFS(MRP!$L$2:$L$221, MRP!$B$2:$B$221, $C124,  MRP!$G$2:$G$221, H$1)
)*F124</f>
        <v>4700</v>
      </c>
      <c r="I124" s="15">
        <f>SUM(
    SUMIFS(MRP!$H$2:$H$221, MRP!$B$2:$B$221, $C124, MRP!$G$2:$G$221, I$1),
    SUMIFS(MRP!$I$2:$I$221, MRP!$B$2:$B$221, $C124, MRP!$G$2:$G$221, I$1),
    SUMIFS(MRP!$J$2:$J$221, MRP!$B$2:$B$221, $C124,  MRP!$G$2:$G$221, I$1),
    SUMIFS(MRP!$K$2:$K$221, MRP!$B$2:$B$221, $C124,  MRP!$G$2:$G$221, I$1),
    SUMIFS(MRP!$L$2:$L$221, MRP!$B$2:$B$221, $C124,  MRP!$G$2:$G$221, I$1)
)*F124</f>
        <v>0</v>
      </c>
      <c r="J124" s="15">
        <f>SUM(
    SUMIFS(MRP!$H$2:$H$221, MRP!$B$2:$B$221, $C124, MRP!$G$2:$G$221, J$1),
    SUMIFS(MRP!$I$2:$I$221, MRP!$B$2:$B$221, $C124, MRP!$G$2:$G$221, J$1),
    SUMIFS(MRP!$J$2:$J$221, MRP!$B$2:$B$221, $C124,  MRP!$G$2:$G$221, J$1),
    SUMIFS(MRP!$K$2:$K$221, MRP!$B$2:$B$221, $C124,  MRP!$G$2:$G$221, J$1),
    SUMIFS(MRP!$L$2:$L$221, MRP!$B$2:$B$221, $C124,  MRP!$G$2:$G$221, J$1)
)*F124</f>
        <v>0</v>
      </c>
      <c r="K124" s="15">
        <f>SUM(
    SUMIFS(MRP!$H$2:$H$221, MRP!$B$2:$B$221, $C124, MRP!$G$2:$G$221, K$1),
    SUMIFS(MRP!$I$2:$I$221, MRP!$B$2:$B$221, $C124, MRP!$G$2:$G$221, K$1),
    SUMIFS(MRP!$J$2:$J$221, MRP!$B$2:$B$221, $C124,  MRP!$G$2:$G$221, K$1),
    SUMIFS(MRP!$K$2:$K$221, MRP!$B$2:$B$221, $C124,  MRP!$G$2:$G$221, K$1),
    SUMIFS(MRP!$L$2:$L$221, MRP!$B$2:$B$221, $C124,  MRP!$G$2:$G$221, K$1)
)*F124</f>
        <v>0</v>
      </c>
      <c r="L124" s="55" t="str">
        <f>TRIM(Tabla3[[#This Row],[CodInternoArti]])</f>
        <v>7790430132764</v>
      </c>
    </row>
    <row r="125" spans="1:12" hidden="1" x14ac:dyDescent="0.35">
      <c r="A125" s="38" t="str">
        <f>IF(ISNUMBER(_xlfn.XMATCH(Tabla3[[#This Row],[CodInternoArti]],'Tabla Articulos'!B:B)),"OK","NO ESTA")</f>
        <v>OK</v>
      </c>
      <c r="B125" s="38" t="str">
        <f>IF(ISNUMBER(_xlfn.XMATCH('Calcular necesidad'!E:E,'Necesidad por familia'!A:A)),"OK","NO ESTA")</f>
        <v>OK</v>
      </c>
      <c r="C125" s="17" t="s">
        <v>634</v>
      </c>
      <c r="D125" s="1" t="s">
        <v>477</v>
      </c>
      <c r="E125" s="1" t="str">
        <f>_xlfn.XLOOKUP(C125,'Tabla Articulos'!B:B,'Tabla Articulos'!D:D)</f>
        <v>AGITADOR MADERA</v>
      </c>
      <c r="F125" s="1">
        <v>500</v>
      </c>
      <c r="G125" s="15">
        <f>SUM(
    SUMIFS(MRP!$H$2:$H$221, MRP!$B$2:$B$221, $C125, MRP!$G$2:$G$221, G$1),
    SUMIFS(MRP!$I$2:$I$221, MRP!$B$2:$B$221, $C125, MRP!$G$2:$G$221, G$1),
    SUMIFS(MRP!$J$2:$J$221, MRP!$B$2:$B$221, $C125,  MRP!$G$2:$G$221, G$1),
    SUMIFS(MRP!$K$2:$K$221, MRP!$B$2:$B$221, $C125,  MRP!$G$2:$G$221, G$1),
    SUMIFS(MRP!$L$2:$L$221, MRP!$B$2:$B$221, $C125,  MRP!$G$2:$G$221, G$1)
)*F125</f>
        <v>0</v>
      </c>
      <c r="H125" s="15">
        <f>SUM(
    SUMIFS(MRP!$H$2:$H$221, MRP!$B$2:$B$221, $C125, MRP!$G$2:$G$221, H$1),
    SUMIFS(MRP!$I$2:$I$221, MRP!$B$2:$B$221, $C125, MRP!$G$2:$G$221, H$1),
    SUMIFS(MRP!$J$2:$J$221, MRP!$B$2:$B$221, $C125,  MRP!$G$2:$G$221, H$1),
    SUMIFS(MRP!$K$2:$K$221, MRP!$B$2:$B$221, $C125,  MRP!$G$2:$G$221, H$1),
    SUMIFS(MRP!$L$2:$L$221, MRP!$B$2:$B$221, $C125,  MRP!$G$2:$G$221, H$1)
)*F125</f>
        <v>8000</v>
      </c>
      <c r="I125" s="15">
        <f>SUM(
    SUMIFS(MRP!$H$2:$H$221, MRP!$B$2:$B$221, $C125, MRP!$G$2:$G$221, I$1),
    SUMIFS(MRP!$I$2:$I$221, MRP!$B$2:$B$221, $C125, MRP!$G$2:$G$221, I$1),
    SUMIFS(MRP!$J$2:$J$221, MRP!$B$2:$B$221, $C125,  MRP!$G$2:$G$221, I$1),
    SUMIFS(MRP!$K$2:$K$221, MRP!$B$2:$B$221, $C125,  MRP!$G$2:$G$221, I$1),
    SUMIFS(MRP!$L$2:$L$221, MRP!$B$2:$B$221, $C125,  MRP!$G$2:$G$221, I$1)
)*F125</f>
        <v>0</v>
      </c>
      <c r="J125" s="15">
        <f>SUM(
    SUMIFS(MRP!$H$2:$H$221, MRP!$B$2:$B$221, $C125, MRP!$G$2:$G$221, J$1),
    SUMIFS(MRP!$I$2:$I$221, MRP!$B$2:$B$221, $C125, MRP!$G$2:$G$221, J$1),
    SUMIFS(MRP!$J$2:$J$221, MRP!$B$2:$B$221, $C125,  MRP!$G$2:$G$221, J$1),
    SUMIFS(MRP!$K$2:$K$221, MRP!$B$2:$B$221, $C125,  MRP!$G$2:$G$221, J$1),
    SUMIFS(MRP!$L$2:$L$221, MRP!$B$2:$B$221, $C125,  MRP!$G$2:$G$221, J$1)
)*F125</f>
        <v>0</v>
      </c>
      <c r="K125" s="15">
        <f>SUM(
    SUMIFS(MRP!$H$2:$H$221, MRP!$B$2:$B$221, $C125, MRP!$G$2:$G$221, K$1),
    SUMIFS(MRP!$I$2:$I$221, MRP!$B$2:$B$221, $C125, MRP!$G$2:$G$221, K$1),
    SUMIFS(MRP!$J$2:$J$221, MRP!$B$2:$B$221, $C125,  MRP!$G$2:$G$221, K$1),
    SUMIFS(MRP!$K$2:$K$221, MRP!$B$2:$B$221, $C125,  MRP!$G$2:$G$221, K$1),
    SUMIFS(MRP!$L$2:$L$221, MRP!$B$2:$B$221, $C125,  MRP!$G$2:$G$221, K$1)
)*F125</f>
        <v>0</v>
      </c>
      <c r="L125" s="55" t="str">
        <f>TRIM(Tabla3[[#This Row],[CodInternoArti]])</f>
        <v>7790000000519</v>
      </c>
    </row>
    <row r="126" spans="1:12" hidden="1" x14ac:dyDescent="0.35">
      <c r="A126" s="38" t="str">
        <f>IF(ISNUMBER(_xlfn.XMATCH(Tabla3[[#This Row],[CodInternoArti]],'Tabla Articulos'!B:B)),"OK","NO ESTA")</f>
        <v>OK</v>
      </c>
      <c r="B126" s="38" t="str">
        <f>IF(ISNUMBER(_xlfn.XMATCH('Calcular necesidad'!E:E,'Necesidad por familia'!A:A)),"OK","NO ESTA")</f>
        <v>OK</v>
      </c>
      <c r="C126" s="17" t="s">
        <v>635</v>
      </c>
      <c r="D126" s="1" t="s">
        <v>636</v>
      </c>
      <c r="E126" s="1" t="str">
        <f>_xlfn.XLOOKUP(C126,'Tabla Articulos'!B:B,'Tabla Articulos'!D:D)</f>
        <v>CAMISETA BLANCA 40X50</v>
      </c>
      <c r="F126" s="1">
        <v>60</v>
      </c>
      <c r="G126" s="15">
        <f>SUM(
    SUMIFS(MRP!$H$2:$H$221, MRP!$B$2:$B$221, $C126, MRP!$G$2:$G$221, G$1),
    SUMIFS(MRP!$I$2:$I$221, MRP!$B$2:$B$221, $C126, MRP!$G$2:$G$221, G$1),
    SUMIFS(MRP!$J$2:$J$221, MRP!$B$2:$B$221, $C126,  MRP!$G$2:$G$221, G$1),
    SUMIFS(MRP!$K$2:$K$221, MRP!$B$2:$B$221, $C126,  MRP!$G$2:$G$221, G$1),
    SUMIFS(MRP!$L$2:$L$221, MRP!$B$2:$B$221, $C126,  MRP!$G$2:$G$221, G$1)
)*F126</f>
        <v>0</v>
      </c>
      <c r="H126" s="15">
        <f>SUM(
    SUMIFS(MRP!$H$2:$H$221, MRP!$B$2:$B$221, $C126, MRP!$G$2:$G$221, H$1),
    SUMIFS(MRP!$I$2:$I$221, MRP!$B$2:$B$221, $C126, MRP!$G$2:$G$221, H$1),
    SUMIFS(MRP!$J$2:$J$221, MRP!$B$2:$B$221, $C126,  MRP!$G$2:$G$221, H$1),
    SUMIFS(MRP!$K$2:$K$221, MRP!$B$2:$B$221, $C126,  MRP!$G$2:$G$221, H$1),
    SUMIFS(MRP!$L$2:$L$221, MRP!$B$2:$B$221, $C126,  MRP!$G$2:$G$221, H$1)
)*F126</f>
        <v>0</v>
      </c>
      <c r="I126" s="15">
        <f>SUM(
    SUMIFS(MRP!$H$2:$H$221, MRP!$B$2:$B$221, $C126, MRP!$G$2:$G$221, I$1),
    SUMIFS(MRP!$I$2:$I$221, MRP!$B$2:$B$221, $C126, MRP!$G$2:$G$221, I$1),
    SUMIFS(MRP!$J$2:$J$221, MRP!$B$2:$B$221, $C126,  MRP!$G$2:$G$221, I$1),
    SUMIFS(MRP!$K$2:$K$221, MRP!$B$2:$B$221, $C126,  MRP!$G$2:$G$221, I$1),
    SUMIFS(MRP!$L$2:$L$221, MRP!$B$2:$B$221, $C126,  MRP!$G$2:$G$221, I$1)
)*F126</f>
        <v>0</v>
      </c>
      <c r="J126" s="15">
        <f>SUM(
    SUMIFS(MRP!$H$2:$H$221, MRP!$B$2:$B$221, $C126, MRP!$G$2:$G$221, J$1),
    SUMIFS(MRP!$I$2:$I$221, MRP!$B$2:$B$221, $C126, MRP!$G$2:$G$221, J$1),
    SUMIFS(MRP!$J$2:$J$221, MRP!$B$2:$B$221, $C126,  MRP!$G$2:$G$221, J$1),
    SUMIFS(MRP!$K$2:$K$221, MRP!$B$2:$B$221, $C126,  MRP!$G$2:$G$221, J$1),
    SUMIFS(MRP!$L$2:$L$221, MRP!$B$2:$B$221, $C126,  MRP!$G$2:$G$221, J$1)
)*F126</f>
        <v>0</v>
      </c>
      <c r="K126" s="15">
        <f>SUM(
    SUMIFS(MRP!$H$2:$H$221, MRP!$B$2:$B$221, $C126, MRP!$G$2:$G$221, K$1),
    SUMIFS(MRP!$I$2:$I$221, MRP!$B$2:$B$221, $C126, MRP!$G$2:$G$221, K$1),
    SUMIFS(MRP!$J$2:$J$221, MRP!$B$2:$B$221, $C126,  MRP!$G$2:$G$221, K$1),
    SUMIFS(MRP!$K$2:$K$221, MRP!$B$2:$B$221, $C126,  MRP!$G$2:$G$221, K$1),
    SUMIFS(MRP!$L$2:$L$221, MRP!$B$2:$B$221, $C126,  MRP!$G$2:$G$221, K$1)
)*F126</f>
        <v>0</v>
      </c>
      <c r="L126" s="55" t="str">
        <f>TRIM(Tabla3[[#This Row],[CodInternoArti]])</f>
        <v>7790000002198</v>
      </c>
    </row>
    <row r="127" spans="1:12" x14ac:dyDescent="0.35">
      <c r="A127" s="38" t="str">
        <f>IF(ISNUMBER(_xlfn.XMATCH(Tabla3[[#This Row],[CodInternoArti]],'Tabla Articulos'!B:B)),"OK","NO ESTA")</f>
        <v>OK</v>
      </c>
      <c r="B127" s="38" t="str">
        <f>IF(ISNUMBER(_xlfn.XMATCH('Calcular necesidad'!E:E,'Necesidad por familia'!A:A)),"OK","NO ESTA")</f>
        <v>OK</v>
      </c>
      <c r="C127" s="17" t="s">
        <v>637</v>
      </c>
      <c r="D127" s="1" t="s">
        <v>638</v>
      </c>
      <c r="E127" s="1" t="str">
        <f>_xlfn.XLOOKUP(C127,'Tabla Articulos'!B:B,'Tabla Articulos'!D:D)</f>
        <v>GUANTE NITRILO M</v>
      </c>
      <c r="F127" s="1">
        <v>100</v>
      </c>
      <c r="G127" s="15">
        <f>SUM(
    SUMIFS(MRP!$H$2:$H$221, MRP!$B$2:$B$221, $C127, MRP!$G$2:$G$221, G$1),
    SUMIFS(MRP!$I$2:$I$221, MRP!$B$2:$B$221, $C127, MRP!$G$2:$G$221, G$1),
    SUMIFS(MRP!$J$2:$J$221, MRP!$B$2:$B$221, $C127,  MRP!$G$2:$G$221, G$1),
    SUMIFS(MRP!$K$2:$K$221, MRP!$B$2:$B$221, $C127,  MRP!$G$2:$G$221, G$1),
    SUMIFS(MRP!$L$2:$L$221, MRP!$B$2:$B$221, $C127,  MRP!$G$2:$G$221, G$1)
)*F127</f>
        <v>0</v>
      </c>
      <c r="H127" s="15">
        <f>SUM(
    SUMIFS(MRP!$H$2:$H$221, MRP!$B$2:$B$221, $C127, MRP!$G$2:$G$221, H$1),
    SUMIFS(MRP!$I$2:$I$221, MRP!$B$2:$B$221, $C127, MRP!$G$2:$G$221, H$1),
    SUMIFS(MRP!$J$2:$J$221, MRP!$B$2:$B$221, $C127,  MRP!$G$2:$G$221, H$1),
    SUMIFS(MRP!$K$2:$K$221, MRP!$B$2:$B$221, $C127,  MRP!$G$2:$G$221, H$1),
    SUMIFS(MRP!$L$2:$L$221, MRP!$B$2:$B$221, $C127,  MRP!$G$2:$G$221, H$1)
)*F127</f>
        <v>0</v>
      </c>
      <c r="I127" s="15">
        <f>SUM(
    SUMIFS(MRP!$H$2:$H$221, MRP!$B$2:$B$221, $C127, MRP!$G$2:$G$221, I$1),
    SUMIFS(MRP!$I$2:$I$221, MRP!$B$2:$B$221, $C127, MRP!$G$2:$G$221, I$1),
    SUMIFS(MRP!$J$2:$J$221, MRP!$B$2:$B$221, $C127,  MRP!$G$2:$G$221, I$1),
    SUMIFS(MRP!$K$2:$K$221, MRP!$B$2:$B$221, $C127,  MRP!$G$2:$G$221, I$1),
    SUMIFS(MRP!$L$2:$L$221, MRP!$B$2:$B$221, $C127,  MRP!$G$2:$G$221, I$1)
)*F127</f>
        <v>0</v>
      </c>
      <c r="J127" s="15">
        <f>SUM(
    SUMIFS(MRP!$H$2:$H$221, MRP!$B$2:$B$221, $C127, MRP!$G$2:$G$221, J$1),
    SUMIFS(MRP!$I$2:$I$221, MRP!$B$2:$B$221, $C127, MRP!$G$2:$G$221, J$1),
    SUMIFS(MRP!$J$2:$J$221, MRP!$B$2:$B$221, $C127,  MRP!$G$2:$G$221, J$1),
    SUMIFS(MRP!$K$2:$K$221, MRP!$B$2:$B$221, $C127,  MRP!$G$2:$G$221, J$1),
    SUMIFS(MRP!$L$2:$L$221, MRP!$B$2:$B$221, $C127,  MRP!$G$2:$G$221, J$1)
)*F127</f>
        <v>0</v>
      </c>
      <c r="K127" s="15">
        <f>SUM(
    SUMIFS(MRP!$H$2:$H$221, MRP!$B$2:$B$221, $C127, MRP!$G$2:$G$221, K$1),
    SUMIFS(MRP!$I$2:$I$221, MRP!$B$2:$B$221, $C127, MRP!$G$2:$G$221, K$1),
    SUMIFS(MRP!$J$2:$J$221, MRP!$B$2:$B$221, $C127,  MRP!$G$2:$G$221, K$1),
    SUMIFS(MRP!$K$2:$K$221, MRP!$B$2:$B$221, $C127,  MRP!$G$2:$G$221, K$1),
    SUMIFS(MRP!$L$2:$L$221, MRP!$B$2:$B$221, $C127,  MRP!$G$2:$G$221, K$1)
)*F127</f>
        <v>0</v>
      </c>
      <c r="L127" s="55" t="str">
        <f>TRIM(Tabla3[[#This Row],[CodInternoArti]])</f>
        <v>4968420508543</v>
      </c>
    </row>
    <row r="128" spans="1:12" hidden="1" x14ac:dyDescent="0.35">
      <c r="A128" s="38" t="str">
        <f>IF(ISNUMBER(_xlfn.XMATCH(Tabla3[[#This Row],[CodInternoArti]],'Tabla Articulos'!B:B)),"OK","NO ESTA")</f>
        <v>OK</v>
      </c>
      <c r="B128" s="38" t="str">
        <f>IF(ISNUMBER(_xlfn.XMATCH('Calcular necesidad'!E:E,'Necesidad por familia'!A:A)),"OK","NO ESTA")</f>
        <v>OK</v>
      </c>
      <c r="C128" s="17" t="s">
        <v>396</v>
      </c>
      <c r="D128" s="1" t="s">
        <v>397</v>
      </c>
      <c r="E128" s="1" t="str">
        <f>_xlfn.XLOOKUP(C128,'Tabla Articulos'!B:B,'Tabla Articulos'!D:D)</f>
        <v>SERVILLETA BAR</v>
      </c>
      <c r="F128" s="1">
        <v>10000</v>
      </c>
      <c r="G128" s="15">
        <f>SUM(
    SUMIFS(MRP!$H$2:$H$221, MRP!$B$2:$B$221, $C128, MRP!$G$2:$G$221, G$1),
    SUMIFS(MRP!$I$2:$I$221, MRP!$B$2:$B$221, $C128, MRP!$G$2:$G$221, G$1),
    SUMIFS(MRP!$J$2:$J$221, MRP!$B$2:$B$221, $C128,  MRP!$G$2:$G$221, G$1),
    SUMIFS(MRP!$K$2:$K$221, MRP!$B$2:$B$221, $C128,  MRP!$G$2:$G$221, G$1),
    SUMIFS(MRP!$L$2:$L$221, MRP!$B$2:$B$221, $C128,  MRP!$G$2:$G$221, G$1)
)*F128</f>
        <v>0</v>
      </c>
      <c r="H128" s="15">
        <f>SUM(
    SUMIFS(MRP!$H$2:$H$221, MRP!$B$2:$B$221, $C128, MRP!$G$2:$G$221, H$1),
    SUMIFS(MRP!$I$2:$I$221, MRP!$B$2:$B$221, $C128, MRP!$G$2:$G$221, H$1),
    SUMIFS(MRP!$J$2:$J$221, MRP!$B$2:$B$221, $C128,  MRP!$G$2:$G$221, H$1),
    SUMIFS(MRP!$K$2:$K$221, MRP!$B$2:$B$221, $C128,  MRP!$G$2:$G$221, H$1),
    SUMIFS(MRP!$L$2:$L$221, MRP!$B$2:$B$221, $C128,  MRP!$G$2:$G$221, H$1)
)*F128</f>
        <v>50000</v>
      </c>
      <c r="I128" s="15">
        <f>SUM(
    SUMIFS(MRP!$H$2:$H$221, MRP!$B$2:$B$221, $C128, MRP!$G$2:$G$221, I$1),
    SUMIFS(MRP!$I$2:$I$221, MRP!$B$2:$B$221, $C128, MRP!$G$2:$G$221, I$1),
    SUMIFS(MRP!$J$2:$J$221, MRP!$B$2:$B$221, $C128,  MRP!$G$2:$G$221, I$1),
    SUMIFS(MRP!$K$2:$K$221, MRP!$B$2:$B$221, $C128,  MRP!$G$2:$G$221, I$1),
    SUMIFS(MRP!$L$2:$L$221, MRP!$B$2:$B$221, $C128,  MRP!$G$2:$G$221, I$1)
)*F128</f>
        <v>0</v>
      </c>
      <c r="J128" s="15">
        <f>SUM(
    SUMIFS(MRP!$H$2:$H$221, MRP!$B$2:$B$221, $C128, MRP!$G$2:$G$221, J$1),
    SUMIFS(MRP!$I$2:$I$221, MRP!$B$2:$B$221, $C128, MRP!$G$2:$G$221, J$1),
    SUMIFS(MRP!$J$2:$J$221, MRP!$B$2:$B$221, $C128,  MRP!$G$2:$G$221, J$1),
    SUMIFS(MRP!$K$2:$K$221, MRP!$B$2:$B$221, $C128,  MRP!$G$2:$G$221, J$1),
    SUMIFS(MRP!$L$2:$L$221, MRP!$B$2:$B$221, $C128,  MRP!$G$2:$G$221, J$1)
)*F128</f>
        <v>0</v>
      </c>
      <c r="K128" s="15">
        <f>SUM(
    SUMIFS(MRP!$H$2:$H$221, MRP!$B$2:$B$221, $C128, MRP!$G$2:$G$221, K$1),
    SUMIFS(MRP!$I$2:$I$221, MRP!$B$2:$B$221, $C128, MRP!$G$2:$G$221, K$1),
    SUMIFS(MRP!$J$2:$J$221, MRP!$B$2:$B$221, $C128,  MRP!$G$2:$G$221, K$1),
    SUMIFS(MRP!$K$2:$K$221, MRP!$B$2:$B$221, $C128,  MRP!$G$2:$G$221, K$1),
    SUMIFS(MRP!$L$2:$L$221, MRP!$B$2:$B$221, $C128,  MRP!$G$2:$G$221, K$1)
)*F128</f>
        <v>0</v>
      </c>
      <c r="L128" s="55" t="str">
        <f>TRIM(Tabla3[[#This Row],[CodInternoArti]])</f>
        <v>PS0241</v>
      </c>
    </row>
    <row r="129" spans="1:12" hidden="1" x14ac:dyDescent="0.35">
      <c r="A129" s="38" t="str">
        <f>IF(ISNUMBER(_xlfn.XMATCH(Tabla3[[#This Row],[CodInternoArti]],'Tabla Articulos'!B:B)),"OK","NO ESTA")</f>
        <v>OK</v>
      </c>
      <c r="B129" s="38" t="str">
        <f>IF(ISNUMBER(_xlfn.XMATCH('Calcular necesidad'!E:E,'Necesidad por familia'!A:A)),"OK","NO ESTA")</f>
        <v>OK</v>
      </c>
      <c r="C129" s="17" t="s">
        <v>639</v>
      </c>
      <c r="D129" s="1" t="s">
        <v>404</v>
      </c>
      <c r="E129" s="1" t="str">
        <f>_xlfn.XLOOKUP(C129,'Tabla Articulos'!B:B,'Tabla Articulos'!D:D)</f>
        <v>GUANTE LATEX L</v>
      </c>
      <c r="F129" s="1">
        <v>100</v>
      </c>
      <c r="G129" s="15">
        <f>SUM(
    SUMIFS(MRP!$H$2:$H$221, MRP!$B$2:$B$221, $C129, MRP!$G$2:$G$221, G$1),
    SUMIFS(MRP!$I$2:$I$221, MRP!$B$2:$B$221, $C129, MRP!$G$2:$G$221, G$1),
    SUMIFS(MRP!$J$2:$J$221, MRP!$B$2:$B$221, $C129,  MRP!$G$2:$G$221, G$1),
    SUMIFS(MRP!$K$2:$K$221, MRP!$B$2:$B$221, $C129,  MRP!$G$2:$G$221, G$1),
    SUMIFS(MRP!$L$2:$L$221, MRP!$B$2:$B$221, $C129,  MRP!$G$2:$G$221, G$1)
)*F129</f>
        <v>0</v>
      </c>
      <c r="H129" s="15">
        <f>SUM(
    SUMIFS(MRP!$H$2:$H$221, MRP!$B$2:$B$221, $C129, MRP!$G$2:$G$221, H$1),
    SUMIFS(MRP!$I$2:$I$221, MRP!$B$2:$B$221, $C129, MRP!$G$2:$G$221, H$1),
    SUMIFS(MRP!$J$2:$J$221, MRP!$B$2:$B$221, $C129,  MRP!$G$2:$G$221, H$1),
    SUMIFS(MRP!$K$2:$K$221, MRP!$B$2:$B$221, $C129,  MRP!$G$2:$G$221, H$1),
    SUMIFS(MRP!$L$2:$L$221, MRP!$B$2:$B$221, $C129,  MRP!$G$2:$G$221, H$1)
)*F129</f>
        <v>34200</v>
      </c>
      <c r="I129" s="15">
        <f>SUM(
    SUMIFS(MRP!$H$2:$H$221, MRP!$B$2:$B$221, $C129, MRP!$G$2:$G$221, I$1),
    SUMIFS(MRP!$I$2:$I$221, MRP!$B$2:$B$221, $C129, MRP!$G$2:$G$221, I$1),
    SUMIFS(MRP!$J$2:$J$221, MRP!$B$2:$B$221, $C129,  MRP!$G$2:$G$221, I$1),
    SUMIFS(MRP!$K$2:$K$221, MRP!$B$2:$B$221, $C129,  MRP!$G$2:$G$221, I$1),
    SUMIFS(MRP!$L$2:$L$221, MRP!$B$2:$B$221, $C129,  MRP!$G$2:$G$221, I$1)
)*F129</f>
        <v>0</v>
      </c>
      <c r="J129" s="15">
        <f>SUM(
    SUMIFS(MRP!$H$2:$H$221, MRP!$B$2:$B$221, $C129, MRP!$G$2:$G$221, J$1),
    SUMIFS(MRP!$I$2:$I$221, MRP!$B$2:$B$221, $C129, MRP!$G$2:$G$221, J$1),
    SUMIFS(MRP!$J$2:$J$221, MRP!$B$2:$B$221, $C129,  MRP!$G$2:$G$221, J$1),
    SUMIFS(MRP!$K$2:$K$221, MRP!$B$2:$B$221, $C129,  MRP!$G$2:$G$221, J$1),
    SUMIFS(MRP!$L$2:$L$221, MRP!$B$2:$B$221, $C129,  MRP!$G$2:$G$221, J$1)
)*F129</f>
        <v>0</v>
      </c>
      <c r="K129" s="15">
        <f>SUM(
    SUMIFS(MRP!$H$2:$H$221, MRP!$B$2:$B$221, $C129, MRP!$G$2:$G$221, K$1),
    SUMIFS(MRP!$I$2:$I$221, MRP!$B$2:$B$221, $C129, MRP!$G$2:$G$221, K$1),
    SUMIFS(MRP!$J$2:$J$221, MRP!$B$2:$B$221, $C129,  MRP!$G$2:$G$221, K$1),
    SUMIFS(MRP!$K$2:$K$221, MRP!$B$2:$B$221, $C129,  MRP!$G$2:$G$221, K$1),
    SUMIFS(MRP!$L$2:$L$221, MRP!$B$2:$B$221, $C129,  MRP!$G$2:$G$221, K$1)
)*F129</f>
        <v>0</v>
      </c>
      <c r="L129" s="55" t="str">
        <f>TRIM(Tabla3[[#This Row],[CodInternoArti]])</f>
        <v>7798161675702</v>
      </c>
    </row>
    <row r="130" spans="1:12" hidden="1" x14ac:dyDescent="0.35">
      <c r="A130" s="38" t="str">
        <f>IF(ISNUMBER(_xlfn.XMATCH(Tabla3[[#This Row],[CodInternoArti]],'Tabla Articulos'!B:B)),"OK","NO ESTA")</f>
        <v>OK</v>
      </c>
      <c r="B130" s="38" t="str">
        <f>IF(ISNUMBER(_xlfn.XMATCH('Calcular necesidad'!E:E,'Necesidad por familia'!A:A)),"OK","NO ESTA")</f>
        <v>OK</v>
      </c>
      <c r="C130" s="17" t="s">
        <v>640</v>
      </c>
      <c r="D130" s="1" t="s">
        <v>641</v>
      </c>
      <c r="E130" s="1" t="str">
        <f>_xlfn.XLOOKUP(C130,'Tabla Articulos'!B:B,'Tabla Articulos'!D:D)</f>
        <v>FOLEX</v>
      </c>
      <c r="F130" s="1">
        <v>1</v>
      </c>
      <c r="G130" s="15">
        <f>SUM(
    SUMIFS(MRP!$H$2:$H$221, MRP!$B$2:$B$221, $C130, MRP!$G$2:$G$221, G$1),
    SUMIFS(MRP!$I$2:$I$221, MRP!$B$2:$B$221, $C130, MRP!$G$2:$G$221, G$1),
    SUMIFS(MRP!$J$2:$J$221, MRP!$B$2:$B$221, $C130,  MRP!$G$2:$G$221, G$1),
    SUMIFS(MRP!$K$2:$K$221, MRP!$B$2:$B$221, $C130,  MRP!$G$2:$G$221, G$1),
    SUMIFS(MRP!$L$2:$L$221, MRP!$B$2:$B$221, $C130,  MRP!$G$2:$G$221, G$1)
)*F130</f>
        <v>0</v>
      </c>
      <c r="H130" s="15">
        <f>SUM(
    SUMIFS(MRP!$H$2:$H$221, MRP!$B$2:$B$221, $C130, MRP!$G$2:$G$221, H$1),
    SUMIFS(MRP!$I$2:$I$221, MRP!$B$2:$B$221, $C130, MRP!$G$2:$G$221, H$1),
    SUMIFS(MRP!$J$2:$J$221, MRP!$B$2:$B$221, $C130,  MRP!$G$2:$G$221, H$1),
    SUMIFS(MRP!$K$2:$K$221, MRP!$B$2:$B$221, $C130,  MRP!$G$2:$G$221, H$1),
    SUMIFS(MRP!$L$2:$L$221, MRP!$B$2:$B$221, $C130,  MRP!$G$2:$G$221, H$1)
)*F130</f>
        <v>0</v>
      </c>
      <c r="I130" s="15">
        <f>SUM(
    SUMIFS(MRP!$H$2:$H$221, MRP!$B$2:$B$221, $C130, MRP!$G$2:$G$221, I$1),
    SUMIFS(MRP!$I$2:$I$221, MRP!$B$2:$B$221, $C130, MRP!$G$2:$G$221, I$1),
    SUMIFS(MRP!$J$2:$J$221, MRP!$B$2:$B$221, $C130,  MRP!$G$2:$G$221, I$1),
    SUMIFS(MRP!$K$2:$K$221, MRP!$B$2:$B$221, $C130,  MRP!$G$2:$G$221, I$1),
    SUMIFS(MRP!$L$2:$L$221, MRP!$B$2:$B$221, $C130,  MRP!$G$2:$G$221, I$1)
)*F130</f>
        <v>0</v>
      </c>
      <c r="J130" s="15">
        <f>SUM(
    SUMIFS(MRP!$H$2:$H$221, MRP!$B$2:$B$221, $C130, MRP!$G$2:$G$221, J$1),
    SUMIFS(MRP!$I$2:$I$221, MRP!$B$2:$B$221, $C130, MRP!$G$2:$G$221, J$1),
    SUMIFS(MRP!$J$2:$J$221, MRP!$B$2:$B$221, $C130,  MRP!$G$2:$G$221, J$1),
    SUMIFS(MRP!$K$2:$K$221, MRP!$B$2:$B$221, $C130,  MRP!$G$2:$G$221, J$1),
    SUMIFS(MRP!$L$2:$L$221, MRP!$B$2:$B$221, $C130,  MRP!$G$2:$G$221, J$1)
)*F130</f>
        <v>0</v>
      </c>
      <c r="K130" s="15">
        <f>SUM(
    SUMIFS(MRP!$H$2:$H$221, MRP!$B$2:$B$221, $C130, MRP!$G$2:$G$221, K$1),
    SUMIFS(MRP!$I$2:$I$221, MRP!$B$2:$B$221, $C130, MRP!$G$2:$G$221, K$1),
    SUMIFS(MRP!$J$2:$J$221, MRP!$B$2:$B$221, $C130,  MRP!$G$2:$G$221, K$1),
    SUMIFS(MRP!$K$2:$K$221, MRP!$B$2:$B$221, $C130,  MRP!$G$2:$G$221, K$1),
    SUMIFS(MRP!$L$2:$L$221, MRP!$B$2:$B$221, $C130,  MRP!$G$2:$G$221, K$1)
)*F130</f>
        <v>0</v>
      </c>
      <c r="L130" s="55" t="str">
        <f>TRIM(Tabla3[[#This Row],[CodInternoArti]])</f>
        <v>7791101002132</v>
      </c>
    </row>
    <row r="131" spans="1:12" hidden="1" x14ac:dyDescent="0.35">
      <c r="A131" s="38" t="str">
        <f>IF(ISNUMBER(_xlfn.XMATCH(Tabla3[[#This Row],[CodInternoArti]],'Tabla Articulos'!B:B)),"OK","NO ESTA")</f>
        <v>OK</v>
      </c>
      <c r="B131" s="38" t="str">
        <f>IF(ISNUMBER(_xlfn.XMATCH('Calcular necesidad'!E:E,'Necesidad por familia'!A:A)),"OK","NO ESTA")</f>
        <v>OK</v>
      </c>
      <c r="C131" s="17" t="s">
        <v>642</v>
      </c>
      <c r="D131" s="1" t="s">
        <v>488</v>
      </c>
      <c r="E131" s="1" t="str">
        <f>_xlfn.XLOOKUP(C131,'Tabla Articulos'!B:B,'Tabla Articulos'!D:D)</f>
        <v>ESCARBADIENTE</v>
      </c>
      <c r="F131" s="1">
        <v>500</v>
      </c>
      <c r="G131" s="15">
        <f>SUM(
    SUMIFS(MRP!$H$2:$H$221, MRP!$B$2:$B$221, $C131, MRP!$G$2:$G$221, G$1),
    SUMIFS(MRP!$I$2:$I$221, MRP!$B$2:$B$221, $C131, MRP!$G$2:$G$221, G$1),
    SUMIFS(MRP!$J$2:$J$221, MRP!$B$2:$B$221, $C131,  MRP!$G$2:$G$221, G$1),
    SUMIFS(MRP!$K$2:$K$221, MRP!$B$2:$B$221, $C131,  MRP!$G$2:$G$221, G$1),
    SUMIFS(MRP!$L$2:$L$221, MRP!$B$2:$B$221, $C131,  MRP!$G$2:$G$221, G$1)
)*F131</f>
        <v>0</v>
      </c>
      <c r="H131" s="15">
        <f>SUM(
    SUMIFS(MRP!$H$2:$H$221, MRP!$B$2:$B$221, $C131, MRP!$G$2:$G$221, H$1),
    SUMIFS(MRP!$I$2:$I$221, MRP!$B$2:$B$221, $C131, MRP!$G$2:$G$221, H$1),
    SUMIFS(MRP!$J$2:$J$221, MRP!$B$2:$B$221, $C131,  MRP!$G$2:$G$221, H$1),
    SUMIFS(MRP!$K$2:$K$221, MRP!$B$2:$B$221, $C131,  MRP!$G$2:$G$221, H$1),
    SUMIFS(MRP!$L$2:$L$221, MRP!$B$2:$B$221, $C131,  MRP!$G$2:$G$221, H$1)
)*F131</f>
        <v>40500</v>
      </c>
      <c r="I131" s="15">
        <f>SUM(
    SUMIFS(MRP!$H$2:$H$221, MRP!$B$2:$B$221, $C131, MRP!$G$2:$G$221, I$1),
    SUMIFS(MRP!$I$2:$I$221, MRP!$B$2:$B$221, $C131, MRP!$G$2:$G$221, I$1),
    SUMIFS(MRP!$J$2:$J$221, MRP!$B$2:$B$221, $C131,  MRP!$G$2:$G$221, I$1),
    SUMIFS(MRP!$K$2:$K$221, MRP!$B$2:$B$221, $C131,  MRP!$G$2:$G$221, I$1),
    SUMIFS(MRP!$L$2:$L$221, MRP!$B$2:$B$221, $C131,  MRP!$G$2:$G$221, I$1)
)*F131</f>
        <v>0</v>
      </c>
      <c r="J131" s="15">
        <f>SUM(
    SUMIFS(MRP!$H$2:$H$221, MRP!$B$2:$B$221, $C131, MRP!$G$2:$G$221, J$1),
    SUMIFS(MRP!$I$2:$I$221, MRP!$B$2:$B$221, $C131, MRP!$G$2:$G$221, J$1),
    SUMIFS(MRP!$J$2:$J$221, MRP!$B$2:$B$221, $C131,  MRP!$G$2:$G$221, J$1),
    SUMIFS(MRP!$K$2:$K$221, MRP!$B$2:$B$221, $C131,  MRP!$G$2:$G$221, J$1),
    SUMIFS(MRP!$L$2:$L$221, MRP!$B$2:$B$221, $C131,  MRP!$G$2:$G$221, J$1)
)*F131</f>
        <v>0</v>
      </c>
      <c r="K131" s="15">
        <f>SUM(
    SUMIFS(MRP!$H$2:$H$221, MRP!$B$2:$B$221, $C131, MRP!$G$2:$G$221, K$1),
    SUMIFS(MRP!$I$2:$I$221, MRP!$B$2:$B$221, $C131, MRP!$G$2:$G$221, K$1),
    SUMIFS(MRP!$J$2:$J$221, MRP!$B$2:$B$221, $C131,  MRP!$G$2:$G$221, K$1),
    SUMIFS(MRP!$K$2:$K$221, MRP!$B$2:$B$221, $C131,  MRP!$G$2:$G$221, K$1),
    SUMIFS(MRP!$L$2:$L$221, MRP!$B$2:$B$221, $C131,  MRP!$G$2:$G$221, K$1)
)*F131</f>
        <v>0</v>
      </c>
      <c r="L131" s="55" t="str">
        <f>TRIM(Tabla3[[#This Row],[CodInternoArti]])</f>
        <v>7790013877011</v>
      </c>
    </row>
    <row r="132" spans="1:12" hidden="1" x14ac:dyDescent="0.35">
      <c r="A132" s="38" t="str">
        <f>IF(ISNUMBER(_xlfn.XMATCH(Tabla3[[#This Row],[CodInternoArti]],'Tabla Articulos'!B:B)),"OK","NO ESTA")</f>
        <v>OK</v>
      </c>
      <c r="B132" s="38" t="str">
        <f>IF(ISNUMBER(_xlfn.XMATCH('Calcular necesidad'!E:E,'Necesidad por familia'!A:A)),"OK","NO ESTA")</f>
        <v>OK</v>
      </c>
      <c r="C132" s="17" t="s">
        <v>643</v>
      </c>
      <c r="D132" s="1" t="s">
        <v>412</v>
      </c>
      <c r="E132" s="1" t="str">
        <f>_xlfn.XLOOKUP(C132,'Tabla Articulos'!B:B,'Tabla Articulos'!D:D)</f>
        <v>TAPA 103</v>
      </c>
      <c r="F132" s="1">
        <v>100</v>
      </c>
      <c r="G132" s="15">
        <f>SUM(
    SUMIFS(MRP!$H$2:$H$221, MRP!$B$2:$B$221, $C132, MRP!$G$2:$G$221, G$1),
    SUMIFS(MRP!$I$2:$I$221, MRP!$B$2:$B$221, $C132, MRP!$G$2:$G$221, G$1),
    SUMIFS(MRP!$J$2:$J$221, MRP!$B$2:$B$221, $C132,  MRP!$G$2:$G$221, G$1),
    SUMIFS(MRP!$K$2:$K$221, MRP!$B$2:$B$221, $C132,  MRP!$G$2:$G$221, G$1),
    SUMIFS(MRP!$L$2:$L$221, MRP!$B$2:$B$221, $C132,  MRP!$G$2:$G$221, G$1)
)*F132</f>
        <v>0</v>
      </c>
      <c r="H132" s="15">
        <f>SUM(
    SUMIFS(MRP!$H$2:$H$221, MRP!$B$2:$B$221, $C132, MRP!$G$2:$G$221, H$1),
    SUMIFS(MRP!$I$2:$I$221, MRP!$B$2:$B$221, $C132, MRP!$G$2:$G$221, H$1),
    SUMIFS(MRP!$J$2:$J$221, MRP!$B$2:$B$221, $C132,  MRP!$G$2:$G$221, H$1),
    SUMIFS(MRP!$K$2:$K$221, MRP!$B$2:$B$221, $C132,  MRP!$G$2:$G$221, H$1),
    SUMIFS(MRP!$L$2:$L$221, MRP!$B$2:$B$221, $C132,  MRP!$G$2:$G$221, H$1)
)*F132</f>
        <v>10300</v>
      </c>
      <c r="I132" s="15">
        <f>SUM(
    SUMIFS(MRP!$H$2:$H$221, MRP!$B$2:$B$221, $C132, MRP!$G$2:$G$221, I$1),
    SUMIFS(MRP!$I$2:$I$221, MRP!$B$2:$B$221, $C132, MRP!$G$2:$G$221, I$1),
    SUMIFS(MRP!$J$2:$J$221, MRP!$B$2:$B$221, $C132,  MRP!$G$2:$G$221, I$1),
    SUMIFS(MRP!$K$2:$K$221, MRP!$B$2:$B$221, $C132,  MRP!$G$2:$G$221, I$1),
    SUMIFS(MRP!$L$2:$L$221, MRP!$B$2:$B$221, $C132,  MRP!$G$2:$G$221, I$1)
)*F132</f>
        <v>0</v>
      </c>
      <c r="J132" s="15">
        <f>SUM(
    SUMIFS(MRP!$H$2:$H$221, MRP!$B$2:$B$221, $C132, MRP!$G$2:$G$221, J$1),
    SUMIFS(MRP!$I$2:$I$221, MRP!$B$2:$B$221, $C132, MRP!$G$2:$G$221, J$1),
    SUMIFS(MRP!$J$2:$J$221, MRP!$B$2:$B$221, $C132,  MRP!$G$2:$G$221, J$1),
    SUMIFS(MRP!$K$2:$K$221, MRP!$B$2:$B$221, $C132,  MRP!$G$2:$G$221, J$1),
    SUMIFS(MRP!$L$2:$L$221, MRP!$B$2:$B$221, $C132,  MRP!$G$2:$G$221, J$1)
)*F132</f>
        <v>0</v>
      </c>
      <c r="K132" s="15">
        <f>SUM(
    SUMIFS(MRP!$H$2:$H$221, MRP!$B$2:$B$221, $C132, MRP!$G$2:$G$221, K$1),
    SUMIFS(MRP!$I$2:$I$221, MRP!$B$2:$B$221, $C132, MRP!$G$2:$G$221, K$1),
    SUMIFS(MRP!$J$2:$J$221, MRP!$B$2:$B$221, $C132,  MRP!$G$2:$G$221, K$1),
    SUMIFS(MRP!$K$2:$K$221, MRP!$B$2:$B$221, $C132,  MRP!$G$2:$G$221, K$1),
    SUMIFS(MRP!$L$2:$L$221, MRP!$B$2:$B$221, $C132,  MRP!$G$2:$G$221, K$1)
)*F132</f>
        <v>0</v>
      </c>
      <c r="L132" s="55" t="str">
        <f>TRIM(Tabla3[[#This Row],[CodInternoArti]])</f>
        <v>7798975326413</v>
      </c>
    </row>
    <row r="133" spans="1:12" hidden="1" x14ac:dyDescent="0.35">
      <c r="A133" s="38" t="str">
        <f>IF(ISNUMBER(_xlfn.XMATCH(Tabla3[[#This Row],[CodInternoArti]],'Tabla Articulos'!B:B)),"OK","NO ESTA")</f>
        <v>OK</v>
      </c>
      <c r="B133" s="38" t="str">
        <f>IF(ISNUMBER(_xlfn.XMATCH('Calcular necesidad'!E:E,'Necesidad por familia'!A:A)),"OK","NO ESTA")</f>
        <v>OK</v>
      </c>
      <c r="C133" s="17" t="s">
        <v>644</v>
      </c>
      <c r="D133" s="1" t="s">
        <v>452</v>
      </c>
      <c r="E133" s="1" t="str">
        <f>_xlfn.XLOOKUP(C133,'Tabla Articulos'!B:B,'Tabla Articulos'!D:D)</f>
        <v>BANDEJA 102</v>
      </c>
      <c r="F133" s="1">
        <v>100</v>
      </c>
      <c r="G133" s="15">
        <f>SUM(
    SUMIFS(MRP!$H$2:$H$221, MRP!$B$2:$B$221, $C133, MRP!$G$2:$G$221, G$1),
    SUMIFS(MRP!$I$2:$I$221, MRP!$B$2:$B$221, $C133, MRP!$G$2:$G$221, G$1),
    SUMIFS(MRP!$J$2:$J$221, MRP!$B$2:$B$221, $C133,  MRP!$G$2:$G$221, G$1),
    SUMIFS(MRP!$K$2:$K$221, MRP!$B$2:$B$221, $C133,  MRP!$G$2:$G$221, G$1),
    SUMIFS(MRP!$L$2:$L$221, MRP!$B$2:$B$221, $C133,  MRP!$G$2:$G$221, G$1)
)*F133</f>
        <v>0</v>
      </c>
      <c r="H133" s="15">
        <f>SUM(
    SUMIFS(MRP!$H$2:$H$221, MRP!$B$2:$B$221, $C133, MRP!$G$2:$G$221, H$1),
    SUMIFS(MRP!$I$2:$I$221, MRP!$B$2:$B$221, $C133, MRP!$G$2:$G$221, H$1),
    SUMIFS(MRP!$J$2:$J$221, MRP!$B$2:$B$221, $C133,  MRP!$G$2:$G$221, H$1),
    SUMIFS(MRP!$K$2:$K$221, MRP!$B$2:$B$221, $C133,  MRP!$G$2:$G$221, H$1),
    SUMIFS(MRP!$L$2:$L$221, MRP!$B$2:$B$221, $C133,  MRP!$G$2:$G$221, H$1)
)*F133</f>
        <v>22000</v>
      </c>
      <c r="I133" s="15">
        <f>SUM(
    SUMIFS(MRP!$H$2:$H$221, MRP!$B$2:$B$221, $C133, MRP!$G$2:$G$221, I$1),
    SUMIFS(MRP!$I$2:$I$221, MRP!$B$2:$B$221, $C133, MRP!$G$2:$G$221, I$1),
    SUMIFS(MRP!$J$2:$J$221, MRP!$B$2:$B$221, $C133,  MRP!$G$2:$G$221, I$1),
    SUMIFS(MRP!$K$2:$K$221, MRP!$B$2:$B$221, $C133,  MRP!$G$2:$G$221, I$1),
    SUMIFS(MRP!$L$2:$L$221, MRP!$B$2:$B$221, $C133,  MRP!$G$2:$G$221, I$1)
)*F133</f>
        <v>0</v>
      </c>
      <c r="J133" s="15">
        <f>SUM(
    SUMIFS(MRP!$H$2:$H$221, MRP!$B$2:$B$221, $C133, MRP!$G$2:$G$221, J$1),
    SUMIFS(MRP!$I$2:$I$221, MRP!$B$2:$B$221, $C133, MRP!$G$2:$G$221, J$1),
    SUMIFS(MRP!$J$2:$J$221, MRP!$B$2:$B$221, $C133,  MRP!$G$2:$G$221, J$1),
    SUMIFS(MRP!$K$2:$K$221, MRP!$B$2:$B$221, $C133,  MRP!$G$2:$G$221, J$1),
    SUMIFS(MRP!$L$2:$L$221, MRP!$B$2:$B$221, $C133,  MRP!$G$2:$G$221, J$1)
)*F133</f>
        <v>0</v>
      </c>
      <c r="K133" s="15">
        <f>SUM(
    SUMIFS(MRP!$H$2:$H$221, MRP!$B$2:$B$221, $C133, MRP!$G$2:$G$221, K$1),
    SUMIFS(MRP!$I$2:$I$221, MRP!$B$2:$B$221, $C133, MRP!$G$2:$G$221, K$1),
    SUMIFS(MRP!$J$2:$J$221, MRP!$B$2:$B$221, $C133,  MRP!$G$2:$G$221, K$1),
    SUMIFS(MRP!$K$2:$K$221, MRP!$B$2:$B$221, $C133,  MRP!$G$2:$G$221, K$1),
    SUMIFS(MRP!$L$2:$L$221, MRP!$B$2:$B$221, $C133,  MRP!$G$2:$G$221, K$1)
)*F133</f>
        <v>0</v>
      </c>
      <c r="L133" s="55" t="str">
        <f>TRIM(Tabla3[[#This Row],[CodInternoArti]])</f>
        <v>7798068951855</v>
      </c>
    </row>
    <row r="134" spans="1:12" hidden="1" x14ac:dyDescent="0.35">
      <c r="A134" s="38" t="str">
        <f>IF(ISNUMBER(_xlfn.XMATCH(Tabla3[[#This Row],[CodInternoArti]],'Tabla Articulos'!B:B)),"OK","NO ESTA")</f>
        <v>OK</v>
      </c>
      <c r="B134" s="38" t="str">
        <f>IF(ISNUMBER(_xlfn.XMATCH('Calcular necesidad'!E:E,'Necesidad por familia'!A:A)),"OK","NO ESTA")</f>
        <v>OK</v>
      </c>
      <c r="C134" s="17" t="s">
        <v>645</v>
      </c>
      <c r="D134" s="1" t="s">
        <v>466</v>
      </c>
      <c r="E134" s="1" t="str">
        <f>_xlfn.XLOOKUP(C134,'Tabla Articulos'!B:B,'Tabla Articulos'!D:D)</f>
        <v>BANDEJA 101</v>
      </c>
      <c r="F134" s="1">
        <v>100</v>
      </c>
      <c r="G134" s="15">
        <f>SUM(
    SUMIFS(MRP!$H$2:$H$221, MRP!$B$2:$B$221, $C134, MRP!$G$2:$G$221, G$1),
    SUMIFS(MRP!$I$2:$I$221, MRP!$B$2:$B$221, $C134, MRP!$G$2:$G$221, G$1),
    SUMIFS(MRP!$J$2:$J$221, MRP!$B$2:$B$221, $C134,  MRP!$G$2:$G$221, G$1),
    SUMIFS(MRP!$K$2:$K$221, MRP!$B$2:$B$221, $C134,  MRP!$G$2:$G$221, G$1),
    SUMIFS(MRP!$L$2:$L$221, MRP!$B$2:$B$221, $C134,  MRP!$G$2:$G$221, G$1)
)*F134</f>
        <v>0</v>
      </c>
      <c r="H134" s="15">
        <f>SUM(
    SUMIFS(MRP!$H$2:$H$221, MRP!$B$2:$B$221, $C134, MRP!$G$2:$G$221, H$1),
    SUMIFS(MRP!$I$2:$I$221, MRP!$B$2:$B$221, $C134, MRP!$G$2:$G$221, H$1),
    SUMIFS(MRP!$J$2:$J$221, MRP!$B$2:$B$221, $C134,  MRP!$G$2:$G$221, H$1),
    SUMIFS(MRP!$K$2:$K$221, MRP!$B$2:$B$221, $C134,  MRP!$G$2:$G$221, H$1),
    SUMIFS(MRP!$L$2:$L$221, MRP!$B$2:$B$221, $C134,  MRP!$G$2:$G$221, H$1)
)*F134</f>
        <v>2700</v>
      </c>
      <c r="I134" s="15">
        <f>SUM(
    SUMIFS(MRP!$H$2:$H$221, MRP!$B$2:$B$221, $C134, MRP!$G$2:$G$221, I$1),
    SUMIFS(MRP!$I$2:$I$221, MRP!$B$2:$B$221, $C134, MRP!$G$2:$G$221, I$1),
    SUMIFS(MRP!$J$2:$J$221, MRP!$B$2:$B$221, $C134,  MRP!$G$2:$G$221, I$1),
    SUMIFS(MRP!$K$2:$K$221, MRP!$B$2:$B$221, $C134,  MRP!$G$2:$G$221, I$1),
    SUMIFS(MRP!$L$2:$L$221, MRP!$B$2:$B$221, $C134,  MRP!$G$2:$G$221, I$1)
)*F134</f>
        <v>0</v>
      </c>
      <c r="J134" s="15">
        <f>SUM(
    SUMIFS(MRP!$H$2:$H$221, MRP!$B$2:$B$221, $C134, MRP!$G$2:$G$221, J$1),
    SUMIFS(MRP!$I$2:$I$221, MRP!$B$2:$B$221, $C134, MRP!$G$2:$G$221, J$1),
    SUMIFS(MRP!$J$2:$J$221, MRP!$B$2:$B$221, $C134,  MRP!$G$2:$G$221, J$1),
    SUMIFS(MRP!$K$2:$K$221, MRP!$B$2:$B$221, $C134,  MRP!$G$2:$G$221, J$1),
    SUMIFS(MRP!$L$2:$L$221, MRP!$B$2:$B$221, $C134,  MRP!$G$2:$G$221, J$1)
)*F134</f>
        <v>0</v>
      </c>
      <c r="K134" s="15">
        <f>SUM(
    SUMIFS(MRP!$H$2:$H$221, MRP!$B$2:$B$221, $C134, MRP!$G$2:$G$221, K$1),
    SUMIFS(MRP!$I$2:$I$221, MRP!$B$2:$B$221, $C134, MRP!$G$2:$G$221, K$1),
    SUMIFS(MRP!$J$2:$J$221, MRP!$B$2:$B$221, $C134,  MRP!$G$2:$G$221, K$1),
    SUMIFS(MRP!$K$2:$K$221, MRP!$B$2:$B$221, $C134,  MRP!$G$2:$G$221, K$1),
    SUMIFS(MRP!$L$2:$L$221, MRP!$B$2:$B$221, $C134,  MRP!$G$2:$G$221, K$1)
)*F134</f>
        <v>0</v>
      </c>
      <c r="L134" s="55" t="str">
        <f>TRIM(Tabla3[[#This Row],[CodInternoArti]])</f>
        <v>7778068951879</v>
      </c>
    </row>
    <row r="135" spans="1:12" hidden="1" x14ac:dyDescent="0.35">
      <c r="A135" s="38" t="str">
        <f>IF(ISNUMBER(_xlfn.XMATCH(Tabla3[[#This Row],[CodInternoArti]],'Tabla Articulos'!B:B)),"OK","NO ESTA")</f>
        <v>OK</v>
      </c>
      <c r="B135" s="38" t="str">
        <f>IF(ISNUMBER(_xlfn.XMATCH('Calcular necesidad'!E:E,'Necesidad por familia'!A:A)),"OK","NO ESTA")</f>
        <v>OK</v>
      </c>
      <c r="C135" s="17" t="s">
        <v>646</v>
      </c>
      <c r="D135" s="1" t="s">
        <v>647</v>
      </c>
      <c r="E135" s="1" t="str">
        <f>_xlfn.XLOOKUP(C135,'Tabla Articulos'!B:B,'Tabla Articulos'!D:D)</f>
        <v>FILM PVC 38</v>
      </c>
      <c r="F135" s="1">
        <v>1</v>
      </c>
      <c r="G135" s="15">
        <f>SUM(
    SUMIFS(MRP!$H$2:$H$221, MRP!$B$2:$B$221, $C135, MRP!$G$2:$G$221, G$1),
    SUMIFS(MRP!$I$2:$I$221, MRP!$B$2:$B$221, $C135, MRP!$G$2:$G$221, G$1),
    SUMIFS(MRP!$J$2:$J$221, MRP!$B$2:$B$221, $C135,  MRP!$G$2:$G$221, G$1),
    SUMIFS(MRP!$K$2:$K$221, MRP!$B$2:$B$221, $C135,  MRP!$G$2:$G$221, G$1),
    SUMIFS(MRP!$L$2:$L$221, MRP!$B$2:$B$221, $C135,  MRP!$G$2:$G$221, G$1)
)*F135</f>
        <v>0</v>
      </c>
      <c r="H135" s="15">
        <f>SUM(
    SUMIFS(MRP!$H$2:$H$221, MRP!$B$2:$B$221, $C135, MRP!$G$2:$G$221, H$1),
    SUMIFS(MRP!$I$2:$I$221, MRP!$B$2:$B$221, $C135, MRP!$G$2:$G$221, H$1),
    SUMIFS(MRP!$J$2:$J$221, MRP!$B$2:$B$221, $C135,  MRP!$G$2:$G$221, H$1),
    SUMIFS(MRP!$K$2:$K$221, MRP!$B$2:$B$221, $C135,  MRP!$G$2:$G$221, H$1),
    SUMIFS(MRP!$L$2:$L$221, MRP!$B$2:$B$221, $C135,  MRP!$G$2:$G$221, H$1)
)*F135</f>
        <v>0</v>
      </c>
      <c r="I135" s="15">
        <f>SUM(
    SUMIFS(MRP!$H$2:$H$221, MRP!$B$2:$B$221, $C135, MRP!$G$2:$G$221, I$1),
    SUMIFS(MRP!$I$2:$I$221, MRP!$B$2:$B$221, $C135, MRP!$G$2:$G$221, I$1),
    SUMIFS(MRP!$J$2:$J$221, MRP!$B$2:$B$221, $C135,  MRP!$G$2:$G$221, I$1),
    SUMIFS(MRP!$K$2:$K$221, MRP!$B$2:$B$221, $C135,  MRP!$G$2:$G$221, I$1),
    SUMIFS(MRP!$L$2:$L$221, MRP!$B$2:$B$221, $C135,  MRP!$G$2:$G$221, I$1)
)*F135</f>
        <v>0</v>
      </c>
      <c r="J135" s="15">
        <f>SUM(
    SUMIFS(MRP!$H$2:$H$221, MRP!$B$2:$B$221, $C135, MRP!$G$2:$G$221, J$1),
    SUMIFS(MRP!$I$2:$I$221, MRP!$B$2:$B$221, $C135, MRP!$G$2:$G$221, J$1),
    SUMIFS(MRP!$J$2:$J$221, MRP!$B$2:$B$221, $C135,  MRP!$G$2:$G$221, J$1),
    SUMIFS(MRP!$K$2:$K$221, MRP!$B$2:$B$221, $C135,  MRP!$G$2:$G$221, J$1),
    SUMIFS(MRP!$L$2:$L$221, MRP!$B$2:$B$221, $C135,  MRP!$G$2:$G$221, J$1)
)*F135</f>
        <v>0</v>
      </c>
      <c r="K135" s="15">
        <f>SUM(
    SUMIFS(MRP!$H$2:$H$221, MRP!$B$2:$B$221, $C135, MRP!$G$2:$G$221, K$1),
    SUMIFS(MRP!$I$2:$I$221, MRP!$B$2:$B$221, $C135, MRP!$G$2:$G$221, K$1),
    SUMIFS(MRP!$J$2:$J$221, MRP!$B$2:$B$221, $C135,  MRP!$G$2:$G$221, K$1),
    SUMIFS(MRP!$K$2:$K$221, MRP!$B$2:$B$221, $C135,  MRP!$G$2:$G$221, K$1),
    SUMIFS(MRP!$L$2:$L$221, MRP!$B$2:$B$221, $C135,  MRP!$G$2:$G$221, K$1)
)*F135</f>
        <v>0</v>
      </c>
      <c r="L135" s="55" t="str">
        <f>TRIM(Tabla3[[#This Row],[CodInternoArti]])</f>
        <v>7898287715983</v>
      </c>
    </row>
    <row r="136" spans="1:12" hidden="1" x14ac:dyDescent="0.35">
      <c r="A136" s="38" t="str">
        <f>IF(ISNUMBER(_xlfn.XMATCH(Tabla3[[#This Row],[CodInternoArti]],'Tabla Articulos'!B:B)),"OK","NO ESTA")</f>
        <v>OK</v>
      </c>
      <c r="B136" s="38" t="str">
        <f>IF(ISNUMBER(_xlfn.XMATCH('Calcular necesidad'!E:E,'Necesidad por familia'!A:A)),"OK","NO ESTA")</f>
        <v>OK</v>
      </c>
      <c r="C136" s="17" t="s">
        <v>648</v>
      </c>
      <c r="D136" s="1" t="s">
        <v>649</v>
      </c>
      <c r="E136" s="1" t="str">
        <f>_xlfn.XLOOKUP(C136,'Tabla Articulos'!B:B,'Tabla Articulos'!D:D)</f>
        <v>ROLLO ALUMINIO 40</v>
      </c>
      <c r="F136" s="1">
        <v>1</v>
      </c>
      <c r="G136" s="15">
        <f>SUM(
    SUMIFS(MRP!$H$2:$H$221, MRP!$B$2:$B$221, $C136, MRP!$G$2:$G$221, G$1),
    SUMIFS(MRP!$I$2:$I$221, MRP!$B$2:$B$221, $C136, MRP!$G$2:$G$221, G$1),
    SUMIFS(MRP!$J$2:$J$221, MRP!$B$2:$B$221, $C136,  MRP!$G$2:$G$221, G$1),
    SUMIFS(MRP!$K$2:$K$221, MRP!$B$2:$B$221, $C136,  MRP!$G$2:$G$221, G$1),
    SUMIFS(MRP!$L$2:$L$221, MRP!$B$2:$B$221, $C136,  MRP!$G$2:$G$221, G$1)
)*F136</f>
        <v>0</v>
      </c>
      <c r="H136" s="15">
        <f>SUM(
    SUMIFS(MRP!$H$2:$H$221, MRP!$B$2:$B$221, $C136, MRP!$G$2:$G$221, H$1),
    SUMIFS(MRP!$I$2:$I$221, MRP!$B$2:$B$221, $C136, MRP!$G$2:$G$221, H$1),
    SUMIFS(MRP!$J$2:$J$221, MRP!$B$2:$B$221, $C136,  MRP!$G$2:$G$221, H$1),
    SUMIFS(MRP!$K$2:$K$221, MRP!$B$2:$B$221, $C136,  MRP!$G$2:$G$221, H$1),
    SUMIFS(MRP!$L$2:$L$221, MRP!$B$2:$B$221, $C136,  MRP!$G$2:$G$221, H$1)
)*F136</f>
        <v>0</v>
      </c>
      <c r="I136" s="15">
        <f>SUM(
    SUMIFS(MRP!$H$2:$H$221, MRP!$B$2:$B$221, $C136, MRP!$G$2:$G$221, I$1),
    SUMIFS(MRP!$I$2:$I$221, MRP!$B$2:$B$221, $C136, MRP!$G$2:$G$221, I$1),
    SUMIFS(MRP!$J$2:$J$221, MRP!$B$2:$B$221, $C136,  MRP!$G$2:$G$221, I$1),
    SUMIFS(MRP!$K$2:$K$221, MRP!$B$2:$B$221, $C136,  MRP!$G$2:$G$221, I$1),
    SUMIFS(MRP!$L$2:$L$221, MRP!$B$2:$B$221, $C136,  MRP!$G$2:$G$221, I$1)
)*F136</f>
        <v>0</v>
      </c>
      <c r="J136" s="15">
        <f>SUM(
    SUMIFS(MRP!$H$2:$H$221, MRP!$B$2:$B$221, $C136, MRP!$G$2:$G$221, J$1),
    SUMIFS(MRP!$I$2:$I$221, MRP!$B$2:$B$221, $C136, MRP!$G$2:$G$221, J$1),
    SUMIFS(MRP!$J$2:$J$221, MRP!$B$2:$B$221, $C136,  MRP!$G$2:$G$221, J$1),
    SUMIFS(MRP!$K$2:$K$221, MRP!$B$2:$B$221, $C136,  MRP!$G$2:$G$221, J$1),
    SUMIFS(MRP!$L$2:$L$221, MRP!$B$2:$B$221, $C136,  MRP!$G$2:$G$221, J$1)
)*F136</f>
        <v>0</v>
      </c>
      <c r="K136" s="15">
        <f>SUM(
    SUMIFS(MRP!$H$2:$H$221, MRP!$B$2:$B$221, $C136, MRP!$G$2:$G$221, K$1),
    SUMIFS(MRP!$I$2:$I$221, MRP!$B$2:$B$221, $C136, MRP!$G$2:$G$221, K$1),
    SUMIFS(MRP!$J$2:$J$221, MRP!$B$2:$B$221, $C136,  MRP!$G$2:$G$221, K$1),
    SUMIFS(MRP!$K$2:$K$221, MRP!$B$2:$B$221, $C136,  MRP!$G$2:$G$221, K$1),
    SUMIFS(MRP!$L$2:$L$221, MRP!$B$2:$B$221, $C136,  MRP!$G$2:$G$221, K$1)
)*F136</f>
        <v>0</v>
      </c>
      <c r="L136" s="55" t="str">
        <f>TRIM(Tabla3[[#This Row],[CodInternoArti]])</f>
        <v>9992017900507</v>
      </c>
    </row>
    <row r="137" spans="1:12" hidden="1" x14ac:dyDescent="0.35">
      <c r="A137" s="38" t="str">
        <f>IF(ISNUMBER(_xlfn.XMATCH(Tabla3[[#This Row],[CodInternoArti]],'Tabla Articulos'!B:B)),"OK","NO ESTA")</f>
        <v>OK</v>
      </c>
      <c r="B137" s="38" t="str">
        <f>IF(ISNUMBER(_xlfn.XMATCH('Calcular necesidad'!E:E,'Necesidad por familia'!A:A)),"OK","NO ESTA")</f>
        <v>OK</v>
      </c>
      <c r="C137" s="17" t="s">
        <v>650</v>
      </c>
      <c r="D137" s="1" t="s">
        <v>440</v>
      </c>
      <c r="E137" s="1" t="str">
        <f>_xlfn.XLOOKUP(C137,'Tabla Articulos'!B:B,'Tabla Articulos'!D:D)</f>
        <v>TAPA 101</v>
      </c>
      <c r="F137" s="1">
        <v>50</v>
      </c>
      <c r="G137" s="15">
        <f>SUM(
    SUMIFS(MRP!$H$2:$H$221, MRP!$B$2:$B$221, $C137, MRP!$G$2:$G$221, G$1),
    SUMIFS(MRP!$I$2:$I$221, MRP!$B$2:$B$221, $C137, MRP!$G$2:$G$221, G$1),
    SUMIFS(MRP!$J$2:$J$221, MRP!$B$2:$B$221, $C137,  MRP!$G$2:$G$221, G$1),
    SUMIFS(MRP!$K$2:$K$221, MRP!$B$2:$B$221, $C137,  MRP!$G$2:$G$221, G$1),
    SUMIFS(MRP!$L$2:$L$221, MRP!$B$2:$B$221, $C137,  MRP!$G$2:$G$221, G$1)
)*F137</f>
        <v>0</v>
      </c>
      <c r="H137" s="15">
        <f>SUM(
    SUMIFS(MRP!$H$2:$H$221, MRP!$B$2:$B$221, $C137, MRP!$G$2:$G$221, H$1),
    SUMIFS(MRP!$I$2:$I$221, MRP!$B$2:$B$221, $C137, MRP!$G$2:$G$221, H$1),
    SUMIFS(MRP!$J$2:$J$221, MRP!$B$2:$B$221, $C137,  MRP!$G$2:$G$221, H$1),
    SUMIFS(MRP!$K$2:$K$221, MRP!$B$2:$B$221, $C137,  MRP!$G$2:$G$221, H$1),
    SUMIFS(MRP!$L$2:$L$221, MRP!$B$2:$B$221, $C137,  MRP!$G$2:$G$221, H$1)
)*F137</f>
        <v>7050</v>
      </c>
      <c r="I137" s="15">
        <f>SUM(
    SUMIFS(MRP!$H$2:$H$221, MRP!$B$2:$B$221, $C137, MRP!$G$2:$G$221, I$1),
    SUMIFS(MRP!$I$2:$I$221, MRP!$B$2:$B$221, $C137, MRP!$G$2:$G$221, I$1),
    SUMIFS(MRP!$J$2:$J$221, MRP!$B$2:$B$221, $C137,  MRP!$G$2:$G$221, I$1),
    SUMIFS(MRP!$K$2:$K$221, MRP!$B$2:$B$221, $C137,  MRP!$G$2:$G$221, I$1),
    SUMIFS(MRP!$L$2:$L$221, MRP!$B$2:$B$221, $C137,  MRP!$G$2:$G$221, I$1)
)*F137</f>
        <v>0</v>
      </c>
      <c r="J137" s="15">
        <f>SUM(
    SUMIFS(MRP!$H$2:$H$221, MRP!$B$2:$B$221, $C137, MRP!$G$2:$G$221, J$1),
    SUMIFS(MRP!$I$2:$I$221, MRP!$B$2:$B$221, $C137, MRP!$G$2:$G$221, J$1),
    SUMIFS(MRP!$J$2:$J$221, MRP!$B$2:$B$221, $C137,  MRP!$G$2:$G$221, J$1),
    SUMIFS(MRP!$K$2:$K$221, MRP!$B$2:$B$221, $C137,  MRP!$G$2:$G$221, J$1),
    SUMIFS(MRP!$L$2:$L$221, MRP!$B$2:$B$221, $C137,  MRP!$G$2:$G$221, J$1)
)*F137</f>
        <v>0</v>
      </c>
      <c r="K137" s="15">
        <f>SUM(
    SUMIFS(MRP!$H$2:$H$221, MRP!$B$2:$B$221, $C137, MRP!$G$2:$G$221, K$1),
    SUMIFS(MRP!$I$2:$I$221, MRP!$B$2:$B$221, $C137, MRP!$G$2:$G$221, K$1),
    SUMIFS(MRP!$J$2:$J$221, MRP!$B$2:$B$221, $C137,  MRP!$G$2:$G$221, K$1),
    SUMIFS(MRP!$K$2:$K$221, MRP!$B$2:$B$221, $C137,  MRP!$G$2:$G$221, K$1),
    SUMIFS(MRP!$L$2:$L$221, MRP!$B$2:$B$221, $C137,  MRP!$G$2:$G$221, K$1)
)*F137</f>
        <v>0</v>
      </c>
      <c r="L137" s="55" t="str">
        <f>TRIM(Tabla3[[#This Row],[CodInternoArti]])</f>
        <v>7790000000345</v>
      </c>
    </row>
    <row r="138" spans="1:12" hidden="1" x14ac:dyDescent="0.35">
      <c r="A138" s="38" t="str">
        <f>IF(ISNUMBER(_xlfn.XMATCH(Tabla3[[#This Row],[CodInternoArti]],'Tabla Articulos'!B:B)),"OK","NO ESTA")</f>
        <v>OK</v>
      </c>
      <c r="B138" s="38" t="str">
        <f>IF(ISNUMBER(_xlfn.XMATCH('Calcular necesidad'!E:E,'Necesidad por familia'!A:A)),"OK","NO ESTA")</f>
        <v>OK</v>
      </c>
      <c r="C138" s="17" t="s">
        <v>651</v>
      </c>
      <c r="D138" s="1" t="s">
        <v>441</v>
      </c>
      <c r="E138" s="1" t="str">
        <f>_xlfn.XLOOKUP(C138,'Tabla Articulos'!B:B,'Tabla Articulos'!D:D)</f>
        <v>INDIVIDUAL CHEF GOURMET</v>
      </c>
      <c r="F138" s="1">
        <v>1000</v>
      </c>
      <c r="G138" s="15">
        <f>SUM(
    SUMIFS(MRP!$H$2:$H$221, MRP!$B$2:$B$221, $C138, MRP!$G$2:$G$221, G$1),
    SUMIFS(MRP!$I$2:$I$221, MRP!$B$2:$B$221, $C138, MRP!$G$2:$G$221, G$1),
    SUMIFS(MRP!$J$2:$J$221, MRP!$B$2:$B$221, $C138,  MRP!$G$2:$G$221, G$1),
    SUMIFS(MRP!$K$2:$K$221, MRP!$B$2:$B$221, $C138,  MRP!$G$2:$G$221, G$1),
    SUMIFS(MRP!$L$2:$L$221, MRP!$B$2:$B$221, $C138,  MRP!$G$2:$G$221, G$1)
)*F138</f>
        <v>0</v>
      </c>
      <c r="H138" s="15">
        <f>SUM(
    SUMIFS(MRP!$H$2:$H$221, MRP!$B$2:$B$221, $C138, MRP!$G$2:$G$221, H$1),
    SUMIFS(MRP!$I$2:$I$221, MRP!$B$2:$B$221, $C138, MRP!$G$2:$G$221, H$1),
    SUMIFS(MRP!$J$2:$J$221, MRP!$B$2:$B$221, $C138,  MRP!$G$2:$G$221, H$1),
    SUMIFS(MRP!$K$2:$K$221, MRP!$B$2:$B$221, $C138,  MRP!$G$2:$G$221, H$1),
    SUMIFS(MRP!$L$2:$L$221, MRP!$B$2:$B$221, $C138,  MRP!$G$2:$G$221, H$1)
)*F138</f>
        <v>72000</v>
      </c>
      <c r="I138" s="15">
        <f>SUM(
    SUMIFS(MRP!$H$2:$H$221, MRP!$B$2:$B$221, $C138, MRP!$G$2:$G$221, I$1),
    SUMIFS(MRP!$I$2:$I$221, MRP!$B$2:$B$221, $C138, MRP!$G$2:$G$221, I$1),
    SUMIFS(MRP!$J$2:$J$221, MRP!$B$2:$B$221, $C138,  MRP!$G$2:$G$221, I$1),
    SUMIFS(MRP!$K$2:$K$221, MRP!$B$2:$B$221, $C138,  MRP!$G$2:$G$221, I$1),
    SUMIFS(MRP!$L$2:$L$221, MRP!$B$2:$B$221, $C138,  MRP!$G$2:$G$221, I$1)
)*F138</f>
        <v>0</v>
      </c>
      <c r="J138" s="15">
        <f>SUM(
    SUMIFS(MRP!$H$2:$H$221, MRP!$B$2:$B$221, $C138, MRP!$G$2:$G$221, J$1),
    SUMIFS(MRP!$I$2:$I$221, MRP!$B$2:$B$221, $C138, MRP!$G$2:$G$221, J$1),
    SUMIFS(MRP!$J$2:$J$221, MRP!$B$2:$B$221, $C138,  MRP!$G$2:$G$221, J$1),
    SUMIFS(MRP!$K$2:$K$221, MRP!$B$2:$B$221, $C138,  MRP!$G$2:$G$221, J$1),
    SUMIFS(MRP!$L$2:$L$221, MRP!$B$2:$B$221, $C138,  MRP!$G$2:$G$221, J$1)
)*F138</f>
        <v>0</v>
      </c>
      <c r="K138" s="15">
        <f>SUM(
    SUMIFS(MRP!$H$2:$H$221, MRP!$B$2:$B$221, $C138, MRP!$G$2:$G$221, K$1),
    SUMIFS(MRP!$I$2:$I$221, MRP!$B$2:$B$221, $C138, MRP!$G$2:$G$221, K$1),
    SUMIFS(MRP!$J$2:$J$221, MRP!$B$2:$B$221, $C138,  MRP!$G$2:$G$221, K$1),
    SUMIFS(MRP!$K$2:$K$221, MRP!$B$2:$B$221, $C138,  MRP!$G$2:$G$221, K$1),
    SUMIFS(MRP!$L$2:$L$221, MRP!$B$2:$B$221, $C138,  MRP!$G$2:$G$221, K$1)
)*F138</f>
        <v>0</v>
      </c>
      <c r="L138" s="55" t="str">
        <f>TRIM(Tabla3[[#This Row],[CodInternoArti]])</f>
        <v>7790000000236</v>
      </c>
    </row>
    <row r="139" spans="1:12" hidden="1" x14ac:dyDescent="0.35">
      <c r="A139" s="38" t="str">
        <f>IF(ISNUMBER(_xlfn.XMATCH(Tabla3[[#This Row],[CodInternoArti]],'Tabla Articulos'!B:B)),"OK","NO ESTA")</f>
        <v>OK</v>
      </c>
      <c r="B139" s="38" t="str">
        <f>IF(ISNUMBER(_xlfn.XMATCH('Calcular necesidad'!E:E,'Necesidad por familia'!A:A)),"OK","NO ESTA")</f>
        <v>OK</v>
      </c>
      <c r="C139" s="17" t="s">
        <v>652</v>
      </c>
      <c r="D139" s="1" t="s">
        <v>653</v>
      </c>
      <c r="E139" s="1" t="str">
        <f>_xlfn.XLOOKUP(C139,'Tabla Articulos'!B:B,'Tabla Articulos'!D:D)</f>
        <v>ROLLO PAPEL MANTECA</v>
      </c>
      <c r="F139" s="1">
        <v>1</v>
      </c>
      <c r="G139" s="15">
        <f>SUM(
    SUMIFS(MRP!$H$2:$H$221, MRP!$B$2:$B$221, $C139, MRP!$G$2:$G$221, G$1),
    SUMIFS(MRP!$I$2:$I$221, MRP!$B$2:$B$221, $C139, MRP!$G$2:$G$221, G$1),
    SUMIFS(MRP!$J$2:$J$221, MRP!$B$2:$B$221, $C139,  MRP!$G$2:$G$221, G$1),
    SUMIFS(MRP!$K$2:$K$221, MRP!$B$2:$B$221, $C139,  MRP!$G$2:$G$221, G$1),
    SUMIFS(MRP!$L$2:$L$221, MRP!$B$2:$B$221, $C139,  MRP!$G$2:$G$221, G$1)
)*F139</f>
        <v>0</v>
      </c>
      <c r="H139" s="15">
        <f>SUM(
    SUMIFS(MRP!$H$2:$H$221, MRP!$B$2:$B$221, $C139, MRP!$G$2:$G$221, H$1),
    SUMIFS(MRP!$I$2:$I$221, MRP!$B$2:$B$221, $C139, MRP!$G$2:$G$221, H$1),
    SUMIFS(MRP!$J$2:$J$221, MRP!$B$2:$B$221, $C139,  MRP!$G$2:$G$221, H$1),
    SUMIFS(MRP!$K$2:$K$221, MRP!$B$2:$B$221, $C139,  MRP!$G$2:$G$221, H$1),
    SUMIFS(MRP!$L$2:$L$221, MRP!$B$2:$B$221, $C139,  MRP!$G$2:$G$221, H$1)
)*F139</f>
        <v>0</v>
      </c>
      <c r="I139" s="15">
        <f>SUM(
    SUMIFS(MRP!$H$2:$H$221, MRP!$B$2:$B$221, $C139, MRP!$G$2:$G$221, I$1),
    SUMIFS(MRP!$I$2:$I$221, MRP!$B$2:$B$221, $C139, MRP!$G$2:$G$221, I$1),
    SUMIFS(MRP!$J$2:$J$221, MRP!$B$2:$B$221, $C139,  MRP!$G$2:$G$221, I$1),
    SUMIFS(MRP!$K$2:$K$221, MRP!$B$2:$B$221, $C139,  MRP!$G$2:$G$221, I$1),
    SUMIFS(MRP!$L$2:$L$221, MRP!$B$2:$B$221, $C139,  MRP!$G$2:$G$221, I$1)
)*F139</f>
        <v>0</v>
      </c>
      <c r="J139" s="15">
        <f>SUM(
    SUMIFS(MRP!$H$2:$H$221, MRP!$B$2:$B$221, $C139, MRP!$G$2:$G$221, J$1),
    SUMIFS(MRP!$I$2:$I$221, MRP!$B$2:$B$221, $C139, MRP!$G$2:$G$221, J$1),
    SUMIFS(MRP!$J$2:$J$221, MRP!$B$2:$B$221, $C139,  MRP!$G$2:$G$221, J$1),
    SUMIFS(MRP!$K$2:$K$221, MRP!$B$2:$B$221, $C139,  MRP!$G$2:$G$221, J$1),
    SUMIFS(MRP!$L$2:$L$221, MRP!$B$2:$B$221, $C139,  MRP!$G$2:$G$221, J$1)
)*F139</f>
        <v>0</v>
      </c>
      <c r="K139" s="15">
        <f>SUM(
    SUMIFS(MRP!$H$2:$H$221, MRP!$B$2:$B$221, $C139, MRP!$G$2:$G$221, K$1),
    SUMIFS(MRP!$I$2:$I$221, MRP!$B$2:$B$221, $C139, MRP!$G$2:$G$221, K$1),
    SUMIFS(MRP!$J$2:$J$221, MRP!$B$2:$B$221, $C139,  MRP!$G$2:$G$221, K$1),
    SUMIFS(MRP!$K$2:$K$221, MRP!$B$2:$B$221, $C139,  MRP!$G$2:$G$221, K$1),
    SUMIFS(MRP!$L$2:$L$221, MRP!$B$2:$B$221, $C139,  MRP!$G$2:$G$221, K$1)
)*F139</f>
        <v>0</v>
      </c>
      <c r="L139" s="55" t="str">
        <f>TRIM(Tabla3[[#This Row],[CodInternoArti]])</f>
        <v>7791156433356</v>
      </c>
    </row>
    <row r="140" spans="1:12" hidden="1" x14ac:dyDescent="0.35">
      <c r="A140" s="38" t="str">
        <f>IF(ISNUMBER(_xlfn.XMATCH(Tabla3[[#This Row],[CodInternoArti]],'Tabla Articulos'!B:B)),"OK","NO ESTA")</f>
        <v>OK</v>
      </c>
      <c r="B140" s="38" t="str">
        <f>IF(ISNUMBER(_xlfn.XMATCH('Calcular necesidad'!E:E,'Necesidad por familia'!A:A)),"OK","NO ESTA")</f>
        <v>OK</v>
      </c>
      <c r="C140" s="17" t="s">
        <v>654</v>
      </c>
      <c r="D140" s="1" t="s">
        <v>444</v>
      </c>
      <c r="E140" s="1" t="str">
        <f>_xlfn.XLOOKUP(C140,'Tabla Articulos'!B:B,'Tabla Articulos'!D:D)</f>
        <v>BANDEJA 102 BIODEGRADABLE</v>
      </c>
      <c r="F140" s="1">
        <v>1400</v>
      </c>
      <c r="G140" s="15">
        <f>SUM(
    SUMIFS(MRP!$H$2:$H$221, MRP!$B$2:$B$221, $C140, MRP!$G$2:$G$221, G$1),
    SUMIFS(MRP!$I$2:$I$221, MRP!$B$2:$B$221, $C140, MRP!$G$2:$G$221, G$1),
    SUMIFS(MRP!$J$2:$J$221, MRP!$B$2:$B$221, $C140,  MRP!$G$2:$G$221, G$1),
    SUMIFS(MRP!$K$2:$K$221, MRP!$B$2:$B$221, $C140,  MRP!$G$2:$G$221, G$1),
    SUMIFS(MRP!$L$2:$L$221, MRP!$B$2:$B$221, $C140,  MRP!$G$2:$G$221, G$1)
)*F140</f>
        <v>0</v>
      </c>
      <c r="H140" s="15">
        <f>SUM(
    SUMIFS(MRP!$H$2:$H$221, MRP!$B$2:$B$221, $C140, MRP!$G$2:$G$221, H$1),
    SUMIFS(MRP!$I$2:$I$221, MRP!$B$2:$B$221, $C140, MRP!$G$2:$G$221, H$1),
    SUMIFS(MRP!$J$2:$J$221, MRP!$B$2:$B$221, $C140,  MRP!$G$2:$G$221, H$1),
    SUMIFS(MRP!$K$2:$K$221, MRP!$B$2:$B$221, $C140,  MRP!$G$2:$G$221, H$1),
    SUMIFS(MRP!$L$2:$L$221, MRP!$B$2:$B$221, $C140,  MRP!$G$2:$G$221, H$1)
)*F140</f>
        <v>18200</v>
      </c>
      <c r="I140" s="15">
        <f>SUM(
    SUMIFS(MRP!$H$2:$H$221, MRP!$B$2:$B$221, $C140, MRP!$G$2:$G$221, I$1),
    SUMIFS(MRP!$I$2:$I$221, MRP!$B$2:$B$221, $C140, MRP!$G$2:$G$221, I$1),
    SUMIFS(MRP!$J$2:$J$221, MRP!$B$2:$B$221, $C140,  MRP!$G$2:$G$221, I$1),
    SUMIFS(MRP!$K$2:$K$221, MRP!$B$2:$B$221, $C140,  MRP!$G$2:$G$221, I$1),
    SUMIFS(MRP!$L$2:$L$221, MRP!$B$2:$B$221, $C140,  MRP!$G$2:$G$221, I$1)
)*F140</f>
        <v>0</v>
      </c>
      <c r="J140" s="15">
        <f>SUM(
    SUMIFS(MRP!$H$2:$H$221, MRP!$B$2:$B$221, $C140, MRP!$G$2:$G$221, J$1),
    SUMIFS(MRP!$I$2:$I$221, MRP!$B$2:$B$221, $C140, MRP!$G$2:$G$221, J$1),
    SUMIFS(MRP!$J$2:$J$221, MRP!$B$2:$B$221, $C140,  MRP!$G$2:$G$221, J$1),
    SUMIFS(MRP!$K$2:$K$221, MRP!$B$2:$B$221, $C140,  MRP!$G$2:$G$221, J$1),
    SUMIFS(MRP!$L$2:$L$221, MRP!$B$2:$B$221, $C140,  MRP!$G$2:$G$221, J$1)
)*F140</f>
        <v>0</v>
      </c>
      <c r="K140" s="15">
        <f>SUM(
    SUMIFS(MRP!$H$2:$H$221, MRP!$B$2:$B$221, $C140, MRP!$G$2:$G$221, K$1),
    SUMIFS(MRP!$I$2:$I$221, MRP!$B$2:$B$221, $C140, MRP!$G$2:$G$221, K$1),
    SUMIFS(MRP!$J$2:$J$221, MRP!$B$2:$B$221, $C140,  MRP!$G$2:$G$221, K$1),
    SUMIFS(MRP!$K$2:$K$221, MRP!$B$2:$B$221, $C140,  MRP!$G$2:$G$221, K$1),
    SUMIFS(MRP!$L$2:$L$221, MRP!$B$2:$B$221, $C140,  MRP!$G$2:$G$221, K$1)
)*F140</f>
        <v>0</v>
      </c>
      <c r="L140" s="55" t="str">
        <f>TRIM(Tabla3[[#This Row],[CodInternoArti]])</f>
        <v>7790000000379</v>
      </c>
    </row>
    <row r="141" spans="1:12" hidden="1" x14ac:dyDescent="0.35">
      <c r="A141" s="38" t="str">
        <f>IF(ISNUMBER(_xlfn.XMATCH(Tabla3[[#This Row],[CodInternoArti]],'Tabla Articulos'!B:B)),"OK","NO ESTA")</f>
        <v>OK</v>
      </c>
      <c r="B141" s="38" t="str">
        <f>IF(ISNUMBER(_xlfn.XMATCH('Calcular necesidad'!E:E,'Necesidad por familia'!A:A)),"OK","NO ESTA")</f>
        <v>OK</v>
      </c>
      <c r="C141" s="17" t="s">
        <v>655</v>
      </c>
      <c r="D141" s="1" t="s">
        <v>497</v>
      </c>
      <c r="E141" s="1" t="str">
        <f>_xlfn.XLOOKUP(C141,'Tabla Articulos'!B:B,'Tabla Articulos'!D:D)</f>
        <v>FILM PVC 38</v>
      </c>
      <c r="F141" s="1">
        <v>1</v>
      </c>
      <c r="G141" s="15">
        <f>SUM(
    SUMIFS(MRP!$H$2:$H$221, MRP!$B$2:$B$221, $C141, MRP!$G$2:$G$221, G$1),
    SUMIFS(MRP!$I$2:$I$221, MRP!$B$2:$B$221, $C141, MRP!$G$2:$G$221, G$1),
    SUMIFS(MRP!$J$2:$J$221, MRP!$B$2:$B$221, $C141,  MRP!$G$2:$G$221, G$1),
    SUMIFS(MRP!$K$2:$K$221, MRP!$B$2:$B$221, $C141,  MRP!$G$2:$G$221, G$1),
    SUMIFS(MRP!$L$2:$L$221, MRP!$B$2:$B$221, $C141,  MRP!$G$2:$G$221, G$1)
)*F141</f>
        <v>0</v>
      </c>
      <c r="H141" s="15">
        <f>SUM(
    SUMIFS(MRP!$H$2:$H$221, MRP!$B$2:$B$221, $C141, MRP!$G$2:$G$221, H$1),
    SUMIFS(MRP!$I$2:$I$221, MRP!$B$2:$B$221, $C141, MRP!$G$2:$G$221, H$1),
    SUMIFS(MRP!$J$2:$J$221, MRP!$B$2:$B$221, $C141,  MRP!$G$2:$G$221, H$1),
    SUMIFS(MRP!$K$2:$K$221, MRP!$B$2:$B$221, $C141,  MRP!$G$2:$G$221, H$1),
    SUMIFS(MRP!$L$2:$L$221, MRP!$B$2:$B$221, $C141,  MRP!$G$2:$G$221, H$1)
)*F141</f>
        <v>37</v>
      </c>
      <c r="I141" s="15">
        <f>SUM(
    SUMIFS(MRP!$H$2:$H$221, MRP!$B$2:$B$221, $C141, MRP!$G$2:$G$221, I$1),
    SUMIFS(MRP!$I$2:$I$221, MRP!$B$2:$B$221, $C141, MRP!$G$2:$G$221, I$1),
    SUMIFS(MRP!$J$2:$J$221, MRP!$B$2:$B$221, $C141,  MRP!$G$2:$G$221, I$1),
    SUMIFS(MRP!$K$2:$K$221, MRP!$B$2:$B$221, $C141,  MRP!$G$2:$G$221, I$1),
    SUMIFS(MRP!$L$2:$L$221, MRP!$B$2:$B$221, $C141,  MRP!$G$2:$G$221, I$1)
)*F141</f>
        <v>0</v>
      </c>
      <c r="J141" s="15">
        <f>SUM(
    SUMIFS(MRP!$H$2:$H$221, MRP!$B$2:$B$221, $C141, MRP!$G$2:$G$221, J$1),
    SUMIFS(MRP!$I$2:$I$221, MRP!$B$2:$B$221, $C141, MRP!$G$2:$G$221, J$1),
    SUMIFS(MRP!$J$2:$J$221, MRP!$B$2:$B$221, $C141,  MRP!$G$2:$G$221, J$1),
    SUMIFS(MRP!$K$2:$K$221, MRP!$B$2:$B$221, $C141,  MRP!$G$2:$G$221, J$1),
    SUMIFS(MRP!$L$2:$L$221, MRP!$B$2:$B$221, $C141,  MRP!$G$2:$G$221, J$1)
)*F141</f>
        <v>0</v>
      </c>
      <c r="K141" s="15">
        <f>SUM(
    SUMIFS(MRP!$H$2:$H$221, MRP!$B$2:$B$221, $C141, MRP!$G$2:$G$221, K$1),
    SUMIFS(MRP!$I$2:$I$221, MRP!$B$2:$B$221, $C141, MRP!$G$2:$G$221, K$1),
    SUMIFS(MRP!$J$2:$J$221, MRP!$B$2:$B$221, $C141,  MRP!$G$2:$G$221, K$1),
    SUMIFS(MRP!$K$2:$K$221, MRP!$B$2:$B$221, $C141,  MRP!$G$2:$G$221, K$1),
    SUMIFS(MRP!$L$2:$L$221, MRP!$B$2:$B$221, $C141,  MRP!$G$2:$G$221, K$1)
)*F141</f>
        <v>0</v>
      </c>
      <c r="L141" s="55" t="str">
        <f>TRIM(Tabla3[[#This Row],[CodInternoArti]])</f>
        <v>7790000000228</v>
      </c>
    </row>
    <row r="142" spans="1:12" hidden="1" x14ac:dyDescent="0.35">
      <c r="A142" s="38" t="str">
        <f>IF(ISNUMBER(_xlfn.XMATCH(Tabla3[[#This Row],[CodInternoArti]],'Tabla Articulos'!B:B)),"OK","NO ESTA")</f>
        <v>OK</v>
      </c>
      <c r="B142" s="38" t="str">
        <f>IF(ISNUMBER(_xlfn.XMATCH('Calcular necesidad'!E:E,'Necesidad por familia'!A:A)),"OK","NO ESTA")</f>
        <v>OK</v>
      </c>
      <c r="C142" s="17" t="s">
        <v>656</v>
      </c>
      <c r="D142" s="1" t="s">
        <v>484</v>
      </c>
      <c r="E142" s="1" t="str">
        <f>_xlfn.XLOOKUP(C142,'Tabla Articulos'!B:B,'Tabla Articulos'!D:D)</f>
        <v>CUCHILLO COMPOSTABLE</v>
      </c>
      <c r="F142" s="1">
        <v>100</v>
      </c>
      <c r="G142" s="15">
        <f>SUM(
    SUMIFS(MRP!$H$2:$H$221, MRP!$B$2:$B$221, $C142, MRP!$G$2:$G$221, G$1),
    SUMIFS(MRP!$I$2:$I$221, MRP!$B$2:$B$221, $C142, MRP!$G$2:$G$221, G$1),
    SUMIFS(MRP!$J$2:$J$221, MRP!$B$2:$B$221, $C142,  MRP!$G$2:$G$221, G$1),
    SUMIFS(MRP!$K$2:$K$221, MRP!$B$2:$B$221, $C142,  MRP!$G$2:$G$221, G$1),
    SUMIFS(MRP!$L$2:$L$221, MRP!$B$2:$B$221, $C142,  MRP!$G$2:$G$221, G$1)
)*F142</f>
        <v>0</v>
      </c>
      <c r="H142" s="15">
        <f>SUM(
    SUMIFS(MRP!$H$2:$H$221, MRP!$B$2:$B$221, $C142, MRP!$G$2:$G$221, H$1),
    SUMIFS(MRP!$I$2:$I$221, MRP!$B$2:$B$221, $C142, MRP!$G$2:$G$221, H$1),
    SUMIFS(MRP!$J$2:$J$221, MRP!$B$2:$B$221, $C142,  MRP!$G$2:$G$221, H$1),
    SUMIFS(MRP!$K$2:$K$221, MRP!$B$2:$B$221, $C142,  MRP!$G$2:$G$221, H$1),
    SUMIFS(MRP!$L$2:$L$221, MRP!$B$2:$B$221, $C142,  MRP!$G$2:$G$221, H$1)
)*F142</f>
        <v>5000</v>
      </c>
      <c r="I142" s="15">
        <f>SUM(
    SUMIFS(MRP!$H$2:$H$221, MRP!$B$2:$B$221, $C142, MRP!$G$2:$G$221, I$1),
    SUMIFS(MRP!$I$2:$I$221, MRP!$B$2:$B$221, $C142, MRP!$G$2:$G$221, I$1),
    SUMIFS(MRP!$J$2:$J$221, MRP!$B$2:$B$221, $C142,  MRP!$G$2:$G$221, I$1),
    SUMIFS(MRP!$K$2:$K$221, MRP!$B$2:$B$221, $C142,  MRP!$G$2:$G$221, I$1),
    SUMIFS(MRP!$L$2:$L$221, MRP!$B$2:$B$221, $C142,  MRP!$G$2:$G$221, I$1)
)*F142</f>
        <v>0</v>
      </c>
      <c r="J142" s="15">
        <f>SUM(
    SUMIFS(MRP!$H$2:$H$221, MRP!$B$2:$B$221, $C142, MRP!$G$2:$G$221, J$1),
    SUMIFS(MRP!$I$2:$I$221, MRP!$B$2:$B$221, $C142, MRP!$G$2:$G$221, J$1),
    SUMIFS(MRP!$J$2:$J$221, MRP!$B$2:$B$221, $C142,  MRP!$G$2:$G$221, J$1),
    SUMIFS(MRP!$K$2:$K$221, MRP!$B$2:$B$221, $C142,  MRP!$G$2:$G$221, J$1),
    SUMIFS(MRP!$L$2:$L$221, MRP!$B$2:$B$221, $C142,  MRP!$G$2:$G$221, J$1)
)*F142</f>
        <v>0</v>
      </c>
      <c r="K142" s="15">
        <f>SUM(
    SUMIFS(MRP!$H$2:$H$221, MRP!$B$2:$B$221, $C142, MRP!$G$2:$G$221, K$1),
    SUMIFS(MRP!$I$2:$I$221, MRP!$B$2:$B$221, $C142, MRP!$G$2:$G$221, K$1),
    SUMIFS(MRP!$J$2:$J$221, MRP!$B$2:$B$221, $C142,  MRP!$G$2:$G$221, K$1),
    SUMIFS(MRP!$K$2:$K$221, MRP!$B$2:$B$221, $C142,  MRP!$G$2:$G$221, K$1),
    SUMIFS(MRP!$L$2:$L$221, MRP!$B$2:$B$221, $C142,  MRP!$G$2:$G$221, K$1)
)*F142</f>
        <v>0</v>
      </c>
      <c r="L142" s="55" t="str">
        <f>TRIM(Tabla3[[#This Row],[CodInternoArti]])</f>
        <v>7790000000522</v>
      </c>
    </row>
    <row r="143" spans="1:12" hidden="1" x14ac:dyDescent="0.35">
      <c r="A143" s="38" t="str">
        <f>IF(ISNUMBER(_xlfn.XMATCH(Tabla3[[#This Row],[CodInternoArti]],'Tabla Articulos'!B:B)),"OK","NO ESTA")</f>
        <v>OK</v>
      </c>
      <c r="B143" s="38" t="str">
        <f>IF(ISNUMBER(_xlfn.XMATCH('Calcular necesidad'!E:E,'Necesidad por familia'!A:A)),"OK","NO ESTA")</f>
        <v>OK</v>
      </c>
      <c r="C143" s="17" t="s">
        <v>657</v>
      </c>
      <c r="D143" s="1" t="s">
        <v>447</v>
      </c>
      <c r="E143" s="1" t="str">
        <f>_xlfn.XLOOKUP(C143,'Tabla Articulos'!B:B,'Tabla Articulos'!D:D)</f>
        <v>FILM PVC 38</v>
      </c>
      <c r="F143" s="1">
        <v>1</v>
      </c>
      <c r="G143" s="15">
        <f>SUM(
    SUMIFS(MRP!$H$2:$H$221, MRP!$B$2:$B$221, $C143, MRP!$G$2:$G$221, G$1),
    SUMIFS(MRP!$I$2:$I$221, MRP!$B$2:$B$221, $C143, MRP!$G$2:$G$221, G$1),
    SUMIFS(MRP!$J$2:$J$221, MRP!$B$2:$B$221, $C143,  MRP!$G$2:$G$221, G$1),
    SUMIFS(MRP!$K$2:$K$221, MRP!$B$2:$B$221, $C143,  MRP!$G$2:$G$221, G$1),
    SUMIFS(MRP!$L$2:$L$221, MRP!$B$2:$B$221, $C143,  MRP!$G$2:$G$221, G$1)
)*F143</f>
        <v>0</v>
      </c>
      <c r="H143" s="15">
        <f>SUM(
    SUMIFS(MRP!$H$2:$H$221, MRP!$B$2:$B$221, $C143, MRP!$G$2:$G$221, H$1),
    SUMIFS(MRP!$I$2:$I$221, MRP!$B$2:$B$221, $C143, MRP!$G$2:$G$221, H$1),
    SUMIFS(MRP!$J$2:$J$221, MRP!$B$2:$B$221, $C143,  MRP!$G$2:$G$221, H$1),
    SUMIFS(MRP!$K$2:$K$221, MRP!$B$2:$B$221, $C143,  MRP!$G$2:$G$221, H$1),
    SUMIFS(MRP!$L$2:$L$221, MRP!$B$2:$B$221, $C143,  MRP!$G$2:$G$221, H$1)
)*F143</f>
        <v>15</v>
      </c>
      <c r="I143" s="15">
        <f>SUM(
    SUMIFS(MRP!$H$2:$H$221, MRP!$B$2:$B$221, $C143, MRP!$G$2:$G$221, I$1),
    SUMIFS(MRP!$I$2:$I$221, MRP!$B$2:$B$221, $C143, MRP!$G$2:$G$221, I$1),
    SUMIFS(MRP!$J$2:$J$221, MRP!$B$2:$B$221, $C143,  MRP!$G$2:$G$221, I$1),
    SUMIFS(MRP!$K$2:$K$221, MRP!$B$2:$B$221, $C143,  MRP!$G$2:$G$221, I$1),
    SUMIFS(MRP!$L$2:$L$221, MRP!$B$2:$B$221, $C143,  MRP!$G$2:$G$221, I$1)
)*F143</f>
        <v>0</v>
      </c>
      <c r="J143" s="15">
        <f>SUM(
    SUMIFS(MRP!$H$2:$H$221, MRP!$B$2:$B$221, $C143, MRP!$G$2:$G$221, J$1),
    SUMIFS(MRP!$I$2:$I$221, MRP!$B$2:$B$221, $C143, MRP!$G$2:$G$221, J$1),
    SUMIFS(MRP!$J$2:$J$221, MRP!$B$2:$B$221, $C143,  MRP!$G$2:$G$221, J$1),
    SUMIFS(MRP!$K$2:$K$221, MRP!$B$2:$B$221, $C143,  MRP!$G$2:$G$221, J$1),
    SUMIFS(MRP!$L$2:$L$221, MRP!$B$2:$B$221, $C143,  MRP!$G$2:$G$221, J$1)
)*F143</f>
        <v>0</v>
      </c>
      <c r="K143" s="15">
        <f>SUM(
    SUMIFS(MRP!$H$2:$H$221, MRP!$B$2:$B$221, $C143, MRP!$G$2:$G$221, K$1),
    SUMIFS(MRP!$I$2:$I$221, MRP!$B$2:$B$221, $C143, MRP!$G$2:$G$221, K$1),
    SUMIFS(MRP!$J$2:$J$221, MRP!$B$2:$B$221, $C143,  MRP!$G$2:$G$221, K$1),
    SUMIFS(MRP!$K$2:$K$221, MRP!$B$2:$B$221, $C143,  MRP!$G$2:$G$221, K$1),
    SUMIFS(MRP!$L$2:$L$221, MRP!$B$2:$B$221, $C143,  MRP!$G$2:$G$221, K$1)
)*F143</f>
        <v>0</v>
      </c>
      <c r="L143" s="55" t="str">
        <f>TRIM(Tabla3[[#This Row],[CodInternoArti]])</f>
        <v>756058757297</v>
      </c>
    </row>
    <row r="144" spans="1:12" hidden="1" x14ac:dyDescent="0.35">
      <c r="A144" s="38" t="str">
        <f>IF(ISNUMBER(_xlfn.XMATCH(Tabla3[[#This Row],[CodInternoArti]],'Tabla Articulos'!B:B)),"OK","NO ESTA")</f>
        <v>OK</v>
      </c>
      <c r="B144" s="38" t="str">
        <f>IF(ISNUMBER(_xlfn.XMATCH('Calcular necesidad'!E:E,'Necesidad por familia'!A:A)),"OK","NO ESTA")</f>
        <v>OK</v>
      </c>
      <c r="C144" s="17" t="s">
        <v>658</v>
      </c>
      <c r="D144" s="1" t="s">
        <v>450</v>
      </c>
      <c r="E144" s="1" t="str">
        <f>_xlfn.XLOOKUP(C144,'Tabla Articulos'!B:B,'Tabla Articulos'!D:D)</f>
        <v>BANDEJA 101</v>
      </c>
      <c r="F144" s="1">
        <v>50</v>
      </c>
      <c r="G144" s="15">
        <f>SUM(
    SUMIFS(MRP!$H$2:$H$221, MRP!$B$2:$B$221, $C144, MRP!$G$2:$G$221, G$1),
    SUMIFS(MRP!$I$2:$I$221, MRP!$B$2:$B$221, $C144, MRP!$G$2:$G$221, G$1),
    SUMIFS(MRP!$J$2:$J$221, MRP!$B$2:$B$221, $C144,  MRP!$G$2:$G$221, G$1),
    SUMIFS(MRP!$K$2:$K$221, MRP!$B$2:$B$221, $C144,  MRP!$G$2:$G$221, G$1),
    SUMIFS(MRP!$L$2:$L$221, MRP!$B$2:$B$221, $C144,  MRP!$G$2:$G$221, G$1)
)*F144</f>
        <v>0</v>
      </c>
      <c r="H144" s="15">
        <f>SUM(
    SUMIFS(MRP!$H$2:$H$221, MRP!$B$2:$B$221, $C144, MRP!$G$2:$G$221, H$1),
    SUMIFS(MRP!$I$2:$I$221, MRP!$B$2:$B$221, $C144, MRP!$G$2:$G$221, H$1),
    SUMIFS(MRP!$J$2:$J$221, MRP!$B$2:$B$221, $C144,  MRP!$G$2:$G$221, H$1),
    SUMIFS(MRP!$K$2:$K$221, MRP!$B$2:$B$221, $C144,  MRP!$G$2:$G$221, H$1),
    SUMIFS(MRP!$L$2:$L$221, MRP!$B$2:$B$221, $C144,  MRP!$G$2:$G$221, H$1)
)*F144</f>
        <v>250</v>
      </c>
      <c r="I144" s="15">
        <f>SUM(
    SUMIFS(MRP!$H$2:$H$221, MRP!$B$2:$B$221, $C144, MRP!$G$2:$G$221, I$1),
    SUMIFS(MRP!$I$2:$I$221, MRP!$B$2:$B$221, $C144, MRP!$G$2:$G$221, I$1),
    SUMIFS(MRP!$J$2:$J$221, MRP!$B$2:$B$221, $C144,  MRP!$G$2:$G$221, I$1),
    SUMIFS(MRP!$K$2:$K$221, MRP!$B$2:$B$221, $C144,  MRP!$G$2:$G$221, I$1),
    SUMIFS(MRP!$L$2:$L$221, MRP!$B$2:$B$221, $C144,  MRP!$G$2:$G$221, I$1)
)*F144</f>
        <v>0</v>
      </c>
      <c r="J144" s="15">
        <f>SUM(
    SUMIFS(MRP!$H$2:$H$221, MRP!$B$2:$B$221, $C144, MRP!$G$2:$G$221, J$1),
    SUMIFS(MRP!$I$2:$I$221, MRP!$B$2:$B$221, $C144, MRP!$G$2:$G$221, J$1),
    SUMIFS(MRP!$J$2:$J$221, MRP!$B$2:$B$221, $C144,  MRP!$G$2:$G$221, J$1),
    SUMIFS(MRP!$K$2:$K$221, MRP!$B$2:$B$221, $C144,  MRP!$G$2:$G$221, J$1),
    SUMIFS(MRP!$L$2:$L$221, MRP!$B$2:$B$221, $C144,  MRP!$G$2:$G$221, J$1)
)*F144</f>
        <v>0</v>
      </c>
      <c r="K144" s="15">
        <f>SUM(
    SUMIFS(MRP!$H$2:$H$221, MRP!$B$2:$B$221, $C144, MRP!$G$2:$G$221, K$1),
    SUMIFS(MRP!$I$2:$I$221, MRP!$B$2:$B$221, $C144, MRP!$G$2:$G$221, K$1),
    SUMIFS(MRP!$J$2:$J$221, MRP!$B$2:$B$221, $C144,  MRP!$G$2:$G$221, K$1),
    SUMIFS(MRP!$K$2:$K$221, MRP!$B$2:$B$221, $C144,  MRP!$G$2:$G$221, K$1),
    SUMIFS(MRP!$L$2:$L$221, MRP!$B$2:$B$221, $C144,  MRP!$G$2:$G$221, K$1)
)*F144</f>
        <v>0</v>
      </c>
      <c r="L144" s="55" t="str">
        <f>TRIM(Tabla3[[#This Row],[CodInternoArti]])</f>
        <v>7790000000278</v>
      </c>
    </row>
    <row r="145" spans="1:12" hidden="1" x14ac:dyDescent="0.35">
      <c r="A145" s="38" t="str">
        <f>IF(ISNUMBER(_xlfn.XMATCH(Tabla3[[#This Row],[CodInternoArti]],'Tabla Articulos'!B:B)),"OK","NO ESTA")</f>
        <v>OK</v>
      </c>
      <c r="B145" s="38" t="str">
        <f>IF(ISNUMBER(_xlfn.XMATCH('Calcular necesidad'!E:E,'Necesidad por familia'!A:A)),"OK","NO ESTA")</f>
        <v>OK</v>
      </c>
      <c r="C145" s="17" t="s">
        <v>659</v>
      </c>
      <c r="D145" s="1" t="s">
        <v>457</v>
      </c>
      <c r="E145" s="1" t="str">
        <f>_xlfn.XLOOKUP(C145,'Tabla Articulos'!B:B,'Tabla Articulos'!D:D)</f>
        <v>BANDEJA 102</v>
      </c>
      <c r="F145" s="1">
        <v>100</v>
      </c>
      <c r="G145" s="15">
        <f>SUM(
    SUMIFS(MRP!$H$2:$H$221, MRP!$B$2:$B$221, $C145, MRP!$G$2:$G$221, G$1),
    SUMIFS(MRP!$I$2:$I$221, MRP!$B$2:$B$221, $C145, MRP!$G$2:$G$221, G$1),
    SUMIFS(MRP!$J$2:$J$221, MRP!$B$2:$B$221, $C145,  MRP!$G$2:$G$221, G$1),
    SUMIFS(MRP!$K$2:$K$221, MRP!$B$2:$B$221, $C145,  MRP!$G$2:$G$221, G$1),
    SUMIFS(MRP!$L$2:$L$221, MRP!$B$2:$B$221, $C145,  MRP!$G$2:$G$221, G$1)
)*F145</f>
        <v>0</v>
      </c>
      <c r="H145" s="15">
        <f>SUM(
    SUMIFS(MRP!$H$2:$H$221, MRP!$B$2:$B$221, $C145, MRP!$G$2:$G$221, H$1),
    SUMIFS(MRP!$I$2:$I$221, MRP!$B$2:$B$221, $C145, MRP!$G$2:$G$221, H$1),
    SUMIFS(MRP!$J$2:$J$221, MRP!$B$2:$B$221, $C145,  MRP!$G$2:$G$221, H$1),
    SUMIFS(MRP!$K$2:$K$221, MRP!$B$2:$B$221, $C145,  MRP!$G$2:$G$221, H$1),
    SUMIFS(MRP!$L$2:$L$221, MRP!$B$2:$B$221, $C145,  MRP!$G$2:$G$221, H$1)
)*F145</f>
        <v>14900</v>
      </c>
      <c r="I145" s="15">
        <f>SUM(
    SUMIFS(MRP!$H$2:$H$221, MRP!$B$2:$B$221, $C145, MRP!$G$2:$G$221, I$1),
    SUMIFS(MRP!$I$2:$I$221, MRP!$B$2:$B$221, $C145, MRP!$G$2:$G$221, I$1),
    SUMIFS(MRP!$J$2:$J$221, MRP!$B$2:$B$221, $C145,  MRP!$G$2:$G$221, I$1),
    SUMIFS(MRP!$K$2:$K$221, MRP!$B$2:$B$221, $C145,  MRP!$G$2:$G$221, I$1),
    SUMIFS(MRP!$L$2:$L$221, MRP!$B$2:$B$221, $C145,  MRP!$G$2:$G$221, I$1)
)*F145</f>
        <v>0</v>
      </c>
      <c r="J145" s="15">
        <f>SUM(
    SUMIFS(MRP!$H$2:$H$221, MRP!$B$2:$B$221, $C145, MRP!$G$2:$G$221, J$1),
    SUMIFS(MRP!$I$2:$I$221, MRP!$B$2:$B$221, $C145, MRP!$G$2:$G$221, J$1),
    SUMIFS(MRP!$J$2:$J$221, MRP!$B$2:$B$221, $C145,  MRP!$G$2:$G$221, J$1),
    SUMIFS(MRP!$K$2:$K$221, MRP!$B$2:$B$221, $C145,  MRP!$G$2:$G$221, J$1),
    SUMIFS(MRP!$L$2:$L$221, MRP!$B$2:$B$221, $C145,  MRP!$G$2:$G$221, J$1)
)*F145</f>
        <v>0</v>
      </c>
      <c r="K145" s="15">
        <f>SUM(
    SUMIFS(MRP!$H$2:$H$221, MRP!$B$2:$B$221, $C145, MRP!$G$2:$G$221, K$1),
    SUMIFS(MRP!$I$2:$I$221, MRP!$B$2:$B$221, $C145, MRP!$G$2:$G$221, K$1),
    SUMIFS(MRP!$J$2:$J$221, MRP!$B$2:$B$221, $C145,  MRP!$G$2:$G$221, K$1),
    SUMIFS(MRP!$K$2:$K$221, MRP!$B$2:$B$221, $C145,  MRP!$G$2:$G$221, K$1),
    SUMIFS(MRP!$L$2:$L$221, MRP!$B$2:$B$221, $C145,  MRP!$G$2:$G$221, K$1)
)*F145</f>
        <v>0</v>
      </c>
      <c r="L145" s="55" t="str">
        <f>TRIM(Tabla3[[#This Row],[CodInternoArti]])</f>
        <v>7798011210039</v>
      </c>
    </row>
    <row r="146" spans="1:12" hidden="1" x14ac:dyDescent="0.35">
      <c r="A146" s="38" t="str">
        <f>IF(ISNUMBER(_xlfn.XMATCH(Tabla3[[#This Row],[CodInternoArti]],'Tabla Articulos'!B:B)),"OK","NO ESTA")</f>
        <v>OK</v>
      </c>
      <c r="B146" s="38" t="str">
        <f>IF(ISNUMBER(_xlfn.XMATCH('Calcular necesidad'!E:E,'Necesidad por familia'!A:A)),"OK","NO ESTA")</f>
        <v>OK</v>
      </c>
      <c r="C146" s="17" t="s">
        <v>660</v>
      </c>
      <c r="D146" s="1" t="s">
        <v>527</v>
      </c>
      <c r="E146" s="1" t="str">
        <f>_xlfn.XLOOKUP(C146,'Tabla Articulos'!B:B,'Tabla Articulos'!D:D)</f>
        <v>ARRANQUE 40X60</v>
      </c>
      <c r="F146" s="1">
        <v>1</v>
      </c>
      <c r="G146" s="15">
        <f>SUM(
    SUMIFS(MRP!$H$2:$H$221, MRP!$B$2:$B$221, $C146, MRP!$G$2:$G$221, G$1),
    SUMIFS(MRP!$I$2:$I$221, MRP!$B$2:$B$221, $C146, MRP!$G$2:$G$221, G$1),
    SUMIFS(MRP!$J$2:$J$221, MRP!$B$2:$B$221, $C146,  MRP!$G$2:$G$221, G$1),
    SUMIFS(MRP!$K$2:$K$221, MRP!$B$2:$B$221, $C146,  MRP!$G$2:$G$221, G$1),
    SUMIFS(MRP!$L$2:$L$221, MRP!$B$2:$B$221, $C146,  MRP!$G$2:$G$221, G$1)
)*F146</f>
        <v>0</v>
      </c>
      <c r="H146" s="15">
        <f>SUM(
    SUMIFS(MRP!$H$2:$H$221, MRP!$B$2:$B$221, $C146, MRP!$G$2:$G$221, H$1),
    SUMIFS(MRP!$I$2:$I$221, MRP!$B$2:$B$221, $C146, MRP!$G$2:$G$221, H$1),
    SUMIFS(MRP!$J$2:$J$221, MRP!$B$2:$B$221, $C146,  MRP!$G$2:$G$221, H$1),
    SUMIFS(MRP!$K$2:$K$221, MRP!$B$2:$B$221, $C146,  MRP!$G$2:$G$221, H$1),
    SUMIFS(MRP!$L$2:$L$221, MRP!$B$2:$B$221, $C146,  MRP!$G$2:$G$221, H$1)
)*F146</f>
        <v>6</v>
      </c>
      <c r="I146" s="15">
        <f>SUM(
    SUMIFS(MRP!$H$2:$H$221, MRP!$B$2:$B$221, $C146, MRP!$G$2:$G$221, I$1),
    SUMIFS(MRP!$I$2:$I$221, MRP!$B$2:$B$221, $C146, MRP!$G$2:$G$221, I$1),
    SUMIFS(MRP!$J$2:$J$221, MRP!$B$2:$B$221, $C146,  MRP!$G$2:$G$221, I$1),
    SUMIFS(MRP!$K$2:$K$221, MRP!$B$2:$B$221, $C146,  MRP!$G$2:$G$221, I$1),
    SUMIFS(MRP!$L$2:$L$221, MRP!$B$2:$B$221, $C146,  MRP!$G$2:$G$221, I$1)
)*F146</f>
        <v>0</v>
      </c>
      <c r="J146" s="15">
        <f>SUM(
    SUMIFS(MRP!$H$2:$H$221, MRP!$B$2:$B$221, $C146, MRP!$G$2:$G$221, J$1),
    SUMIFS(MRP!$I$2:$I$221, MRP!$B$2:$B$221, $C146, MRP!$G$2:$G$221, J$1),
    SUMIFS(MRP!$J$2:$J$221, MRP!$B$2:$B$221, $C146,  MRP!$G$2:$G$221, J$1),
    SUMIFS(MRP!$K$2:$K$221, MRP!$B$2:$B$221, $C146,  MRP!$G$2:$G$221, J$1),
    SUMIFS(MRP!$L$2:$L$221, MRP!$B$2:$B$221, $C146,  MRP!$G$2:$G$221, J$1)
)*F146</f>
        <v>0</v>
      </c>
      <c r="K146" s="15">
        <f>SUM(
    SUMIFS(MRP!$H$2:$H$221, MRP!$B$2:$B$221, $C146, MRP!$G$2:$G$221, K$1),
    SUMIFS(MRP!$I$2:$I$221, MRP!$B$2:$B$221, $C146, MRP!$G$2:$G$221, K$1),
    SUMIFS(MRP!$J$2:$J$221, MRP!$B$2:$B$221, $C146,  MRP!$G$2:$G$221, K$1),
    SUMIFS(MRP!$K$2:$K$221, MRP!$B$2:$B$221, $C146,  MRP!$G$2:$G$221, K$1),
    SUMIFS(MRP!$L$2:$L$221, MRP!$B$2:$B$221, $C146,  MRP!$G$2:$G$221, K$1)
)*F146</f>
        <v>0</v>
      </c>
      <c r="L146" s="55" t="str">
        <f>TRIM(Tabla3[[#This Row],[CodInternoArti]])</f>
        <v>7790000000480</v>
      </c>
    </row>
    <row r="147" spans="1:12" hidden="1" x14ac:dyDescent="0.35">
      <c r="A147" s="38" t="str">
        <f>IF(ISNUMBER(_xlfn.XMATCH(Tabla3[[#This Row],[CodInternoArti]],'Tabla Articulos'!B:B)),"OK","NO ESTA")</f>
        <v>OK</v>
      </c>
      <c r="B147" s="38" t="str">
        <f>IF(ISNUMBER(_xlfn.XMATCH('Calcular necesidad'!E:E,'Necesidad por familia'!A:A)),"OK","NO ESTA")</f>
        <v>OK</v>
      </c>
      <c r="C147" s="17" t="s">
        <v>661</v>
      </c>
      <c r="D147" s="1" t="s">
        <v>443</v>
      </c>
      <c r="E147" s="1" t="str">
        <f>_xlfn.XLOOKUP(C147,'Tabla Articulos'!B:B,'Tabla Articulos'!D:D)</f>
        <v>SERVILLETA 18x18 BLUE</v>
      </c>
      <c r="F147" s="1">
        <f>_xlfn.XLOOKUP(C147,'Tabla Articulos'!B:B,'Tabla Articulos'!E:E)</f>
        <v>1000</v>
      </c>
      <c r="G147" s="15">
        <f>SUM(
    SUMIFS(MRP!$H$2:$H$221, MRP!$B$2:$B$221, $C147, MRP!$G$2:$G$221, G$1),
    SUMIFS(MRP!$I$2:$I$221, MRP!$B$2:$B$221, $C147, MRP!$G$2:$G$221, G$1),
    SUMIFS(MRP!$J$2:$J$221, MRP!$B$2:$B$221, $C147,  MRP!$G$2:$G$221, G$1),
    SUMIFS(MRP!$K$2:$K$221, MRP!$B$2:$B$221, $C147,  MRP!$G$2:$G$221, G$1),
    SUMIFS(MRP!$L$2:$L$221, MRP!$B$2:$B$221, $C147,  MRP!$G$2:$G$221, G$1)
)*F147</f>
        <v>0</v>
      </c>
      <c r="H147" s="15">
        <f>SUM(
    SUMIFS(MRP!$H$2:$H$221, MRP!$B$2:$B$221, $C147, MRP!$G$2:$G$221, H$1),
    SUMIFS(MRP!$I$2:$I$221, MRP!$B$2:$B$221, $C147, MRP!$G$2:$G$221, H$1),
    SUMIFS(MRP!$J$2:$J$221, MRP!$B$2:$B$221, $C147,  MRP!$G$2:$G$221, H$1),
    SUMIFS(MRP!$K$2:$K$221, MRP!$B$2:$B$221, $C147,  MRP!$G$2:$G$221, H$1),
    SUMIFS(MRP!$L$2:$L$221, MRP!$B$2:$B$221, $C147,  MRP!$G$2:$G$221, H$1)
)*F147</f>
        <v>1000</v>
      </c>
      <c r="I147" s="15">
        <f>SUM(
    SUMIFS(MRP!$H$2:$H$221, MRP!$B$2:$B$221, $C147, MRP!$G$2:$G$221, I$1),
    SUMIFS(MRP!$I$2:$I$221, MRP!$B$2:$B$221, $C147, MRP!$G$2:$G$221, I$1),
    SUMIFS(MRP!$J$2:$J$221, MRP!$B$2:$B$221, $C147,  MRP!$G$2:$G$221, I$1),
    SUMIFS(MRP!$K$2:$K$221, MRP!$B$2:$B$221, $C147,  MRP!$G$2:$G$221, I$1),
    SUMIFS(MRP!$L$2:$L$221, MRP!$B$2:$B$221, $C147,  MRP!$G$2:$G$221, I$1)
)*F147</f>
        <v>0</v>
      </c>
      <c r="J147" s="15">
        <f>SUM(
    SUMIFS(MRP!$H$2:$H$221, MRP!$B$2:$B$221, $C147, MRP!$G$2:$G$221, J$1),
    SUMIFS(MRP!$I$2:$I$221, MRP!$B$2:$B$221, $C147, MRP!$G$2:$G$221, J$1),
    SUMIFS(MRP!$J$2:$J$221, MRP!$B$2:$B$221, $C147,  MRP!$G$2:$G$221, J$1),
    SUMIFS(MRP!$K$2:$K$221, MRP!$B$2:$B$221, $C147,  MRP!$G$2:$G$221, J$1),
    SUMIFS(MRP!$L$2:$L$221, MRP!$B$2:$B$221, $C147,  MRP!$G$2:$G$221, J$1)
)*F147</f>
        <v>0</v>
      </c>
      <c r="K147" s="15">
        <f>SUM(
    SUMIFS(MRP!$H$2:$H$221, MRP!$B$2:$B$221, $C147, MRP!$G$2:$G$221, K$1),
    SUMIFS(MRP!$I$2:$I$221, MRP!$B$2:$B$221, $C147, MRP!$G$2:$G$221, K$1),
    SUMIFS(MRP!$J$2:$J$221, MRP!$B$2:$B$221, $C147,  MRP!$G$2:$G$221, K$1),
    SUMIFS(MRP!$K$2:$K$221, MRP!$B$2:$B$221, $C147,  MRP!$G$2:$G$221, K$1),
    SUMIFS(MRP!$L$2:$L$221, MRP!$B$2:$B$221, $C147,  MRP!$G$2:$G$221, K$1)
)*F147</f>
        <v>0</v>
      </c>
      <c r="L147" s="55" t="str">
        <f>TRIM(Tabla3[[#This Row],[CodInternoArti]])</f>
        <v>7790013877012</v>
      </c>
    </row>
    <row r="148" spans="1:12" hidden="1" x14ac:dyDescent="0.35">
      <c r="A148" s="38" t="str">
        <f>IF(ISNUMBER(_xlfn.XMATCH(Tabla3[[#This Row],[CodInternoArti]],'Tabla Articulos'!B:B)),"OK","NO ESTA")</f>
        <v>OK</v>
      </c>
      <c r="B148" s="38" t="str">
        <f>IF(ISNUMBER(_xlfn.XMATCH('Calcular necesidad'!E:E,'Necesidad por familia'!A:A)),"OK","NO ESTA")</f>
        <v>OK</v>
      </c>
      <c r="C148" s="17" t="s">
        <v>662</v>
      </c>
      <c r="D148" s="1" t="s">
        <v>464</v>
      </c>
      <c r="E148" s="1" t="str">
        <f>_xlfn.XLOOKUP(C148,'Tabla Articulos'!B:B,'Tabla Articulos'!D:D)</f>
        <v>BANDEJA 105</v>
      </c>
      <c r="F148" s="1">
        <v>200</v>
      </c>
      <c r="G148" s="15">
        <f>SUM(
    SUMIFS(MRP!$H$2:$H$221, MRP!$B$2:$B$221, $C148, MRP!$G$2:$G$221, G$1),
    SUMIFS(MRP!$I$2:$I$221, MRP!$B$2:$B$221, $C148, MRP!$G$2:$G$221, G$1),
    SUMIFS(MRP!$J$2:$J$221, MRP!$B$2:$B$221, $C148,  MRP!$G$2:$G$221, G$1),
    SUMIFS(MRP!$K$2:$K$221, MRP!$B$2:$B$221, $C148,  MRP!$G$2:$G$221, G$1),
    SUMIFS(MRP!$L$2:$L$221, MRP!$B$2:$B$221, $C148,  MRP!$G$2:$G$221, G$1)
)*F148</f>
        <v>0</v>
      </c>
      <c r="H148" s="15">
        <f>SUM(
    SUMIFS(MRP!$H$2:$H$221, MRP!$B$2:$B$221, $C148, MRP!$G$2:$G$221, H$1),
    SUMIFS(MRP!$I$2:$I$221, MRP!$B$2:$B$221, $C148, MRP!$G$2:$G$221, H$1),
    SUMIFS(MRP!$J$2:$J$221, MRP!$B$2:$B$221, $C148,  MRP!$G$2:$G$221, H$1),
    SUMIFS(MRP!$K$2:$K$221, MRP!$B$2:$B$221, $C148,  MRP!$G$2:$G$221, H$1),
    SUMIFS(MRP!$L$2:$L$221, MRP!$B$2:$B$221, $C148,  MRP!$G$2:$G$221, H$1)
)*F148</f>
        <v>2000</v>
      </c>
      <c r="I148" s="15">
        <f>SUM(
    SUMIFS(MRP!$H$2:$H$221, MRP!$B$2:$B$221, $C148, MRP!$G$2:$G$221, I$1),
    SUMIFS(MRP!$I$2:$I$221, MRP!$B$2:$B$221, $C148, MRP!$G$2:$G$221, I$1),
    SUMIFS(MRP!$J$2:$J$221, MRP!$B$2:$B$221, $C148,  MRP!$G$2:$G$221, I$1),
    SUMIFS(MRP!$K$2:$K$221, MRP!$B$2:$B$221, $C148,  MRP!$G$2:$G$221, I$1),
    SUMIFS(MRP!$L$2:$L$221, MRP!$B$2:$B$221, $C148,  MRP!$G$2:$G$221, I$1)
)*F148</f>
        <v>0</v>
      </c>
      <c r="J148" s="15">
        <f>SUM(
    SUMIFS(MRP!$H$2:$H$221, MRP!$B$2:$B$221, $C148, MRP!$G$2:$G$221, J$1),
    SUMIFS(MRP!$I$2:$I$221, MRP!$B$2:$B$221, $C148, MRP!$G$2:$G$221, J$1),
    SUMIFS(MRP!$J$2:$J$221, MRP!$B$2:$B$221, $C148,  MRP!$G$2:$G$221, J$1),
    SUMIFS(MRP!$K$2:$K$221, MRP!$B$2:$B$221, $C148,  MRP!$G$2:$G$221, J$1),
    SUMIFS(MRP!$L$2:$L$221, MRP!$B$2:$B$221, $C148,  MRP!$G$2:$G$221, J$1)
)*F148</f>
        <v>0</v>
      </c>
      <c r="K148" s="15">
        <f>SUM(
    SUMIFS(MRP!$H$2:$H$221, MRP!$B$2:$B$221, $C148, MRP!$G$2:$G$221, K$1),
    SUMIFS(MRP!$I$2:$I$221, MRP!$B$2:$B$221, $C148, MRP!$G$2:$G$221, K$1),
    SUMIFS(MRP!$J$2:$J$221, MRP!$B$2:$B$221, $C148,  MRP!$G$2:$G$221, K$1),
    SUMIFS(MRP!$K$2:$K$221, MRP!$B$2:$B$221, $C148,  MRP!$G$2:$G$221, K$1),
    SUMIFS(MRP!$L$2:$L$221, MRP!$B$2:$B$221, $C148,  MRP!$G$2:$G$221, K$1)
)*F148</f>
        <v>0</v>
      </c>
      <c r="L148" s="55" t="str">
        <f>TRIM(Tabla3[[#This Row],[CodInternoArti]])</f>
        <v>7792798664287</v>
      </c>
    </row>
    <row r="149" spans="1:12" hidden="1" x14ac:dyDescent="0.35">
      <c r="A149" s="38" t="str">
        <f>IF(ISNUMBER(_xlfn.XMATCH(Tabla3[[#This Row],[CodInternoArti]],'Tabla Articulos'!B:B)),"OK","NO ESTA")</f>
        <v>OK</v>
      </c>
      <c r="B149" s="38" t="str">
        <f>IF(ISNUMBER(_xlfn.XMATCH('Calcular necesidad'!E:E,'Necesidad por familia'!A:A)),"OK","NO ESTA")</f>
        <v>OK</v>
      </c>
      <c r="C149" s="17" t="s">
        <v>663</v>
      </c>
      <c r="D149" s="1" t="s">
        <v>465</v>
      </c>
      <c r="E149" s="1" t="str">
        <f>_xlfn.XLOOKUP(C149,'Tabla Articulos'!B:B,'Tabla Articulos'!D:D)</f>
        <v>BANDEJA 101</v>
      </c>
      <c r="F149" s="1">
        <v>200</v>
      </c>
      <c r="G149" s="15">
        <f>SUM(
    SUMIFS(MRP!$H$2:$H$221, MRP!$B$2:$B$221, $C149, MRP!$G$2:$G$221, G$1),
    SUMIFS(MRP!$I$2:$I$221, MRP!$B$2:$B$221, $C149, MRP!$G$2:$G$221, G$1),
    SUMIFS(MRP!$J$2:$J$221, MRP!$B$2:$B$221, $C149,  MRP!$G$2:$G$221, G$1),
    SUMIFS(MRP!$K$2:$K$221, MRP!$B$2:$B$221, $C149,  MRP!$G$2:$G$221, G$1),
    SUMIFS(MRP!$L$2:$L$221, MRP!$B$2:$B$221, $C149,  MRP!$G$2:$G$221, G$1)
)*F149</f>
        <v>0</v>
      </c>
      <c r="H149" s="15">
        <f>SUM(
    SUMIFS(MRP!$H$2:$H$221, MRP!$B$2:$B$221, $C149, MRP!$G$2:$G$221, H$1),
    SUMIFS(MRP!$I$2:$I$221, MRP!$B$2:$B$221, $C149, MRP!$G$2:$G$221, H$1),
    SUMIFS(MRP!$J$2:$J$221, MRP!$B$2:$B$221, $C149,  MRP!$G$2:$G$221, H$1),
    SUMIFS(MRP!$K$2:$K$221, MRP!$B$2:$B$221, $C149,  MRP!$G$2:$G$221, H$1),
    SUMIFS(MRP!$L$2:$L$221, MRP!$B$2:$B$221, $C149,  MRP!$G$2:$G$221, H$1)
)*F149</f>
        <v>83600</v>
      </c>
      <c r="I149" s="15">
        <f>SUM(
    SUMIFS(MRP!$H$2:$H$221, MRP!$B$2:$B$221, $C149, MRP!$G$2:$G$221, I$1),
    SUMIFS(MRP!$I$2:$I$221, MRP!$B$2:$B$221, $C149, MRP!$G$2:$G$221, I$1),
    SUMIFS(MRP!$J$2:$J$221, MRP!$B$2:$B$221, $C149,  MRP!$G$2:$G$221, I$1),
    SUMIFS(MRP!$K$2:$K$221, MRP!$B$2:$B$221, $C149,  MRP!$G$2:$G$221, I$1),
    SUMIFS(MRP!$L$2:$L$221, MRP!$B$2:$B$221, $C149,  MRP!$G$2:$G$221, I$1)
)*F149</f>
        <v>0</v>
      </c>
      <c r="J149" s="15">
        <f>SUM(
    SUMIFS(MRP!$H$2:$H$221, MRP!$B$2:$B$221, $C149, MRP!$G$2:$G$221, J$1),
    SUMIFS(MRP!$I$2:$I$221, MRP!$B$2:$B$221, $C149, MRP!$G$2:$G$221, J$1),
    SUMIFS(MRP!$J$2:$J$221, MRP!$B$2:$B$221, $C149,  MRP!$G$2:$G$221, J$1),
    SUMIFS(MRP!$K$2:$K$221, MRP!$B$2:$B$221, $C149,  MRP!$G$2:$G$221, J$1),
    SUMIFS(MRP!$L$2:$L$221, MRP!$B$2:$B$221, $C149,  MRP!$G$2:$G$221, J$1)
)*F149</f>
        <v>0</v>
      </c>
      <c r="K149" s="15">
        <f>SUM(
    SUMIFS(MRP!$H$2:$H$221, MRP!$B$2:$B$221, $C149, MRP!$G$2:$G$221, K$1),
    SUMIFS(MRP!$I$2:$I$221, MRP!$B$2:$B$221, $C149, MRP!$G$2:$G$221, K$1),
    SUMIFS(MRP!$J$2:$J$221, MRP!$B$2:$B$221, $C149,  MRP!$G$2:$G$221, K$1),
    SUMIFS(MRP!$K$2:$K$221, MRP!$B$2:$B$221, $C149,  MRP!$G$2:$G$221, K$1),
    SUMIFS(MRP!$L$2:$L$221, MRP!$B$2:$B$221, $C149,  MRP!$G$2:$G$221, K$1)
)*F149</f>
        <v>0</v>
      </c>
      <c r="L149" s="55" t="str">
        <f>TRIM(Tabla3[[#This Row],[CodInternoArti]])</f>
        <v>7790991126352</v>
      </c>
    </row>
    <row r="150" spans="1:12" hidden="1" x14ac:dyDescent="0.35">
      <c r="A150" s="38" t="str">
        <f>IF(ISNUMBER(_xlfn.XMATCH(Tabla3[[#This Row],[CodInternoArti]],'Tabla Articulos'!B:B)),"OK","NO ESTA")</f>
        <v>OK</v>
      </c>
      <c r="B150" s="38" t="str">
        <f>IF(ISNUMBER(_xlfn.XMATCH('Calcular necesidad'!E:E,'Necesidad por familia'!A:A)),"OK","NO ESTA")</f>
        <v>OK</v>
      </c>
      <c r="C150" s="17" t="s">
        <v>664</v>
      </c>
      <c r="D150" s="1" t="s">
        <v>448</v>
      </c>
      <c r="E150" s="1" t="str">
        <f>_xlfn.XLOOKUP(C150,'Tabla Articulos'!B:B,'Tabla Articulos'!D:D)</f>
        <v>CAMISETA BLANCA 40X50</v>
      </c>
      <c r="F150" s="1">
        <v>50</v>
      </c>
      <c r="G150" s="15">
        <f>SUM(
    SUMIFS(MRP!$H$2:$H$221, MRP!$B$2:$B$221, $C150, MRP!$G$2:$G$221, G$1),
    SUMIFS(MRP!$I$2:$I$221, MRP!$B$2:$B$221, $C150, MRP!$G$2:$G$221, G$1),
    SUMIFS(MRP!$J$2:$J$221, MRP!$B$2:$B$221, $C150,  MRP!$G$2:$G$221, G$1),
    SUMIFS(MRP!$K$2:$K$221, MRP!$B$2:$B$221, $C150,  MRP!$G$2:$G$221, G$1),
    SUMIFS(MRP!$L$2:$L$221, MRP!$B$2:$B$221, $C150,  MRP!$G$2:$G$221, G$1)
)*F150</f>
        <v>0</v>
      </c>
      <c r="H150" s="15">
        <f>SUM(
    SUMIFS(MRP!$H$2:$H$221, MRP!$B$2:$B$221, $C150, MRP!$G$2:$G$221, H$1),
    SUMIFS(MRP!$I$2:$I$221, MRP!$B$2:$B$221, $C150, MRP!$G$2:$G$221, H$1),
    SUMIFS(MRP!$J$2:$J$221, MRP!$B$2:$B$221, $C150,  MRP!$G$2:$G$221, H$1),
    SUMIFS(MRP!$K$2:$K$221, MRP!$B$2:$B$221, $C150,  MRP!$G$2:$G$221, H$1),
    SUMIFS(MRP!$L$2:$L$221, MRP!$B$2:$B$221, $C150,  MRP!$G$2:$G$221, H$1)
)*F150</f>
        <v>32200</v>
      </c>
      <c r="I150" s="15">
        <f>SUM(
    SUMIFS(MRP!$H$2:$H$221, MRP!$B$2:$B$221, $C150, MRP!$G$2:$G$221, I$1),
    SUMIFS(MRP!$I$2:$I$221, MRP!$B$2:$B$221, $C150, MRP!$G$2:$G$221, I$1),
    SUMIFS(MRP!$J$2:$J$221, MRP!$B$2:$B$221, $C150,  MRP!$G$2:$G$221, I$1),
    SUMIFS(MRP!$K$2:$K$221, MRP!$B$2:$B$221, $C150,  MRP!$G$2:$G$221, I$1),
    SUMIFS(MRP!$L$2:$L$221, MRP!$B$2:$B$221, $C150,  MRP!$G$2:$G$221, I$1)
)*F150</f>
        <v>0</v>
      </c>
      <c r="J150" s="15">
        <f>SUM(
    SUMIFS(MRP!$H$2:$H$221, MRP!$B$2:$B$221, $C150, MRP!$G$2:$G$221, J$1),
    SUMIFS(MRP!$I$2:$I$221, MRP!$B$2:$B$221, $C150, MRP!$G$2:$G$221, J$1),
    SUMIFS(MRP!$J$2:$J$221, MRP!$B$2:$B$221, $C150,  MRP!$G$2:$G$221, J$1),
    SUMIFS(MRP!$K$2:$K$221, MRP!$B$2:$B$221, $C150,  MRP!$G$2:$G$221, J$1),
    SUMIFS(MRP!$L$2:$L$221, MRP!$B$2:$B$221, $C150,  MRP!$G$2:$G$221, J$1)
)*F150</f>
        <v>0</v>
      </c>
      <c r="K150" s="15">
        <f>SUM(
    SUMIFS(MRP!$H$2:$H$221, MRP!$B$2:$B$221, $C150, MRP!$G$2:$G$221, K$1),
    SUMIFS(MRP!$I$2:$I$221, MRP!$B$2:$B$221, $C150, MRP!$G$2:$G$221, K$1),
    SUMIFS(MRP!$J$2:$J$221, MRP!$B$2:$B$221, $C150,  MRP!$G$2:$G$221, K$1),
    SUMIFS(MRP!$K$2:$K$221, MRP!$B$2:$B$221, $C150,  MRP!$G$2:$G$221, K$1),
    SUMIFS(MRP!$L$2:$L$221, MRP!$B$2:$B$221, $C150,  MRP!$G$2:$G$221, K$1)
)*F150</f>
        <v>0</v>
      </c>
      <c r="L150" s="55" t="str">
        <f>TRIM(Tabla3[[#This Row],[CodInternoArti]])</f>
        <v>7795618001244</v>
      </c>
    </row>
    <row r="151" spans="1:12" hidden="1" x14ac:dyDescent="0.35">
      <c r="A151" s="38" t="str">
        <f>IF(ISNUMBER(_xlfn.XMATCH(Tabla3[[#This Row],[CodInternoArti]],'Tabla Articulos'!B:B)),"OK","NO ESTA")</f>
        <v>OK</v>
      </c>
      <c r="B151" s="38" t="str">
        <f>IF(ISNUMBER(_xlfn.XMATCH('Calcular necesidad'!E:E,'Necesidad por familia'!A:A)),"OK","NO ESTA")</f>
        <v>OK</v>
      </c>
      <c r="C151" s="17" t="s">
        <v>665</v>
      </c>
      <c r="D151" s="1" t="s">
        <v>449</v>
      </c>
      <c r="E151" s="1" t="str">
        <f>_xlfn.XLOOKUP(C151,'Tabla Articulos'!B:B,'Tabla Articulos'!D:D)</f>
        <v>BANDEJA 103</v>
      </c>
      <c r="F151" s="1">
        <v>100</v>
      </c>
      <c r="G151" s="15">
        <f>SUM(
    SUMIFS(MRP!$H$2:$H$221, MRP!$B$2:$B$221, $C151, MRP!$G$2:$G$221, G$1),
    SUMIFS(MRP!$I$2:$I$221, MRP!$B$2:$B$221, $C151, MRP!$G$2:$G$221, G$1),
    SUMIFS(MRP!$J$2:$J$221, MRP!$B$2:$B$221, $C151,  MRP!$G$2:$G$221, G$1),
    SUMIFS(MRP!$K$2:$K$221, MRP!$B$2:$B$221, $C151,  MRP!$G$2:$G$221, G$1),
    SUMIFS(MRP!$L$2:$L$221, MRP!$B$2:$B$221, $C151,  MRP!$G$2:$G$221, G$1)
)*F151</f>
        <v>0</v>
      </c>
      <c r="H151" s="15">
        <f>SUM(
    SUMIFS(MRP!$H$2:$H$221, MRP!$B$2:$B$221, $C151, MRP!$G$2:$G$221, H$1),
    SUMIFS(MRP!$I$2:$I$221, MRP!$B$2:$B$221, $C151, MRP!$G$2:$G$221, H$1),
    SUMIFS(MRP!$J$2:$J$221, MRP!$B$2:$B$221, $C151,  MRP!$G$2:$G$221, H$1),
    SUMIFS(MRP!$K$2:$K$221, MRP!$B$2:$B$221, $C151,  MRP!$G$2:$G$221, H$1),
    SUMIFS(MRP!$L$2:$L$221, MRP!$B$2:$B$221, $C151,  MRP!$G$2:$G$221, H$1)
)*F151</f>
        <v>2000</v>
      </c>
      <c r="I151" s="15">
        <f>SUM(
    SUMIFS(MRP!$H$2:$H$221, MRP!$B$2:$B$221, $C151, MRP!$G$2:$G$221, I$1),
    SUMIFS(MRP!$I$2:$I$221, MRP!$B$2:$B$221, $C151, MRP!$G$2:$G$221, I$1),
    SUMIFS(MRP!$J$2:$J$221, MRP!$B$2:$B$221, $C151,  MRP!$G$2:$G$221, I$1),
    SUMIFS(MRP!$K$2:$K$221, MRP!$B$2:$B$221, $C151,  MRP!$G$2:$G$221, I$1),
    SUMIFS(MRP!$L$2:$L$221, MRP!$B$2:$B$221, $C151,  MRP!$G$2:$G$221, I$1)
)*F151</f>
        <v>0</v>
      </c>
      <c r="J151" s="15">
        <f>SUM(
    SUMIFS(MRP!$H$2:$H$221, MRP!$B$2:$B$221, $C151, MRP!$G$2:$G$221, J$1),
    SUMIFS(MRP!$I$2:$I$221, MRP!$B$2:$B$221, $C151, MRP!$G$2:$G$221, J$1),
    SUMIFS(MRP!$J$2:$J$221, MRP!$B$2:$B$221, $C151,  MRP!$G$2:$G$221, J$1),
    SUMIFS(MRP!$K$2:$K$221, MRP!$B$2:$B$221, $C151,  MRP!$G$2:$G$221, J$1),
    SUMIFS(MRP!$L$2:$L$221, MRP!$B$2:$B$221, $C151,  MRP!$G$2:$G$221, J$1)
)*F151</f>
        <v>0</v>
      </c>
      <c r="K151" s="15">
        <f>SUM(
    SUMIFS(MRP!$H$2:$H$221, MRP!$B$2:$B$221, $C151, MRP!$G$2:$G$221, K$1),
    SUMIFS(MRP!$I$2:$I$221, MRP!$B$2:$B$221, $C151, MRP!$G$2:$G$221, K$1),
    SUMIFS(MRP!$J$2:$J$221, MRP!$B$2:$B$221, $C151,  MRP!$G$2:$G$221, K$1),
    SUMIFS(MRP!$K$2:$K$221, MRP!$B$2:$B$221, $C151,  MRP!$G$2:$G$221, K$1),
    SUMIFS(MRP!$L$2:$L$221, MRP!$B$2:$B$221, $C151,  MRP!$G$2:$G$221, K$1)
)*F151</f>
        <v>0</v>
      </c>
      <c r="L151" s="55" t="str">
        <f>TRIM(Tabla3[[#This Row],[CodInternoArti]])</f>
        <v>7798068951879</v>
      </c>
    </row>
    <row r="152" spans="1:12" hidden="1" x14ac:dyDescent="0.35">
      <c r="A152" s="38" t="str">
        <f>IF(ISNUMBER(_xlfn.XMATCH(Tabla3[[#This Row],[CodInternoArti]],'Tabla Articulos'!B:B)),"OK","NO ESTA")</f>
        <v>OK</v>
      </c>
      <c r="B152" s="38" t="str">
        <f>IF(ISNUMBER(_xlfn.XMATCH('Calcular necesidad'!E:E,'Necesidad por familia'!A:A)),"OK","NO ESTA")</f>
        <v>OK</v>
      </c>
      <c r="C152" s="17" t="s">
        <v>666</v>
      </c>
      <c r="D152" s="1" t="s">
        <v>454</v>
      </c>
      <c r="E152" s="1" t="str">
        <f>_xlfn.XLOOKUP(C152,'Tabla Articulos'!B:B,'Tabla Articulos'!D:D)</f>
        <v>CAMISETA 50X60 REF</v>
      </c>
      <c r="F152" s="1">
        <v>100</v>
      </c>
      <c r="G152" s="15">
        <f>SUM(
    SUMIFS(MRP!$H$2:$H$221, MRP!$B$2:$B$221, $C152, MRP!$G$2:$G$221, G$1),
    SUMIFS(MRP!$I$2:$I$221, MRP!$B$2:$B$221, $C152, MRP!$G$2:$G$221, G$1),
    SUMIFS(MRP!$J$2:$J$221, MRP!$B$2:$B$221, $C152,  MRP!$G$2:$G$221, G$1),
    SUMIFS(MRP!$K$2:$K$221, MRP!$B$2:$B$221, $C152,  MRP!$G$2:$G$221, G$1),
    SUMIFS(MRP!$L$2:$L$221, MRP!$B$2:$B$221, $C152,  MRP!$G$2:$G$221, G$1)
)*F152</f>
        <v>2300</v>
      </c>
      <c r="H152" s="15">
        <f>SUM(
    SUMIFS(MRP!$H$2:$H$221, MRP!$B$2:$B$221, $C152, MRP!$G$2:$G$221, H$1),
    SUMIFS(MRP!$I$2:$I$221, MRP!$B$2:$B$221, $C152, MRP!$G$2:$G$221, H$1),
    SUMIFS(MRP!$J$2:$J$221, MRP!$B$2:$B$221, $C152,  MRP!$G$2:$G$221, H$1),
    SUMIFS(MRP!$K$2:$K$221, MRP!$B$2:$B$221, $C152,  MRP!$G$2:$G$221, H$1),
    SUMIFS(MRP!$L$2:$L$221, MRP!$B$2:$B$221, $C152,  MRP!$G$2:$G$221, H$1)
)*F152</f>
        <v>0</v>
      </c>
      <c r="I152" s="15">
        <f>SUM(
    SUMIFS(MRP!$H$2:$H$221, MRP!$B$2:$B$221, $C152, MRP!$G$2:$G$221, I$1),
    SUMIFS(MRP!$I$2:$I$221, MRP!$B$2:$B$221, $C152, MRP!$G$2:$G$221, I$1),
    SUMIFS(MRP!$J$2:$J$221, MRP!$B$2:$B$221, $C152,  MRP!$G$2:$G$221, I$1),
    SUMIFS(MRP!$K$2:$K$221, MRP!$B$2:$B$221, $C152,  MRP!$G$2:$G$221, I$1),
    SUMIFS(MRP!$L$2:$L$221, MRP!$B$2:$B$221, $C152,  MRP!$G$2:$G$221, I$1)
)*F152</f>
        <v>0</v>
      </c>
      <c r="J152" s="15">
        <f>SUM(
    SUMIFS(MRP!$H$2:$H$221, MRP!$B$2:$B$221, $C152, MRP!$G$2:$G$221, J$1),
    SUMIFS(MRP!$I$2:$I$221, MRP!$B$2:$B$221, $C152, MRP!$G$2:$G$221, J$1),
    SUMIFS(MRP!$J$2:$J$221, MRP!$B$2:$B$221, $C152,  MRP!$G$2:$G$221, J$1),
    SUMIFS(MRP!$K$2:$K$221, MRP!$B$2:$B$221, $C152,  MRP!$G$2:$G$221, J$1),
    SUMIFS(MRP!$L$2:$L$221, MRP!$B$2:$B$221, $C152,  MRP!$G$2:$G$221, J$1)
)*F152</f>
        <v>0</v>
      </c>
      <c r="K152" s="15">
        <f>SUM(
    SUMIFS(MRP!$H$2:$H$221, MRP!$B$2:$B$221, $C152, MRP!$G$2:$G$221, K$1),
    SUMIFS(MRP!$I$2:$I$221, MRP!$B$2:$B$221, $C152, MRP!$G$2:$G$221, K$1),
    SUMIFS(MRP!$J$2:$J$221, MRP!$B$2:$B$221, $C152,  MRP!$G$2:$G$221, K$1),
    SUMIFS(MRP!$K$2:$K$221, MRP!$B$2:$B$221, $C152,  MRP!$G$2:$G$221, K$1),
    SUMIFS(MRP!$L$2:$L$221, MRP!$B$2:$B$221, $C152,  MRP!$G$2:$G$221, K$1)
)*F152</f>
        <v>0</v>
      </c>
      <c r="L152" s="55" t="str">
        <f>TRIM(Tabla3[[#This Row],[CodInternoArti]])</f>
        <v>7790000000386</v>
      </c>
    </row>
    <row r="153" spans="1:12" hidden="1" x14ac:dyDescent="0.35">
      <c r="A153" s="38" t="str">
        <f>IF(ISNUMBER(_xlfn.XMATCH(Tabla3[[#This Row],[CodInternoArti]],'Tabla Articulos'!B:B)),"OK","NO ESTA")</f>
        <v>OK</v>
      </c>
      <c r="B153" s="38" t="str">
        <f>IF(ISNUMBER(_xlfn.XMATCH('Calcular necesidad'!E:E,'Necesidad por familia'!A:A)),"OK","NO ESTA")</f>
        <v>OK</v>
      </c>
      <c r="C153" s="17" t="s">
        <v>667</v>
      </c>
      <c r="D153" s="1" t="s">
        <v>668</v>
      </c>
      <c r="E153" s="1" t="str">
        <f>_xlfn.XLOOKUP(C153,'Tabla Articulos'!B:B,'Tabla Articulos'!D:D)</f>
        <v>SERVILLETA SIMIL TELA</v>
      </c>
      <c r="F153" s="1">
        <v>1600</v>
      </c>
      <c r="G153" s="15">
        <f>SUM(
    SUMIFS(MRP!$H$2:$H$221, MRP!$B$2:$B$221, $C153, MRP!$G$2:$G$221, G$1),
    SUMIFS(MRP!$I$2:$I$221, MRP!$B$2:$B$221, $C153, MRP!$G$2:$G$221, G$1),
    SUMIFS(MRP!$J$2:$J$221, MRP!$B$2:$B$221, $C153,  MRP!$G$2:$G$221, G$1),
    SUMIFS(MRP!$K$2:$K$221, MRP!$B$2:$B$221, $C153,  MRP!$G$2:$G$221, G$1),
    SUMIFS(MRP!$L$2:$L$221, MRP!$B$2:$B$221, $C153,  MRP!$G$2:$G$221, G$1)
)*F153</f>
        <v>0</v>
      </c>
      <c r="H153" s="15">
        <f>SUM(
    SUMIFS(MRP!$H$2:$H$221, MRP!$B$2:$B$221, $C153, MRP!$G$2:$G$221, H$1),
    SUMIFS(MRP!$I$2:$I$221, MRP!$B$2:$B$221, $C153, MRP!$G$2:$G$221, H$1),
    SUMIFS(MRP!$J$2:$J$221, MRP!$B$2:$B$221, $C153,  MRP!$G$2:$G$221, H$1),
    SUMIFS(MRP!$K$2:$K$221, MRP!$B$2:$B$221, $C153,  MRP!$G$2:$G$221, H$1),
    SUMIFS(MRP!$L$2:$L$221, MRP!$B$2:$B$221, $C153,  MRP!$G$2:$G$221, H$1)
)*F153</f>
        <v>0</v>
      </c>
      <c r="I153" s="15">
        <f>SUM(
    SUMIFS(MRP!$H$2:$H$221, MRP!$B$2:$B$221, $C153, MRP!$G$2:$G$221, I$1),
    SUMIFS(MRP!$I$2:$I$221, MRP!$B$2:$B$221, $C153, MRP!$G$2:$G$221, I$1),
    SUMIFS(MRP!$J$2:$J$221, MRP!$B$2:$B$221, $C153,  MRP!$G$2:$G$221, I$1),
    SUMIFS(MRP!$K$2:$K$221, MRP!$B$2:$B$221, $C153,  MRP!$G$2:$G$221, I$1),
    SUMIFS(MRP!$L$2:$L$221, MRP!$B$2:$B$221, $C153,  MRP!$G$2:$G$221, I$1)
)*F153</f>
        <v>0</v>
      </c>
      <c r="J153" s="15">
        <f>SUM(
    SUMIFS(MRP!$H$2:$H$221, MRP!$B$2:$B$221, $C153, MRP!$G$2:$G$221, J$1),
    SUMIFS(MRP!$I$2:$I$221, MRP!$B$2:$B$221, $C153, MRP!$G$2:$G$221, J$1),
    SUMIFS(MRP!$J$2:$J$221, MRP!$B$2:$B$221, $C153,  MRP!$G$2:$G$221, J$1),
    SUMIFS(MRP!$K$2:$K$221, MRP!$B$2:$B$221, $C153,  MRP!$G$2:$G$221, J$1),
    SUMIFS(MRP!$L$2:$L$221, MRP!$B$2:$B$221, $C153,  MRP!$G$2:$G$221, J$1)
)*F153</f>
        <v>0</v>
      </c>
      <c r="K153" s="15">
        <f>SUM(
    SUMIFS(MRP!$H$2:$H$221, MRP!$B$2:$B$221, $C153, MRP!$G$2:$G$221, K$1),
    SUMIFS(MRP!$I$2:$I$221, MRP!$B$2:$B$221, $C153, MRP!$G$2:$G$221, K$1),
    SUMIFS(MRP!$J$2:$J$221, MRP!$B$2:$B$221, $C153,  MRP!$G$2:$G$221, K$1),
    SUMIFS(MRP!$K$2:$K$221, MRP!$B$2:$B$221, $C153,  MRP!$G$2:$G$221, K$1),
    SUMIFS(MRP!$L$2:$L$221, MRP!$B$2:$B$221, $C153,  MRP!$G$2:$G$221, K$1)
)*F153</f>
        <v>0</v>
      </c>
      <c r="L153" s="55" t="str">
        <f>TRIM(Tabla3[[#This Row],[CodInternoArti]])</f>
        <v>7790000000690</v>
      </c>
    </row>
    <row r="154" spans="1:12" hidden="1" x14ac:dyDescent="0.35">
      <c r="A154" s="38" t="str">
        <f>IF(ISNUMBER(_xlfn.XMATCH(Tabla3[[#This Row],[CodInternoArti]],'Tabla Articulos'!B:B)),"OK","NO ESTA")</f>
        <v>OK</v>
      </c>
      <c r="B154" s="38" t="str">
        <f>IF(ISNUMBER(_xlfn.XMATCH('Calcular necesidad'!E:E,'Necesidad por familia'!A:A)),"OK","NO ESTA")</f>
        <v>OK</v>
      </c>
      <c r="C154" s="17" t="s">
        <v>669</v>
      </c>
      <c r="D154" s="1" t="s">
        <v>670</v>
      </c>
      <c r="E154" s="1" t="str">
        <f>_xlfn.XLOOKUP(C154,'Tabla Articulos'!B:B,'Tabla Articulos'!D:D)</f>
        <v>BANDEJA 103</v>
      </c>
      <c r="F154" s="1">
        <v>100</v>
      </c>
      <c r="G154" s="15">
        <f>SUM(
    SUMIFS(MRP!$H$2:$H$221, MRP!$B$2:$B$221, $C154, MRP!$G$2:$G$221, G$1),
    SUMIFS(MRP!$I$2:$I$221, MRP!$B$2:$B$221, $C154, MRP!$G$2:$G$221, G$1),
    SUMIFS(MRP!$J$2:$J$221, MRP!$B$2:$B$221, $C154,  MRP!$G$2:$G$221, G$1),
    SUMIFS(MRP!$K$2:$K$221, MRP!$B$2:$B$221, $C154,  MRP!$G$2:$G$221, G$1),
    SUMIFS(MRP!$L$2:$L$221, MRP!$B$2:$B$221, $C154,  MRP!$G$2:$G$221, G$1)
)*F154</f>
        <v>0</v>
      </c>
      <c r="H154" s="15">
        <f>SUM(
    SUMIFS(MRP!$H$2:$H$221, MRP!$B$2:$B$221, $C154, MRP!$G$2:$G$221, H$1),
    SUMIFS(MRP!$I$2:$I$221, MRP!$B$2:$B$221, $C154, MRP!$G$2:$G$221, H$1),
    SUMIFS(MRP!$J$2:$J$221, MRP!$B$2:$B$221, $C154,  MRP!$G$2:$G$221, H$1),
    SUMIFS(MRP!$K$2:$K$221, MRP!$B$2:$B$221, $C154,  MRP!$G$2:$G$221, H$1),
    SUMIFS(MRP!$L$2:$L$221, MRP!$B$2:$B$221, $C154,  MRP!$G$2:$G$221, H$1)
)*F154</f>
        <v>0</v>
      </c>
      <c r="I154" s="15">
        <f>SUM(
    SUMIFS(MRP!$H$2:$H$221, MRP!$B$2:$B$221, $C154, MRP!$G$2:$G$221, I$1),
    SUMIFS(MRP!$I$2:$I$221, MRP!$B$2:$B$221, $C154, MRP!$G$2:$G$221, I$1),
    SUMIFS(MRP!$J$2:$J$221, MRP!$B$2:$B$221, $C154,  MRP!$G$2:$G$221, I$1),
    SUMIFS(MRP!$K$2:$K$221, MRP!$B$2:$B$221, $C154,  MRP!$G$2:$G$221, I$1),
    SUMIFS(MRP!$L$2:$L$221, MRP!$B$2:$B$221, $C154,  MRP!$G$2:$G$221, I$1)
)*F154</f>
        <v>0</v>
      </c>
      <c r="J154" s="15">
        <f>SUM(
    SUMIFS(MRP!$H$2:$H$221, MRP!$B$2:$B$221, $C154, MRP!$G$2:$G$221, J$1),
    SUMIFS(MRP!$I$2:$I$221, MRP!$B$2:$B$221, $C154, MRP!$G$2:$G$221, J$1),
    SUMIFS(MRP!$J$2:$J$221, MRP!$B$2:$B$221, $C154,  MRP!$G$2:$G$221, J$1),
    SUMIFS(MRP!$K$2:$K$221, MRP!$B$2:$B$221, $C154,  MRP!$G$2:$G$221, J$1),
    SUMIFS(MRP!$L$2:$L$221, MRP!$B$2:$B$221, $C154,  MRP!$G$2:$G$221, J$1)
)*F154</f>
        <v>0</v>
      </c>
      <c r="K154" s="15">
        <f>SUM(
    SUMIFS(MRP!$H$2:$H$221, MRP!$B$2:$B$221, $C154, MRP!$G$2:$G$221, K$1),
    SUMIFS(MRP!$I$2:$I$221, MRP!$B$2:$B$221, $C154, MRP!$G$2:$G$221, K$1),
    SUMIFS(MRP!$J$2:$J$221, MRP!$B$2:$B$221, $C154,  MRP!$G$2:$G$221, K$1),
    SUMIFS(MRP!$K$2:$K$221, MRP!$B$2:$B$221, $C154,  MRP!$G$2:$G$221, K$1),
    SUMIFS(MRP!$L$2:$L$221, MRP!$B$2:$B$221, $C154,  MRP!$G$2:$G$221, K$1)
)*F154</f>
        <v>0</v>
      </c>
      <c r="L154" s="55" t="str">
        <f>TRIM(Tabla3[[#This Row],[CodInternoArti]])</f>
        <v>7798011211043</v>
      </c>
    </row>
    <row r="155" spans="1:12" hidden="1" x14ac:dyDescent="0.35">
      <c r="A155" s="38" t="str">
        <f>IF(ISNUMBER(_xlfn.XMATCH(Tabla3[[#This Row],[CodInternoArti]],'Tabla Articulos'!B:B)),"OK","NO ESTA")</f>
        <v>OK</v>
      </c>
      <c r="B155" s="38" t="str">
        <f>IF(ISNUMBER(_xlfn.XMATCH('Calcular necesidad'!E:E,'Necesidad por familia'!A:A)),"OK","NO ESTA")</f>
        <v>OK</v>
      </c>
      <c r="C155" s="17" t="s">
        <v>671</v>
      </c>
      <c r="D155" s="1" t="s">
        <v>445</v>
      </c>
      <c r="E155" s="1" t="str">
        <f>_xlfn.XLOOKUP(C155,'Tabla Articulos'!B:B,'Tabla Articulos'!D:D)</f>
        <v>GUANTE ANTIDESLIZANTE</v>
      </c>
      <c r="F155" s="1"/>
      <c r="G155" s="15">
        <f>SUM(
    SUMIFS(MRP!$H$2:$H$221, MRP!$B$2:$B$221, $C155, MRP!$G$2:$G$221, G$1),
    SUMIFS(MRP!$I$2:$I$221, MRP!$B$2:$B$221, $C155, MRP!$G$2:$G$221, G$1),
    SUMIFS(MRP!$J$2:$J$221, MRP!$B$2:$B$221, $C155,  MRP!$G$2:$G$221, G$1),
    SUMIFS(MRP!$K$2:$K$221, MRP!$B$2:$B$221, $C155,  MRP!$G$2:$G$221, G$1),
    SUMIFS(MRP!$L$2:$L$221, MRP!$B$2:$B$221, $C155,  MRP!$G$2:$G$221, G$1)
)*F155</f>
        <v>0</v>
      </c>
      <c r="H155" s="15">
        <f>SUM(
    SUMIFS(MRP!$H$2:$H$221, MRP!$B$2:$B$221, $C155, MRP!$G$2:$G$221, H$1),
    SUMIFS(MRP!$I$2:$I$221, MRP!$B$2:$B$221, $C155, MRP!$G$2:$G$221, H$1),
    SUMIFS(MRP!$J$2:$J$221, MRP!$B$2:$B$221, $C155,  MRP!$G$2:$G$221, H$1),
    SUMIFS(MRP!$K$2:$K$221, MRP!$B$2:$B$221, $C155,  MRP!$G$2:$G$221, H$1),
    SUMIFS(MRP!$L$2:$L$221, MRP!$B$2:$B$221, $C155,  MRP!$G$2:$G$221, H$1)
)*F155</f>
        <v>0</v>
      </c>
      <c r="I155" s="15">
        <f>SUM(
    SUMIFS(MRP!$H$2:$H$221, MRP!$B$2:$B$221, $C155, MRP!$G$2:$G$221, I$1),
    SUMIFS(MRP!$I$2:$I$221, MRP!$B$2:$B$221, $C155, MRP!$G$2:$G$221, I$1),
    SUMIFS(MRP!$J$2:$J$221, MRP!$B$2:$B$221, $C155,  MRP!$G$2:$G$221, I$1),
    SUMIFS(MRP!$K$2:$K$221, MRP!$B$2:$B$221, $C155,  MRP!$G$2:$G$221, I$1),
    SUMIFS(MRP!$L$2:$L$221, MRP!$B$2:$B$221, $C155,  MRP!$G$2:$G$221, I$1)
)*F155</f>
        <v>0</v>
      </c>
      <c r="J155" s="15">
        <f>SUM(
    SUMIFS(MRP!$H$2:$H$221, MRP!$B$2:$B$221, $C155, MRP!$G$2:$G$221, J$1),
    SUMIFS(MRP!$I$2:$I$221, MRP!$B$2:$B$221, $C155, MRP!$G$2:$G$221, J$1),
    SUMIFS(MRP!$J$2:$J$221, MRP!$B$2:$B$221, $C155,  MRP!$G$2:$G$221, J$1),
    SUMIFS(MRP!$K$2:$K$221, MRP!$B$2:$B$221, $C155,  MRP!$G$2:$G$221, J$1),
    SUMIFS(MRP!$L$2:$L$221, MRP!$B$2:$B$221, $C155,  MRP!$G$2:$G$221, J$1)
)*F155</f>
        <v>0</v>
      </c>
      <c r="K155" s="15">
        <f>SUM(
    SUMIFS(MRP!$H$2:$H$221, MRP!$B$2:$B$221, $C155, MRP!$G$2:$G$221, K$1),
    SUMIFS(MRP!$I$2:$I$221, MRP!$B$2:$B$221, $C155, MRP!$G$2:$G$221, K$1),
    SUMIFS(MRP!$J$2:$J$221, MRP!$B$2:$B$221, $C155,  MRP!$G$2:$G$221, K$1),
    SUMIFS(MRP!$K$2:$K$221, MRP!$B$2:$B$221, $C155,  MRP!$G$2:$G$221, K$1),
    SUMIFS(MRP!$L$2:$L$221, MRP!$B$2:$B$221, $C155,  MRP!$G$2:$G$221, K$1)
)*F155</f>
        <v>0</v>
      </c>
      <c r="L155" s="55" t="str">
        <f>TRIM(Tabla3[[#This Row],[CodInternoArti]])</f>
        <v>7790458657255</v>
      </c>
    </row>
    <row r="156" spans="1:12" hidden="1" x14ac:dyDescent="0.35">
      <c r="A156" s="38" t="str">
        <f>IF(ISNUMBER(_xlfn.XMATCH(Tabla3[[#This Row],[CodInternoArti]],'Tabla Articulos'!B:B)),"OK","NO ESTA")</f>
        <v>OK</v>
      </c>
      <c r="B156" s="38" t="str">
        <f>IF(ISNUMBER(_xlfn.XMATCH('Calcular necesidad'!E:E,'Necesidad por familia'!A:A)),"OK","NO ESTA")</f>
        <v>OK</v>
      </c>
      <c r="C156" s="17" t="s">
        <v>672</v>
      </c>
      <c r="D156" s="1" t="s">
        <v>455</v>
      </c>
      <c r="E156" s="1" t="str">
        <f>_xlfn.XLOOKUP(C156,'Tabla Articulos'!B:B,'Tabla Articulos'!D:D)</f>
        <v>INDIVIDUAL KRAFT</v>
      </c>
      <c r="F156" s="1">
        <f>_xlfn.XLOOKUP(C156,'Tabla Articulos'!B:B,'Tabla Articulos'!E:E)</f>
        <v>200</v>
      </c>
      <c r="G156" s="15">
        <f>SUM(
    SUMIFS(MRP!$H$2:$H$221, MRP!$B$2:$B$221, $C156, MRP!$G$2:$G$221, G$1),
    SUMIFS(MRP!$I$2:$I$221, MRP!$B$2:$B$221, $C156, MRP!$G$2:$G$221, G$1),
    SUMIFS(MRP!$J$2:$J$221, MRP!$B$2:$B$221, $C156,  MRP!$G$2:$G$221, G$1),
    SUMIFS(MRP!$K$2:$K$221, MRP!$B$2:$B$221, $C156,  MRP!$G$2:$G$221, G$1),
    SUMIFS(MRP!$L$2:$L$221, MRP!$B$2:$B$221, $C156,  MRP!$G$2:$G$221, G$1)
)*F156</f>
        <v>0</v>
      </c>
      <c r="H156" s="15">
        <f>SUM(
    SUMIFS(MRP!$H$2:$H$221, MRP!$B$2:$B$221, $C156, MRP!$G$2:$G$221, H$1),
    SUMIFS(MRP!$I$2:$I$221, MRP!$B$2:$B$221, $C156, MRP!$G$2:$G$221, H$1),
    SUMIFS(MRP!$J$2:$J$221, MRP!$B$2:$B$221, $C156,  MRP!$G$2:$G$221, H$1),
    SUMIFS(MRP!$K$2:$K$221, MRP!$B$2:$B$221, $C156,  MRP!$G$2:$G$221, H$1),
    SUMIFS(MRP!$L$2:$L$221, MRP!$B$2:$B$221, $C156,  MRP!$G$2:$G$221, H$1)
)*F156</f>
        <v>400</v>
      </c>
      <c r="I156" s="15">
        <f>SUM(
    SUMIFS(MRP!$H$2:$H$221, MRP!$B$2:$B$221, $C156, MRP!$G$2:$G$221, I$1),
    SUMIFS(MRP!$I$2:$I$221, MRP!$B$2:$B$221, $C156, MRP!$G$2:$G$221, I$1),
    SUMIFS(MRP!$J$2:$J$221, MRP!$B$2:$B$221, $C156,  MRP!$G$2:$G$221, I$1),
    SUMIFS(MRP!$K$2:$K$221, MRP!$B$2:$B$221, $C156,  MRP!$G$2:$G$221, I$1),
    SUMIFS(MRP!$L$2:$L$221, MRP!$B$2:$B$221, $C156,  MRP!$G$2:$G$221, I$1)
)*F156</f>
        <v>0</v>
      </c>
      <c r="J156" s="15">
        <f>SUM(
    SUMIFS(MRP!$H$2:$H$221, MRP!$B$2:$B$221, $C156, MRP!$G$2:$G$221, J$1),
    SUMIFS(MRP!$I$2:$I$221, MRP!$B$2:$B$221, $C156, MRP!$G$2:$G$221, J$1),
    SUMIFS(MRP!$J$2:$J$221, MRP!$B$2:$B$221, $C156,  MRP!$G$2:$G$221, J$1),
    SUMIFS(MRP!$K$2:$K$221, MRP!$B$2:$B$221, $C156,  MRP!$G$2:$G$221, J$1),
    SUMIFS(MRP!$L$2:$L$221, MRP!$B$2:$B$221, $C156,  MRP!$G$2:$G$221, J$1)
)*F156</f>
        <v>0</v>
      </c>
      <c r="K156" s="15">
        <f>SUM(
    SUMIFS(MRP!$H$2:$H$221, MRP!$B$2:$B$221, $C156, MRP!$G$2:$G$221, K$1),
    SUMIFS(MRP!$I$2:$I$221, MRP!$B$2:$B$221, $C156, MRP!$G$2:$G$221, K$1),
    SUMIFS(MRP!$J$2:$J$221, MRP!$B$2:$B$221, $C156,  MRP!$G$2:$G$221, K$1),
    SUMIFS(MRP!$K$2:$K$221, MRP!$B$2:$B$221, $C156,  MRP!$G$2:$G$221, K$1),
    SUMIFS(MRP!$L$2:$L$221, MRP!$B$2:$B$221, $C156,  MRP!$G$2:$G$221, K$1)
)*F156</f>
        <v>0</v>
      </c>
      <c r="L156" s="55" t="str">
        <f>TRIM(Tabla3[[#This Row],[CodInternoArti]])</f>
        <v>7790000000043</v>
      </c>
    </row>
    <row r="157" spans="1:12" hidden="1" x14ac:dyDescent="0.35">
      <c r="A157" s="38" t="str">
        <f>IF(ISNUMBER(_xlfn.XMATCH(Tabla3[[#This Row],[CodInternoArti]],'Tabla Articulos'!B:B)),"OK","NO ESTA")</f>
        <v>OK</v>
      </c>
      <c r="B157" s="38" t="str">
        <f>IF(ISNUMBER(_xlfn.XMATCH('Calcular necesidad'!E:E,'Necesidad por familia'!A:A)),"OK","NO ESTA")</f>
        <v>OK</v>
      </c>
      <c r="C157" s="17" t="s">
        <v>673</v>
      </c>
      <c r="D157" s="1" t="s">
        <v>468</v>
      </c>
      <c r="E157" s="1" t="str">
        <f>_xlfn.XLOOKUP(C157,'Tabla Articulos'!B:B,'Tabla Articulos'!D:D)</f>
        <v>CUCHARA HELADO BIO</v>
      </c>
      <c r="F157" s="1">
        <f>_xlfn.XLOOKUP(C157,'Tabla Articulos'!B:B,'Tabla Articulos'!E:E)</f>
        <v>100</v>
      </c>
      <c r="G157" s="15">
        <f>SUM(
    SUMIFS(MRP!$H$2:$H$221, MRP!$B$2:$B$221, $C157, MRP!$G$2:$G$221, G$1),
    SUMIFS(MRP!$I$2:$I$221, MRP!$B$2:$B$221, $C157, MRP!$G$2:$G$221, G$1),
    SUMIFS(MRP!$J$2:$J$221, MRP!$B$2:$B$221, $C157,  MRP!$G$2:$G$221, G$1),
    SUMIFS(MRP!$K$2:$K$221, MRP!$B$2:$B$221, $C157,  MRP!$G$2:$G$221, G$1),
    SUMIFS(MRP!$L$2:$L$221, MRP!$B$2:$B$221, $C157,  MRP!$G$2:$G$221, G$1)
)*F157</f>
        <v>0</v>
      </c>
      <c r="H157" s="15">
        <f>SUM(
    SUMIFS(MRP!$H$2:$H$221, MRP!$B$2:$B$221, $C157, MRP!$G$2:$G$221, H$1),
    SUMIFS(MRP!$I$2:$I$221, MRP!$B$2:$B$221, $C157, MRP!$G$2:$G$221, H$1),
    SUMIFS(MRP!$J$2:$J$221, MRP!$B$2:$B$221, $C157,  MRP!$G$2:$G$221, H$1),
    SUMIFS(MRP!$K$2:$K$221, MRP!$B$2:$B$221, $C157,  MRP!$G$2:$G$221, H$1),
    SUMIFS(MRP!$L$2:$L$221, MRP!$B$2:$B$221, $C157,  MRP!$G$2:$G$221, H$1)
)*F157</f>
        <v>23000</v>
      </c>
      <c r="I157" s="15">
        <f>SUM(
    SUMIFS(MRP!$H$2:$H$221, MRP!$B$2:$B$221, $C157, MRP!$G$2:$G$221, I$1),
    SUMIFS(MRP!$I$2:$I$221, MRP!$B$2:$B$221, $C157, MRP!$G$2:$G$221, I$1),
    SUMIFS(MRP!$J$2:$J$221, MRP!$B$2:$B$221, $C157,  MRP!$G$2:$G$221, I$1),
    SUMIFS(MRP!$K$2:$K$221, MRP!$B$2:$B$221, $C157,  MRP!$G$2:$G$221, I$1),
    SUMIFS(MRP!$L$2:$L$221, MRP!$B$2:$B$221, $C157,  MRP!$G$2:$G$221, I$1)
)*F157</f>
        <v>0</v>
      </c>
      <c r="J157" s="15">
        <f>SUM(
    SUMIFS(MRP!$H$2:$H$221, MRP!$B$2:$B$221, $C157, MRP!$G$2:$G$221, J$1),
    SUMIFS(MRP!$I$2:$I$221, MRP!$B$2:$B$221, $C157, MRP!$G$2:$G$221, J$1),
    SUMIFS(MRP!$J$2:$J$221, MRP!$B$2:$B$221, $C157,  MRP!$G$2:$G$221, J$1),
    SUMIFS(MRP!$K$2:$K$221, MRP!$B$2:$B$221, $C157,  MRP!$G$2:$G$221, J$1),
    SUMIFS(MRP!$L$2:$L$221, MRP!$B$2:$B$221, $C157,  MRP!$G$2:$G$221, J$1)
)*F157</f>
        <v>0</v>
      </c>
      <c r="K157" s="15">
        <f>SUM(
    SUMIFS(MRP!$H$2:$H$221, MRP!$B$2:$B$221, $C157, MRP!$G$2:$G$221, K$1),
    SUMIFS(MRP!$I$2:$I$221, MRP!$B$2:$B$221, $C157, MRP!$G$2:$G$221, K$1),
    SUMIFS(MRP!$J$2:$J$221, MRP!$B$2:$B$221, $C157,  MRP!$G$2:$G$221, K$1),
    SUMIFS(MRP!$K$2:$K$221, MRP!$B$2:$B$221, $C157,  MRP!$G$2:$G$221, K$1),
    SUMIFS(MRP!$L$2:$L$221, MRP!$B$2:$B$221, $C157,  MRP!$G$2:$G$221, K$1)
)*F157</f>
        <v>0</v>
      </c>
      <c r="L157" s="55" t="str">
        <f>TRIM(Tabla3[[#This Row],[CodInternoArti]])</f>
        <v>7790000000517</v>
      </c>
    </row>
    <row r="158" spans="1:12" hidden="1" x14ac:dyDescent="0.35">
      <c r="A158" s="38" t="str">
        <f>IF(ISNUMBER(_xlfn.XMATCH(Tabla3[[#This Row],[CodInternoArti]],'Tabla Articulos'!B:B)),"OK","NO ESTA")</f>
        <v>OK</v>
      </c>
      <c r="B158" s="38" t="str">
        <f>IF(ISNUMBER(_xlfn.XMATCH('Calcular necesidad'!E:E,'Necesidad por familia'!A:A)),"OK","NO ESTA")</f>
        <v>OK</v>
      </c>
      <c r="C158" s="17" t="s">
        <v>674</v>
      </c>
      <c r="D158" s="1" t="s">
        <v>493</v>
      </c>
      <c r="E158" s="1" t="str">
        <f>_xlfn.XLOOKUP(C158,'Tabla Articulos'!B:B,'Tabla Articulos'!D:D)</f>
        <v>GUANTE LATEX M</v>
      </c>
      <c r="F158" s="1">
        <f>_xlfn.XLOOKUP(C158,'Tabla Articulos'!B:B,'Tabla Articulos'!E:E)</f>
        <v>100</v>
      </c>
      <c r="G158" s="15">
        <f>SUM(
    SUMIFS(MRP!$H$2:$H$221, MRP!$B$2:$B$221, $C158, MRP!$G$2:$G$221, G$1),
    SUMIFS(MRP!$I$2:$I$221, MRP!$B$2:$B$221, $C158, MRP!$G$2:$G$221, G$1),
    SUMIFS(MRP!$J$2:$J$221, MRP!$B$2:$B$221, $C158,  MRP!$G$2:$G$221, G$1),
    SUMIFS(MRP!$K$2:$K$221, MRP!$B$2:$B$221, $C158,  MRP!$G$2:$G$221, G$1),
    SUMIFS(MRP!$L$2:$L$221, MRP!$B$2:$B$221, $C158,  MRP!$G$2:$G$221, G$1)
)*F158</f>
        <v>0</v>
      </c>
      <c r="H158" s="15">
        <f>SUM(
    SUMIFS(MRP!$H$2:$H$221, MRP!$B$2:$B$221, $C158, MRP!$G$2:$G$221, H$1),
    SUMIFS(MRP!$I$2:$I$221, MRP!$B$2:$B$221, $C158, MRP!$G$2:$G$221, H$1),
    SUMIFS(MRP!$J$2:$J$221, MRP!$B$2:$B$221, $C158,  MRP!$G$2:$G$221, H$1),
    SUMIFS(MRP!$K$2:$K$221, MRP!$B$2:$B$221, $C158,  MRP!$G$2:$G$221, H$1),
    SUMIFS(MRP!$L$2:$L$221, MRP!$B$2:$B$221, $C158,  MRP!$G$2:$G$221, H$1)
)*F158</f>
        <v>7300</v>
      </c>
      <c r="I158" s="15">
        <f>SUM(
    SUMIFS(MRP!$H$2:$H$221, MRP!$B$2:$B$221, $C158, MRP!$G$2:$G$221, I$1),
    SUMIFS(MRP!$I$2:$I$221, MRP!$B$2:$B$221, $C158, MRP!$G$2:$G$221, I$1),
    SUMIFS(MRP!$J$2:$J$221, MRP!$B$2:$B$221, $C158,  MRP!$G$2:$G$221, I$1),
    SUMIFS(MRP!$K$2:$K$221, MRP!$B$2:$B$221, $C158,  MRP!$G$2:$G$221, I$1),
    SUMIFS(MRP!$L$2:$L$221, MRP!$B$2:$B$221, $C158,  MRP!$G$2:$G$221, I$1)
)*F158</f>
        <v>0</v>
      </c>
      <c r="J158" s="15">
        <f>SUM(
    SUMIFS(MRP!$H$2:$H$221, MRP!$B$2:$B$221, $C158, MRP!$G$2:$G$221, J$1),
    SUMIFS(MRP!$I$2:$I$221, MRP!$B$2:$B$221, $C158, MRP!$G$2:$G$221, J$1),
    SUMIFS(MRP!$J$2:$J$221, MRP!$B$2:$B$221, $C158,  MRP!$G$2:$G$221, J$1),
    SUMIFS(MRP!$K$2:$K$221, MRP!$B$2:$B$221, $C158,  MRP!$G$2:$G$221, J$1),
    SUMIFS(MRP!$L$2:$L$221, MRP!$B$2:$B$221, $C158,  MRP!$G$2:$G$221, J$1)
)*F158</f>
        <v>0</v>
      </c>
      <c r="K158" s="15">
        <f>SUM(
    SUMIFS(MRP!$H$2:$H$221, MRP!$B$2:$B$221, $C158, MRP!$G$2:$G$221, K$1),
    SUMIFS(MRP!$I$2:$I$221, MRP!$B$2:$B$221, $C158, MRP!$G$2:$G$221, K$1),
    SUMIFS(MRP!$J$2:$J$221, MRP!$B$2:$B$221, $C158,  MRP!$G$2:$G$221, K$1),
    SUMIFS(MRP!$K$2:$K$221, MRP!$B$2:$B$221, $C158,  MRP!$G$2:$G$221, K$1),
    SUMIFS(MRP!$L$2:$L$221, MRP!$B$2:$B$221, $C158,  MRP!$G$2:$G$221, K$1)
)*F158</f>
        <v>0</v>
      </c>
      <c r="L158" s="55" t="str">
        <f>TRIM(Tabla3[[#This Row],[CodInternoArti]])</f>
        <v>7798161675719</v>
      </c>
    </row>
    <row r="159" spans="1:12" hidden="1" x14ac:dyDescent="0.35">
      <c r="A159" s="38" t="str">
        <f>IF(ISNUMBER(_xlfn.XMATCH(Tabla3[[#This Row],[CodInternoArti]],'Tabla Articulos'!B:B)),"OK","NO ESTA")</f>
        <v>OK</v>
      </c>
      <c r="B159" s="38" t="str">
        <f>IF(ISNUMBER(_xlfn.XMATCH('Calcular necesidad'!E:E,'Necesidad por familia'!A:A)),"OK","NO ESTA")</f>
        <v>OK</v>
      </c>
      <c r="C159" s="17" t="s">
        <v>675</v>
      </c>
      <c r="D159" s="1" t="s">
        <v>676</v>
      </c>
      <c r="E159" s="1" t="str">
        <f>_xlfn.XLOOKUP(C159,'Tabla Articulos'!B:B,'Tabla Articulos'!D:D)</f>
        <v>SERVILLETA C/ LOGO C. GOURMET 33X21.5</v>
      </c>
      <c r="F159" s="1">
        <f>_xlfn.XLOOKUP(C159,'Tabla Articulos'!B:B,'Tabla Articulos'!E:E)</f>
        <v>1000</v>
      </c>
      <c r="G159" s="15">
        <f>SUM(
    SUMIFS(MRP!$H$2:$H$221, MRP!$B$2:$B$221, $C159, MRP!$G$2:$G$221, G$1),
    SUMIFS(MRP!$I$2:$I$221, MRP!$B$2:$B$221, $C159, MRP!$G$2:$G$221, G$1),
    SUMIFS(MRP!$J$2:$J$221, MRP!$B$2:$B$221, $C159,  MRP!$G$2:$G$221, G$1),
    SUMIFS(MRP!$K$2:$K$221, MRP!$B$2:$B$221, $C159,  MRP!$G$2:$G$221, G$1),
    SUMIFS(MRP!$L$2:$L$221, MRP!$B$2:$B$221, $C159,  MRP!$G$2:$G$221, G$1)
)*F159</f>
        <v>0</v>
      </c>
      <c r="H159" s="15">
        <f>SUM(
    SUMIFS(MRP!$H$2:$H$221, MRP!$B$2:$B$221, $C159, MRP!$G$2:$G$221, H$1),
    SUMIFS(MRP!$I$2:$I$221, MRP!$B$2:$B$221, $C159, MRP!$G$2:$G$221, H$1),
    SUMIFS(MRP!$J$2:$J$221, MRP!$B$2:$B$221, $C159,  MRP!$G$2:$G$221, H$1),
    SUMIFS(MRP!$K$2:$K$221, MRP!$B$2:$B$221, $C159,  MRP!$G$2:$G$221, H$1),
    SUMIFS(MRP!$L$2:$L$221, MRP!$B$2:$B$221, $C159,  MRP!$G$2:$G$221, H$1)
)*F159</f>
        <v>0</v>
      </c>
      <c r="I159" s="15">
        <f>SUM(
    SUMIFS(MRP!$H$2:$H$221, MRP!$B$2:$B$221, $C159, MRP!$G$2:$G$221, I$1),
    SUMIFS(MRP!$I$2:$I$221, MRP!$B$2:$B$221, $C159, MRP!$G$2:$G$221, I$1),
    SUMIFS(MRP!$J$2:$J$221, MRP!$B$2:$B$221, $C159,  MRP!$G$2:$G$221, I$1),
    SUMIFS(MRP!$K$2:$K$221, MRP!$B$2:$B$221, $C159,  MRP!$G$2:$G$221, I$1),
    SUMIFS(MRP!$L$2:$L$221, MRP!$B$2:$B$221, $C159,  MRP!$G$2:$G$221, I$1)
)*F159</f>
        <v>0</v>
      </c>
      <c r="J159" s="15">
        <f>SUM(
    SUMIFS(MRP!$H$2:$H$221, MRP!$B$2:$B$221, $C159, MRP!$G$2:$G$221, J$1),
    SUMIFS(MRP!$I$2:$I$221, MRP!$B$2:$B$221, $C159, MRP!$G$2:$G$221, J$1),
    SUMIFS(MRP!$J$2:$J$221, MRP!$B$2:$B$221, $C159,  MRP!$G$2:$G$221, J$1),
    SUMIFS(MRP!$K$2:$K$221, MRP!$B$2:$B$221, $C159,  MRP!$G$2:$G$221, J$1),
    SUMIFS(MRP!$L$2:$L$221, MRP!$B$2:$B$221, $C159,  MRP!$G$2:$G$221, J$1)
)*F159</f>
        <v>0</v>
      </c>
      <c r="K159" s="15">
        <f>SUM(
    SUMIFS(MRP!$H$2:$H$221, MRP!$B$2:$B$221, $C159, MRP!$G$2:$G$221, K$1),
    SUMIFS(MRP!$I$2:$I$221, MRP!$B$2:$B$221, $C159, MRP!$G$2:$G$221, K$1),
    SUMIFS(MRP!$J$2:$J$221, MRP!$B$2:$B$221, $C159,  MRP!$G$2:$G$221, K$1),
    SUMIFS(MRP!$K$2:$K$221, MRP!$B$2:$B$221, $C159,  MRP!$G$2:$G$221, K$1),
    SUMIFS(MRP!$L$2:$L$221, MRP!$B$2:$B$221, $C159,  MRP!$G$2:$G$221, K$1)
)*F159</f>
        <v>0</v>
      </c>
      <c r="L159" s="55" t="str">
        <f>TRIM(Tabla3[[#This Row],[CodInternoArti]])</f>
        <v>7790000000410</v>
      </c>
    </row>
    <row r="160" spans="1:12" hidden="1" x14ac:dyDescent="0.35">
      <c r="A160" s="38" t="str">
        <f>IF(ISNUMBER(_xlfn.XMATCH(Tabla3[[#This Row],[CodInternoArti]],'Tabla Articulos'!B:B)),"OK","NO ESTA")</f>
        <v>OK</v>
      </c>
      <c r="B160" s="38" t="str">
        <f>IF(ISNUMBER(_xlfn.XMATCH('Calcular necesidad'!E:E,'Necesidad por familia'!A:A)),"OK","NO ESTA")</f>
        <v>OK</v>
      </c>
      <c r="C160" s="17" t="s">
        <v>509</v>
      </c>
      <c r="D160" s="1" t="s">
        <v>510</v>
      </c>
      <c r="E160" s="1" t="str">
        <f>_xlfn.XLOOKUP(C160,'Tabla Articulos'!B:B,'Tabla Articulos'!D:D)</f>
        <v>GUANTE LATEX M</v>
      </c>
      <c r="F160" s="1">
        <f>_xlfn.XLOOKUP(C160,'Tabla Articulos'!B:B,'Tabla Articulos'!E:E)</f>
        <v>100</v>
      </c>
      <c r="G160" s="15">
        <f>SUM(
    SUMIFS(MRP!$H$2:$H$221, MRP!$B$2:$B$221, $C160, MRP!$G$2:$G$221, G$1),
    SUMIFS(MRP!$I$2:$I$221, MRP!$B$2:$B$221, $C160, MRP!$G$2:$G$221, G$1),
    SUMIFS(MRP!$J$2:$J$221, MRP!$B$2:$B$221, $C160,  MRP!$G$2:$G$221, G$1),
    SUMIFS(MRP!$K$2:$K$221, MRP!$B$2:$B$221, $C160,  MRP!$G$2:$G$221, G$1),
    SUMIFS(MRP!$L$2:$L$221, MRP!$B$2:$B$221, $C160,  MRP!$G$2:$G$221, G$1)
)*F160</f>
        <v>0</v>
      </c>
      <c r="H160" s="15">
        <f>SUM(
    SUMIFS(MRP!$H$2:$H$221, MRP!$B$2:$B$221, $C160, MRP!$G$2:$G$221, H$1),
    SUMIFS(MRP!$I$2:$I$221, MRP!$B$2:$B$221, $C160, MRP!$G$2:$G$221, H$1),
    SUMIFS(MRP!$J$2:$J$221, MRP!$B$2:$B$221, $C160,  MRP!$G$2:$G$221, H$1),
    SUMIFS(MRP!$K$2:$K$221, MRP!$B$2:$B$221, $C160,  MRP!$G$2:$G$221, H$1),
    SUMIFS(MRP!$L$2:$L$221, MRP!$B$2:$B$221, $C160,  MRP!$G$2:$G$221, H$1)
)*F160</f>
        <v>5300</v>
      </c>
      <c r="I160" s="15">
        <f>SUM(
    SUMIFS(MRP!$H$2:$H$221, MRP!$B$2:$B$221, $C160, MRP!$G$2:$G$221, I$1),
    SUMIFS(MRP!$I$2:$I$221, MRP!$B$2:$B$221, $C160, MRP!$G$2:$G$221, I$1),
    SUMIFS(MRP!$J$2:$J$221, MRP!$B$2:$B$221, $C160,  MRP!$G$2:$G$221, I$1),
    SUMIFS(MRP!$K$2:$K$221, MRP!$B$2:$B$221, $C160,  MRP!$G$2:$G$221, I$1),
    SUMIFS(MRP!$L$2:$L$221, MRP!$B$2:$B$221, $C160,  MRP!$G$2:$G$221, I$1)
)*F160</f>
        <v>0</v>
      </c>
      <c r="J160" s="15">
        <f>SUM(
    SUMIFS(MRP!$H$2:$H$221, MRP!$B$2:$B$221, $C160, MRP!$G$2:$G$221, J$1),
    SUMIFS(MRP!$I$2:$I$221, MRP!$B$2:$B$221, $C160, MRP!$G$2:$G$221, J$1),
    SUMIFS(MRP!$J$2:$J$221, MRP!$B$2:$B$221, $C160,  MRP!$G$2:$G$221, J$1),
    SUMIFS(MRP!$K$2:$K$221, MRP!$B$2:$B$221, $C160,  MRP!$G$2:$G$221, J$1),
    SUMIFS(MRP!$L$2:$L$221, MRP!$B$2:$B$221, $C160,  MRP!$G$2:$G$221, J$1)
)*F160</f>
        <v>0</v>
      </c>
      <c r="K160" s="15">
        <f>SUM(
    SUMIFS(MRP!$H$2:$H$221, MRP!$B$2:$B$221, $C160, MRP!$G$2:$G$221, K$1),
    SUMIFS(MRP!$I$2:$I$221, MRP!$B$2:$B$221, $C160, MRP!$G$2:$G$221, K$1),
    SUMIFS(MRP!$J$2:$J$221, MRP!$B$2:$B$221, $C160,  MRP!$G$2:$G$221, K$1),
    SUMIFS(MRP!$K$2:$K$221, MRP!$B$2:$B$221, $C160,  MRP!$G$2:$G$221, K$1),
    SUMIFS(MRP!$L$2:$L$221, MRP!$B$2:$B$221, $C160,  MRP!$G$2:$G$221, K$1)
)*F160</f>
        <v>0</v>
      </c>
      <c r="L160" s="55" t="str">
        <f>TRIM(Tabla3[[#This Row],[CodInternoArti]])</f>
        <v>7798452810027 </v>
      </c>
    </row>
    <row r="161" spans="1:12" hidden="1" x14ac:dyDescent="0.35">
      <c r="A161" s="38" t="str">
        <f>IF(ISNUMBER(_xlfn.XMATCH(Tabla3[[#This Row],[CodInternoArti]],'Tabla Articulos'!B:B)),"OK","NO ESTA")</f>
        <v>OK</v>
      </c>
      <c r="B161" s="38" t="str">
        <f>IF(ISNUMBER(_xlfn.XMATCH('Calcular necesidad'!E:E,'Necesidad por familia'!A:A)),"OK","NO ESTA")</f>
        <v>OK</v>
      </c>
      <c r="C161" s="17" t="s">
        <v>677</v>
      </c>
      <c r="D161" s="1" t="s">
        <v>460</v>
      </c>
      <c r="E161" s="1" t="str">
        <f>_xlfn.XLOOKUP(C161,'Tabla Articulos'!B:B,'Tabla Articulos'!D:D)</f>
        <v>VASO TERMICO 240</v>
      </c>
      <c r="F161" s="1">
        <f>_xlfn.XLOOKUP(C161,'Tabla Articulos'!B:B,'Tabla Articulos'!E:E)</f>
        <v>100</v>
      </c>
      <c r="G161" s="15">
        <f>SUM(
    SUMIFS(MRP!$H$2:$H$221, MRP!$B$2:$B$221, $C161, MRP!$G$2:$G$221, G$1),
    SUMIFS(MRP!$I$2:$I$221, MRP!$B$2:$B$221, $C161, MRP!$G$2:$G$221, G$1),
    SUMIFS(MRP!$J$2:$J$221, MRP!$B$2:$B$221, $C161,  MRP!$G$2:$G$221, G$1),
    SUMIFS(MRP!$K$2:$K$221, MRP!$B$2:$B$221, $C161,  MRP!$G$2:$G$221, G$1),
    SUMIFS(MRP!$L$2:$L$221, MRP!$B$2:$B$221, $C161,  MRP!$G$2:$G$221, G$1)
)*F161</f>
        <v>0</v>
      </c>
      <c r="H161" s="15">
        <f>SUM(
    SUMIFS(MRP!$H$2:$H$221, MRP!$B$2:$B$221, $C161, MRP!$G$2:$G$221, H$1),
    SUMIFS(MRP!$I$2:$I$221, MRP!$B$2:$B$221, $C161, MRP!$G$2:$G$221, H$1),
    SUMIFS(MRP!$J$2:$J$221, MRP!$B$2:$B$221, $C161,  MRP!$G$2:$G$221, H$1),
    SUMIFS(MRP!$K$2:$K$221, MRP!$B$2:$B$221, $C161,  MRP!$G$2:$G$221, H$1),
    SUMIFS(MRP!$L$2:$L$221, MRP!$B$2:$B$221, $C161,  MRP!$G$2:$G$221, H$1)
)*F161</f>
        <v>400</v>
      </c>
      <c r="I161" s="15">
        <f>SUM(
    SUMIFS(MRP!$H$2:$H$221, MRP!$B$2:$B$221, $C161, MRP!$G$2:$G$221, I$1),
    SUMIFS(MRP!$I$2:$I$221, MRP!$B$2:$B$221, $C161, MRP!$G$2:$G$221, I$1),
    SUMIFS(MRP!$J$2:$J$221, MRP!$B$2:$B$221, $C161,  MRP!$G$2:$G$221, I$1),
    SUMIFS(MRP!$K$2:$K$221, MRP!$B$2:$B$221, $C161,  MRP!$G$2:$G$221, I$1),
    SUMIFS(MRP!$L$2:$L$221, MRP!$B$2:$B$221, $C161,  MRP!$G$2:$G$221, I$1)
)*F161</f>
        <v>0</v>
      </c>
      <c r="J161" s="15">
        <f>SUM(
    SUMIFS(MRP!$H$2:$H$221, MRP!$B$2:$B$221, $C161, MRP!$G$2:$G$221, J$1),
    SUMIFS(MRP!$I$2:$I$221, MRP!$B$2:$B$221, $C161, MRP!$G$2:$G$221, J$1),
    SUMIFS(MRP!$J$2:$J$221, MRP!$B$2:$B$221, $C161,  MRP!$G$2:$G$221, J$1),
    SUMIFS(MRP!$K$2:$K$221, MRP!$B$2:$B$221, $C161,  MRP!$G$2:$G$221, J$1),
    SUMIFS(MRP!$L$2:$L$221, MRP!$B$2:$B$221, $C161,  MRP!$G$2:$G$221, J$1)
)*F161</f>
        <v>0</v>
      </c>
      <c r="K161" s="15">
        <f>SUM(
    SUMIFS(MRP!$H$2:$H$221, MRP!$B$2:$B$221, $C161, MRP!$G$2:$G$221, K$1),
    SUMIFS(MRP!$I$2:$I$221, MRP!$B$2:$B$221, $C161, MRP!$G$2:$G$221, K$1),
    SUMIFS(MRP!$J$2:$J$221, MRP!$B$2:$B$221, $C161,  MRP!$G$2:$G$221, K$1),
    SUMIFS(MRP!$K$2:$K$221, MRP!$B$2:$B$221, $C161,  MRP!$G$2:$G$221, K$1),
    SUMIFS(MRP!$L$2:$L$221, MRP!$B$2:$B$221, $C161,  MRP!$G$2:$G$221, K$1)
)*F161</f>
        <v>0</v>
      </c>
      <c r="L161" s="55" t="str">
        <f>TRIM(Tabla3[[#This Row],[CodInternoArti]])</f>
        <v>7798662008446</v>
      </c>
    </row>
    <row r="162" spans="1:12" hidden="1" x14ac:dyDescent="0.35">
      <c r="A162" s="38" t="str">
        <f>IF(ISNUMBER(_xlfn.XMATCH(Tabla3[[#This Row],[CodInternoArti]],'Tabla Articulos'!B:B)),"OK","NO ESTA")</f>
        <v>OK</v>
      </c>
      <c r="B162" s="38" t="str">
        <f>IF(ISNUMBER(_xlfn.XMATCH('Calcular necesidad'!E:E,'Necesidad por familia'!A:A)),"OK","NO ESTA")</f>
        <v>OK</v>
      </c>
      <c r="C162" s="17" t="s">
        <v>678</v>
      </c>
      <c r="D162" s="1" t="s">
        <v>474</v>
      </c>
      <c r="E162" s="1" t="str">
        <f>_xlfn.XLOOKUP(C162,'Tabla Articulos'!B:B,'Tabla Articulos'!D:D)</f>
        <v>BANDEJA 105</v>
      </c>
      <c r="F162" s="1">
        <f>_xlfn.XLOOKUP(C162,'Tabla Articulos'!B:B,'Tabla Articulos'!E:E)</f>
        <v>100</v>
      </c>
      <c r="G162" s="15">
        <f>SUM(
    SUMIFS(MRP!$H$2:$H$221, MRP!$B$2:$B$221, $C162, MRP!$G$2:$G$221, G$1),
    SUMIFS(MRP!$I$2:$I$221, MRP!$B$2:$B$221, $C162, MRP!$G$2:$G$221, G$1),
    SUMIFS(MRP!$J$2:$J$221, MRP!$B$2:$B$221, $C162,  MRP!$G$2:$G$221, G$1),
    SUMIFS(MRP!$K$2:$K$221, MRP!$B$2:$B$221, $C162,  MRP!$G$2:$G$221, G$1),
    SUMIFS(MRP!$L$2:$L$221, MRP!$B$2:$B$221, $C162,  MRP!$G$2:$G$221, G$1)
)*F162</f>
        <v>0</v>
      </c>
      <c r="H162" s="15">
        <f>SUM(
    SUMIFS(MRP!$H$2:$H$221, MRP!$B$2:$B$221, $C162, MRP!$G$2:$G$221, H$1),
    SUMIFS(MRP!$I$2:$I$221, MRP!$B$2:$B$221, $C162, MRP!$G$2:$G$221, H$1),
    SUMIFS(MRP!$J$2:$J$221, MRP!$B$2:$B$221, $C162,  MRP!$G$2:$G$221, H$1),
    SUMIFS(MRP!$K$2:$K$221, MRP!$B$2:$B$221, $C162,  MRP!$G$2:$G$221, H$1),
    SUMIFS(MRP!$L$2:$L$221, MRP!$B$2:$B$221, $C162,  MRP!$G$2:$G$221, H$1)
)*F162</f>
        <v>2200</v>
      </c>
      <c r="I162" s="15">
        <f>SUM(
    SUMIFS(MRP!$H$2:$H$221, MRP!$B$2:$B$221, $C162, MRP!$G$2:$G$221, I$1),
    SUMIFS(MRP!$I$2:$I$221, MRP!$B$2:$B$221, $C162, MRP!$G$2:$G$221, I$1),
    SUMIFS(MRP!$J$2:$J$221, MRP!$B$2:$B$221, $C162,  MRP!$G$2:$G$221, I$1),
    SUMIFS(MRP!$K$2:$K$221, MRP!$B$2:$B$221, $C162,  MRP!$G$2:$G$221, I$1),
    SUMIFS(MRP!$L$2:$L$221, MRP!$B$2:$B$221, $C162,  MRP!$G$2:$G$221, I$1)
)*F162</f>
        <v>0</v>
      </c>
      <c r="J162" s="15">
        <f>SUM(
    SUMIFS(MRP!$H$2:$H$221, MRP!$B$2:$B$221, $C162, MRP!$G$2:$G$221, J$1),
    SUMIFS(MRP!$I$2:$I$221, MRP!$B$2:$B$221, $C162, MRP!$G$2:$G$221, J$1),
    SUMIFS(MRP!$J$2:$J$221, MRP!$B$2:$B$221, $C162,  MRP!$G$2:$G$221, J$1),
    SUMIFS(MRP!$K$2:$K$221, MRP!$B$2:$B$221, $C162,  MRP!$G$2:$G$221, J$1),
    SUMIFS(MRP!$L$2:$L$221, MRP!$B$2:$B$221, $C162,  MRP!$G$2:$G$221, J$1)
)*F162</f>
        <v>0</v>
      </c>
      <c r="K162" s="15">
        <f>SUM(
    SUMIFS(MRP!$H$2:$H$221, MRP!$B$2:$B$221, $C162, MRP!$G$2:$G$221, K$1),
    SUMIFS(MRP!$I$2:$I$221, MRP!$B$2:$B$221, $C162, MRP!$G$2:$G$221, K$1),
    SUMIFS(MRP!$J$2:$J$221, MRP!$B$2:$B$221, $C162,  MRP!$G$2:$G$221, K$1),
    SUMIFS(MRP!$K$2:$K$221, MRP!$B$2:$B$221, $C162,  MRP!$G$2:$G$221, K$1),
    SUMIFS(MRP!$L$2:$L$221, MRP!$B$2:$B$221, $C162,  MRP!$G$2:$G$221, K$1)
)*F162</f>
        <v>0</v>
      </c>
      <c r="L162" s="55" t="str">
        <f>TRIM(Tabla3[[#This Row],[CodInternoArti]])</f>
        <v>7798011210077</v>
      </c>
    </row>
    <row r="163" spans="1:12" hidden="1" x14ac:dyDescent="0.35">
      <c r="A163" s="38" t="str">
        <f>IF(ISNUMBER(_xlfn.XMATCH(Tabla3[[#This Row],[CodInternoArti]],'Tabla Articulos'!B:B)),"OK","NO ESTA")</f>
        <v>OK</v>
      </c>
      <c r="B163" s="38" t="str">
        <f>IF(ISNUMBER(_xlfn.XMATCH('Calcular necesidad'!E:E,'Necesidad por familia'!A:A)),"OK","NO ESTA")</f>
        <v>OK</v>
      </c>
      <c r="C163" s="17" t="s">
        <v>679</v>
      </c>
      <c r="D163" s="1" t="s">
        <v>680</v>
      </c>
      <c r="E163" s="1" t="str">
        <f>_xlfn.XLOOKUP(C163,'Tabla Articulos'!B:B,'Tabla Articulos'!D:D)</f>
        <v>FILM COLOR AZUL</v>
      </c>
      <c r="F163" s="1">
        <f>_xlfn.XLOOKUP(C163,'Tabla Articulos'!B:B,'Tabla Articulos'!E:E)</f>
        <v>1</v>
      </c>
      <c r="G163" s="15">
        <f>SUM(
    SUMIFS(MRP!$H$2:$H$221, MRP!$B$2:$B$221, $C163, MRP!$G$2:$G$221, G$1),
    SUMIFS(MRP!$I$2:$I$221, MRP!$B$2:$B$221, $C163, MRP!$G$2:$G$221, G$1),
    SUMIFS(MRP!$J$2:$J$221, MRP!$B$2:$B$221, $C163,  MRP!$G$2:$G$221, G$1),
    SUMIFS(MRP!$K$2:$K$221, MRP!$B$2:$B$221, $C163,  MRP!$G$2:$G$221, G$1),
    SUMIFS(MRP!$L$2:$L$221, MRP!$B$2:$B$221, $C163,  MRP!$G$2:$G$221, G$1)
)*F163</f>
        <v>0</v>
      </c>
      <c r="H163" s="15">
        <f>SUM(
    SUMIFS(MRP!$H$2:$H$221, MRP!$B$2:$B$221, $C163, MRP!$G$2:$G$221, H$1),
    SUMIFS(MRP!$I$2:$I$221, MRP!$B$2:$B$221, $C163, MRP!$G$2:$G$221, H$1),
    SUMIFS(MRP!$J$2:$J$221, MRP!$B$2:$B$221, $C163,  MRP!$G$2:$G$221, H$1),
    SUMIFS(MRP!$K$2:$K$221, MRP!$B$2:$B$221, $C163,  MRP!$G$2:$G$221, H$1),
    SUMIFS(MRP!$L$2:$L$221, MRP!$B$2:$B$221, $C163,  MRP!$G$2:$G$221, H$1)
)*F163</f>
        <v>0</v>
      </c>
      <c r="I163" s="15">
        <f>SUM(
    SUMIFS(MRP!$H$2:$H$221, MRP!$B$2:$B$221, $C163, MRP!$G$2:$G$221, I$1),
    SUMIFS(MRP!$I$2:$I$221, MRP!$B$2:$B$221, $C163, MRP!$G$2:$G$221, I$1),
    SUMIFS(MRP!$J$2:$J$221, MRP!$B$2:$B$221, $C163,  MRP!$G$2:$G$221, I$1),
    SUMIFS(MRP!$K$2:$K$221, MRP!$B$2:$B$221, $C163,  MRP!$G$2:$G$221, I$1),
    SUMIFS(MRP!$L$2:$L$221, MRP!$B$2:$B$221, $C163,  MRP!$G$2:$G$221, I$1)
)*F163</f>
        <v>0</v>
      </c>
      <c r="J163" s="15">
        <f>SUM(
    SUMIFS(MRP!$H$2:$H$221, MRP!$B$2:$B$221, $C163, MRP!$G$2:$G$221, J$1),
    SUMIFS(MRP!$I$2:$I$221, MRP!$B$2:$B$221, $C163, MRP!$G$2:$G$221, J$1),
    SUMIFS(MRP!$J$2:$J$221, MRP!$B$2:$B$221, $C163,  MRP!$G$2:$G$221, J$1),
    SUMIFS(MRP!$K$2:$K$221, MRP!$B$2:$B$221, $C163,  MRP!$G$2:$G$221, J$1),
    SUMIFS(MRP!$L$2:$L$221, MRP!$B$2:$B$221, $C163,  MRP!$G$2:$G$221, J$1)
)*F163</f>
        <v>0</v>
      </c>
      <c r="K163" s="15">
        <f>SUM(
    SUMIFS(MRP!$H$2:$H$221, MRP!$B$2:$B$221, $C163, MRP!$G$2:$G$221, K$1),
    SUMIFS(MRP!$I$2:$I$221, MRP!$B$2:$B$221, $C163, MRP!$G$2:$G$221, K$1),
    SUMIFS(MRP!$J$2:$J$221, MRP!$B$2:$B$221, $C163,  MRP!$G$2:$G$221, K$1),
    SUMIFS(MRP!$K$2:$K$221, MRP!$B$2:$B$221, $C163,  MRP!$G$2:$G$221, K$1),
    SUMIFS(MRP!$L$2:$L$221, MRP!$B$2:$B$221, $C163,  MRP!$G$2:$G$221, K$1)
)*F163</f>
        <v>0</v>
      </c>
      <c r="L163" s="55" t="str">
        <f>TRIM(Tabla3[[#This Row],[CodInternoArti]])</f>
        <v>7790000000498</v>
      </c>
    </row>
    <row r="164" spans="1:12" hidden="1" x14ac:dyDescent="0.35">
      <c r="A164" s="38" t="str">
        <f>IF(ISNUMBER(_xlfn.XMATCH(Tabla3[[#This Row],[CodInternoArti]],'Tabla Articulos'!B:B)),"OK","NO ESTA")</f>
        <v>OK</v>
      </c>
      <c r="B164" s="38" t="str">
        <f>IF(ISNUMBER(_xlfn.XMATCH('Calcular necesidad'!E:E,'Necesidad por familia'!A:A)),"OK","NO ESTA")</f>
        <v>OK</v>
      </c>
      <c r="C164" s="17" t="s">
        <v>681</v>
      </c>
      <c r="D164" s="1" t="s">
        <v>499</v>
      </c>
      <c r="E164" s="1" t="str">
        <f>_xlfn.XLOOKUP(C164,'Tabla Articulos'!B:B,'Tabla Articulos'!D:D)</f>
        <v>GUANTE LATEX L</v>
      </c>
      <c r="F164" s="1">
        <f>_xlfn.XLOOKUP(C164,'Tabla Articulos'!B:B,'Tabla Articulos'!E:E)</f>
        <v>100</v>
      </c>
      <c r="G164" s="15">
        <f>SUM(
    SUMIFS(MRP!$H$2:$H$221, MRP!$B$2:$B$221, $C164, MRP!$G$2:$G$221, G$1),
    SUMIFS(MRP!$I$2:$I$221, MRP!$B$2:$B$221, $C164, MRP!$G$2:$G$221, G$1),
    SUMIFS(MRP!$J$2:$J$221, MRP!$B$2:$B$221, $C164,  MRP!$G$2:$G$221, G$1),
    SUMIFS(MRP!$K$2:$K$221, MRP!$B$2:$B$221, $C164,  MRP!$G$2:$G$221, G$1),
    SUMIFS(MRP!$L$2:$L$221, MRP!$B$2:$B$221, $C164,  MRP!$G$2:$G$221, G$1)
)*F164</f>
        <v>0</v>
      </c>
      <c r="H164" s="15">
        <f>SUM(
    SUMIFS(MRP!$H$2:$H$221, MRP!$B$2:$B$221, $C164, MRP!$G$2:$G$221, H$1),
    SUMIFS(MRP!$I$2:$I$221, MRP!$B$2:$B$221, $C164, MRP!$G$2:$G$221, H$1),
    SUMIFS(MRP!$J$2:$J$221, MRP!$B$2:$B$221, $C164,  MRP!$G$2:$G$221, H$1),
    SUMIFS(MRP!$K$2:$K$221, MRP!$B$2:$B$221, $C164,  MRP!$G$2:$G$221, H$1),
    SUMIFS(MRP!$L$2:$L$221, MRP!$B$2:$B$221, $C164,  MRP!$G$2:$G$221, H$1)
)*F164</f>
        <v>1000</v>
      </c>
      <c r="I164" s="15">
        <f>SUM(
    SUMIFS(MRP!$H$2:$H$221, MRP!$B$2:$B$221, $C164, MRP!$G$2:$G$221, I$1),
    SUMIFS(MRP!$I$2:$I$221, MRP!$B$2:$B$221, $C164, MRP!$G$2:$G$221, I$1),
    SUMIFS(MRP!$J$2:$J$221, MRP!$B$2:$B$221, $C164,  MRP!$G$2:$G$221, I$1),
    SUMIFS(MRP!$K$2:$K$221, MRP!$B$2:$B$221, $C164,  MRP!$G$2:$G$221, I$1),
    SUMIFS(MRP!$L$2:$L$221, MRP!$B$2:$B$221, $C164,  MRP!$G$2:$G$221, I$1)
)*F164</f>
        <v>0</v>
      </c>
      <c r="J164" s="15">
        <f>SUM(
    SUMIFS(MRP!$H$2:$H$221, MRP!$B$2:$B$221, $C164, MRP!$G$2:$G$221, J$1),
    SUMIFS(MRP!$I$2:$I$221, MRP!$B$2:$B$221, $C164, MRP!$G$2:$G$221, J$1),
    SUMIFS(MRP!$J$2:$J$221, MRP!$B$2:$B$221, $C164,  MRP!$G$2:$G$221, J$1),
    SUMIFS(MRP!$K$2:$K$221, MRP!$B$2:$B$221, $C164,  MRP!$G$2:$G$221, J$1),
    SUMIFS(MRP!$L$2:$L$221, MRP!$B$2:$B$221, $C164,  MRP!$G$2:$G$221, J$1)
)*F164</f>
        <v>0</v>
      </c>
      <c r="K164" s="15">
        <f>SUM(
    SUMIFS(MRP!$H$2:$H$221, MRP!$B$2:$B$221, $C164, MRP!$G$2:$G$221, K$1),
    SUMIFS(MRP!$I$2:$I$221, MRP!$B$2:$B$221, $C164, MRP!$G$2:$G$221, K$1),
    SUMIFS(MRP!$J$2:$J$221, MRP!$B$2:$B$221, $C164,  MRP!$G$2:$G$221, K$1),
    SUMIFS(MRP!$K$2:$K$221, MRP!$B$2:$B$221, $C164,  MRP!$G$2:$G$221, K$1),
    SUMIFS(MRP!$L$2:$L$221, MRP!$B$2:$B$221, $C164,  MRP!$G$2:$G$221, K$1)
)*F164</f>
        <v>0</v>
      </c>
      <c r="L164" s="55" t="str">
        <f>TRIM(Tabla3[[#This Row],[CodInternoArti]])</f>
        <v>7798452810034</v>
      </c>
    </row>
    <row r="165" spans="1:12" hidden="1" x14ac:dyDescent="0.35">
      <c r="A165" s="38" t="str">
        <f>IF(ISNUMBER(_xlfn.XMATCH(Tabla3[[#This Row],[CodInternoArti]],'Tabla Articulos'!B:B)),"OK","NO ESTA")</f>
        <v>OK</v>
      </c>
      <c r="B165" s="38" t="str">
        <f>IF(ISNUMBER(_xlfn.XMATCH('Calcular necesidad'!E:E,'Necesidad por familia'!A:A)),"OK","NO ESTA")</f>
        <v>OK</v>
      </c>
      <c r="C165" s="17" t="s">
        <v>682</v>
      </c>
      <c r="D165" s="1" t="s">
        <v>683</v>
      </c>
      <c r="E165" s="1" t="str">
        <f>_xlfn.XLOOKUP(C165,'Tabla Articulos'!B:B,'Tabla Articulos'!D:D)</f>
        <v>GUANTE LATEX M</v>
      </c>
      <c r="F165" s="1">
        <f>_xlfn.XLOOKUP(C165,'Tabla Articulos'!B:B,'Tabla Articulos'!E:E)</f>
        <v>100</v>
      </c>
      <c r="G165" s="15">
        <f>SUM(
    SUMIFS(MRP!$H$2:$H$221, MRP!$B$2:$B$221, $C165, MRP!$G$2:$G$221, G$1),
    SUMIFS(MRP!$I$2:$I$221, MRP!$B$2:$B$221, $C165, MRP!$G$2:$G$221, G$1),
    SUMIFS(MRP!$J$2:$J$221, MRP!$B$2:$B$221, $C165,  MRP!$G$2:$G$221, G$1),
    SUMIFS(MRP!$K$2:$K$221, MRP!$B$2:$B$221, $C165,  MRP!$G$2:$G$221, G$1),
    SUMIFS(MRP!$L$2:$L$221, MRP!$B$2:$B$221, $C165,  MRP!$G$2:$G$221, G$1)
)*F165</f>
        <v>0</v>
      </c>
      <c r="H165" s="15">
        <f>SUM(
    SUMIFS(MRP!$H$2:$H$221, MRP!$B$2:$B$221, $C165, MRP!$G$2:$G$221, H$1),
    SUMIFS(MRP!$I$2:$I$221, MRP!$B$2:$B$221, $C165, MRP!$G$2:$G$221, H$1),
    SUMIFS(MRP!$J$2:$J$221, MRP!$B$2:$B$221, $C165,  MRP!$G$2:$G$221, H$1),
    SUMIFS(MRP!$K$2:$K$221, MRP!$B$2:$B$221, $C165,  MRP!$G$2:$G$221, H$1),
    SUMIFS(MRP!$L$2:$L$221, MRP!$B$2:$B$221, $C165,  MRP!$G$2:$G$221, H$1)
)*F165</f>
        <v>0</v>
      </c>
      <c r="I165" s="15">
        <f>SUM(
    SUMIFS(MRP!$H$2:$H$221, MRP!$B$2:$B$221, $C165, MRP!$G$2:$G$221, I$1),
    SUMIFS(MRP!$I$2:$I$221, MRP!$B$2:$B$221, $C165, MRP!$G$2:$G$221, I$1),
    SUMIFS(MRP!$J$2:$J$221, MRP!$B$2:$B$221, $C165,  MRP!$G$2:$G$221, I$1),
    SUMIFS(MRP!$K$2:$K$221, MRP!$B$2:$B$221, $C165,  MRP!$G$2:$G$221, I$1),
    SUMIFS(MRP!$L$2:$L$221, MRP!$B$2:$B$221, $C165,  MRP!$G$2:$G$221, I$1)
)*F165</f>
        <v>0</v>
      </c>
      <c r="J165" s="15">
        <f>SUM(
    SUMIFS(MRP!$H$2:$H$221, MRP!$B$2:$B$221, $C165, MRP!$G$2:$G$221, J$1),
    SUMIFS(MRP!$I$2:$I$221, MRP!$B$2:$B$221, $C165, MRP!$G$2:$G$221, J$1),
    SUMIFS(MRP!$J$2:$J$221, MRP!$B$2:$B$221, $C165,  MRP!$G$2:$G$221, J$1),
    SUMIFS(MRP!$K$2:$K$221, MRP!$B$2:$B$221, $C165,  MRP!$G$2:$G$221, J$1),
    SUMIFS(MRP!$L$2:$L$221, MRP!$B$2:$B$221, $C165,  MRP!$G$2:$G$221, J$1)
)*F165</f>
        <v>0</v>
      </c>
      <c r="K165" s="15">
        <f>SUM(
    SUMIFS(MRP!$H$2:$H$221, MRP!$B$2:$B$221, $C165, MRP!$G$2:$G$221, K$1),
    SUMIFS(MRP!$I$2:$I$221, MRP!$B$2:$B$221, $C165, MRP!$G$2:$G$221, K$1),
    SUMIFS(MRP!$J$2:$J$221, MRP!$B$2:$B$221, $C165,  MRP!$G$2:$G$221, K$1),
    SUMIFS(MRP!$K$2:$K$221, MRP!$B$2:$B$221, $C165,  MRP!$G$2:$G$221, K$1),
    SUMIFS(MRP!$L$2:$L$221, MRP!$B$2:$B$221, $C165,  MRP!$G$2:$G$221, K$1)
)*F165</f>
        <v>0</v>
      </c>
      <c r="L165" s="55" t="str">
        <f>TRIM(Tabla3[[#This Row],[CodInternoArti]])</f>
        <v>7798452810027</v>
      </c>
    </row>
    <row r="166" spans="1:12" hidden="1" x14ac:dyDescent="0.35">
      <c r="A166" s="38" t="str">
        <f>IF(ISNUMBER(_xlfn.XMATCH(Tabla3[[#This Row],[CodInternoArti]],'Tabla Articulos'!B:B)),"OK","NO ESTA")</f>
        <v>OK</v>
      </c>
      <c r="B166" s="38" t="str">
        <f>IF(ISNUMBER(_xlfn.XMATCH('Calcular necesidad'!E:E,'Necesidad por familia'!A:A)),"OK","NO ESTA")</f>
        <v>OK</v>
      </c>
      <c r="C166" s="17" t="s">
        <v>684</v>
      </c>
      <c r="D166" s="1" t="s">
        <v>685</v>
      </c>
      <c r="E166" s="1" t="str">
        <f>_xlfn.XLOOKUP(C166,'Tabla Articulos'!B:B,'Tabla Articulos'!D:D)</f>
        <v>VASO TERMICO 240</v>
      </c>
      <c r="F166" s="1">
        <f>_xlfn.XLOOKUP(C166,'Tabla Articulos'!B:B,'Tabla Articulos'!E:E)</f>
        <v>1000</v>
      </c>
      <c r="G166" s="15">
        <f>SUM(
    SUMIFS(MRP!$H$2:$H$221, MRP!$B$2:$B$221, $C166, MRP!$G$2:$G$221, G$1),
    SUMIFS(MRP!$I$2:$I$221, MRP!$B$2:$B$221, $C166, MRP!$G$2:$G$221, G$1),
    SUMIFS(MRP!$J$2:$J$221, MRP!$B$2:$B$221, $C166,  MRP!$G$2:$G$221, G$1),
    SUMIFS(MRP!$K$2:$K$221, MRP!$B$2:$B$221, $C166,  MRP!$G$2:$G$221, G$1),
    SUMIFS(MRP!$L$2:$L$221, MRP!$B$2:$B$221, $C166,  MRP!$G$2:$G$221, G$1)
)*F166</f>
        <v>0</v>
      </c>
      <c r="H166" s="15">
        <f>SUM(
    SUMIFS(MRP!$H$2:$H$221, MRP!$B$2:$B$221, $C166, MRP!$G$2:$G$221, H$1),
    SUMIFS(MRP!$I$2:$I$221, MRP!$B$2:$B$221, $C166, MRP!$G$2:$G$221, H$1),
    SUMIFS(MRP!$J$2:$J$221, MRP!$B$2:$B$221, $C166,  MRP!$G$2:$G$221, H$1),
    SUMIFS(MRP!$K$2:$K$221, MRP!$B$2:$B$221, $C166,  MRP!$G$2:$G$221, H$1),
    SUMIFS(MRP!$L$2:$L$221, MRP!$B$2:$B$221, $C166,  MRP!$G$2:$G$221, H$1)
)*F166</f>
        <v>0</v>
      </c>
      <c r="I166" s="15">
        <f>SUM(
    SUMIFS(MRP!$H$2:$H$221, MRP!$B$2:$B$221, $C166, MRP!$G$2:$G$221, I$1),
    SUMIFS(MRP!$I$2:$I$221, MRP!$B$2:$B$221, $C166, MRP!$G$2:$G$221, I$1),
    SUMIFS(MRP!$J$2:$J$221, MRP!$B$2:$B$221, $C166,  MRP!$G$2:$G$221, I$1),
    SUMIFS(MRP!$K$2:$K$221, MRP!$B$2:$B$221, $C166,  MRP!$G$2:$G$221, I$1),
    SUMIFS(MRP!$L$2:$L$221, MRP!$B$2:$B$221, $C166,  MRP!$G$2:$G$221, I$1)
)*F166</f>
        <v>0</v>
      </c>
      <c r="J166" s="15">
        <f>SUM(
    SUMIFS(MRP!$H$2:$H$221, MRP!$B$2:$B$221, $C166, MRP!$G$2:$G$221, J$1),
    SUMIFS(MRP!$I$2:$I$221, MRP!$B$2:$B$221, $C166, MRP!$G$2:$G$221, J$1),
    SUMIFS(MRP!$J$2:$J$221, MRP!$B$2:$B$221, $C166,  MRP!$G$2:$G$221, J$1),
    SUMIFS(MRP!$K$2:$K$221, MRP!$B$2:$B$221, $C166,  MRP!$G$2:$G$221, J$1),
    SUMIFS(MRP!$L$2:$L$221, MRP!$B$2:$B$221, $C166,  MRP!$G$2:$G$221, J$1)
)*F166</f>
        <v>0</v>
      </c>
      <c r="K166" s="15">
        <f>SUM(
    SUMIFS(MRP!$H$2:$H$221, MRP!$B$2:$B$221, $C166, MRP!$G$2:$G$221, K$1),
    SUMIFS(MRP!$I$2:$I$221, MRP!$B$2:$B$221, $C166, MRP!$G$2:$G$221, K$1),
    SUMIFS(MRP!$J$2:$J$221, MRP!$B$2:$B$221, $C166,  MRP!$G$2:$G$221, K$1),
    SUMIFS(MRP!$K$2:$K$221, MRP!$B$2:$B$221, $C166,  MRP!$G$2:$G$221, K$1),
    SUMIFS(MRP!$L$2:$L$221, MRP!$B$2:$B$221, $C166,  MRP!$G$2:$G$221, K$1)
)*F166</f>
        <v>0</v>
      </c>
      <c r="L166" s="55" t="str">
        <f>TRIM(Tabla3[[#This Row],[CodInternoArti]])</f>
        <v>7790000000472</v>
      </c>
    </row>
    <row r="167" spans="1:12" hidden="1" x14ac:dyDescent="0.35">
      <c r="A167" s="38" t="str">
        <f>IF(ISNUMBER(_xlfn.XMATCH(Tabla3[[#This Row],[CodInternoArti]],'Tabla Articulos'!B:B)),"OK","NO ESTA")</f>
        <v>OK</v>
      </c>
      <c r="B167" s="38" t="str">
        <f>IF(ISNUMBER(_xlfn.XMATCH('Calcular necesidad'!E:E,'Necesidad por familia'!A:A)),"OK","NO ESTA")</f>
        <v>OK</v>
      </c>
      <c r="C167" s="17" t="s">
        <v>686</v>
      </c>
      <c r="D167" s="1" t="s">
        <v>687</v>
      </c>
      <c r="E167" s="1" t="str">
        <f>_xlfn.XLOOKUP(C167,'Tabla Articulos'!B:B,'Tabla Articulos'!D:D)</f>
        <v>BOLSA MICROPERFORADA 60X90</v>
      </c>
      <c r="F167" s="1">
        <f>_xlfn.XLOOKUP(C167,'Tabla Articulos'!B:B,'Tabla Articulos'!E:E)</f>
        <v>1</v>
      </c>
      <c r="G167" s="15">
        <f>SUM(
    SUMIFS(MRP!$H$2:$H$221, MRP!$B$2:$B$221, $C167, MRP!$G$2:$G$221, G$1),
    SUMIFS(MRP!$I$2:$I$221, MRP!$B$2:$B$221, $C167, MRP!$G$2:$G$221, G$1),
    SUMIFS(MRP!$J$2:$J$221, MRP!$B$2:$B$221, $C167,  MRP!$G$2:$G$221, G$1),
    SUMIFS(MRP!$K$2:$K$221, MRP!$B$2:$B$221, $C167,  MRP!$G$2:$G$221, G$1),
    SUMIFS(MRP!$L$2:$L$221, MRP!$B$2:$B$221, $C167,  MRP!$G$2:$G$221, G$1)
)*F167</f>
        <v>0</v>
      </c>
      <c r="H167" s="15">
        <f>SUM(
    SUMIFS(MRP!$H$2:$H$221, MRP!$B$2:$B$221, $C167, MRP!$G$2:$G$221, H$1),
    SUMIFS(MRP!$I$2:$I$221, MRP!$B$2:$B$221, $C167, MRP!$G$2:$G$221, H$1),
    SUMIFS(MRP!$J$2:$J$221, MRP!$B$2:$B$221, $C167,  MRP!$G$2:$G$221, H$1),
    SUMIFS(MRP!$K$2:$K$221, MRP!$B$2:$B$221, $C167,  MRP!$G$2:$G$221, H$1),
    SUMIFS(MRP!$L$2:$L$221, MRP!$B$2:$B$221, $C167,  MRP!$G$2:$G$221, H$1)
)*F167</f>
        <v>0</v>
      </c>
      <c r="I167" s="15">
        <f>SUM(
    SUMIFS(MRP!$H$2:$H$221, MRP!$B$2:$B$221, $C167, MRP!$G$2:$G$221, I$1),
    SUMIFS(MRP!$I$2:$I$221, MRP!$B$2:$B$221, $C167, MRP!$G$2:$G$221, I$1),
    SUMIFS(MRP!$J$2:$J$221, MRP!$B$2:$B$221, $C167,  MRP!$G$2:$G$221, I$1),
    SUMIFS(MRP!$K$2:$K$221, MRP!$B$2:$B$221, $C167,  MRP!$G$2:$G$221, I$1),
    SUMIFS(MRP!$L$2:$L$221, MRP!$B$2:$B$221, $C167,  MRP!$G$2:$G$221, I$1)
)*F167</f>
        <v>0</v>
      </c>
      <c r="J167" s="15">
        <f>SUM(
    SUMIFS(MRP!$H$2:$H$221, MRP!$B$2:$B$221, $C167, MRP!$G$2:$G$221, J$1),
    SUMIFS(MRP!$I$2:$I$221, MRP!$B$2:$B$221, $C167, MRP!$G$2:$G$221, J$1),
    SUMIFS(MRP!$J$2:$J$221, MRP!$B$2:$B$221, $C167,  MRP!$G$2:$G$221, J$1),
    SUMIFS(MRP!$K$2:$K$221, MRP!$B$2:$B$221, $C167,  MRP!$G$2:$G$221, J$1),
    SUMIFS(MRP!$L$2:$L$221, MRP!$B$2:$B$221, $C167,  MRP!$G$2:$G$221, J$1)
)*F167</f>
        <v>0</v>
      </c>
      <c r="K167" s="15">
        <f>SUM(
    SUMIFS(MRP!$H$2:$H$221, MRP!$B$2:$B$221, $C167, MRP!$G$2:$G$221, K$1),
    SUMIFS(MRP!$I$2:$I$221, MRP!$B$2:$B$221, $C167, MRP!$G$2:$G$221, K$1),
    SUMIFS(MRP!$J$2:$J$221, MRP!$B$2:$B$221, $C167,  MRP!$G$2:$G$221, K$1),
    SUMIFS(MRP!$K$2:$K$221, MRP!$B$2:$B$221, $C167,  MRP!$G$2:$G$221, K$1),
    SUMIFS(MRP!$L$2:$L$221, MRP!$B$2:$B$221, $C167,  MRP!$G$2:$G$221, K$1)
)*F167</f>
        <v>0</v>
      </c>
      <c r="L167" s="55" t="str">
        <f>TRIM(Tabla3[[#This Row],[CodInternoArti]])</f>
        <v>LIM000225</v>
      </c>
    </row>
    <row r="168" spans="1:12" hidden="1" x14ac:dyDescent="0.35">
      <c r="A168" s="38" t="str">
        <f>IF(ISNUMBER(_xlfn.XMATCH(Tabla3[[#This Row],[CodInternoArti]],'Tabla Articulos'!B:B)),"OK","NO ESTA")</f>
        <v>OK</v>
      </c>
      <c r="B168" s="38" t="str">
        <f>IF(ISNUMBER(_xlfn.XMATCH('Calcular necesidad'!E:E,'Necesidad por familia'!A:A)),"OK","NO ESTA")</f>
        <v>OK</v>
      </c>
      <c r="C168" s="17" t="s">
        <v>372</v>
      </c>
      <c r="D168" s="1" t="s">
        <v>373</v>
      </c>
      <c r="E168" s="1" t="str">
        <f>_xlfn.XLOOKUP(C168,'Tabla Articulos'!B:B,'Tabla Articulos'!D:D)</f>
        <v>DEGUSTADOR</v>
      </c>
      <c r="F168" s="1">
        <f>_xlfn.XLOOKUP(C168,'Tabla Articulos'!B:B,'Tabla Articulos'!E:E)</f>
        <v>2000</v>
      </c>
      <c r="G168" s="15">
        <f>SUM(
    SUMIFS(MRP!$H$2:$H$221, MRP!$B$2:$B$221, $C168, MRP!$G$2:$G$221, G$1),
    SUMIFS(MRP!$I$2:$I$221, MRP!$B$2:$B$221, $C168, MRP!$G$2:$G$221, G$1),
    SUMIFS(MRP!$J$2:$J$221, MRP!$B$2:$B$221, $C168,  MRP!$G$2:$G$221, G$1),
    SUMIFS(MRP!$K$2:$K$221, MRP!$B$2:$B$221, $C168,  MRP!$G$2:$G$221, G$1),
    SUMIFS(MRP!$L$2:$L$221, MRP!$B$2:$B$221, $C168,  MRP!$G$2:$G$221, G$1)
)*F168</f>
        <v>0</v>
      </c>
      <c r="H168" s="15">
        <f>SUM(
    SUMIFS(MRP!$H$2:$H$221, MRP!$B$2:$B$221, $C168, MRP!$G$2:$G$221, H$1),
    SUMIFS(MRP!$I$2:$I$221, MRP!$B$2:$B$221, $C168, MRP!$G$2:$G$221, H$1),
    SUMIFS(MRP!$J$2:$J$221, MRP!$B$2:$B$221, $C168,  MRP!$G$2:$G$221, H$1),
    SUMIFS(MRP!$K$2:$K$221, MRP!$B$2:$B$221, $C168,  MRP!$G$2:$G$221, H$1),
    SUMIFS(MRP!$L$2:$L$221, MRP!$B$2:$B$221, $C168,  MRP!$G$2:$G$221, H$1)
)*F168</f>
        <v>4000</v>
      </c>
      <c r="I168" s="15">
        <f>SUM(
    SUMIFS(MRP!$H$2:$H$221, MRP!$B$2:$B$221, $C168, MRP!$G$2:$G$221, I$1),
    SUMIFS(MRP!$I$2:$I$221, MRP!$B$2:$B$221, $C168, MRP!$G$2:$G$221, I$1),
    SUMIFS(MRP!$J$2:$J$221, MRP!$B$2:$B$221, $C168,  MRP!$G$2:$G$221, I$1),
    SUMIFS(MRP!$K$2:$K$221, MRP!$B$2:$B$221, $C168,  MRP!$G$2:$G$221, I$1),
    SUMIFS(MRP!$L$2:$L$221, MRP!$B$2:$B$221, $C168,  MRP!$G$2:$G$221, I$1)
)*F168</f>
        <v>0</v>
      </c>
      <c r="J168" s="15">
        <f>SUM(
    SUMIFS(MRP!$H$2:$H$221, MRP!$B$2:$B$221, $C168, MRP!$G$2:$G$221, J$1),
    SUMIFS(MRP!$I$2:$I$221, MRP!$B$2:$B$221, $C168, MRP!$G$2:$G$221, J$1),
    SUMIFS(MRP!$J$2:$J$221, MRP!$B$2:$B$221, $C168,  MRP!$G$2:$G$221, J$1),
    SUMIFS(MRP!$K$2:$K$221, MRP!$B$2:$B$221, $C168,  MRP!$G$2:$G$221, J$1),
    SUMIFS(MRP!$L$2:$L$221, MRP!$B$2:$B$221, $C168,  MRP!$G$2:$G$221, J$1)
)*F168</f>
        <v>0</v>
      </c>
      <c r="K168" s="15">
        <f>SUM(
    SUMIFS(MRP!$H$2:$H$221, MRP!$B$2:$B$221, $C168, MRP!$G$2:$G$221, K$1),
    SUMIFS(MRP!$I$2:$I$221, MRP!$B$2:$B$221, $C168, MRP!$G$2:$G$221, K$1),
    SUMIFS(MRP!$J$2:$J$221, MRP!$B$2:$B$221, $C168,  MRP!$G$2:$G$221, K$1),
    SUMIFS(MRP!$K$2:$K$221, MRP!$B$2:$B$221, $C168,  MRP!$G$2:$G$221, K$1),
    SUMIFS(MRP!$L$2:$L$221, MRP!$B$2:$B$221, $C168,  MRP!$G$2:$G$221, K$1)
)*F168</f>
        <v>0</v>
      </c>
      <c r="L168" s="55" t="str">
        <f>TRIM(Tabla3[[#This Row],[CodInternoArti]])</f>
        <v>BAZ000525</v>
      </c>
    </row>
    <row r="169" spans="1:12" hidden="1" x14ac:dyDescent="0.35">
      <c r="A169" s="38" t="str">
        <f>IF(ISNUMBER(_xlfn.XMATCH(Tabla3[[#This Row],[CodInternoArti]],'Tabla Articulos'!B:B)),"OK","NO ESTA")</f>
        <v>OK</v>
      </c>
      <c r="B169" s="38" t="str">
        <f>IF(ISNUMBER(_xlfn.XMATCH('Calcular necesidad'!E:E,'Necesidad por familia'!A:A)),"OK","NO ESTA")</f>
        <v>OK</v>
      </c>
      <c r="C169" s="17" t="s">
        <v>688</v>
      </c>
      <c r="D169" s="1" t="s">
        <v>516</v>
      </c>
      <c r="E169" s="1" t="str">
        <f>_xlfn.XLOOKUP(C169,'Tabla Articulos'!B:B,'Tabla Articulos'!D:D)</f>
        <v>SERVILLETA SIMIL TELA</v>
      </c>
      <c r="F169" s="1">
        <f>_xlfn.XLOOKUP(C169,'Tabla Articulos'!B:B,'Tabla Articulos'!E:E)</f>
        <v>600</v>
      </c>
      <c r="G169" s="15">
        <f>SUM(
    SUMIFS(MRP!$H$2:$H$221, MRP!$B$2:$B$221, $C169, MRP!$G$2:$G$221, G$1),
    SUMIFS(MRP!$I$2:$I$221, MRP!$B$2:$B$221, $C169, MRP!$G$2:$G$221, G$1),
    SUMIFS(MRP!$J$2:$J$221, MRP!$B$2:$B$221, $C169,  MRP!$G$2:$G$221, G$1),
    SUMIFS(MRP!$K$2:$K$221, MRP!$B$2:$B$221, $C169,  MRP!$G$2:$G$221, G$1),
    SUMIFS(MRP!$L$2:$L$221, MRP!$B$2:$B$221, $C169,  MRP!$G$2:$G$221, G$1)
)*F169</f>
        <v>0</v>
      </c>
      <c r="H169" s="15">
        <f>SUM(
    SUMIFS(MRP!$H$2:$H$221, MRP!$B$2:$B$221, $C169, MRP!$G$2:$G$221, H$1),
    SUMIFS(MRP!$I$2:$I$221, MRP!$B$2:$B$221, $C169, MRP!$G$2:$G$221, H$1),
    SUMIFS(MRP!$J$2:$J$221, MRP!$B$2:$B$221, $C169,  MRP!$G$2:$G$221, H$1),
    SUMIFS(MRP!$K$2:$K$221, MRP!$B$2:$B$221, $C169,  MRP!$G$2:$G$221, H$1),
    SUMIFS(MRP!$L$2:$L$221, MRP!$B$2:$B$221, $C169,  MRP!$G$2:$G$221, H$1)
)*F169</f>
        <v>6000</v>
      </c>
      <c r="I169" s="15">
        <f>SUM(
    SUMIFS(MRP!$H$2:$H$221, MRP!$B$2:$B$221, $C169, MRP!$G$2:$G$221, I$1),
    SUMIFS(MRP!$I$2:$I$221, MRP!$B$2:$B$221, $C169, MRP!$G$2:$G$221, I$1),
    SUMIFS(MRP!$J$2:$J$221, MRP!$B$2:$B$221, $C169,  MRP!$G$2:$G$221, I$1),
    SUMIFS(MRP!$K$2:$K$221, MRP!$B$2:$B$221, $C169,  MRP!$G$2:$G$221, I$1),
    SUMIFS(MRP!$L$2:$L$221, MRP!$B$2:$B$221, $C169,  MRP!$G$2:$G$221, I$1)
)*F169</f>
        <v>0</v>
      </c>
      <c r="J169" s="15">
        <f>SUM(
    SUMIFS(MRP!$H$2:$H$221, MRP!$B$2:$B$221, $C169, MRP!$G$2:$G$221, J$1),
    SUMIFS(MRP!$I$2:$I$221, MRP!$B$2:$B$221, $C169, MRP!$G$2:$G$221, J$1),
    SUMIFS(MRP!$J$2:$J$221, MRP!$B$2:$B$221, $C169,  MRP!$G$2:$G$221, J$1),
    SUMIFS(MRP!$K$2:$K$221, MRP!$B$2:$B$221, $C169,  MRP!$G$2:$G$221, J$1),
    SUMIFS(MRP!$L$2:$L$221, MRP!$B$2:$B$221, $C169,  MRP!$G$2:$G$221, J$1)
)*F169</f>
        <v>0</v>
      </c>
      <c r="K169" s="15">
        <f>SUM(
    SUMIFS(MRP!$H$2:$H$221, MRP!$B$2:$B$221, $C169, MRP!$G$2:$G$221, K$1),
    SUMIFS(MRP!$I$2:$I$221, MRP!$B$2:$B$221, $C169, MRP!$G$2:$G$221, K$1),
    SUMIFS(MRP!$J$2:$J$221, MRP!$B$2:$B$221, $C169,  MRP!$G$2:$G$221, K$1),
    SUMIFS(MRP!$K$2:$K$221, MRP!$B$2:$B$221, $C169,  MRP!$G$2:$G$221, K$1),
    SUMIFS(MRP!$L$2:$L$221, MRP!$B$2:$B$221, $C169,  MRP!$G$2:$G$221, K$1)
)*F169</f>
        <v>0</v>
      </c>
      <c r="L169" s="55" t="str">
        <f>TRIM(Tabla3[[#This Row],[CodInternoArti]])</f>
        <v>7790321284500</v>
      </c>
    </row>
    <row r="170" spans="1:12" hidden="1" x14ac:dyDescent="0.35">
      <c r="A170" s="38" t="str">
        <f>IF(ISNUMBER(_xlfn.XMATCH(Tabla3[[#This Row],[CodInternoArti]],'Tabla Articulos'!B:B)),"OK","NO ESTA")</f>
        <v>OK</v>
      </c>
      <c r="B170" s="38" t="str">
        <f>IF(ISNUMBER(_xlfn.XMATCH('Calcular necesidad'!E:E,'Necesidad por familia'!A:A)),"OK","NO ESTA")</f>
        <v>OK</v>
      </c>
      <c r="C170" s="17" t="s">
        <v>689</v>
      </c>
      <c r="D170" s="1" t="s">
        <v>518</v>
      </c>
      <c r="E170" s="1" t="str">
        <f>_xlfn.XLOOKUP(C170,'Tabla Articulos'!B:B,'Tabla Articulos'!D:D)</f>
        <v>TAPA VASO TERMICO 240</v>
      </c>
      <c r="F170" s="1">
        <f>_xlfn.XLOOKUP(C170,'Tabla Articulos'!B:B,'Tabla Articulos'!E:E)</f>
        <v>80</v>
      </c>
      <c r="G170" s="15">
        <f>SUM(
    SUMIFS(MRP!$H$2:$H$221, MRP!$B$2:$B$221, $C170, MRP!$G$2:$G$221, G$1),
    SUMIFS(MRP!$I$2:$I$221, MRP!$B$2:$B$221, $C170, MRP!$G$2:$G$221, G$1),
    SUMIFS(MRP!$J$2:$J$221, MRP!$B$2:$B$221, $C170,  MRP!$G$2:$G$221, G$1),
    SUMIFS(MRP!$K$2:$K$221, MRP!$B$2:$B$221, $C170,  MRP!$G$2:$G$221, G$1),
    SUMIFS(MRP!$L$2:$L$221, MRP!$B$2:$B$221, $C170,  MRP!$G$2:$G$221, G$1)
)*F170</f>
        <v>0</v>
      </c>
      <c r="H170" s="15">
        <f>SUM(
    SUMIFS(MRP!$H$2:$H$221, MRP!$B$2:$B$221, $C170, MRP!$G$2:$G$221, H$1),
    SUMIFS(MRP!$I$2:$I$221, MRP!$B$2:$B$221, $C170, MRP!$G$2:$G$221, H$1),
    SUMIFS(MRP!$J$2:$J$221, MRP!$B$2:$B$221, $C170,  MRP!$G$2:$G$221, H$1),
    SUMIFS(MRP!$K$2:$K$221, MRP!$B$2:$B$221, $C170,  MRP!$G$2:$G$221, H$1),
    SUMIFS(MRP!$L$2:$L$221, MRP!$B$2:$B$221, $C170,  MRP!$G$2:$G$221, H$1)
)*F170</f>
        <v>240</v>
      </c>
      <c r="I170" s="15">
        <f>SUM(
    SUMIFS(MRP!$H$2:$H$221, MRP!$B$2:$B$221, $C170, MRP!$G$2:$G$221, I$1),
    SUMIFS(MRP!$I$2:$I$221, MRP!$B$2:$B$221, $C170, MRP!$G$2:$G$221, I$1),
    SUMIFS(MRP!$J$2:$J$221, MRP!$B$2:$B$221, $C170,  MRP!$G$2:$G$221, I$1),
    SUMIFS(MRP!$K$2:$K$221, MRP!$B$2:$B$221, $C170,  MRP!$G$2:$G$221, I$1),
    SUMIFS(MRP!$L$2:$L$221, MRP!$B$2:$B$221, $C170,  MRP!$G$2:$G$221, I$1)
)*F170</f>
        <v>0</v>
      </c>
      <c r="J170" s="15">
        <f>SUM(
    SUMIFS(MRP!$H$2:$H$221, MRP!$B$2:$B$221, $C170, MRP!$G$2:$G$221, J$1),
    SUMIFS(MRP!$I$2:$I$221, MRP!$B$2:$B$221, $C170, MRP!$G$2:$G$221, J$1),
    SUMIFS(MRP!$J$2:$J$221, MRP!$B$2:$B$221, $C170,  MRP!$G$2:$G$221, J$1),
    SUMIFS(MRP!$K$2:$K$221, MRP!$B$2:$B$221, $C170,  MRP!$G$2:$G$221, J$1),
    SUMIFS(MRP!$L$2:$L$221, MRP!$B$2:$B$221, $C170,  MRP!$G$2:$G$221, J$1)
)*F170</f>
        <v>0</v>
      </c>
      <c r="K170" s="15">
        <f>SUM(
    SUMIFS(MRP!$H$2:$H$221, MRP!$B$2:$B$221, $C170, MRP!$G$2:$G$221, K$1),
    SUMIFS(MRP!$I$2:$I$221, MRP!$B$2:$B$221, $C170, MRP!$G$2:$G$221, K$1),
    SUMIFS(MRP!$J$2:$J$221, MRP!$B$2:$B$221, $C170,  MRP!$G$2:$G$221, K$1),
    SUMIFS(MRP!$K$2:$K$221, MRP!$B$2:$B$221, $C170,  MRP!$G$2:$G$221, K$1),
    SUMIFS(MRP!$L$2:$L$221, MRP!$B$2:$B$221, $C170,  MRP!$G$2:$G$221, K$1)
)*F170</f>
        <v>0</v>
      </c>
      <c r="L170" s="55" t="str">
        <f>TRIM(Tabla3[[#This Row],[CodInternoArti]])</f>
        <v>7790321020330</v>
      </c>
    </row>
    <row r="171" spans="1:12" hidden="1" x14ac:dyDescent="0.35">
      <c r="A171" s="38" t="str">
        <f>IF(ISNUMBER(_xlfn.XMATCH(Tabla3[[#This Row],[CodInternoArti]],'Tabla Articulos'!B:B)),"OK","NO ESTA")</f>
        <v>OK</v>
      </c>
      <c r="B171" s="38" t="str">
        <f>IF(ISNUMBER(_xlfn.XMATCH('Calcular necesidad'!E:E,'Necesidad por familia'!A:A)),"OK","NO ESTA")</f>
        <v>OK</v>
      </c>
      <c r="C171" s="17" t="s">
        <v>690</v>
      </c>
      <c r="D171" s="1" t="s">
        <v>691</v>
      </c>
      <c r="E171" s="1" t="str">
        <f>_xlfn.XLOOKUP(C171,'Tabla Articulos'!B:B,'Tabla Articulos'!D:D)</f>
        <v>TAPA VASO TERMICO 300</v>
      </c>
      <c r="F171" s="1">
        <f>_xlfn.XLOOKUP(C171,'Tabla Articulos'!B:B,'Tabla Articulos'!E:E)</f>
        <v>1000</v>
      </c>
      <c r="G171" s="15">
        <f>SUM(
    SUMIFS(MRP!$H$2:$H$221, MRP!$B$2:$B$221, $C171, MRP!$G$2:$G$221, G$1),
    SUMIFS(MRP!$I$2:$I$221, MRP!$B$2:$B$221, $C171, MRP!$G$2:$G$221, G$1),
    SUMIFS(MRP!$J$2:$J$221, MRP!$B$2:$B$221, $C171,  MRP!$G$2:$G$221, G$1),
    SUMIFS(MRP!$K$2:$K$221, MRP!$B$2:$B$221, $C171,  MRP!$G$2:$G$221, G$1),
    SUMIFS(MRP!$L$2:$L$221, MRP!$B$2:$B$221, $C171,  MRP!$G$2:$G$221, G$1)
)*F171</f>
        <v>0</v>
      </c>
      <c r="H171" s="15">
        <f>SUM(
    SUMIFS(MRP!$H$2:$H$221, MRP!$B$2:$B$221, $C171, MRP!$G$2:$G$221, H$1),
    SUMIFS(MRP!$I$2:$I$221, MRP!$B$2:$B$221, $C171, MRP!$G$2:$G$221, H$1),
    SUMIFS(MRP!$J$2:$J$221, MRP!$B$2:$B$221, $C171,  MRP!$G$2:$G$221, H$1),
    SUMIFS(MRP!$K$2:$K$221, MRP!$B$2:$B$221, $C171,  MRP!$G$2:$G$221, H$1),
    SUMIFS(MRP!$L$2:$L$221, MRP!$B$2:$B$221, $C171,  MRP!$G$2:$G$221, H$1)
)*F171</f>
        <v>0</v>
      </c>
      <c r="I171" s="15">
        <f>SUM(
    SUMIFS(MRP!$H$2:$H$221, MRP!$B$2:$B$221, $C171, MRP!$G$2:$G$221, I$1),
    SUMIFS(MRP!$I$2:$I$221, MRP!$B$2:$B$221, $C171, MRP!$G$2:$G$221, I$1),
    SUMIFS(MRP!$J$2:$J$221, MRP!$B$2:$B$221, $C171,  MRP!$G$2:$G$221, I$1),
    SUMIFS(MRP!$K$2:$K$221, MRP!$B$2:$B$221, $C171,  MRP!$G$2:$G$221, I$1),
    SUMIFS(MRP!$L$2:$L$221, MRP!$B$2:$B$221, $C171,  MRP!$G$2:$G$221, I$1)
)*F171</f>
        <v>0</v>
      </c>
      <c r="J171" s="15">
        <f>SUM(
    SUMIFS(MRP!$H$2:$H$221, MRP!$B$2:$B$221, $C171, MRP!$G$2:$G$221, J$1),
    SUMIFS(MRP!$I$2:$I$221, MRP!$B$2:$B$221, $C171, MRP!$G$2:$G$221, J$1),
    SUMIFS(MRP!$J$2:$J$221, MRP!$B$2:$B$221, $C171,  MRP!$G$2:$G$221, J$1),
    SUMIFS(MRP!$K$2:$K$221, MRP!$B$2:$B$221, $C171,  MRP!$G$2:$G$221, J$1),
    SUMIFS(MRP!$L$2:$L$221, MRP!$B$2:$B$221, $C171,  MRP!$G$2:$G$221, J$1)
)*F171</f>
        <v>0</v>
      </c>
      <c r="K171" s="15">
        <f>SUM(
    SUMIFS(MRP!$H$2:$H$221, MRP!$B$2:$B$221, $C171, MRP!$G$2:$G$221, K$1),
    SUMIFS(MRP!$I$2:$I$221, MRP!$B$2:$B$221, $C171, MRP!$G$2:$G$221, K$1),
    SUMIFS(MRP!$J$2:$J$221, MRP!$B$2:$B$221, $C171,  MRP!$G$2:$G$221, K$1),
    SUMIFS(MRP!$K$2:$K$221, MRP!$B$2:$B$221, $C171,  MRP!$G$2:$G$221, K$1),
    SUMIFS(MRP!$L$2:$L$221, MRP!$B$2:$B$221, $C171,  MRP!$G$2:$G$221, K$1)
)*F171</f>
        <v>0</v>
      </c>
      <c r="L171" s="55" t="str">
        <f>TRIM(Tabla3[[#This Row],[CodInternoArti]])</f>
        <v>7793253004445</v>
      </c>
    </row>
    <row r="172" spans="1:12" hidden="1" x14ac:dyDescent="0.35">
      <c r="A172" s="38" t="str">
        <f>IF(ISNUMBER(_xlfn.XMATCH(Tabla3[[#This Row],[CodInternoArti]],'Tabla Articulos'!B:B)),"OK","NO ESTA")</f>
        <v>OK</v>
      </c>
      <c r="B172" s="38" t="str">
        <f>IF(ISNUMBER(_xlfn.XMATCH('Calcular necesidad'!E:E,'Necesidad por familia'!A:A)),"OK","NO ESTA")</f>
        <v>OK</v>
      </c>
      <c r="C172" s="17" t="s">
        <v>692</v>
      </c>
      <c r="D172" s="1" t="s">
        <v>519</v>
      </c>
      <c r="E172" s="1" t="str">
        <f>_xlfn.XLOOKUP(C172,'Tabla Articulos'!B:B,'Tabla Articulos'!D:D)</f>
        <v>BANDEJA 103</v>
      </c>
      <c r="F172" s="1">
        <f>_xlfn.XLOOKUP(C172,'Tabla Articulos'!B:B,'Tabla Articulos'!E:E)</f>
        <v>200</v>
      </c>
      <c r="G172" s="15">
        <f>SUM(
    SUMIFS(MRP!$H$2:$H$221, MRP!$B$2:$B$221, $C172, MRP!$G$2:$G$221, G$1),
    SUMIFS(MRP!$I$2:$I$221, MRP!$B$2:$B$221, $C172, MRP!$G$2:$G$221, G$1),
    SUMIFS(MRP!$J$2:$J$221, MRP!$B$2:$B$221, $C172,  MRP!$G$2:$G$221, G$1),
    SUMIFS(MRP!$K$2:$K$221, MRP!$B$2:$B$221, $C172,  MRP!$G$2:$G$221, G$1),
    SUMIFS(MRP!$L$2:$L$221, MRP!$B$2:$B$221, $C172,  MRP!$G$2:$G$221, G$1)
)*F172</f>
        <v>0</v>
      </c>
      <c r="H172" s="15">
        <f>SUM(
    SUMIFS(MRP!$H$2:$H$221, MRP!$B$2:$B$221, $C172, MRP!$G$2:$G$221, H$1),
    SUMIFS(MRP!$I$2:$I$221, MRP!$B$2:$B$221, $C172, MRP!$G$2:$G$221, H$1),
    SUMIFS(MRP!$J$2:$J$221, MRP!$B$2:$B$221, $C172,  MRP!$G$2:$G$221, H$1),
    SUMIFS(MRP!$K$2:$K$221, MRP!$B$2:$B$221, $C172,  MRP!$G$2:$G$221, H$1),
    SUMIFS(MRP!$L$2:$L$221, MRP!$B$2:$B$221, $C172,  MRP!$G$2:$G$221, H$1)
)*F172</f>
        <v>4400</v>
      </c>
      <c r="I172" s="15">
        <f>SUM(
    SUMIFS(MRP!$H$2:$H$221, MRP!$B$2:$B$221, $C172, MRP!$G$2:$G$221, I$1),
    SUMIFS(MRP!$I$2:$I$221, MRP!$B$2:$B$221, $C172, MRP!$G$2:$G$221, I$1),
    SUMIFS(MRP!$J$2:$J$221, MRP!$B$2:$B$221, $C172,  MRP!$G$2:$G$221, I$1),
    SUMIFS(MRP!$K$2:$K$221, MRP!$B$2:$B$221, $C172,  MRP!$G$2:$G$221, I$1),
    SUMIFS(MRP!$L$2:$L$221, MRP!$B$2:$B$221, $C172,  MRP!$G$2:$G$221, I$1)
)*F172</f>
        <v>0</v>
      </c>
      <c r="J172" s="15">
        <f>SUM(
    SUMIFS(MRP!$H$2:$H$221, MRP!$B$2:$B$221, $C172, MRP!$G$2:$G$221, J$1),
    SUMIFS(MRP!$I$2:$I$221, MRP!$B$2:$B$221, $C172, MRP!$G$2:$G$221, J$1),
    SUMIFS(MRP!$J$2:$J$221, MRP!$B$2:$B$221, $C172,  MRP!$G$2:$G$221, J$1),
    SUMIFS(MRP!$K$2:$K$221, MRP!$B$2:$B$221, $C172,  MRP!$G$2:$G$221, J$1),
    SUMIFS(MRP!$L$2:$L$221, MRP!$B$2:$B$221, $C172,  MRP!$G$2:$G$221, J$1)
)*F172</f>
        <v>0</v>
      </c>
      <c r="K172" s="15">
        <f>SUM(
    SUMIFS(MRP!$H$2:$H$221, MRP!$B$2:$B$221, $C172, MRP!$G$2:$G$221, K$1),
    SUMIFS(MRP!$I$2:$I$221, MRP!$B$2:$B$221, $C172, MRP!$G$2:$G$221, K$1),
    SUMIFS(MRP!$J$2:$J$221, MRP!$B$2:$B$221, $C172,  MRP!$G$2:$G$221, K$1),
    SUMIFS(MRP!$K$2:$K$221, MRP!$B$2:$B$221, $C172,  MRP!$G$2:$G$221, K$1),
    SUMIFS(MRP!$L$2:$L$221, MRP!$B$2:$B$221, $C172,  MRP!$G$2:$G$221, K$1)
)*F172</f>
        <v>0</v>
      </c>
      <c r="L172" s="55" t="str">
        <f>TRIM(Tabla3[[#This Row],[CodInternoArti]])</f>
        <v>7790126328513</v>
      </c>
    </row>
    <row r="173" spans="1:12" hidden="1" x14ac:dyDescent="0.35">
      <c r="A173" s="38" t="str">
        <f>IF(ISNUMBER(_xlfn.XMATCH(Tabla3[[#This Row],[CodInternoArti]],'Tabla Articulos'!B:B)),"OK","NO ESTA")</f>
        <v>OK</v>
      </c>
      <c r="B173" s="38" t="str">
        <f>IF(ISNUMBER(_xlfn.XMATCH('Calcular necesidad'!E:E,'Necesidad por familia'!A:A)),"OK","NO ESTA")</f>
        <v>NO ESTA</v>
      </c>
      <c r="C173" s="17" t="s">
        <v>693</v>
      </c>
      <c r="D173" s="1" t="s">
        <v>694</v>
      </c>
      <c r="E173" s="1" t="str">
        <f>_xlfn.XLOOKUP(C173,'Tabla Articulos'!B:B,'Tabla Articulos'!D:D)</f>
        <v>CAJA MESA HURLINGHAM 90L</v>
      </c>
      <c r="F173" s="1">
        <f>_xlfn.XLOOKUP(C173,'Tabla Articulos'!B:B,'Tabla Articulos'!E:E)</f>
        <v>1</v>
      </c>
      <c r="G173" s="15">
        <f>SUM(
    SUMIFS(MRP!$H$2:$H$221, MRP!$B$2:$B$221, $C173, MRP!$G$2:$G$221, G$1),
    SUMIFS(MRP!$I$2:$I$221, MRP!$B$2:$B$221, $C173, MRP!$G$2:$G$221, G$1),
    SUMIFS(MRP!$J$2:$J$221, MRP!$B$2:$B$221, $C173,  MRP!$G$2:$G$221, G$1),
    SUMIFS(MRP!$K$2:$K$221, MRP!$B$2:$B$221, $C173,  MRP!$G$2:$G$221, G$1),
    SUMIFS(MRP!$L$2:$L$221, MRP!$B$2:$B$221, $C173,  MRP!$G$2:$G$221, G$1)
)*F173</f>
        <v>0</v>
      </c>
      <c r="H173" s="15">
        <f>SUM(
    SUMIFS(MRP!$H$2:$H$221, MRP!$B$2:$B$221, $C173, MRP!$G$2:$G$221, H$1),
    SUMIFS(MRP!$I$2:$I$221, MRP!$B$2:$B$221, $C173, MRP!$G$2:$G$221, H$1),
    SUMIFS(MRP!$J$2:$J$221, MRP!$B$2:$B$221, $C173,  MRP!$G$2:$G$221, H$1),
    SUMIFS(MRP!$K$2:$K$221, MRP!$B$2:$B$221, $C173,  MRP!$G$2:$G$221, H$1),
    SUMIFS(MRP!$L$2:$L$221, MRP!$B$2:$B$221, $C173,  MRP!$G$2:$G$221, H$1)
)*F173</f>
        <v>0</v>
      </c>
      <c r="I173" s="15">
        <f>SUM(
    SUMIFS(MRP!$H$2:$H$221, MRP!$B$2:$B$221, $C173, MRP!$G$2:$G$221, I$1),
    SUMIFS(MRP!$I$2:$I$221, MRP!$B$2:$B$221, $C173, MRP!$G$2:$G$221, I$1),
    SUMIFS(MRP!$J$2:$J$221, MRP!$B$2:$B$221, $C173,  MRP!$G$2:$G$221, I$1),
    SUMIFS(MRP!$K$2:$K$221, MRP!$B$2:$B$221, $C173,  MRP!$G$2:$G$221, I$1),
    SUMIFS(MRP!$L$2:$L$221, MRP!$B$2:$B$221, $C173,  MRP!$G$2:$G$221, I$1)
)*F173</f>
        <v>0</v>
      </c>
      <c r="J173" s="15">
        <f>SUM(
    SUMIFS(MRP!$H$2:$H$221, MRP!$B$2:$B$221, $C173, MRP!$G$2:$G$221, J$1),
    SUMIFS(MRP!$I$2:$I$221, MRP!$B$2:$B$221, $C173, MRP!$G$2:$G$221, J$1),
    SUMIFS(MRP!$J$2:$J$221, MRP!$B$2:$B$221, $C173,  MRP!$G$2:$G$221, J$1),
    SUMIFS(MRP!$K$2:$K$221, MRP!$B$2:$B$221, $C173,  MRP!$G$2:$G$221, J$1),
    SUMIFS(MRP!$L$2:$L$221, MRP!$B$2:$B$221, $C173,  MRP!$G$2:$G$221, J$1)
)*F173</f>
        <v>0</v>
      </c>
      <c r="K173" s="15">
        <f>SUM(
    SUMIFS(MRP!$H$2:$H$221, MRP!$B$2:$B$221, $C173, MRP!$G$2:$G$221, K$1),
    SUMIFS(MRP!$I$2:$I$221, MRP!$B$2:$B$221, $C173, MRP!$G$2:$G$221, K$1),
    SUMIFS(MRP!$J$2:$J$221, MRP!$B$2:$B$221, $C173,  MRP!$G$2:$G$221, K$1),
    SUMIFS(MRP!$K$2:$K$221, MRP!$B$2:$B$221, $C173,  MRP!$G$2:$G$221, K$1),
    SUMIFS(MRP!$L$2:$L$221, MRP!$B$2:$B$221, $C173,  MRP!$G$2:$G$221, K$1)
)*F173</f>
        <v>0</v>
      </c>
      <c r="L173" s="55" t="str">
        <f>TRIM(Tabla3[[#This Row],[CodInternoArti]])</f>
        <v>7790321626939</v>
      </c>
    </row>
    <row r="174" spans="1:12" hidden="1" x14ac:dyDescent="0.35">
      <c r="A174" s="38" t="str">
        <f>IF(ISNUMBER(_xlfn.XMATCH(Tabla3[[#This Row],[CodInternoArti]],'Tabla Articulos'!B:B)),"OK","NO ESTA")</f>
        <v>OK</v>
      </c>
      <c r="B174" s="38" t="str">
        <f>IF(ISNUMBER(_xlfn.XMATCH('Calcular necesidad'!E:E,'Necesidad por familia'!A:A)),"OK","NO ESTA")</f>
        <v>NO ESTA</v>
      </c>
      <c r="C174" s="17" t="s">
        <v>695</v>
      </c>
      <c r="D174" s="1" t="s">
        <v>696</v>
      </c>
      <c r="E174" s="1" t="str">
        <f>_xlfn.XLOOKUP(C174,'Tabla Articulos'!B:B,'Tabla Articulos'!D:D)</f>
        <v>CAJA MESA CHICA</v>
      </c>
      <c r="F174" s="1">
        <f>_xlfn.XLOOKUP(C174,'Tabla Articulos'!B:B,'Tabla Articulos'!E:E)</f>
        <v>1</v>
      </c>
      <c r="G174" s="15">
        <f>SUM(
    SUMIFS(MRP!$H$2:$H$221, MRP!$B$2:$B$221, $C174, MRP!$G$2:$G$221, G$1),
    SUMIFS(MRP!$I$2:$I$221, MRP!$B$2:$B$221, $C174, MRP!$G$2:$G$221, G$1),
    SUMIFS(MRP!$J$2:$J$221, MRP!$B$2:$B$221, $C174,  MRP!$G$2:$G$221, G$1),
    SUMIFS(MRP!$K$2:$K$221, MRP!$B$2:$B$221, $C174,  MRP!$G$2:$G$221, G$1),
    SUMIFS(MRP!$L$2:$L$221, MRP!$B$2:$B$221, $C174,  MRP!$G$2:$G$221, G$1)
)*F174</f>
        <v>0</v>
      </c>
      <c r="H174" s="15">
        <f>SUM(
    SUMIFS(MRP!$H$2:$H$221, MRP!$B$2:$B$221, $C174, MRP!$G$2:$G$221, H$1),
    SUMIFS(MRP!$I$2:$I$221, MRP!$B$2:$B$221, $C174, MRP!$G$2:$G$221, H$1),
    SUMIFS(MRP!$J$2:$J$221, MRP!$B$2:$B$221, $C174,  MRP!$G$2:$G$221, H$1),
    SUMIFS(MRP!$K$2:$K$221, MRP!$B$2:$B$221, $C174,  MRP!$G$2:$G$221, H$1),
    SUMIFS(MRP!$L$2:$L$221, MRP!$B$2:$B$221, $C174,  MRP!$G$2:$G$221, H$1)
)*F174</f>
        <v>0</v>
      </c>
      <c r="I174" s="15">
        <f>SUM(
    SUMIFS(MRP!$H$2:$H$221, MRP!$B$2:$B$221, $C174, MRP!$G$2:$G$221, I$1),
    SUMIFS(MRP!$I$2:$I$221, MRP!$B$2:$B$221, $C174, MRP!$G$2:$G$221, I$1),
    SUMIFS(MRP!$J$2:$J$221, MRP!$B$2:$B$221, $C174,  MRP!$G$2:$G$221, I$1),
    SUMIFS(MRP!$K$2:$K$221, MRP!$B$2:$B$221, $C174,  MRP!$G$2:$G$221, I$1),
    SUMIFS(MRP!$L$2:$L$221, MRP!$B$2:$B$221, $C174,  MRP!$G$2:$G$221, I$1)
)*F174</f>
        <v>0</v>
      </c>
      <c r="J174" s="15">
        <f>SUM(
    SUMIFS(MRP!$H$2:$H$221, MRP!$B$2:$B$221, $C174, MRP!$G$2:$G$221, J$1),
    SUMIFS(MRP!$I$2:$I$221, MRP!$B$2:$B$221, $C174, MRP!$G$2:$G$221, J$1),
    SUMIFS(MRP!$J$2:$J$221, MRP!$B$2:$B$221, $C174,  MRP!$G$2:$G$221, J$1),
    SUMIFS(MRP!$K$2:$K$221, MRP!$B$2:$B$221, $C174,  MRP!$G$2:$G$221, J$1),
    SUMIFS(MRP!$L$2:$L$221, MRP!$B$2:$B$221, $C174,  MRP!$G$2:$G$221, J$1)
)*F174</f>
        <v>0</v>
      </c>
      <c r="K174" s="15">
        <f>SUM(
    SUMIFS(MRP!$H$2:$H$221, MRP!$B$2:$B$221, $C174, MRP!$G$2:$G$221, K$1),
    SUMIFS(MRP!$I$2:$I$221, MRP!$B$2:$B$221, $C174, MRP!$G$2:$G$221, K$1),
    SUMIFS(MRP!$J$2:$J$221, MRP!$B$2:$B$221, $C174,  MRP!$G$2:$G$221, K$1),
    SUMIFS(MRP!$K$2:$K$221, MRP!$B$2:$B$221, $C174,  MRP!$G$2:$G$221, K$1),
    SUMIFS(MRP!$L$2:$L$221, MRP!$B$2:$B$221, $C174,  MRP!$G$2:$G$221, K$1)
)*F174</f>
        <v>0</v>
      </c>
      <c r="L174" s="55" t="str">
        <f>TRIM(Tabla3[[#This Row],[CodInternoArti]])</f>
        <v>7790000000150</v>
      </c>
    </row>
    <row r="175" spans="1:12" hidden="1" x14ac:dyDescent="0.35">
      <c r="A175" s="38" t="str">
        <f>IF(ISNUMBER(_xlfn.XMATCH(Tabla3[[#This Row],[CodInternoArti]],'Tabla Articulos'!B:B)),"OK","NO ESTA")</f>
        <v>OK</v>
      </c>
      <c r="B175" s="38" t="str">
        <f>IF(ISNUMBER(_xlfn.XMATCH('Calcular necesidad'!E:E,'Necesidad por familia'!A:A)),"OK","NO ESTA")</f>
        <v>NO ESTA</v>
      </c>
      <c r="C175" s="17" t="s">
        <v>697</v>
      </c>
      <c r="D175" s="1" t="s">
        <v>698</v>
      </c>
      <c r="E175" s="1" t="str">
        <f>_xlfn.XLOOKUP(C175,'Tabla Articulos'!B:B,'Tabla Articulos'!D:D)</f>
        <v>CAJA MESA INTERMEDIA</v>
      </c>
      <c r="F175" s="1">
        <f>_xlfn.XLOOKUP(C175,'Tabla Articulos'!B:B,'Tabla Articulos'!E:E)</f>
        <v>1</v>
      </c>
      <c r="G175" s="15">
        <f>SUM(
    SUMIFS(MRP!$H$2:$H$221, MRP!$B$2:$B$221, $C175, MRP!$G$2:$G$221, G$1),
    SUMIFS(MRP!$I$2:$I$221, MRP!$B$2:$B$221, $C175, MRP!$G$2:$G$221, G$1),
    SUMIFS(MRP!$J$2:$J$221, MRP!$B$2:$B$221, $C175,  MRP!$G$2:$G$221, G$1),
    SUMIFS(MRP!$K$2:$K$221, MRP!$B$2:$B$221, $C175,  MRP!$G$2:$G$221, G$1),
    SUMIFS(MRP!$L$2:$L$221, MRP!$B$2:$B$221, $C175,  MRP!$G$2:$G$221, G$1)
)*F175</f>
        <v>0</v>
      </c>
      <c r="H175" s="15">
        <f>SUM(
    SUMIFS(MRP!$H$2:$H$221, MRP!$B$2:$B$221, $C175, MRP!$G$2:$G$221, H$1),
    SUMIFS(MRP!$I$2:$I$221, MRP!$B$2:$B$221, $C175, MRP!$G$2:$G$221, H$1),
    SUMIFS(MRP!$J$2:$J$221, MRP!$B$2:$B$221, $C175,  MRP!$G$2:$G$221, H$1),
    SUMIFS(MRP!$K$2:$K$221, MRP!$B$2:$B$221, $C175,  MRP!$G$2:$G$221, H$1),
    SUMIFS(MRP!$L$2:$L$221, MRP!$B$2:$B$221, $C175,  MRP!$G$2:$G$221, H$1)
)*F175</f>
        <v>0</v>
      </c>
      <c r="I175" s="15">
        <f>SUM(
    SUMIFS(MRP!$H$2:$H$221, MRP!$B$2:$B$221, $C175, MRP!$G$2:$G$221, I$1),
    SUMIFS(MRP!$I$2:$I$221, MRP!$B$2:$B$221, $C175, MRP!$G$2:$G$221, I$1),
    SUMIFS(MRP!$J$2:$J$221, MRP!$B$2:$B$221, $C175,  MRP!$G$2:$G$221, I$1),
    SUMIFS(MRP!$K$2:$K$221, MRP!$B$2:$B$221, $C175,  MRP!$G$2:$G$221, I$1),
    SUMIFS(MRP!$L$2:$L$221, MRP!$B$2:$B$221, $C175,  MRP!$G$2:$G$221, I$1)
)*F175</f>
        <v>0</v>
      </c>
      <c r="J175" s="15">
        <f>SUM(
    SUMIFS(MRP!$H$2:$H$221, MRP!$B$2:$B$221, $C175, MRP!$G$2:$G$221, J$1),
    SUMIFS(MRP!$I$2:$I$221, MRP!$B$2:$B$221, $C175, MRP!$G$2:$G$221, J$1),
    SUMIFS(MRP!$J$2:$J$221, MRP!$B$2:$B$221, $C175,  MRP!$G$2:$G$221, J$1),
    SUMIFS(MRP!$K$2:$K$221, MRP!$B$2:$B$221, $C175,  MRP!$G$2:$G$221, J$1),
    SUMIFS(MRP!$L$2:$L$221, MRP!$B$2:$B$221, $C175,  MRP!$G$2:$G$221, J$1)
)*F175</f>
        <v>0</v>
      </c>
      <c r="K175" s="15">
        <f>SUM(
    SUMIFS(MRP!$H$2:$H$221, MRP!$B$2:$B$221, $C175, MRP!$G$2:$G$221, K$1),
    SUMIFS(MRP!$I$2:$I$221, MRP!$B$2:$B$221, $C175, MRP!$G$2:$G$221, K$1),
    SUMIFS(MRP!$J$2:$J$221, MRP!$B$2:$B$221, $C175,  MRP!$G$2:$G$221, K$1),
    SUMIFS(MRP!$K$2:$K$221, MRP!$B$2:$B$221, $C175,  MRP!$G$2:$G$221, K$1),
    SUMIFS(MRP!$L$2:$L$221, MRP!$B$2:$B$221, $C175,  MRP!$G$2:$G$221, K$1)
)*F175</f>
        <v>0</v>
      </c>
      <c r="L175" s="55" t="str">
        <f>TRIM(Tabla3[[#This Row],[CodInternoArti]])</f>
        <v>7790321626938</v>
      </c>
    </row>
    <row r="176" spans="1:12" hidden="1" x14ac:dyDescent="0.35">
      <c r="A176" s="38" t="str">
        <f>IF(ISNUMBER(_xlfn.XMATCH(Tabla3[[#This Row],[CodInternoArti]],'Tabla Articulos'!B:B)),"OK","NO ESTA")</f>
        <v>OK</v>
      </c>
      <c r="B176" s="38" t="str">
        <f>IF(ISNUMBER(_xlfn.XMATCH('Calcular necesidad'!E:E,'Necesidad por familia'!A:A)),"OK","NO ESTA")</f>
        <v>NO ESTA</v>
      </c>
      <c r="C176" s="17" t="s">
        <v>699</v>
      </c>
      <c r="D176" s="1" t="s">
        <v>700</v>
      </c>
      <c r="E176" s="1" t="str">
        <f>_xlfn.XLOOKUP(C176,'Tabla Articulos'!B:B,'Tabla Articulos'!D:D)</f>
        <v>CAJA MESA GRANDE</v>
      </c>
      <c r="F176" s="1">
        <f>_xlfn.XLOOKUP(C176,'Tabla Articulos'!B:B,'Tabla Articulos'!E:E)</f>
        <v>1</v>
      </c>
      <c r="G176" s="15">
        <f>SUM(
    SUMIFS(MRP!$H$2:$H$221, MRP!$B$2:$B$221, $C176, MRP!$G$2:$G$221, G$1),
    SUMIFS(MRP!$I$2:$I$221, MRP!$B$2:$B$221, $C176, MRP!$G$2:$G$221, G$1),
    SUMIFS(MRP!$J$2:$J$221, MRP!$B$2:$B$221, $C176,  MRP!$G$2:$G$221, G$1),
    SUMIFS(MRP!$K$2:$K$221, MRP!$B$2:$B$221, $C176,  MRP!$G$2:$G$221, G$1),
    SUMIFS(MRP!$L$2:$L$221, MRP!$B$2:$B$221, $C176,  MRP!$G$2:$G$221, G$1)
)*F176</f>
        <v>0</v>
      </c>
      <c r="H176" s="15">
        <f>SUM(
    SUMIFS(MRP!$H$2:$H$221, MRP!$B$2:$B$221, $C176, MRP!$G$2:$G$221, H$1),
    SUMIFS(MRP!$I$2:$I$221, MRP!$B$2:$B$221, $C176, MRP!$G$2:$G$221, H$1),
    SUMIFS(MRP!$J$2:$J$221, MRP!$B$2:$B$221, $C176,  MRP!$G$2:$G$221, H$1),
    SUMIFS(MRP!$K$2:$K$221, MRP!$B$2:$B$221, $C176,  MRP!$G$2:$G$221, H$1),
    SUMIFS(MRP!$L$2:$L$221, MRP!$B$2:$B$221, $C176,  MRP!$G$2:$G$221, H$1)
)*F176</f>
        <v>0</v>
      </c>
      <c r="I176" s="15">
        <f>SUM(
    SUMIFS(MRP!$H$2:$H$221, MRP!$B$2:$B$221, $C176, MRP!$G$2:$G$221, I$1),
    SUMIFS(MRP!$I$2:$I$221, MRP!$B$2:$B$221, $C176, MRP!$G$2:$G$221, I$1),
    SUMIFS(MRP!$J$2:$J$221, MRP!$B$2:$B$221, $C176,  MRP!$G$2:$G$221, I$1),
    SUMIFS(MRP!$K$2:$K$221, MRP!$B$2:$B$221, $C176,  MRP!$G$2:$G$221, I$1),
    SUMIFS(MRP!$L$2:$L$221, MRP!$B$2:$B$221, $C176,  MRP!$G$2:$G$221, I$1)
)*F176</f>
        <v>0</v>
      </c>
      <c r="J176" s="15">
        <f>SUM(
    SUMIFS(MRP!$H$2:$H$221, MRP!$B$2:$B$221, $C176, MRP!$G$2:$G$221, J$1),
    SUMIFS(MRP!$I$2:$I$221, MRP!$B$2:$B$221, $C176, MRP!$G$2:$G$221, J$1),
    SUMIFS(MRP!$J$2:$J$221, MRP!$B$2:$B$221, $C176,  MRP!$G$2:$G$221, J$1),
    SUMIFS(MRP!$K$2:$K$221, MRP!$B$2:$B$221, $C176,  MRP!$G$2:$G$221, J$1),
    SUMIFS(MRP!$L$2:$L$221, MRP!$B$2:$B$221, $C176,  MRP!$G$2:$G$221, J$1)
)*F176</f>
        <v>0</v>
      </c>
      <c r="K176" s="15">
        <f>SUM(
    SUMIFS(MRP!$H$2:$H$221, MRP!$B$2:$B$221, $C176, MRP!$G$2:$G$221, K$1),
    SUMIFS(MRP!$I$2:$I$221, MRP!$B$2:$B$221, $C176, MRP!$G$2:$G$221, K$1),
    SUMIFS(MRP!$J$2:$J$221, MRP!$B$2:$B$221, $C176,  MRP!$G$2:$G$221, K$1),
    SUMIFS(MRP!$K$2:$K$221, MRP!$B$2:$B$221, $C176,  MRP!$G$2:$G$221, K$1),
    SUMIFS(MRP!$L$2:$L$221, MRP!$B$2:$B$221, $C176,  MRP!$G$2:$G$221, K$1)
)*F176</f>
        <v>0</v>
      </c>
      <c r="L176" s="55" t="str">
        <f>TRIM(Tabla3[[#This Row],[CodInternoArti]])</f>
        <v>7790321626935</v>
      </c>
    </row>
    <row r="177" spans="1:12" hidden="1" x14ac:dyDescent="0.35">
      <c r="A177" s="38" t="str">
        <f>IF(ISNUMBER(_xlfn.XMATCH(Tabla3[[#This Row],[CodInternoArti]],'Tabla Articulos'!B:B)),"OK","NO ESTA")</f>
        <v>OK</v>
      </c>
      <c r="B177" s="38" t="str">
        <f>IF(ISNUMBER(_xlfn.XMATCH('Calcular necesidad'!E:E,'Necesidad por familia'!A:A)),"OK","NO ESTA")</f>
        <v>OK</v>
      </c>
      <c r="C177" s="17" t="s">
        <v>701</v>
      </c>
      <c r="D177" s="1" t="s">
        <v>702</v>
      </c>
      <c r="E177" s="1" t="str">
        <f>_xlfn.XLOOKUP(C177,'Tabla Articulos'!B:B,'Tabla Articulos'!D:D)</f>
        <v>CAJA DOBLE BASE 40X30X27 MESA</v>
      </c>
      <c r="F177" s="1">
        <f>_xlfn.XLOOKUP(C177,'Tabla Articulos'!B:B,'Tabla Articulos'!E:E)</f>
        <v>1</v>
      </c>
      <c r="G177" s="15">
        <f>SUM(
    SUMIFS(MRP!$H$2:$H$221, MRP!$B$2:$B$221, $C177, MRP!$G$2:$G$221, G$1),
    SUMIFS(MRP!$I$2:$I$221, MRP!$B$2:$B$221, $C177, MRP!$G$2:$G$221, G$1),
    SUMIFS(MRP!$J$2:$J$221, MRP!$B$2:$B$221, $C177,  MRP!$G$2:$G$221, G$1),
    SUMIFS(MRP!$K$2:$K$221, MRP!$B$2:$B$221, $C177,  MRP!$G$2:$G$221, G$1),
    SUMIFS(MRP!$L$2:$L$221, MRP!$B$2:$B$221, $C177,  MRP!$G$2:$G$221, G$1)
)*F177</f>
        <v>0</v>
      </c>
      <c r="H177" s="15">
        <f>SUM(
    SUMIFS(MRP!$H$2:$H$221, MRP!$B$2:$B$221, $C177, MRP!$G$2:$G$221, H$1),
    SUMIFS(MRP!$I$2:$I$221, MRP!$B$2:$B$221, $C177, MRP!$G$2:$G$221, H$1),
    SUMIFS(MRP!$J$2:$J$221, MRP!$B$2:$B$221, $C177,  MRP!$G$2:$G$221, H$1),
    SUMIFS(MRP!$K$2:$K$221, MRP!$B$2:$B$221, $C177,  MRP!$G$2:$G$221, H$1),
    SUMIFS(MRP!$L$2:$L$221, MRP!$B$2:$B$221, $C177,  MRP!$G$2:$G$221, H$1)
)*F177</f>
        <v>0</v>
      </c>
      <c r="I177" s="15">
        <f>SUM(
    SUMIFS(MRP!$H$2:$H$221, MRP!$B$2:$B$221, $C177, MRP!$G$2:$G$221, I$1),
    SUMIFS(MRP!$I$2:$I$221, MRP!$B$2:$B$221, $C177, MRP!$G$2:$G$221, I$1),
    SUMIFS(MRP!$J$2:$J$221, MRP!$B$2:$B$221, $C177,  MRP!$G$2:$G$221, I$1),
    SUMIFS(MRP!$K$2:$K$221, MRP!$B$2:$B$221, $C177,  MRP!$G$2:$G$221, I$1),
    SUMIFS(MRP!$L$2:$L$221, MRP!$B$2:$B$221, $C177,  MRP!$G$2:$G$221, I$1)
)*F177</f>
        <v>0</v>
      </c>
      <c r="J177" s="15">
        <f>SUM(
    SUMIFS(MRP!$H$2:$H$221, MRP!$B$2:$B$221, $C177, MRP!$G$2:$G$221, J$1),
    SUMIFS(MRP!$I$2:$I$221, MRP!$B$2:$B$221, $C177, MRP!$G$2:$G$221, J$1),
    SUMIFS(MRP!$J$2:$J$221, MRP!$B$2:$B$221, $C177,  MRP!$G$2:$G$221, J$1),
    SUMIFS(MRP!$K$2:$K$221, MRP!$B$2:$B$221, $C177,  MRP!$G$2:$G$221, J$1),
    SUMIFS(MRP!$L$2:$L$221, MRP!$B$2:$B$221, $C177,  MRP!$G$2:$G$221, J$1)
)*F177</f>
        <v>0</v>
      </c>
      <c r="K177" s="15">
        <f>SUM(
    SUMIFS(MRP!$H$2:$H$221, MRP!$B$2:$B$221, $C177, MRP!$G$2:$G$221, K$1),
    SUMIFS(MRP!$I$2:$I$221, MRP!$B$2:$B$221, $C177, MRP!$G$2:$G$221, K$1),
    SUMIFS(MRP!$J$2:$J$221, MRP!$B$2:$B$221, $C177,  MRP!$G$2:$G$221, K$1),
    SUMIFS(MRP!$K$2:$K$221, MRP!$B$2:$B$221, $C177,  MRP!$G$2:$G$221, K$1),
    SUMIFS(MRP!$L$2:$L$221, MRP!$B$2:$B$221, $C177,  MRP!$G$2:$G$221, K$1)
)*F177</f>
        <v>0</v>
      </c>
      <c r="L177" s="55" t="str">
        <f>TRIM(Tabla3[[#This Row],[CodInternoArti]])</f>
        <v>7790316030027</v>
      </c>
    </row>
    <row r="178" spans="1:12" hidden="1" x14ac:dyDescent="0.35">
      <c r="A178" s="38" t="str">
        <f>IF(ISNUMBER(_xlfn.XMATCH(Tabla3[[#This Row],[CodInternoArti]],'Tabla Articulos'!B:B)),"OK","NO ESTA")</f>
        <v>OK</v>
      </c>
      <c r="B178" s="38" t="str">
        <f>IF(ISNUMBER(_xlfn.XMATCH('Calcular necesidad'!E:E,'Necesidad por familia'!A:A)),"OK","NO ESTA")</f>
        <v>OK</v>
      </c>
      <c r="C178" s="17" t="s">
        <v>703</v>
      </c>
      <c r="D178" s="1" t="s">
        <v>704</v>
      </c>
      <c r="E178" s="1" t="str">
        <f>_xlfn.XLOOKUP(C178,'Tabla Articulos'!B:B,'Tabla Articulos'!D:D)</f>
        <v>CAJA HERRERA</v>
      </c>
      <c r="F178" s="1">
        <f>_xlfn.XLOOKUP(C178,'Tabla Articulos'!B:B,'Tabla Articulos'!E:E)</f>
        <v>1</v>
      </c>
      <c r="G178" s="15">
        <f>SUM(
    SUMIFS(MRP!$H$2:$H$221, MRP!$B$2:$B$221, $C178, MRP!$G$2:$G$221, G$1),
    SUMIFS(MRP!$I$2:$I$221, MRP!$B$2:$B$221, $C178, MRP!$G$2:$G$221, G$1),
    SUMIFS(MRP!$J$2:$J$221, MRP!$B$2:$B$221, $C178,  MRP!$G$2:$G$221, G$1),
    SUMIFS(MRP!$K$2:$K$221, MRP!$B$2:$B$221, $C178,  MRP!$G$2:$G$221, G$1),
    SUMIFS(MRP!$L$2:$L$221, MRP!$B$2:$B$221, $C178,  MRP!$G$2:$G$221, G$1)
)*F178</f>
        <v>0</v>
      </c>
      <c r="H178" s="15">
        <f>SUM(
    SUMIFS(MRP!$H$2:$H$221, MRP!$B$2:$B$221, $C178, MRP!$G$2:$G$221, H$1),
    SUMIFS(MRP!$I$2:$I$221, MRP!$B$2:$B$221, $C178, MRP!$G$2:$G$221, H$1),
    SUMIFS(MRP!$J$2:$J$221, MRP!$B$2:$B$221, $C178,  MRP!$G$2:$G$221, H$1),
    SUMIFS(MRP!$K$2:$K$221, MRP!$B$2:$B$221, $C178,  MRP!$G$2:$G$221, H$1),
    SUMIFS(MRP!$L$2:$L$221, MRP!$B$2:$B$221, $C178,  MRP!$G$2:$G$221, H$1)
)*F178</f>
        <v>0</v>
      </c>
      <c r="I178" s="15">
        <f>SUM(
    SUMIFS(MRP!$H$2:$H$221, MRP!$B$2:$B$221, $C178, MRP!$G$2:$G$221, I$1),
    SUMIFS(MRP!$I$2:$I$221, MRP!$B$2:$B$221, $C178, MRP!$G$2:$G$221, I$1),
    SUMIFS(MRP!$J$2:$J$221, MRP!$B$2:$B$221, $C178,  MRP!$G$2:$G$221, I$1),
    SUMIFS(MRP!$K$2:$K$221, MRP!$B$2:$B$221, $C178,  MRP!$G$2:$G$221, I$1),
    SUMIFS(MRP!$L$2:$L$221, MRP!$B$2:$B$221, $C178,  MRP!$G$2:$G$221, I$1)
)*F178</f>
        <v>0</v>
      </c>
      <c r="J178" s="15">
        <f>SUM(
    SUMIFS(MRP!$H$2:$H$221, MRP!$B$2:$B$221, $C178, MRP!$G$2:$G$221, J$1),
    SUMIFS(MRP!$I$2:$I$221, MRP!$B$2:$B$221, $C178, MRP!$G$2:$G$221, J$1),
    SUMIFS(MRP!$J$2:$J$221, MRP!$B$2:$B$221, $C178,  MRP!$G$2:$G$221, J$1),
    SUMIFS(MRP!$K$2:$K$221, MRP!$B$2:$B$221, $C178,  MRP!$G$2:$G$221, J$1),
    SUMIFS(MRP!$L$2:$L$221, MRP!$B$2:$B$221, $C178,  MRP!$G$2:$G$221, J$1)
)*F178</f>
        <v>0</v>
      </c>
      <c r="K178" s="15">
        <f>SUM(
    SUMIFS(MRP!$H$2:$H$221, MRP!$B$2:$B$221, $C178, MRP!$G$2:$G$221, K$1),
    SUMIFS(MRP!$I$2:$I$221, MRP!$B$2:$B$221, $C178, MRP!$G$2:$G$221, K$1),
    SUMIFS(MRP!$J$2:$J$221, MRP!$B$2:$B$221, $C178,  MRP!$G$2:$G$221, K$1),
    SUMIFS(MRP!$K$2:$K$221, MRP!$B$2:$B$221, $C178,  MRP!$G$2:$G$221, K$1),
    SUMIFS(MRP!$L$2:$L$221, MRP!$B$2:$B$221, $C178,  MRP!$G$2:$G$221, K$1)
)*F178</f>
        <v>0</v>
      </c>
      <c r="L178" s="55" t="str">
        <f>TRIM(Tabla3[[#This Row],[CodInternoArti]])</f>
        <v>7790321626929</v>
      </c>
    </row>
    <row r="179" spans="1:12" hidden="1" x14ac:dyDescent="0.35">
      <c r="A179" s="38" t="str">
        <f>IF(ISNUMBER(_xlfn.XMATCH(Tabla3[[#This Row],[CodInternoArti]],'Tabla Articulos'!B:B)),"OK","NO ESTA")</f>
        <v>OK</v>
      </c>
      <c r="B179" s="38" t="str">
        <f>IF(ISNUMBER(_xlfn.XMATCH('Calcular necesidad'!E:E,'Necesidad por familia'!A:A)),"OK","NO ESTA")</f>
        <v>OK</v>
      </c>
      <c r="C179" s="17" t="s">
        <v>705</v>
      </c>
      <c r="D179" s="1" t="s">
        <v>706</v>
      </c>
      <c r="E179" s="1" t="str">
        <f>_xlfn.XLOOKUP(C179,'Tabla Articulos'!B:B,'Tabla Articulos'!D:D)</f>
        <v>CAJA MESA LANUS 1</v>
      </c>
      <c r="F179" s="1">
        <f>_xlfn.XLOOKUP(C179,'Tabla Articulos'!B:B,'Tabla Articulos'!E:E)</f>
        <v>1</v>
      </c>
      <c r="G179" s="15">
        <f>SUM(
    SUMIFS(MRP!$H$2:$H$221, MRP!$B$2:$B$221, $C179, MRP!$G$2:$G$221, G$1),
    SUMIFS(MRP!$I$2:$I$221, MRP!$B$2:$B$221, $C179, MRP!$G$2:$G$221, G$1),
    SUMIFS(MRP!$J$2:$J$221, MRP!$B$2:$B$221, $C179,  MRP!$G$2:$G$221, G$1),
    SUMIFS(MRP!$K$2:$K$221, MRP!$B$2:$B$221, $C179,  MRP!$G$2:$G$221, G$1),
    SUMIFS(MRP!$L$2:$L$221, MRP!$B$2:$B$221, $C179,  MRP!$G$2:$G$221, G$1)
)*F179</f>
        <v>0</v>
      </c>
      <c r="H179" s="15">
        <f>SUM(
    SUMIFS(MRP!$H$2:$H$221, MRP!$B$2:$B$221, $C179, MRP!$G$2:$G$221, H$1),
    SUMIFS(MRP!$I$2:$I$221, MRP!$B$2:$B$221, $C179, MRP!$G$2:$G$221, H$1),
    SUMIFS(MRP!$J$2:$J$221, MRP!$B$2:$B$221, $C179,  MRP!$G$2:$G$221, H$1),
    SUMIFS(MRP!$K$2:$K$221, MRP!$B$2:$B$221, $C179,  MRP!$G$2:$G$221, H$1),
    SUMIFS(MRP!$L$2:$L$221, MRP!$B$2:$B$221, $C179,  MRP!$G$2:$G$221, H$1)
)*F179</f>
        <v>0</v>
      </c>
      <c r="I179" s="15">
        <f>SUM(
    SUMIFS(MRP!$H$2:$H$221, MRP!$B$2:$B$221, $C179, MRP!$G$2:$G$221, I$1),
    SUMIFS(MRP!$I$2:$I$221, MRP!$B$2:$B$221, $C179, MRP!$G$2:$G$221, I$1),
    SUMIFS(MRP!$J$2:$J$221, MRP!$B$2:$B$221, $C179,  MRP!$G$2:$G$221, I$1),
    SUMIFS(MRP!$K$2:$K$221, MRP!$B$2:$B$221, $C179,  MRP!$G$2:$G$221, I$1),
    SUMIFS(MRP!$L$2:$L$221, MRP!$B$2:$B$221, $C179,  MRP!$G$2:$G$221, I$1)
)*F179</f>
        <v>0</v>
      </c>
      <c r="J179" s="15">
        <f>SUM(
    SUMIFS(MRP!$H$2:$H$221, MRP!$B$2:$B$221, $C179, MRP!$G$2:$G$221, J$1),
    SUMIFS(MRP!$I$2:$I$221, MRP!$B$2:$B$221, $C179, MRP!$G$2:$G$221, J$1),
    SUMIFS(MRP!$J$2:$J$221, MRP!$B$2:$B$221, $C179,  MRP!$G$2:$G$221, J$1),
    SUMIFS(MRP!$K$2:$K$221, MRP!$B$2:$B$221, $C179,  MRP!$G$2:$G$221, J$1),
    SUMIFS(MRP!$L$2:$L$221, MRP!$B$2:$B$221, $C179,  MRP!$G$2:$G$221, J$1)
)*F179</f>
        <v>0</v>
      </c>
      <c r="K179" s="15">
        <f>SUM(
    SUMIFS(MRP!$H$2:$H$221, MRP!$B$2:$B$221, $C179, MRP!$G$2:$G$221, K$1),
    SUMIFS(MRP!$I$2:$I$221, MRP!$B$2:$B$221, $C179, MRP!$G$2:$G$221, K$1),
    SUMIFS(MRP!$J$2:$J$221, MRP!$B$2:$B$221, $C179,  MRP!$G$2:$G$221, K$1),
    SUMIFS(MRP!$K$2:$K$221, MRP!$B$2:$B$221, $C179,  MRP!$G$2:$G$221, K$1),
    SUMIFS(MRP!$L$2:$L$221, MRP!$B$2:$B$221, $C179,  MRP!$G$2:$G$221, K$1)
)*F179</f>
        <v>0</v>
      </c>
      <c r="L179" s="55" t="str">
        <f>TRIM(Tabla3[[#This Row],[CodInternoArti]])</f>
        <v>7790321626838</v>
      </c>
    </row>
    <row r="180" spans="1:12" hidden="1" x14ac:dyDescent="0.35">
      <c r="A180" s="38" t="str">
        <f>IF(ISNUMBER(_xlfn.XMATCH(Tabla3[[#This Row],[CodInternoArti]],'Tabla Articulos'!B:B)),"OK","NO ESTA")</f>
        <v>OK</v>
      </c>
      <c r="B180" s="38" t="str">
        <f>IF(ISNUMBER(_xlfn.XMATCH('Calcular necesidad'!E:E,'Necesidad por familia'!A:A)),"OK","NO ESTA")</f>
        <v>OK</v>
      </c>
      <c r="C180" s="17" t="s">
        <v>707</v>
      </c>
      <c r="D180" s="1" t="s">
        <v>708</v>
      </c>
      <c r="E180" s="1" t="str">
        <f>_xlfn.XLOOKUP(C180,'Tabla Articulos'!B:B,'Tabla Articulos'!D:D)</f>
        <v>CAJA MESA LANUS 2</v>
      </c>
      <c r="F180" s="1">
        <f>_xlfn.XLOOKUP(C180,'Tabla Articulos'!B:B,'Tabla Articulos'!E:E)</f>
        <v>1</v>
      </c>
      <c r="G180" s="15">
        <f>SUM(
    SUMIFS(MRP!$H$2:$H$221, MRP!$B$2:$B$221, $C180, MRP!$G$2:$G$221, G$1),
    SUMIFS(MRP!$I$2:$I$221, MRP!$B$2:$B$221, $C180, MRP!$G$2:$G$221, G$1),
    SUMIFS(MRP!$J$2:$J$221, MRP!$B$2:$B$221, $C180,  MRP!$G$2:$G$221, G$1),
    SUMIFS(MRP!$K$2:$K$221, MRP!$B$2:$B$221, $C180,  MRP!$G$2:$G$221, G$1),
    SUMIFS(MRP!$L$2:$L$221, MRP!$B$2:$B$221, $C180,  MRP!$G$2:$G$221, G$1)
)*F180</f>
        <v>0</v>
      </c>
      <c r="H180" s="15">
        <f>SUM(
    SUMIFS(MRP!$H$2:$H$221, MRP!$B$2:$B$221, $C180, MRP!$G$2:$G$221, H$1),
    SUMIFS(MRP!$I$2:$I$221, MRP!$B$2:$B$221, $C180, MRP!$G$2:$G$221, H$1),
    SUMIFS(MRP!$J$2:$J$221, MRP!$B$2:$B$221, $C180,  MRP!$G$2:$G$221, H$1),
    SUMIFS(MRP!$K$2:$K$221, MRP!$B$2:$B$221, $C180,  MRP!$G$2:$G$221, H$1),
    SUMIFS(MRP!$L$2:$L$221, MRP!$B$2:$B$221, $C180,  MRP!$G$2:$G$221, H$1)
)*F180</f>
        <v>0</v>
      </c>
      <c r="I180" s="15">
        <f>SUM(
    SUMIFS(MRP!$H$2:$H$221, MRP!$B$2:$B$221, $C180, MRP!$G$2:$G$221, I$1),
    SUMIFS(MRP!$I$2:$I$221, MRP!$B$2:$B$221, $C180, MRP!$G$2:$G$221, I$1),
    SUMIFS(MRP!$J$2:$J$221, MRP!$B$2:$B$221, $C180,  MRP!$G$2:$G$221, I$1),
    SUMIFS(MRP!$K$2:$K$221, MRP!$B$2:$B$221, $C180,  MRP!$G$2:$G$221, I$1),
    SUMIFS(MRP!$L$2:$L$221, MRP!$B$2:$B$221, $C180,  MRP!$G$2:$G$221, I$1)
)*F180</f>
        <v>0</v>
      </c>
      <c r="J180" s="15">
        <f>SUM(
    SUMIFS(MRP!$H$2:$H$221, MRP!$B$2:$B$221, $C180, MRP!$G$2:$G$221, J$1),
    SUMIFS(MRP!$I$2:$I$221, MRP!$B$2:$B$221, $C180, MRP!$G$2:$G$221, J$1),
    SUMIFS(MRP!$J$2:$J$221, MRP!$B$2:$B$221, $C180,  MRP!$G$2:$G$221, J$1),
    SUMIFS(MRP!$K$2:$K$221, MRP!$B$2:$B$221, $C180,  MRP!$G$2:$G$221, J$1),
    SUMIFS(MRP!$L$2:$L$221, MRP!$B$2:$B$221, $C180,  MRP!$G$2:$G$221, J$1)
)*F180</f>
        <v>0</v>
      </c>
      <c r="K180" s="15">
        <f>SUM(
    SUMIFS(MRP!$H$2:$H$221, MRP!$B$2:$B$221, $C180, MRP!$G$2:$G$221, K$1),
    SUMIFS(MRP!$I$2:$I$221, MRP!$B$2:$B$221, $C180, MRP!$G$2:$G$221, K$1),
    SUMIFS(MRP!$J$2:$J$221, MRP!$B$2:$B$221, $C180,  MRP!$G$2:$G$221, K$1),
    SUMIFS(MRP!$K$2:$K$221, MRP!$B$2:$B$221, $C180,  MRP!$G$2:$G$221, K$1),
    SUMIFS(MRP!$L$2:$L$221, MRP!$B$2:$B$221, $C180,  MRP!$G$2:$G$221, K$1)
)*F180</f>
        <v>0</v>
      </c>
      <c r="L180" s="55" t="str">
        <f>TRIM(Tabla3[[#This Row],[CodInternoArti]])</f>
        <v>7798072299620</v>
      </c>
    </row>
    <row r="181" spans="1:12" hidden="1" x14ac:dyDescent="0.35">
      <c r="A181" s="38" t="str">
        <f>IF(ISNUMBER(_xlfn.XMATCH(Tabla3[[#This Row],[CodInternoArti]],'Tabla Articulos'!B:B)),"OK","NO ESTA")</f>
        <v>OK</v>
      </c>
      <c r="B181" s="38" t="str">
        <f>IF(ISNUMBER(_xlfn.XMATCH('Calcular necesidad'!E:E,'Necesidad por familia'!A:A)),"OK","NO ESTA")</f>
        <v>OK</v>
      </c>
      <c r="C181" s="1" t="s">
        <v>709</v>
      </c>
      <c r="D181" s="1" t="s">
        <v>523</v>
      </c>
      <c r="E181" s="1" t="str">
        <f>_xlfn.XLOOKUP(C181,'Tabla Articulos'!B:B,'Tabla Articulos'!D:D)</f>
        <v>TENEDOR COMPOSTABLE</v>
      </c>
      <c r="F181" s="1">
        <f>_xlfn.XLOOKUP(C181,'Tabla Articulos'!B:B,'Tabla Articulos'!E:E)</f>
        <v>100</v>
      </c>
      <c r="G181" s="15">
        <f>SUM(
    SUMIFS(MRP!$H$2:$H$221, MRP!$B$2:$B$221, $C181, MRP!$G$2:$G$221, G$1),
    SUMIFS(MRP!$I$2:$I$221, MRP!$B$2:$B$221, $C181, MRP!$G$2:$G$221, G$1),
    SUMIFS(MRP!$J$2:$J$221, MRP!$B$2:$B$221, $C181,  MRP!$G$2:$G$221, G$1),
    SUMIFS(MRP!$K$2:$K$221, MRP!$B$2:$B$221, $C181,  MRP!$G$2:$G$221, G$1),
    SUMIFS(MRP!$L$2:$L$221, MRP!$B$2:$B$221, $C181,  MRP!$G$2:$G$221, G$1)
)*F181</f>
        <v>0</v>
      </c>
      <c r="H181" s="15">
        <f>SUM(
    SUMIFS(MRP!$H$2:$H$221, MRP!$B$2:$B$221, $C181, MRP!$G$2:$G$221, H$1),
    SUMIFS(MRP!$I$2:$I$221, MRP!$B$2:$B$221, $C181, MRP!$G$2:$G$221, H$1),
    SUMIFS(MRP!$J$2:$J$221, MRP!$B$2:$B$221, $C181,  MRP!$G$2:$G$221, H$1),
    SUMIFS(MRP!$K$2:$K$221, MRP!$B$2:$B$221, $C181,  MRP!$G$2:$G$221, H$1),
    SUMIFS(MRP!$L$2:$L$221, MRP!$B$2:$B$221, $C181,  MRP!$G$2:$G$221, H$1)
)*F181</f>
        <v>5000</v>
      </c>
      <c r="I181" s="15">
        <f>SUM(
    SUMIFS(MRP!$H$2:$H$221, MRP!$B$2:$B$221, $C181, MRP!$G$2:$G$221, I$1),
    SUMIFS(MRP!$I$2:$I$221, MRP!$B$2:$B$221, $C181, MRP!$G$2:$G$221, I$1),
    SUMIFS(MRP!$J$2:$J$221, MRP!$B$2:$B$221, $C181,  MRP!$G$2:$G$221, I$1),
    SUMIFS(MRP!$K$2:$K$221, MRP!$B$2:$B$221, $C181,  MRP!$G$2:$G$221, I$1),
    SUMIFS(MRP!$L$2:$L$221, MRP!$B$2:$B$221, $C181,  MRP!$G$2:$G$221, I$1)
)*F181</f>
        <v>0</v>
      </c>
      <c r="J181" s="15">
        <f>SUM(
    SUMIFS(MRP!$H$2:$H$221, MRP!$B$2:$B$221, $C181, MRP!$G$2:$G$221, J$1),
    SUMIFS(MRP!$I$2:$I$221, MRP!$B$2:$B$221, $C181, MRP!$G$2:$G$221, J$1),
    SUMIFS(MRP!$J$2:$J$221, MRP!$B$2:$B$221, $C181,  MRP!$G$2:$G$221, J$1),
    SUMIFS(MRP!$K$2:$K$221, MRP!$B$2:$B$221, $C181,  MRP!$G$2:$G$221, J$1),
    SUMIFS(MRP!$L$2:$L$221, MRP!$B$2:$B$221, $C181,  MRP!$G$2:$G$221, J$1)
)*F181</f>
        <v>0</v>
      </c>
      <c r="K181" s="15">
        <f>SUM(
    SUMIFS(MRP!$H$2:$H$221, MRP!$B$2:$B$221, $C181, MRP!$G$2:$G$221, K$1),
    SUMIFS(MRP!$I$2:$I$221, MRP!$B$2:$B$221, $C181, MRP!$G$2:$G$221, K$1),
    SUMIFS(MRP!$J$2:$J$221, MRP!$B$2:$B$221, $C181,  MRP!$G$2:$G$221, K$1),
    SUMIFS(MRP!$K$2:$K$221, MRP!$B$2:$B$221, $C181,  MRP!$G$2:$G$221, K$1),
    SUMIFS(MRP!$L$2:$L$221, MRP!$B$2:$B$221, $C181,  MRP!$G$2:$G$221, K$1)
)*F181</f>
        <v>0</v>
      </c>
      <c r="L181" s="55" t="str">
        <f>TRIM(Tabla3[[#This Row],[CodInternoArti]])</f>
        <v>7790000000523</v>
      </c>
    </row>
    <row r="182" spans="1:12" hidden="1" x14ac:dyDescent="0.35">
      <c r="A182" s="38" t="str">
        <f>IF(ISNUMBER(_xlfn.XMATCH(Tabla3[[#This Row],[CodInternoArti]],'Tabla Articulos'!B:B)),"OK","NO ESTA")</f>
        <v>OK</v>
      </c>
      <c r="B182" s="38" t="str">
        <f>IF(ISNUMBER(_xlfn.XMATCH('Calcular necesidad'!E:E,'Necesidad por familia'!A:A)),"OK","NO ESTA")</f>
        <v>OK</v>
      </c>
      <c r="C182" s="1" t="s">
        <v>710</v>
      </c>
      <c r="D182" s="1" t="s">
        <v>711</v>
      </c>
      <c r="E182" s="1" t="str">
        <f>_xlfn.XLOOKUP(C182,'Tabla Articulos'!B:B,'Tabla Articulos'!D:D)</f>
        <v>BARBIJO N95</v>
      </c>
      <c r="F182" s="1">
        <f>_xlfn.XLOOKUP(C182,'Tabla Articulos'!B:B,'Tabla Articulos'!E:E)</f>
        <v>1</v>
      </c>
      <c r="G182" s="15">
        <f>SUM(
    SUMIFS(MRP!$H$2:$H$221, MRP!$B$2:$B$221, $C182, MRP!$G$2:$G$221, G$1),
    SUMIFS(MRP!$I$2:$I$221, MRP!$B$2:$B$221, $C182, MRP!$G$2:$G$221, G$1),
    SUMIFS(MRP!$J$2:$J$221, MRP!$B$2:$B$221, $C182,  MRP!$G$2:$G$221, G$1),
    SUMIFS(MRP!$K$2:$K$221, MRP!$B$2:$B$221, $C182,  MRP!$G$2:$G$221, G$1),
    SUMIFS(MRP!$L$2:$L$221, MRP!$B$2:$B$221, $C182,  MRP!$G$2:$G$221, G$1)
)*F182</f>
        <v>0</v>
      </c>
      <c r="H182" s="15">
        <f>SUM(
    SUMIFS(MRP!$H$2:$H$221, MRP!$B$2:$B$221, $C182, MRP!$G$2:$G$221, H$1),
    SUMIFS(MRP!$I$2:$I$221, MRP!$B$2:$B$221, $C182, MRP!$G$2:$G$221, H$1),
    SUMIFS(MRP!$J$2:$J$221, MRP!$B$2:$B$221, $C182,  MRP!$G$2:$G$221, H$1),
    SUMIFS(MRP!$K$2:$K$221, MRP!$B$2:$B$221, $C182,  MRP!$G$2:$G$221, H$1),
    SUMIFS(MRP!$L$2:$L$221, MRP!$B$2:$B$221, $C182,  MRP!$G$2:$G$221, H$1)
)*F182</f>
        <v>0</v>
      </c>
      <c r="I182" s="15">
        <f>SUM(
    SUMIFS(MRP!$H$2:$H$221, MRP!$B$2:$B$221, $C182, MRP!$G$2:$G$221, I$1),
    SUMIFS(MRP!$I$2:$I$221, MRP!$B$2:$B$221, $C182, MRP!$G$2:$G$221, I$1),
    SUMIFS(MRP!$J$2:$J$221, MRP!$B$2:$B$221, $C182,  MRP!$G$2:$G$221, I$1),
    SUMIFS(MRP!$K$2:$K$221, MRP!$B$2:$B$221, $C182,  MRP!$G$2:$G$221, I$1),
    SUMIFS(MRP!$L$2:$L$221, MRP!$B$2:$B$221, $C182,  MRP!$G$2:$G$221, I$1)
)*F182</f>
        <v>0</v>
      </c>
      <c r="J182" s="15">
        <f>SUM(
    SUMIFS(MRP!$H$2:$H$221, MRP!$B$2:$B$221, $C182, MRP!$G$2:$G$221, J$1),
    SUMIFS(MRP!$I$2:$I$221, MRP!$B$2:$B$221, $C182, MRP!$G$2:$G$221, J$1),
    SUMIFS(MRP!$J$2:$J$221, MRP!$B$2:$B$221, $C182,  MRP!$G$2:$G$221, J$1),
    SUMIFS(MRP!$K$2:$K$221, MRP!$B$2:$B$221, $C182,  MRP!$G$2:$G$221, J$1),
    SUMIFS(MRP!$L$2:$L$221, MRP!$B$2:$B$221, $C182,  MRP!$G$2:$G$221, J$1)
)*F182</f>
        <v>0</v>
      </c>
      <c r="K182" s="15">
        <f>SUM(
    SUMIFS(MRP!$H$2:$H$221, MRP!$B$2:$B$221, $C182, MRP!$G$2:$G$221, K$1),
    SUMIFS(MRP!$I$2:$I$221, MRP!$B$2:$B$221, $C182, MRP!$G$2:$G$221, K$1),
    SUMIFS(MRP!$J$2:$J$221, MRP!$B$2:$B$221, $C182,  MRP!$G$2:$G$221, K$1),
    SUMIFS(MRP!$K$2:$K$221, MRP!$B$2:$B$221, $C182,  MRP!$G$2:$G$221, K$1),
    SUMIFS(MRP!$L$2:$L$221, MRP!$B$2:$B$221, $C182,  MRP!$G$2:$G$221, K$1)
)*F182</f>
        <v>0</v>
      </c>
      <c r="L182" s="55" t="str">
        <f>TRIM(Tabla3[[#This Row],[CodInternoArti]])</f>
        <v>5712455070440</v>
      </c>
    </row>
    <row r="183" spans="1:12" hidden="1" x14ac:dyDescent="0.35">
      <c r="A183" s="38" t="str">
        <f>IF(ISNUMBER(_xlfn.XMATCH(Tabla3[[#This Row],[CodInternoArti]],'Tabla Articulos'!B:B)),"OK","NO ESTA")</f>
        <v>OK</v>
      </c>
      <c r="B183" s="38" t="str">
        <f>IF(ISNUMBER(_xlfn.XMATCH('Calcular necesidad'!E:E,'Necesidad por familia'!A:A)),"OK","NO ESTA")</f>
        <v>OK</v>
      </c>
      <c r="C183" s="1" t="s">
        <v>712</v>
      </c>
      <c r="D183" s="1" t="s">
        <v>713</v>
      </c>
      <c r="E183" s="1" t="str">
        <f>_xlfn.XLOOKUP(C183,'Tabla Articulos'!B:B,'Tabla Articulos'!D:D)</f>
        <v>TAPA BOWL COMPOSTABLE 780</v>
      </c>
      <c r="F183" s="1">
        <f>_xlfn.XLOOKUP(C183,'Tabla Articulos'!B:B,'Tabla Articulos'!E:E)</f>
        <v>1</v>
      </c>
      <c r="G183" s="15">
        <f>SUM(
    SUMIFS(MRP!$H$2:$H$221, MRP!$B$2:$B$221, $C183, MRP!$G$2:$G$221, G$1),
    SUMIFS(MRP!$I$2:$I$221, MRP!$B$2:$B$221, $C183, MRP!$G$2:$G$221, G$1),
    SUMIFS(MRP!$J$2:$J$221, MRP!$B$2:$B$221, $C183,  MRP!$G$2:$G$221, G$1),
    SUMIFS(MRP!$K$2:$K$221, MRP!$B$2:$B$221, $C183,  MRP!$G$2:$G$221, G$1),
    SUMIFS(MRP!$L$2:$L$221, MRP!$B$2:$B$221, $C183,  MRP!$G$2:$G$221, G$1)
)*F183</f>
        <v>0</v>
      </c>
      <c r="H183" s="15">
        <f>SUM(
    SUMIFS(MRP!$H$2:$H$221, MRP!$B$2:$B$221, $C183, MRP!$G$2:$G$221, H$1),
    SUMIFS(MRP!$I$2:$I$221, MRP!$B$2:$B$221, $C183, MRP!$G$2:$G$221, H$1),
    SUMIFS(MRP!$J$2:$J$221, MRP!$B$2:$B$221, $C183,  MRP!$G$2:$G$221, H$1),
    SUMIFS(MRP!$K$2:$K$221, MRP!$B$2:$B$221, $C183,  MRP!$G$2:$G$221, H$1),
    SUMIFS(MRP!$L$2:$L$221, MRP!$B$2:$B$221, $C183,  MRP!$G$2:$G$221, H$1)
)*F183</f>
        <v>0</v>
      </c>
      <c r="I183" s="15">
        <f>SUM(
    SUMIFS(MRP!$H$2:$H$221, MRP!$B$2:$B$221, $C183, MRP!$G$2:$G$221, I$1),
    SUMIFS(MRP!$I$2:$I$221, MRP!$B$2:$B$221, $C183, MRP!$G$2:$G$221, I$1),
    SUMIFS(MRP!$J$2:$J$221, MRP!$B$2:$B$221, $C183,  MRP!$G$2:$G$221, I$1),
    SUMIFS(MRP!$K$2:$K$221, MRP!$B$2:$B$221, $C183,  MRP!$G$2:$G$221, I$1),
    SUMIFS(MRP!$L$2:$L$221, MRP!$B$2:$B$221, $C183,  MRP!$G$2:$G$221, I$1)
)*F183</f>
        <v>0</v>
      </c>
      <c r="J183" s="15">
        <f>SUM(
    SUMIFS(MRP!$H$2:$H$221, MRP!$B$2:$B$221, $C183, MRP!$G$2:$G$221, J$1),
    SUMIFS(MRP!$I$2:$I$221, MRP!$B$2:$B$221, $C183, MRP!$G$2:$G$221, J$1),
    SUMIFS(MRP!$J$2:$J$221, MRP!$B$2:$B$221, $C183,  MRP!$G$2:$G$221, J$1),
    SUMIFS(MRP!$K$2:$K$221, MRP!$B$2:$B$221, $C183,  MRP!$G$2:$G$221, J$1),
    SUMIFS(MRP!$L$2:$L$221, MRP!$B$2:$B$221, $C183,  MRP!$G$2:$G$221, J$1)
)*F183</f>
        <v>0</v>
      </c>
      <c r="K183" s="15">
        <f>SUM(
    SUMIFS(MRP!$H$2:$H$221, MRP!$B$2:$B$221, $C183, MRP!$G$2:$G$221, K$1),
    SUMIFS(MRP!$I$2:$I$221, MRP!$B$2:$B$221, $C183, MRP!$G$2:$G$221, K$1),
    SUMIFS(MRP!$J$2:$J$221, MRP!$B$2:$B$221, $C183,  MRP!$G$2:$G$221, K$1),
    SUMIFS(MRP!$K$2:$K$221, MRP!$B$2:$B$221, $C183,  MRP!$G$2:$G$221, K$1),
    SUMIFS(MRP!$L$2:$L$221, MRP!$B$2:$B$221, $C183,  MRP!$G$2:$G$221, K$1)
)*F183</f>
        <v>0</v>
      </c>
      <c r="L183" s="55" t="str">
        <f>TRIM(Tabla3[[#This Row],[CodInternoArti]])</f>
        <v>7790000000525</v>
      </c>
    </row>
    <row r="184" spans="1:12" hidden="1" x14ac:dyDescent="0.35">
      <c r="A184" s="38" t="str">
        <f>IF(ISNUMBER(_xlfn.XMATCH(Tabla3[[#This Row],[CodInternoArti]],'Tabla Articulos'!B:B)),"OK","NO ESTA")</f>
        <v>OK</v>
      </c>
      <c r="B184" s="38" t="str">
        <f>IF(ISNUMBER(_xlfn.XMATCH('Calcular necesidad'!E:E,'Necesidad por familia'!A:A)),"OK","NO ESTA")</f>
        <v>OK</v>
      </c>
      <c r="C184" s="1" t="s">
        <v>714</v>
      </c>
      <c r="D184" s="1" t="s">
        <v>458</v>
      </c>
      <c r="E184" s="1" t="str">
        <f>_xlfn.XLOOKUP(C184,'Tabla Articulos'!B:B,'Tabla Articulos'!D:D)</f>
        <v>BOWL COMPOSTABLE 960</v>
      </c>
      <c r="F184" s="1">
        <f>_xlfn.XLOOKUP(C184,'Tabla Articulos'!B:B,'Tabla Articulos'!E:E)</f>
        <v>600</v>
      </c>
      <c r="G184" s="15">
        <f>SUM(
    SUMIFS(MRP!$H$2:$H$221, MRP!$B$2:$B$221, $C184, MRP!$G$2:$G$221, G$1),
    SUMIFS(MRP!$I$2:$I$221, MRP!$B$2:$B$221, $C184, MRP!$G$2:$G$221, G$1),
    SUMIFS(MRP!$J$2:$J$221, MRP!$B$2:$B$221, $C184,  MRP!$G$2:$G$221, G$1),
    SUMIFS(MRP!$K$2:$K$221, MRP!$B$2:$B$221, $C184,  MRP!$G$2:$G$221, G$1),
    SUMIFS(MRP!$L$2:$L$221, MRP!$B$2:$B$221, $C184,  MRP!$G$2:$G$221, G$1)
)*F184</f>
        <v>0</v>
      </c>
      <c r="H184" s="15">
        <f>SUM(
    SUMIFS(MRP!$H$2:$H$221, MRP!$B$2:$B$221, $C184, MRP!$G$2:$G$221, H$1),
    SUMIFS(MRP!$I$2:$I$221, MRP!$B$2:$B$221, $C184, MRP!$G$2:$G$221, H$1),
    SUMIFS(MRP!$J$2:$J$221, MRP!$B$2:$B$221, $C184,  MRP!$G$2:$G$221, H$1),
    SUMIFS(MRP!$K$2:$K$221, MRP!$B$2:$B$221, $C184,  MRP!$G$2:$G$221, H$1),
    SUMIFS(MRP!$L$2:$L$221, MRP!$B$2:$B$221, $C184,  MRP!$G$2:$G$221, H$1)
)*F184</f>
        <v>0</v>
      </c>
      <c r="I184" s="15">
        <f>SUM(
    SUMIFS(MRP!$H$2:$H$221, MRP!$B$2:$B$221, $C184, MRP!$G$2:$G$221, I$1),
    SUMIFS(MRP!$I$2:$I$221, MRP!$B$2:$B$221, $C184, MRP!$G$2:$G$221, I$1),
    SUMIFS(MRP!$J$2:$J$221, MRP!$B$2:$B$221, $C184,  MRP!$G$2:$G$221, I$1),
    SUMIFS(MRP!$K$2:$K$221, MRP!$B$2:$B$221, $C184,  MRP!$G$2:$G$221, I$1),
    SUMIFS(MRP!$L$2:$L$221, MRP!$B$2:$B$221, $C184,  MRP!$G$2:$G$221, I$1)
)*F184</f>
        <v>0</v>
      </c>
      <c r="J184" s="15">
        <f>SUM(
    SUMIFS(MRP!$H$2:$H$221, MRP!$B$2:$B$221, $C184, MRP!$G$2:$G$221, J$1),
    SUMIFS(MRP!$I$2:$I$221, MRP!$B$2:$B$221, $C184, MRP!$G$2:$G$221, J$1),
    SUMIFS(MRP!$J$2:$J$221, MRP!$B$2:$B$221, $C184,  MRP!$G$2:$G$221, J$1),
    SUMIFS(MRP!$K$2:$K$221, MRP!$B$2:$B$221, $C184,  MRP!$G$2:$G$221, J$1),
    SUMIFS(MRP!$L$2:$L$221, MRP!$B$2:$B$221, $C184,  MRP!$G$2:$G$221, J$1)
)*F184</f>
        <v>0</v>
      </c>
      <c r="K184" s="15">
        <f>SUM(
    SUMIFS(MRP!$H$2:$H$221, MRP!$B$2:$B$221, $C184, MRP!$G$2:$G$221, K$1),
    SUMIFS(MRP!$I$2:$I$221, MRP!$B$2:$B$221, $C184, MRP!$G$2:$G$221, K$1),
    SUMIFS(MRP!$J$2:$J$221, MRP!$B$2:$B$221, $C184,  MRP!$G$2:$G$221, K$1),
    SUMIFS(MRP!$K$2:$K$221, MRP!$B$2:$B$221, $C184,  MRP!$G$2:$G$221, K$1),
    SUMIFS(MRP!$L$2:$L$221, MRP!$B$2:$B$221, $C184,  MRP!$G$2:$G$221, K$1)
)*F184</f>
        <v>0</v>
      </c>
      <c r="L184" s="55" t="str">
        <f>TRIM(Tabla3[[#This Row],[CodInternoArti]])</f>
        <v>7790000000218</v>
      </c>
    </row>
    <row r="185" spans="1:12" hidden="1" x14ac:dyDescent="0.35">
      <c r="A185" s="38" t="str">
        <f>IF(ISNUMBER(_xlfn.XMATCH(Tabla3[[#This Row],[CodInternoArti]],'Tabla Articulos'!B:B)),"OK","NO ESTA")</f>
        <v>OK</v>
      </c>
      <c r="B185" s="38" t="str">
        <f>IF(ISNUMBER(_xlfn.XMATCH('Calcular necesidad'!E:E,'Necesidad por familia'!A:A)),"OK","NO ESTA")</f>
        <v>OK</v>
      </c>
      <c r="C185" s="1" t="s">
        <v>715</v>
      </c>
      <c r="D185" s="1" t="s">
        <v>528</v>
      </c>
      <c r="E185" s="1" t="str">
        <f>_xlfn.XLOOKUP(C185,'Tabla Articulos'!B:B,'Tabla Articulos'!D:D)</f>
        <v>BANDEJA 105 BIODEGRADABLE</v>
      </c>
      <c r="F185" s="1">
        <f>_xlfn.XLOOKUP(C185,'Tabla Articulos'!B:B,'Tabla Articulos'!E:E)</f>
        <v>700</v>
      </c>
      <c r="G185" s="15">
        <f>SUM(
    SUMIFS(MRP!$H$2:$H$221, MRP!$B$2:$B$221, $C185, MRP!$G$2:$G$221, G$1),
    SUMIFS(MRP!$I$2:$I$221, MRP!$B$2:$B$221, $C185, MRP!$G$2:$G$221, G$1),
    SUMIFS(MRP!$J$2:$J$221, MRP!$B$2:$B$221, $C185,  MRP!$G$2:$G$221, G$1),
    SUMIFS(MRP!$K$2:$K$221, MRP!$B$2:$B$221, $C185,  MRP!$G$2:$G$221, G$1),
    SUMIFS(MRP!$L$2:$L$221, MRP!$B$2:$B$221, $C185,  MRP!$G$2:$G$221, G$1)
)*F185</f>
        <v>0</v>
      </c>
      <c r="H185" s="15">
        <f>SUM(
    SUMIFS(MRP!$H$2:$H$221, MRP!$B$2:$B$221, $C185, MRP!$G$2:$G$221, H$1),
    SUMIFS(MRP!$I$2:$I$221, MRP!$B$2:$B$221, $C185, MRP!$G$2:$G$221, H$1),
    SUMIFS(MRP!$J$2:$J$221, MRP!$B$2:$B$221, $C185,  MRP!$G$2:$G$221, H$1),
    SUMIFS(MRP!$K$2:$K$221, MRP!$B$2:$B$221, $C185,  MRP!$G$2:$G$221, H$1),
    SUMIFS(MRP!$L$2:$L$221, MRP!$B$2:$B$221, $C185,  MRP!$G$2:$G$221, H$1)
)*F185</f>
        <v>17500</v>
      </c>
      <c r="I185" s="15">
        <f>SUM(
    SUMIFS(MRP!$H$2:$H$221, MRP!$B$2:$B$221, $C185, MRP!$G$2:$G$221, I$1),
    SUMIFS(MRP!$I$2:$I$221, MRP!$B$2:$B$221, $C185, MRP!$G$2:$G$221, I$1),
    SUMIFS(MRP!$J$2:$J$221, MRP!$B$2:$B$221, $C185,  MRP!$G$2:$G$221, I$1),
    SUMIFS(MRP!$K$2:$K$221, MRP!$B$2:$B$221, $C185,  MRP!$G$2:$G$221, I$1),
    SUMIFS(MRP!$L$2:$L$221, MRP!$B$2:$B$221, $C185,  MRP!$G$2:$G$221, I$1)
)*F185</f>
        <v>0</v>
      </c>
      <c r="J185" s="15">
        <f>SUM(
    SUMIFS(MRP!$H$2:$H$221, MRP!$B$2:$B$221, $C185, MRP!$G$2:$G$221, J$1),
    SUMIFS(MRP!$I$2:$I$221, MRP!$B$2:$B$221, $C185, MRP!$G$2:$G$221, J$1),
    SUMIFS(MRP!$J$2:$J$221, MRP!$B$2:$B$221, $C185,  MRP!$G$2:$G$221, J$1),
    SUMIFS(MRP!$K$2:$K$221, MRP!$B$2:$B$221, $C185,  MRP!$G$2:$G$221, J$1),
    SUMIFS(MRP!$L$2:$L$221, MRP!$B$2:$B$221, $C185,  MRP!$G$2:$G$221, J$1)
)*F185</f>
        <v>0</v>
      </c>
      <c r="K185" s="15">
        <f>SUM(
    SUMIFS(MRP!$H$2:$H$221, MRP!$B$2:$B$221, $C185, MRP!$G$2:$G$221, K$1),
    SUMIFS(MRP!$I$2:$I$221, MRP!$B$2:$B$221, $C185, MRP!$G$2:$G$221, K$1),
    SUMIFS(MRP!$J$2:$J$221, MRP!$B$2:$B$221, $C185,  MRP!$G$2:$G$221, K$1),
    SUMIFS(MRP!$K$2:$K$221, MRP!$B$2:$B$221, $C185,  MRP!$G$2:$G$221, K$1),
    SUMIFS(MRP!$L$2:$L$221, MRP!$B$2:$B$221, $C185,  MRP!$G$2:$G$221, K$1)
)*F185</f>
        <v>0</v>
      </c>
      <c r="L185" s="55" t="str">
        <f>TRIM(Tabla3[[#This Row],[CodInternoArti]])</f>
        <v>7790000000381</v>
      </c>
    </row>
    <row r="186" spans="1:12" hidden="1" x14ac:dyDescent="0.35">
      <c r="A186" s="38" t="str">
        <f>IF(ISNUMBER(_xlfn.XMATCH(Tabla3[[#This Row],[CodInternoArti]],'Tabla Articulos'!B:B)),"OK","NO ESTA")</f>
        <v>OK</v>
      </c>
      <c r="B186" s="38" t="str">
        <f>IF(ISNUMBER(_xlfn.XMATCH('Calcular necesidad'!E:E,'Necesidad por familia'!A:A)),"OK","NO ESTA")</f>
        <v>OK</v>
      </c>
      <c r="C186" s="1" t="s">
        <v>716</v>
      </c>
      <c r="D186" s="1" t="s">
        <v>717</v>
      </c>
      <c r="E186" s="1" t="str">
        <f>_xlfn.XLOOKUP(C186,'Tabla Articulos'!B:B,'Tabla Articulos'!D:D)</f>
        <v>BARBIJO N95</v>
      </c>
      <c r="F186" s="1">
        <f>_xlfn.XLOOKUP(C186,'Tabla Articulos'!B:B,'Tabla Articulos'!E:E)</f>
        <v>50</v>
      </c>
      <c r="G186" s="15">
        <f>SUM(
    SUMIFS(MRP!$H$2:$H$221, MRP!$B$2:$B$221, $C186, MRP!$G$2:$G$221, G$1),
    SUMIFS(MRP!$I$2:$I$221, MRP!$B$2:$B$221, $C186, MRP!$G$2:$G$221, G$1),
    SUMIFS(MRP!$J$2:$J$221, MRP!$B$2:$B$221, $C186,  MRP!$G$2:$G$221, G$1),
    SUMIFS(MRP!$K$2:$K$221, MRP!$B$2:$B$221, $C186,  MRP!$G$2:$G$221, G$1),
    SUMIFS(MRP!$L$2:$L$221, MRP!$B$2:$B$221, $C186,  MRP!$G$2:$G$221, G$1)
)*F186</f>
        <v>0</v>
      </c>
      <c r="H186" s="15">
        <f>SUM(
    SUMIFS(MRP!$H$2:$H$221, MRP!$B$2:$B$221, $C186, MRP!$G$2:$G$221, H$1),
    SUMIFS(MRP!$I$2:$I$221, MRP!$B$2:$B$221, $C186, MRP!$G$2:$G$221, H$1),
    SUMIFS(MRP!$J$2:$J$221, MRP!$B$2:$B$221, $C186,  MRP!$G$2:$G$221, H$1),
    SUMIFS(MRP!$K$2:$K$221, MRP!$B$2:$B$221, $C186,  MRP!$G$2:$G$221, H$1),
    SUMIFS(MRP!$L$2:$L$221, MRP!$B$2:$B$221, $C186,  MRP!$G$2:$G$221, H$1)
)*F186</f>
        <v>0</v>
      </c>
      <c r="I186" s="15">
        <f>SUM(
    SUMIFS(MRP!$H$2:$H$221, MRP!$B$2:$B$221, $C186, MRP!$G$2:$G$221, I$1),
    SUMIFS(MRP!$I$2:$I$221, MRP!$B$2:$B$221, $C186, MRP!$G$2:$G$221, I$1),
    SUMIFS(MRP!$J$2:$J$221, MRP!$B$2:$B$221, $C186,  MRP!$G$2:$G$221, I$1),
    SUMIFS(MRP!$K$2:$K$221, MRP!$B$2:$B$221, $C186,  MRP!$G$2:$G$221, I$1),
    SUMIFS(MRP!$L$2:$L$221, MRP!$B$2:$B$221, $C186,  MRP!$G$2:$G$221, I$1)
)*F186</f>
        <v>0</v>
      </c>
      <c r="J186" s="15">
        <f>SUM(
    SUMIFS(MRP!$H$2:$H$221, MRP!$B$2:$B$221, $C186, MRP!$G$2:$G$221, J$1),
    SUMIFS(MRP!$I$2:$I$221, MRP!$B$2:$B$221, $C186, MRP!$G$2:$G$221, J$1),
    SUMIFS(MRP!$J$2:$J$221, MRP!$B$2:$B$221, $C186,  MRP!$G$2:$G$221, J$1),
    SUMIFS(MRP!$K$2:$K$221, MRP!$B$2:$B$221, $C186,  MRP!$G$2:$G$221, J$1),
    SUMIFS(MRP!$L$2:$L$221, MRP!$B$2:$B$221, $C186,  MRP!$G$2:$G$221, J$1)
)*F186</f>
        <v>0</v>
      </c>
      <c r="K186" s="15">
        <f>SUM(
    SUMIFS(MRP!$H$2:$H$221, MRP!$B$2:$B$221, $C186, MRP!$G$2:$G$221, K$1),
    SUMIFS(MRP!$I$2:$I$221, MRP!$B$2:$B$221, $C186, MRP!$G$2:$G$221, K$1),
    SUMIFS(MRP!$J$2:$J$221, MRP!$B$2:$B$221, $C186,  MRP!$G$2:$G$221, K$1),
    SUMIFS(MRP!$K$2:$K$221, MRP!$B$2:$B$221, $C186,  MRP!$G$2:$G$221, K$1),
    SUMIFS(MRP!$L$2:$L$221, MRP!$B$2:$B$221, $C186,  MRP!$G$2:$G$221, K$1)
)*F186</f>
        <v>0</v>
      </c>
      <c r="L186" s="55" t="str">
        <f>TRIM(Tabla3[[#This Row],[CodInternoArti]])</f>
        <v>7790000000162</v>
      </c>
    </row>
    <row r="187" spans="1:12" hidden="1" x14ac:dyDescent="0.35">
      <c r="A187" s="38" t="str">
        <f>IF(ISNUMBER(_xlfn.XMATCH(Tabla3[[#This Row],[CodInternoArti]],'Tabla Articulos'!B:B)),"OK","NO ESTA")</f>
        <v>OK</v>
      </c>
      <c r="B187" s="38" t="str">
        <f>IF(ISNUMBER(_xlfn.XMATCH('Calcular necesidad'!E:E,'Necesidad por familia'!A:A)),"OK","NO ESTA")</f>
        <v>OK</v>
      </c>
      <c r="C187" s="1" t="s">
        <v>718</v>
      </c>
      <c r="D187" s="1" t="s">
        <v>491</v>
      </c>
      <c r="E187" s="1" t="str">
        <f>_xlfn.XLOOKUP(C187,'Tabla Articulos'!B:B,'Tabla Articulos'!D:D)</f>
        <v>BANDEJA 103 BIODEGRADABLE</v>
      </c>
      <c r="F187" s="1">
        <f>_xlfn.XLOOKUP(C187,'Tabla Articulos'!B:B,'Tabla Articulos'!E:E)</f>
        <v>900</v>
      </c>
      <c r="G187" s="15">
        <f>SUM(
    SUMIFS(MRP!$H$2:$H$221, MRP!$B$2:$B$221, $C187, MRP!$G$2:$G$221, G$1),
    SUMIFS(MRP!$I$2:$I$221, MRP!$B$2:$B$221, $C187, MRP!$G$2:$G$221, G$1),
    SUMIFS(MRP!$J$2:$J$221, MRP!$B$2:$B$221, $C187,  MRP!$G$2:$G$221, G$1),
    SUMIFS(MRP!$K$2:$K$221, MRP!$B$2:$B$221, $C187,  MRP!$G$2:$G$221, G$1),
    SUMIFS(MRP!$L$2:$L$221, MRP!$B$2:$B$221, $C187,  MRP!$G$2:$G$221, G$1)
)*F187</f>
        <v>0</v>
      </c>
      <c r="H187" s="15">
        <f>SUM(
    SUMIFS(MRP!$H$2:$H$221, MRP!$B$2:$B$221, $C187, MRP!$G$2:$G$221, H$1),
    SUMIFS(MRP!$I$2:$I$221, MRP!$B$2:$B$221, $C187, MRP!$G$2:$G$221, H$1),
    SUMIFS(MRP!$J$2:$J$221, MRP!$B$2:$B$221, $C187,  MRP!$G$2:$G$221, H$1),
    SUMIFS(MRP!$K$2:$K$221, MRP!$B$2:$B$221, $C187,  MRP!$G$2:$G$221, H$1),
    SUMIFS(MRP!$L$2:$L$221, MRP!$B$2:$B$221, $C187,  MRP!$G$2:$G$221, H$1)
)*F187</f>
        <v>25200</v>
      </c>
      <c r="I187" s="15">
        <f>SUM(
    SUMIFS(MRP!$H$2:$H$221, MRP!$B$2:$B$221, $C187, MRP!$G$2:$G$221, I$1),
    SUMIFS(MRP!$I$2:$I$221, MRP!$B$2:$B$221, $C187, MRP!$G$2:$G$221, I$1),
    SUMIFS(MRP!$J$2:$J$221, MRP!$B$2:$B$221, $C187,  MRP!$G$2:$G$221, I$1),
    SUMIFS(MRP!$K$2:$K$221, MRP!$B$2:$B$221, $C187,  MRP!$G$2:$G$221, I$1),
    SUMIFS(MRP!$L$2:$L$221, MRP!$B$2:$B$221, $C187,  MRP!$G$2:$G$221, I$1)
)*F187</f>
        <v>0</v>
      </c>
      <c r="J187" s="15">
        <f>SUM(
    SUMIFS(MRP!$H$2:$H$221, MRP!$B$2:$B$221, $C187, MRP!$G$2:$G$221, J$1),
    SUMIFS(MRP!$I$2:$I$221, MRP!$B$2:$B$221, $C187, MRP!$G$2:$G$221, J$1),
    SUMIFS(MRP!$J$2:$J$221, MRP!$B$2:$B$221, $C187,  MRP!$G$2:$G$221, J$1),
    SUMIFS(MRP!$K$2:$K$221, MRP!$B$2:$B$221, $C187,  MRP!$G$2:$G$221, J$1),
    SUMIFS(MRP!$L$2:$L$221, MRP!$B$2:$B$221, $C187,  MRP!$G$2:$G$221, J$1)
)*F187</f>
        <v>0</v>
      </c>
      <c r="K187" s="15">
        <f>SUM(
    SUMIFS(MRP!$H$2:$H$221, MRP!$B$2:$B$221, $C187, MRP!$G$2:$G$221, K$1),
    SUMIFS(MRP!$I$2:$I$221, MRP!$B$2:$B$221, $C187, MRP!$G$2:$G$221, K$1),
    SUMIFS(MRP!$J$2:$J$221, MRP!$B$2:$B$221, $C187,  MRP!$G$2:$G$221, K$1),
    SUMIFS(MRP!$K$2:$K$221, MRP!$B$2:$B$221, $C187,  MRP!$G$2:$G$221, K$1),
    SUMIFS(MRP!$L$2:$L$221, MRP!$B$2:$B$221, $C187,  MRP!$G$2:$G$221, K$1)
)*F187</f>
        <v>0</v>
      </c>
      <c r="L187" s="55" t="str">
        <f>TRIM(Tabla3[[#This Row],[CodInternoArti]])</f>
        <v>7790000000380</v>
      </c>
    </row>
    <row r="188" spans="1:12" hidden="1" x14ac:dyDescent="0.35">
      <c r="A188" s="38" t="str">
        <f>IF(ISNUMBER(_xlfn.XMATCH(Tabla3[[#This Row],[CodInternoArti]],'Tabla Articulos'!B:B)),"OK","NO ESTA")</f>
        <v>OK</v>
      </c>
      <c r="B188" s="38" t="str">
        <f>IF(ISNUMBER(_xlfn.XMATCH('Calcular necesidad'!E:E,'Necesidad por familia'!A:A)),"OK","NO ESTA")</f>
        <v>OK</v>
      </c>
      <c r="C188" s="1" t="s">
        <v>719</v>
      </c>
      <c r="D188" s="1" t="s">
        <v>446</v>
      </c>
      <c r="E188" s="1" t="str">
        <f>_xlfn.XLOOKUP(C188,'Tabla Articulos'!B:B,'Tabla Articulos'!D:D)</f>
        <v>ROLLO ALUMINIO 40</v>
      </c>
      <c r="F188" s="1">
        <f>_xlfn.XLOOKUP(C188,'Tabla Articulos'!B:B,'Tabla Articulos'!E:E)</f>
        <v>1</v>
      </c>
      <c r="G188" s="15">
        <f>SUM(
    SUMIFS(MRP!$H$2:$H$221, MRP!$B$2:$B$221, $C188, MRP!$G$2:$G$221, G$1),
    SUMIFS(MRP!$I$2:$I$221, MRP!$B$2:$B$221, $C188, MRP!$G$2:$G$221, G$1),
    SUMIFS(MRP!$J$2:$J$221, MRP!$B$2:$B$221, $C188,  MRP!$G$2:$G$221, G$1),
    SUMIFS(MRP!$K$2:$K$221, MRP!$B$2:$B$221, $C188,  MRP!$G$2:$G$221, G$1),
    SUMIFS(MRP!$L$2:$L$221, MRP!$B$2:$B$221, $C188,  MRP!$G$2:$G$221, G$1)
)*F188</f>
        <v>0</v>
      </c>
      <c r="H188" s="15">
        <f>SUM(
    SUMIFS(MRP!$H$2:$H$221, MRP!$B$2:$B$221, $C188, MRP!$G$2:$G$221, H$1),
    SUMIFS(MRP!$I$2:$I$221, MRP!$B$2:$B$221, $C188, MRP!$G$2:$G$221, H$1),
    SUMIFS(MRP!$J$2:$J$221, MRP!$B$2:$B$221, $C188,  MRP!$G$2:$G$221, H$1),
    SUMIFS(MRP!$K$2:$K$221, MRP!$B$2:$B$221, $C188,  MRP!$G$2:$G$221, H$1),
    SUMIFS(MRP!$L$2:$L$221, MRP!$B$2:$B$221, $C188,  MRP!$G$2:$G$221, H$1)
)*F188</f>
        <v>2</v>
      </c>
      <c r="I188" s="15">
        <f>SUM(
    SUMIFS(MRP!$H$2:$H$221, MRP!$B$2:$B$221, $C188, MRP!$G$2:$G$221, I$1),
    SUMIFS(MRP!$I$2:$I$221, MRP!$B$2:$B$221, $C188, MRP!$G$2:$G$221, I$1),
    SUMIFS(MRP!$J$2:$J$221, MRP!$B$2:$B$221, $C188,  MRP!$G$2:$G$221, I$1),
    SUMIFS(MRP!$K$2:$K$221, MRP!$B$2:$B$221, $C188,  MRP!$G$2:$G$221, I$1),
    SUMIFS(MRP!$L$2:$L$221, MRP!$B$2:$B$221, $C188,  MRP!$G$2:$G$221, I$1)
)*F188</f>
        <v>0</v>
      </c>
      <c r="J188" s="15">
        <f>SUM(
    SUMIFS(MRP!$H$2:$H$221, MRP!$B$2:$B$221, $C188, MRP!$G$2:$G$221, J$1),
    SUMIFS(MRP!$I$2:$I$221, MRP!$B$2:$B$221, $C188, MRP!$G$2:$G$221, J$1),
    SUMIFS(MRP!$J$2:$J$221, MRP!$B$2:$B$221, $C188,  MRP!$G$2:$G$221, J$1),
    SUMIFS(MRP!$K$2:$K$221, MRP!$B$2:$B$221, $C188,  MRP!$G$2:$G$221, J$1),
    SUMIFS(MRP!$L$2:$L$221, MRP!$B$2:$B$221, $C188,  MRP!$G$2:$G$221, J$1)
)*F188</f>
        <v>0</v>
      </c>
      <c r="K188" s="15">
        <f>SUM(
    SUMIFS(MRP!$H$2:$H$221, MRP!$B$2:$B$221, $C188, MRP!$G$2:$G$221, K$1),
    SUMIFS(MRP!$I$2:$I$221, MRP!$B$2:$B$221, $C188, MRP!$G$2:$G$221, K$1),
    SUMIFS(MRP!$J$2:$J$221, MRP!$B$2:$B$221, $C188,  MRP!$G$2:$G$221, K$1),
    SUMIFS(MRP!$K$2:$K$221, MRP!$B$2:$B$221, $C188,  MRP!$G$2:$G$221, K$1),
    SUMIFS(MRP!$L$2:$L$221, MRP!$B$2:$B$221, $C188,  MRP!$G$2:$G$221, K$1)
)*F188</f>
        <v>0</v>
      </c>
      <c r="L188" s="55" t="str">
        <f>TRIM(Tabla3[[#This Row],[CodInternoArti]])</f>
        <v>736372273444</v>
      </c>
    </row>
    <row r="189" spans="1:12" hidden="1" x14ac:dyDescent="0.35">
      <c r="A189" s="38" t="str">
        <f>IF(ISNUMBER(_xlfn.XMATCH(Tabla3[[#This Row],[CodInternoArti]],'Tabla Articulos'!B:B)),"OK","NO ESTA")</f>
        <v>OK</v>
      </c>
      <c r="B189" s="38" t="str">
        <f>IF(ISNUMBER(_xlfn.XMATCH('Calcular necesidad'!E:E,'Necesidad por familia'!A:A)),"OK","NO ESTA")</f>
        <v>OK</v>
      </c>
      <c r="C189" s="1" t="s">
        <v>720</v>
      </c>
      <c r="D189" s="1" t="s">
        <v>721</v>
      </c>
      <c r="E189" s="1" t="str">
        <f>_xlfn.XLOOKUP(C189,'Tabla Articulos'!B:B,'Tabla Articulos'!D:D)</f>
        <v>SERVILLETA 18X18 BLUE</v>
      </c>
      <c r="F189" s="1">
        <f>_xlfn.XLOOKUP(C189,'Tabla Articulos'!B:B,'Tabla Articulos'!E:E)</f>
        <v>1000</v>
      </c>
      <c r="G189" s="15">
        <f>SUM(
    SUMIFS(MRP!$H$2:$H$221, MRP!$B$2:$B$221, $C189, MRP!$G$2:$G$221, G$1),
    SUMIFS(MRP!$I$2:$I$221, MRP!$B$2:$B$221, $C189, MRP!$G$2:$G$221, G$1),
    SUMIFS(MRP!$J$2:$J$221, MRP!$B$2:$B$221, $C189,  MRP!$G$2:$G$221, G$1),
    SUMIFS(MRP!$K$2:$K$221, MRP!$B$2:$B$221, $C189,  MRP!$G$2:$G$221, G$1),
    SUMIFS(MRP!$L$2:$L$221, MRP!$B$2:$B$221, $C189,  MRP!$G$2:$G$221, G$1)
)*F189</f>
        <v>0</v>
      </c>
      <c r="H189" s="15">
        <f>SUM(
    SUMIFS(MRP!$H$2:$H$221, MRP!$B$2:$B$221, $C189, MRP!$G$2:$G$221, H$1),
    SUMIFS(MRP!$I$2:$I$221, MRP!$B$2:$B$221, $C189, MRP!$G$2:$G$221, H$1),
    SUMIFS(MRP!$J$2:$J$221, MRP!$B$2:$B$221, $C189,  MRP!$G$2:$G$221, H$1),
    SUMIFS(MRP!$K$2:$K$221, MRP!$B$2:$B$221, $C189,  MRP!$G$2:$G$221, H$1),
    SUMIFS(MRP!$L$2:$L$221, MRP!$B$2:$B$221, $C189,  MRP!$G$2:$G$221, H$1)
)*F189</f>
        <v>0</v>
      </c>
      <c r="I189" s="15">
        <f>SUM(
    SUMIFS(MRP!$H$2:$H$221, MRP!$B$2:$B$221, $C189, MRP!$G$2:$G$221, I$1),
    SUMIFS(MRP!$I$2:$I$221, MRP!$B$2:$B$221, $C189, MRP!$G$2:$G$221, I$1),
    SUMIFS(MRP!$J$2:$J$221, MRP!$B$2:$B$221, $C189,  MRP!$G$2:$G$221, I$1),
    SUMIFS(MRP!$K$2:$K$221, MRP!$B$2:$B$221, $C189,  MRP!$G$2:$G$221, I$1),
    SUMIFS(MRP!$L$2:$L$221, MRP!$B$2:$B$221, $C189,  MRP!$G$2:$G$221, I$1)
)*F189</f>
        <v>0</v>
      </c>
      <c r="J189" s="15">
        <f>SUM(
    SUMIFS(MRP!$H$2:$H$221, MRP!$B$2:$B$221, $C189, MRP!$G$2:$G$221, J$1),
    SUMIFS(MRP!$I$2:$I$221, MRP!$B$2:$B$221, $C189, MRP!$G$2:$G$221, J$1),
    SUMIFS(MRP!$J$2:$J$221, MRP!$B$2:$B$221, $C189,  MRP!$G$2:$G$221, J$1),
    SUMIFS(MRP!$K$2:$K$221, MRP!$B$2:$B$221, $C189,  MRP!$G$2:$G$221, J$1),
    SUMIFS(MRP!$L$2:$L$221, MRP!$B$2:$B$221, $C189,  MRP!$G$2:$G$221, J$1)
)*F189</f>
        <v>0</v>
      </c>
      <c r="K189" s="15">
        <f>SUM(
    SUMIFS(MRP!$H$2:$H$221, MRP!$B$2:$B$221, $C189, MRP!$G$2:$G$221, K$1),
    SUMIFS(MRP!$I$2:$I$221, MRP!$B$2:$B$221, $C189, MRP!$G$2:$G$221, K$1),
    SUMIFS(MRP!$J$2:$J$221, MRP!$B$2:$B$221, $C189,  MRP!$G$2:$G$221, K$1),
    SUMIFS(MRP!$K$2:$K$221, MRP!$B$2:$B$221, $C189,  MRP!$G$2:$G$221, K$1),
    SUMIFS(MRP!$L$2:$L$221, MRP!$B$2:$B$221, $C189,  MRP!$G$2:$G$221, K$1)
)*F189</f>
        <v>0</v>
      </c>
      <c r="L189" s="55" t="str">
        <f>TRIM(Tabla3[[#This Row],[CodInternoArti]])</f>
        <v>9992016801751</v>
      </c>
    </row>
    <row r="190" spans="1:12" hidden="1" x14ac:dyDescent="0.35">
      <c r="A190" s="38" t="str">
        <f>IF(ISNUMBER(_xlfn.XMATCH(Tabla3[[#This Row],[CodInternoArti]],'Tabla Articulos'!B:B)),"OK","NO ESTA")</f>
        <v>OK</v>
      </c>
      <c r="B190" s="38" t="str">
        <f>IF(ISNUMBER(_xlfn.XMATCH('Calcular necesidad'!E:E,'Necesidad por familia'!A:A)),"OK","NO ESTA")</f>
        <v>OK</v>
      </c>
      <c r="C190" s="1" t="s">
        <v>722</v>
      </c>
      <c r="D190" s="1" t="s">
        <v>723</v>
      </c>
      <c r="E190" s="1" t="str">
        <f>_xlfn.XLOOKUP(C190,'Tabla Articulos'!B:B,'Tabla Articulos'!D:D)</f>
        <v>BOWL COMPOSTABLE 780</v>
      </c>
      <c r="F190" s="1">
        <f>_xlfn.XLOOKUP(C190,'Tabla Articulos'!B:B,'Tabla Articulos'!E:E)</f>
        <v>1</v>
      </c>
      <c r="G190" s="15">
        <f>SUM(
    SUMIFS(MRP!$H$2:$H$221, MRP!$B$2:$B$221, $C190, MRP!$G$2:$G$221, G$1),
    SUMIFS(MRP!$I$2:$I$221, MRP!$B$2:$B$221, $C190, MRP!$G$2:$G$221, G$1),
    SUMIFS(MRP!$J$2:$J$221, MRP!$B$2:$B$221, $C190,  MRP!$G$2:$G$221, G$1),
    SUMIFS(MRP!$K$2:$K$221, MRP!$B$2:$B$221, $C190,  MRP!$G$2:$G$221, G$1),
    SUMIFS(MRP!$L$2:$L$221, MRP!$B$2:$B$221, $C190,  MRP!$G$2:$G$221, G$1)
)*F190</f>
        <v>0</v>
      </c>
      <c r="H190" s="15">
        <f>SUM(
    SUMIFS(MRP!$H$2:$H$221, MRP!$B$2:$B$221, $C190, MRP!$G$2:$G$221, H$1),
    SUMIFS(MRP!$I$2:$I$221, MRP!$B$2:$B$221, $C190, MRP!$G$2:$G$221, H$1),
    SUMIFS(MRP!$J$2:$J$221, MRP!$B$2:$B$221, $C190,  MRP!$G$2:$G$221, H$1),
    SUMIFS(MRP!$K$2:$K$221, MRP!$B$2:$B$221, $C190,  MRP!$G$2:$G$221, H$1),
    SUMIFS(MRP!$L$2:$L$221, MRP!$B$2:$B$221, $C190,  MRP!$G$2:$G$221, H$1)
)*F190</f>
        <v>0</v>
      </c>
      <c r="I190" s="15">
        <f>SUM(
    SUMIFS(MRP!$H$2:$H$221, MRP!$B$2:$B$221, $C190, MRP!$G$2:$G$221, I$1),
    SUMIFS(MRP!$I$2:$I$221, MRP!$B$2:$B$221, $C190, MRP!$G$2:$G$221, I$1),
    SUMIFS(MRP!$J$2:$J$221, MRP!$B$2:$B$221, $C190,  MRP!$G$2:$G$221, I$1),
    SUMIFS(MRP!$K$2:$K$221, MRP!$B$2:$B$221, $C190,  MRP!$G$2:$G$221, I$1),
    SUMIFS(MRP!$L$2:$L$221, MRP!$B$2:$B$221, $C190,  MRP!$G$2:$G$221, I$1)
)*F190</f>
        <v>0</v>
      </c>
      <c r="J190" s="15">
        <f>SUM(
    SUMIFS(MRP!$H$2:$H$221, MRP!$B$2:$B$221, $C190, MRP!$G$2:$G$221, J$1),
    SUMIFS(MRP!$I$2:$I$221, MRP!$B$2:$B$221, $C190, MRP!$G$2:$G$221, J$1),
    SUMIFS(MRP!$J$2:$J$221, MRP!$B$2:$B$221, $C190,  MRP!$G$2:$G$221, J$1),
    SUMIFS(MRP!$K$2:$K$221, MRP!$B$2:$B$221, $C190,  MRP!$G$2:$G$221, J$1),
    SUMIFS(MRP!$L$2:$L$221, MRP!$B$2:$B$221, $C190,  MRP!$G$2:$G$221, J$1)
)*F190</f>
        <v>0</v>
      </c>
      <c r="K190" s="15">
        <f>SUM(
    SUMIFS(MRP!$H$2:$H$221, MRP!$B$2:$B$221, $C190, MRP!$G$2:$G$221, K$1),
    SUMIFS(MRP!$I$2:$I$221, MRP!$B$2:$B$221, $C190, MRP!$G$2:$G$221, K$1),
    SUMIFS(MRP!$J$2:$J$221, MRP!$B$2:$B$221, $C190,  MRP!$G$2:$G$221, K$1),
    SUMIFS(MRP!$K$2:$K$221, MRP!$B$2:$B$221, $C190,  MRP!$G$2:$G$221, K$1),
    SUMIFS(MRP!$L$2:$L$221, MRP!$B$2:$B$221, $C190,  MRP!$G$2:$G$221, K$1)
)*F190</f>
        <v>0</v>
      </c>
      <c r="L190" s="55" t="str">
        <f>TRIM(Tabla3[[#This Row],[CodInternoArti]])</f>
        <v>7790000000526</v>
      </c>
    </row>
    <row r="191" spans="1:12" hidden="1" x14ac:dyDescent="0.35">
      <c r="A191" s="38" t="str">
        <f>IF(ISNUMBER(_xlfn.XMATCH(Tabla3[[#This Row],[CodInternoArti]],'Tabla Articulos'!B:B)),"OK","NO ESTA")</f>
        <v>OK</v>
      </c>
      <c r="B191" s="38" t="str">
        <f>IF(ISNUMBER(_xlfn.XMATCH('Calcular necesidad'!E:E,'Necesidad por familia'!A:A)),"OK","NO ESTA")</f>
        <v>OK</v>
      </c>
      <c r="C191" s="1" t="s">
        <v>724</v>
      </c>
      <c r="D191" s="1" t="s">
        <v>725</v>
      </c>
      <c r="E191" s="1" t="str">
        <f>_xlfn.XLOOKUP(C191,'Tabla Articulos'!B:B,'Tabla Articulos'!D:D)</f>
        <v>SORBETE C/ FUNDA</v>
      </c>
      <c r="F191" s="1">
        <f>_xlfn.XLOOKUP(C191,'Tabla Articulos'!B:B,'Tabla Articulos'!E:E)</f>
        <v>70</v>
      </c>
      <c r="G191" s="15">
        <f>SUM(
    SUMIFS(MRP!$H$2:$H$221, MRP!$B$2:$B$221, $C191, MRP!$G$2:$G$221, G$1),
    SUMIFS(MRP!$I$2:$I$221, MRP!$B$2:$B$221, $C191, MRP!$G$2:$G$221, G$1),
    SUMIFS(MRP!$J$2:$J$221, MRP!$B$2:$B$221, $C191,  MRP!$G$2:$G$221, G$1),
    SUMIFS(MRP!$K$2:$K$221, MRP!$B$2:$B$221, $C191,  MRP!$G$2:$G$221, G$1),
    SUMIFS(MRP!$L$2:$L$221, MRP!$B$2:$B$221, $C191,  MRP!$G$2:$G$221, G$1)
)*F191</f>
        <v>0</v>
      </c>
      <c r="H191" s="15">
        <f>SUM(
    SUMIFS(MRP!$H$2:$H$221, MRP!$B$2:$B$221, $C191, MRP!$G$2:$G$221, H$1),
    SUMIFS(MRP!$I$2:$I$221, MRP!$B$2:$B$221, $C191, MRP!$G$2:$G$221, H$1),
    SUMIFS(MRP!$J$2:$J$221, MRP!$B$2:$B$221, $C191,  MRP!$G$2:$G$221, H$1),
    SUMIFS(MRP!$K$2:$K$221, MRP!$B$2:$B$221, $C191,  MRP!$G$2:$G$221, H$1),
    SUMIFS(MRP!$L$2:$L$221, MRP!$B$2:$B$221, $C191,  MRP!$G$2:$G$221, H$1)
)*F191</f>
        <v>0</v>
      </c>
      <c r="I191" s="15">
        <f>SUM(
    SUMIFS(MRP!$H$2:$H$221, MRP!$B$2:$B$221, $C191, MRP!$G$2:$G$221, I$1),
    SUMIFS(MRP!$I$2:$I$221, MRP!$B$2:$B$221, $C191, MRP!$G$2:$G$221, I$1),
    SUMIFS(MRP!$J$2:$J$221, MRP!$B$2:$B$221, $C191,  MRP!$G$2:$G$221, I$1),
    SUMIFS(MRP!$K$2:$K$221, MRP!$B$2:$B$221, $C191,  MRP!$G$2:$G$221, I$1),
    SUMIFS(MRP!$L$2:$L$221, MRP!$B$2:$B$221, $C191,  MRP!$G$2:$G$221, I$1)
)*F191</f>
        <v>0</v>
      </c>
      <c r="J191" s="15">
        <f>SUM(
    SUMIFS(MRP!$H$2:$H$221, MRP!$B$2:$B$221, $C191, MRP!$G$2:$G$221, J$1),
    SUMIFS(MRP!$I$2:$I$221, MRP!$B$2:$B$221, $C191, MRP!$G$2:$G$221, J$1),
    SUMIFS(MRP!$J$2:$J$221, MRP!$B$2:$B$221, $C191,  MRP!$G$2:$G$221, J$1),
    SUMIFS(MRP!$K$2:$K$221, MRP!$B$2:$B$221, $C191,  MRP!$G$2:$G$221, J$1),
    SUMIFS(MRP!$L$2:$L$221, MRP!$B$2:$B$221, $C191,  MRP!$G$2:$G$221, J$1)
)*F191</f>
        <v>0</v>
      </c>
      <c r="K191" s="15">
        <f>SUM(
    SUMIFS(MRP!$H$2:$H$221, MRP!$B$2:$B$221, $C191, MRP!$G$2:$G$221, K$1),
    SUMIFS(MRP!$I$2:$I$221, MRP!$B$2:$B$221, $C191, MRP!$G$2:$G$221, K$1),
    SUMIFS(MRP!$J$2:$J$221, MRP!$B$2:$B$221, $C191,  MRP!$G$2:$G$221, K$1),
    SUMIFS(MRP!$K$2:$K$221, MRP!$B$2:$B$221, $C191,  MRP!$G$2:$G$221, K$1),
    SUMIFS(MRP!$L$2:$L$221, MRP!$B$2:$B$221, $C191,  MRP!$G$2:$G$221, K$1)
)*F191</f>
        <v>0</v>
      </c>
      <c r="L191" s="55" t="str">
        <f>TRIM(Tabla3[[#This Row],[CodInternoArti]])</f>
        <v>7790321020391</v>
      </c>
    </row>
    <row r="192" spans="1:12" hidden="1" x14ac:dyDescent="0.35">
      <c r="A192" s="38" t="str">
        <f>IF(ISNUMBER(_xlfn.XMATCH(Tabla3[[#This Row],[CodInternoArti]],'Tabla Articulos'!B:B)),"OK","NO ESTA")</f>
        <v>OK</v>
      </c>
      <c r="B192" s="38" t="str">
        <f>IF(ISNUMBER(_xlfn.XMATCH('Calcular necesidad'!E:E,'Necesidad por familia'!A:A)),"OK","NO ESTA")</f>
        <v>OK</v>
      </c>
      <c r="C192" s="1" t="s">
        <v>726</v>
      </c>
      <c r="D192" s="1" t="s">
        <v>411</v>
      </c>
      <c r="E192" s="1" t="str">
        <f>_xlfn.XLOOKUP(C192,'Tabla Articulos'!B:B,'Tabla Articulos'!D:D)</f>
        <v>CAMISETA 50X60 REF</v>
      </c>
      <c r="F192" s="1">
        <f>_xlfn.XLOOKUP(C192,'Tabla Articulos'!B:B,'Tabla Articulos'!E:E)</f>
        <v>100</v>
      </c>
      <c r="G192" s="15">
        <f>SUM(
    SUMIFS(MRP!$H$2:$H$221, MRP!$B$2:$B$221, $C192, MRP!$G$2:$G$221, G$1),
    SUMIFS(MRP!$I$2:$I$221, MRP!$B$2:$B$221, $C192, MRP!$G$2:$G$221, G$1),
    SUMIFS(MRP!$J$2:$J$221, MRP!$B$2:$B$221, $C192,  MRP!$G$2:$G$221, G$1),
    SUMIFS(MRP!$K$2:$K$221, MRP!$B$2:$B$221, $C192,  MRP!$G$2:$G$221, G$1),
    SUMIFS(MRP!$L$2:$L$221, MRP!$B$2:$B$221, $C192,  MRP!$G$2:$G$221, G$1)
)*F192</f>
        <v>0</v>
      </c>
      <c r="H192" s="15">
        <f>SUM(
    SUMIFS(MRP!$H$2:$H$221, MRP!$B$2:$B$221, $C192, MRP!$G$2:$G$221, H$1),
    SUMIFS(MRP!$I$2:$I$221, MRP!$B$2:$B$221, $C192, MRP!$G$2:$G$221, H$1),
    SUMIFS(MRP!$J$2:$J$221, MRP!$B$2:$B$221, $C192,  MRP!$G$2:$G$221, H$1),
    SUMIFS(MRP!$K$2:$K$221, MRP!$B$2:$B$221, $C192,  MRP!$G$2:$G$221, H$1),
    SUMIFS(MRP!$L$2:$L$221, MRP!$B$2:$B$221, $C192,  MRP!$G$2:$G$221, H$1)
)*F192</f>
        <v>0</v>
      </c>
      <c r="I192" s="15">
        <f>SUM(
    SUMIFS(MRP!$H$2:$H$221, MRP!$B$2:$B$221, $C192, MRP!$G$2:$G$221, I$1),
    SUMIFS(MRP!$I$2:$I$221, MRP!$B$2:$B$221, $C192, MRP!$G$2:$G$221, I$1),
    SUMIFS(MRP!$J$2:$J$221, MRP!$B$2:$B$221, $C192,  MRP!$G$2:$G$221, I$1),
    SUMIFS(MRP!$K$2:$K$221, MRP!$B$2:$B$221, $C192,  MRP!$G$2:$G$221, I$1),
    SUMIFS(MRP!$L$2:$L$221, MRP!$B$2:$B$221, $C192,  MRP!$G$2:$G$221, I$1)
)*F192</f>
        <v>0</v>
      </c>
      <c r="J192" s="15">
        <f>SUM(
    SUMIFS(MRP!$H$2:$H$221, MRP!$B$2:$B$221, $C192, MRP!$G$2:$G$221, J$1),
    SUMIFS(MRP!$I$2:$I$221, MRP!$B$2:$B$221, $C192, MRP!$G$2:$G$221, J$1),
    SUMIFS(MRP!$J$2:$J$221, MRP!$B$2:$B$221, $C192,  MRP!$G$2:$G$221, J$1),
    SUMIFS(MRP!$K$2:$K$221, MRP!$B$2:$B$221, $C192,  MRP!$G$2:$G$221, J$1),
    SUMIFS(MRP!$L$2:$L$221, MRP!$B$2:$B$221, $C192,  MRP!$G$2:$G$221, J$1)
)*F192</f>
        <v>0</v>
      </c>
      <c r="K192" s="15">
        <f>SUM(
    SUMIFS(MRP!$H$2:$H$221, MRP!$B$2:$B$221, $C192, MRP!$G$2:$G$221, K$1),
    SUMIFS(MRP!$I$2:$I$221, MRP!$B$2:$B$221, $C192, MRP!$G$2:$G$221, K$1),
    SUMIFS(MRP!$J$2:$J$221, MRP!$B$2:$B$221, $C192,  MRP!$G$2:$G$221, K$1),
    SUMIFS(MRP!$K$2:$K$221, MRP!$B$2:$B$221, $C192,  MRP!$G$2:$G$221, K$1),
    SUMIFS(MRP!$L$2:$L$221, MRP!$B$2:$B$221, $C192,  MRP!$G$2:$G$221, K$1)
)*F192</f>
        <v>0</v>
      </c>
      <c r="L192" s="55" t="str">
        <f>TRIM(Tabla3[[#This Row],[CodInternoArti]])</f>
        <v>7790321020167</v>
      </c>
    </row>
    <row r="193" spans="1:12" hidden="1" x14ac:dyDescent="0.35">
      <c r="A193" s="38" t="str">
        <f>IF(ISNUMBER(_xlfn.XMATCH(Tabla3[[#This Row],[CodInternoArti]],'Tabla Articulos'!B:B)),"OK","NO ESTA")</f>
        <v>OK</v>
      </c>
      <c r="B193" s="38" t="str">
        <f>IF(ISNUMBER(_xlfn.XMATCH('Calcular necesidad'!E:E,'Necesidad por familia'!A:A)),"OK","NO ESTA")</f>
        <v>OK</v>
      </c>
      <c r="C193" s="1" t="s">
        <v>727</v>
      </c>
      <c r="D193" s="1" t="s">
        <v>367</v>
      </c>
      <c r="E193" s="1" t="str">
        <f>_xlfn.XLOOKUP(C193,'Tabla Articulos'!B:B,'Tabla Articulos'!D:D)</f>
        <v xml:space="preserve">SERVILLETA 16X21 </v>
      </c>
      <c r="F193" s="1">
        <f>_xlfn.XLOOKUP(C193,'Tabla Articulos'!B:B,'Tabla Articulos'!E:E)</f>
        <v>2000</v>
      </c>
      <c r="G193" s="15">
        <f>SUM(
    SUMIFS(MRP!$H$2:$H$221, MRP!$B$2:$B$221, $C193, MRP!$G$2:$G$221, G$1),
    SUMIFS(MRP!$I$2:$I$221, MRP!$B$2:$B$221, $C193, MRP!$G$2:$G$221, G$1),
    SUMIFS(MRP!$J$2:$J$221, MRP!$B$2:$B$221, $C193,  MRP!$G$2:$G$221, G$1),
    SUMIFS(MRP!$K$2:$K$221, MRP!$B$2:$B$221, $C193,  MRP!$G$2:$G$221, G$1),
    SUMIFS(MRP!$L$2:$L$221, MRP!$B$2:$B$221, $C193,  MRP!$G$2:$G$221, G$1)
)*F193</f>
        <v>0</v>
      </c>
      <c r="H193" s="15">
        <f>SUM(
    SUMIFS(MRP!$H$2:$H$221, MRP!$B$2:$B$221, $C193, MRP!$G$2:$G$221, H$1),
    SUMIFS(MRP!$I$2:$I$221, MRP!$B$2:$B$221, $C193, MRP!$G$2:$G$221, H$1),
    SUMIFS(MRP!$J$2:$J$221, MRP!$B$2:$B$221, $C193,  MRP!$G$2:$G$221, H$1),
    SUMIFS(MRP!$K$2:$K$221, MRP!$B$2:$B$221, $C193,  MRP!$G$2:$G$221, H$1),
    SUMIFS(MRP!$L$2:$L$221, MRP!$B$2:$B$221, $C193,  MRP!$G$2:$G$221, H$1)
)*F193</f>
        <v>22000</v>
      </c>
      <c r="I193" s="15">
        <f>SUM(
    SUMIFS(MRP!$H$2:$H$221, MRP!$B$2:$B$221, $C193, MRP!$G$2:$G$221, I$1),
    SUMIFS(MRP!$I$2:$I$221, MRP!$B$2:$B$221, $C193, MRP!$G$2:$G$221, I$1),
    SUMIFS(MRP!$J$2:$J$221, MRP!$B$2:$B$221, $C193,  MRP!$G$2:$G$221, I$1),
    SUMIFS(MRP!$K$2:$K$221, MRP!$B$2:$B$221, $C193,  MRP!$G$2:$G$221, I$1),
    SUMIFS(MRP!$L$2:$L$221, MRP!$B$2:$B$221, $C193,  MRP!$G$2:$G$221, I$1)
)*F193</f>
        <v>0</v>
      </c>
      <c r="J193" s="15">
        <f>SUM(
    SUMIFS(MRP!$H$2:$H$221, MRP!$B$2:$B$221, $C193, MRP!$G$2:$G$221, J$1),
    SUMIFS(MRP!$I$2:$I$221, MRP!$B$2:$B$221, $C193, MRP!$G$2:$G$221, J$1),
    SUMIFS(MRP!$J$2:$J$221, MRP!$B$2:$B$221, $C193,  MRP!$G$2:$G$221, J$1),
    SUMIFS(MRP!$K$2:$K$221, MRP!$B$2:$B$221, $C193,  MRP!$G$2:$G$221, J$1),
    SUMIFS(MRP!$L$2:$L$221, MRP!$B$2:$B$221, $C193,  MRP!$G$2:$G$221, J$1)
)*F193</f>
        <v>0</v>
      </c>
      <c r="K193" s="15">
        <f>SUM(
    SUMIFS(MRP!$H$2:$H$221, MRP!$B$2:$B$221, $C193, MRP!$G$2:$G$221, K$1),
    SUMIFS(MRP!$I$2:$I$221, MRP!$B$2:$B$221, $C193, MRP!$G$2:$G$221, K$1),
    SUMIFS(MRP!$J$2:$J$221, MRP!$B$2:$B$221, $C193,  MRP!$G$2:$G$221, K$1),
    SUMIFS(MRP!$K$2:$K$221, MRP!$B$2:$B$221, $C193,  MRP!$G$2:$G$221, K$1),
    SUMIFS(MRP!$L$2:$L$221, MRP!$B$2:$B$221, $C193,  MRP!$G$2:$G$221, K$1)
)*F193</f>
        <v>0</v>
      </c>
      <c r="L193" s="55" t="str">
        <f>TRIM(Tabla3[[#This Row],[CodInternoArti]])</f>
        <v>140470001</v>
      </c>
    </row>
    <row r="194" spans="1:12" hidden="1" x14ac:dyDescent="0.35">
      <c r="A194" s="38" t="str">
        <f>IF(ISNUMBER(_xlfn.XMATCH(Tabla3[[#This Row],[CodInternoArti]],'Tabla Articulos'!B:B)),"OK","NO ESTA")</f>
        <v>OK</v>
      </c>
      <c r="B194" s="38" t="str">
        <f>IF(ISNUMBER(_xlfn.XMATCH('Calcular necesidad'!E:E,'Necesidad por familia'!A:A)),"OK","NO ESTA")</f>
        <v>OK</v>
      </c>
      <c r="C194" s="1" t="s">
        <v>728</v>
      </c>
      <c r="D194" s="1" t="s">
        <v>729</v>
      </c>
      <c r="E194" s="1" t="str">
        <f>_xlfn.XLOOKUP(C194,'Tabla Articulos'!B:B,'Tabla Articulos'!D:D)</f>
        <v>BARBIJO QUIRURGICO</v>
      </c>
      <c r="F194" s="1">
        <f>_xlfn.XLOOKUP(C194,'Tabla Articulos'!B:B,'Tabla Articulos'!E:E)</f>
        <v>50</v>
      </c>
      <c r="G194" s="15">
        <f>SUM(
    SUMIFS(MRP!$H$2:$H$221, MRP!$B$2:$B$221, $C194, MRP!$G$2:$G$221, G$1),
    SUMIFS(MRP!$I$2:$I$221, MRP!$B$2:$B$221, $C194, MRP!$G$2:$G$221, G$1),
    SUMIFS(MRP!$J$2:$J$221, MRP!$B$2:$B$221, $C194,  MRP!$G$2:$G$221, G$1),
    SUMIFS(MRP!$K$2:$K$221, MRP!$B$2:$B$221, $C194,  MRP!$G$2:$G$221, G$1),
    SUMIFS(MRP!$L$2:$L$221, MRP!$B$2:$B$221, $C194,  MRP!$G$2:$G$221, G$1)
)*F194</f>
        <v>0</v>
      </c>
      <c r="H194" s="15">
        <f>SUM(
    SUMIFS(MRP!$H$2:$H$221, MRP!$B$2:$B$221, $C194, MRP!$G$2:$G$221, H$1),
    SUMIFS(MRP!$I$2:$I$221, MRP!$B$2:$B$221, $C194, MRP!$G$2:$G$221, H$1),
    SUMIFS(MRP!$J$2:$J$221, MRP!$B$2:$B$221, $C194,  MRP!$G$2:$G$221, H$1),
    SUMIFS(MRP!$K$2:$K$221, MRP!$B$2:$B$221, $C194,  MRP!$G$2:$G$221, H$1),
    SUMIFS(MRP!$L$2:$L$221, MRP!$B$2:$B$221, $C194,  MRP!$G$2:$G$221, H$1)
)*F194</f>
        <v>0</v>
      </c>
      <c r="I194" s="15">
        <f>SUM(
    SUMIFS(MRP!$H$2:$H$221, MRP!$B$2:$B$221, $C194, MRP!$G$2:$G$221, I$1),
    SUMIFS(MRP!$I$2:$I$221, MRP!$B$2:$B$221, $C194, MRP!$G$2:$G$221, I$1),
    SUMIFS(MRP!$J$2:$J$221, MRP!$B$2:$B$221, $C194,  MRP!$G$2:$G$221, I$1),
    SUMIFS(MRP!$K$2:$K$221, MRP!$B$2:$B$221, $C194,  MRP!$G$2:$G$221, I$1),
    SUMIFS(MRP!$L$2:$L$221, MRP!$B$2:$B$221, $C194,  MRP!$G$2:$G$221, I$1)
)*F194</f>
        <v>0</v>
      </c>
      <c r="J194" s="15">
        <f>SUM(
    SUMIFS(MRP!$H$2:$H$221, MRP!$B$2:$B$221, $C194, MRP!$G$2:$G$221, J$1),
    SUMIFS(MRP!$I$2:$I$221, MRP!$B$2:$B$221, $C194, MRP!$G$2:$G$221, J$1),
    SUMIFS(MRP!$J$2:$J$221, MRP!$B$2:$B$221, $C194,  MRP!$G$2:$G$221, J$1),
    SUMIFS(MRP!$K$2:$K$221, MRP!$B$2:$B$221, $C194,  MRP!$G$2:$G$221, J$1),
    SUMIFS(MRP!$L$2:$L$221, MRP!$B$2:$B$221, $C194,  MRP!$G$2:$G$221, J$1)
)*F194</f>
        <v>0</v>
      </c>
      <c r="K194" s="15">
        <f>SUM(
    SUMIFS(MRP!$H$2:$H$221, MRP!$B$2:$B$221, $C194, MRP!$G$2:$G$221, K$1),
    SUMIFS(MRP!$I$2:$I$221, MRP!$B$2:$B$221, $C194, MRP!$G$2:$G$221, K$1),
    SUMIFS(MRP!$J$2:$J$221, MRP!$B$2:$B$221, $C194,  MRP!$G$2:$G$221, K$1),
    SUMIFS(MRP!$K$2:$K$221, MRP!$B$2:$B$221, $C194,  MRP!$G$2:$G$221, K$1),
    SUMIFS(MRP!$L$2:$L$221, MRP!$B$2:$B$221, $C194,  MRP!$G$2:$G$221, K$1)
)*F194</f>
        <v>0</v>
      </c>
      <c r="L194" s="55" t="str">
        <f>TRIM(Tabla3[[#This Row],[CodInternoArti]])</f>
        <v>LIM000393</v>
      </c>
    </row>
    <row r="195" spans="1:12" hidden="1" x14ac:dyDescent="0.35">
      <c r="A195" s="39" t="str">
        <f>IF(ISNUMBER(_xlfn.XMATCH(Tabla3[[#This Row],[CodInternoArti]],'Tabla Articulos'!B:B)),"OK","NO ESTA")</f>
        <v>OK</v>
      </c>
      <c r="B195" s="39" t="str">
        <f>IF(ISNUMBER(_xlfn.XMATCH('Calcular necesidad'!E:E,'Necesidad por familia'!A:A)),"OK","NO ESTA")</f>
        <v>OK</v>
      </c>
      <c r="C195" s="36" t="s">
        <v>266</v>
      </c>
      <c r="D195" s="36" t="s">
        <v>267</v>
      </c>
      <c r="E195" s="36" t="str">
        <f>_xlfn.XLOOKUP(C195,'Tabla Articulos'!B:B,'Tabla Articulos'!D:D)</f>
        <v>DEGUSTADOR</v>
      </c>
      <c r="F195" s="36">
        <f>_xlfn.XLOOKUP(C195,'Tabla Articulos'!B:B,'Tabla Articulos'!E:E)</f>
        <v>1000</v>
      </c>
      <c r="G195" s="40">
        <f>SUM(
    SUMIFS(MRP!$H$2:$H$221, MRP!$B$2:$B$221, $C195, MRP!$G$2:$G$221, G$1),
    SUMIFS(MRP!$I$2:$I$221, MRP!$B$2:$B$221, $C195, MRP!$G$2:$G$221, G$1),
    SUMIFS(MRP!$J$2:$J$221, MRP!$B$2:$B$221, $C195,  MRP!$G$2:$G$221, G$1),
    SUMIFS(MRP!$K$2:$K$221, MRP!$B$2:$B$221, $C195,  MRP!$G$2:$G$221, G$1),
    SUMIFS(MRP!$L$2:$L$221, MRP!$B$2:$B$221, $C195,  MRP!$G$2:$G$221, G$1)
)*F195</f>
        <v>0</v>
      </c>
      <c r="H195" s="40">
        <f>SUM(
    SUMIFS(MRP!$H$2:$H$221, MRP!$B$2:$B$221, $C195, MRP!$G$2:$G$221, H$1),
    SUMIFS(MRP!$I$2:$I$221, MRP!$B$2:$B$221, $C195, MRP!$G$2:$G$221, H$1),
    SUMIFS(MRP!$J$2:$J$221, MRP!$B$2:$B$221, $C195,  MRP!$G$2:$G$221, H$1),
    SUMIFS(MRP!$K$2:$K$221, MRP!$B$2:$B$221, $C195,  MRP!$G$2:$G$221, H$1),
    SUMIFS(MRP!$L$2:$L$221, MRP!$B$2:$B$221, $C195,  MRP!$G$2:$G$221, H$1)
)*F195</f>
        <v>4000</v>
      </c>
      <c r="I195" s="15">
        <f>SUM(
    SUMIFS(MRP!$H$2:$H$221, MRP!$B$2:$B$221, $C195, MRP!$G$2:$G$221, I$1),
    SUMIFS(MRP!$I$2:$I$221, MRP!$B$2:$B$221, $C195, MRP!$G$2:$G$221, I$1),
    SUMIFS(MRP!$J$2:$J$221, MRP!$B$2:$B$221, $C195,  MRP!$G$2:$G$221, I$1),
    SUMIFS(MRP!$K$2:$K$221, MRP!$B$2:$B$221, $C195,  MRP!$G$2:$G$221, I$1),
    SUMIFS(MRP!$L$2:$L$221, MRP!$B$2:$B$221, $C195,  MRP!$G$2:$G$221, I$1)
)*F195</f>
        <v>0</v>
      </c>
      <c r="J195" s="15">
        <f>SUM(
    SUMIFS(MRP!$H$2:$H$221, MRP!$B$2:$B$221, $C195, MRP!$G$2:$G$221, J$1),
    SUMIFS(MRP!$I$2:$I$221, MRP!$B$2:$B$221, $C195, MRP!$G$2:$G$221, J$1),
    SUMIFS(MRP!$J$2:$J$221, MRP!$B$2:$B$221, $C195,  MRP!$G$2:$G$221, J$1),
    SUMIFS(MRP!$K$2:$K$221, MRP!$B$2:$B$221, $C195,  MRP!$G$2:$G$221, J$1),
    SUMIFS(MRP!$L$2:$L$221, MRP!$B$2:$B$221, $C195,  MRP!$G$2:$G$221, J$1)
)*F195</f>
        <v>0</v>
      </c>
      <c r="K195" s="15">
        <f>SUM(
    SUMIFS(MRP!$H$2:$H$221, MRP!$B$2:$B$221, $C195, MRP!$G$2:$G$221, K$1),
    SUMIFS(MRP!$I$2:$I$221, MRP!$B$2:$B$221, $C195, MRP!$G$2:$G$221, K$1),
    SUMIFS(MRP!$J$2:$J$221, MRP!$B$2:$B$221, $C195,  MRP!$G$2:$G$221, K$1),
    SUMIFS(MRP!$K$2:$K$221, MRP!$B$2:$B$221, $C195,  MRP!$G$2:$G$221, K$1),
    SUMIFS(MRP!$L$2:$L$221, MRP!$B$2:$B$221, $C195,  MRP!$G$2:$G$221, K$1)
)*F195</f>
        <v>0</v>
      </c>
      <c r="L195" s="55" t="str">
        <f>TRIM(Tabla3[[#This Row],[CodInternoArti]])</f>
        <v>BAZ000524</v>
      </c>
    </row>
    <row r="196" spans="1:12" hidden="1" x14ac:dyDescent="0.35">
      <c r="A196" s="41" t="str">
        <f>IF(ISNUMBER(_xlfn.XMATCH(Tabla3[[#This Row],[CodInternoArti]],'Tabla Articulos'!B:B)),"OK","NO ESTA")</f>
        <v>OK</v>
      </c>
      <c r="B196" s="29" t="str">
        <f>IF(ISNUMBER(_xlfn.XMATCH('Calcular necesidad'!E:E,'Necesidad por familia'!A:A)),"OK","NO ESTA")</f>
        <v>OK</v>
      </c>
      <c r="C196" s="36" t="s">
        <v>730</v>
      </c>
      <c r="D196" s="36" t="s">
        <v>522</v>
      </c>
      <c r="E196" s="36" t="str">
        <f>_xlfn.XLOOKUP(C196,'Tabla Articulos'!B:B,'Tabla Articulos'!D:D)</f>
        <v>BANDEJA R3</v>
      </c>
      <c r="F196" s="36">
        <f>_xlfn.XLOOKUP(C196,'Tabla Articulos'!B:B,'Tabla Articulos'!E:E)</f>
        <v>500</v>
      </c>
      <c r="G196" s="40">
        <f>SUM(
    SUMIFS(MRP!$H$2:$H$221, MRP!$B$2:$B$221, $C196, MRP!$G$2:$G$221, G$1),
    SUMIFS(MRP!$I$2:$I$221, MRP!$B$2:$B$221, $C196, MRP!$G$2:$G$221, G$1),
    SUMIFS(MRP!$J$2:$J$221, MRP!$B$2:$B$221, $C196,  MRP!$G$2:$G$221, G$1),
    SUMIFS(MRP!$K$2:$K$221, MRP!$B$2:$B$221, $C196,  MRP!$G$2:$G$221, G$1),
    SUMIFS(MRP!$L$2:$L$221, MRP!$B$2:$B$221, $C196,  MRP!$G$2:$G$221, G$1)
)*F196</f>
        <v>0</v>
      </c>
      <c r="H196" s="40">
        <f>SUM(
    SUMIFS(MRP!$H$2:$H$221, MRP!$B$2:$B$221, $C196, MRP!$G$2:$G$221, H$1),
    SUMIFS(MRP!$I$2:$I$221, MRP!$B$2:$B$221, $C196, MRP!$G$2:$G$221, H$1),
    SUMIFS(MRP!$J$2:$J$221, MRP!$B$2:$B$221, $C196,  MRP!$G$2:$G$221, H$1),
    SUMIFS(MRP!$K$2:$K$221, MRP!$B$2:$B$221, $C196,  MRP!$G$2:$G$221, H$1),
    SUMIFS(MRP!$L$2:$L$221, MRP!$B$2:$B$221, $C196,  MRP!$G$2:$G$221, H$1)
)*F196</f>
        <v>2500</v>
      </c>
      <c r="I196" s="15">
        <f>SUM(
    SUMIFS(MRP!$H$2:$H$221, MRP!$B$2:$B$221, $C196, MRP!$G$2:$G$221, I$1),
    SUMIFS(MRP!$I$2:$I$221, MRP!$B$2:$B$221, $C196, MRP!$G$2:$G$221, I$1),
    SUMIFS(MRP!$J$2:$J$221, MRP!$B$2:$B$221, $C196,  MRP!$G$2:$G$221, I$1),
    SUMIFS(MRP!$K$2:$K$221, MRP!$B$2:$B$221, $C196,  MRP!$G$2:$G$221, I$1),
    SUMIFS(MRP!$L$2:$L$221, MRP!$B$2:$B$221, $C196,  MRP!$G$2:$G$221, I$1)
)*F196</f>
        <v>0</v>
      </c>
      <c r="J196" s="15">
        <f>SUM(
    SUMIFS(MRP!$H$2:$H$221, MRP!$B$2:$B$221, $C196, MRP!$G$2:$G$221, J$1),
    SUMIFS(MRP!$I$2:$I$221, MRP!$B$2:$B$221, $C196, MRP!$G$2:$G$221, J$1),
    SUMIFS(MRP!$J$2:$J$221, MRP!$B$2:$B$221, $C196,  MRP!$G$2:$G$221, J$1),
    SUMIFS(MRP!$K$2:$K$221, MRP!$B$2:$B$221, $C196,  MRP!$G$2:$G$221, J$1),
    SUMIFS(MRP!$L$2:$L$221, MRP!$B$2:$B$221, $C196,  MRP!$G$2:$G$221, J$1)
)*F196</f>
        <v>0</v>
      </c>
      <c r="K196" s="15">
        <f>SUM(
    SUMIFS(MRP!$H$2:$H$221, MRP!$B$2:$B$221, $C196, MRP!$G$2:$G$221, K$1),
    SUMIFS(MRP!$I$2:$I$221, MRP!$B$2:$B$221, $C196, MRP!$G$2:$G$221, K$1),
    SUMIFS(MRP!$J$2:$J$221, MRP!$B$2:$B$221, $C196,  MRP!$G$2:$G$221, K$1),
    SUMIFS(MRP!$K$2:$K$221, MRP!$B$2:$B$221, $C196,  MRP!$G$2:$G$221, K$1),
    SUMIFS(MRP!$L$2:$L$221, MRP!$B$2:$B$221, $C196,  MRP!$G$2:$G$221, K$1)
)*F196</f>
        <v>0</v>
      </c>
      <c r="L196" s="55" t="str">
        <f>TRIM(Tabla3[[#This Row],[CodInternoArti]])</f>
        <v>610000108746</v>
      </c>
    </row>
    <row r="197" spans="1:12" hidden="1" x14ac:dyDescent="0.35">
      <c r="A197" s="41" t="str">
        <f>IF(ISNUMBER(_xlfn.XMATCH(Tabla3[[#This Row],[CodInternoArti]],'Tabla Articulos'!B:B)),"OK","NO ESTA")</f>
        <v>OK</v>
      </c>
      <c r="B197" s="29" t="str">
        <f>IF(ISNUMBER(_xlfn.XMATCH('Calcular necesidad'!E:E,'Necesidad por familia'!A:A)),"OK","NO ESTA")</f>
        <v>OK</v>
      </c>
      <c r="C197" s="36" t="s">
        <v>731</v>
      </c>
      <c r="D197" s="36" t="s">
        <v>732</v>
      </c>
      <c r="E197" s="36" t="str">
        <f>_xlfn.XLOOKUP(C197,'Tabla Articulos'!B:B,'Tabla Articulos'!D:D)</f>
        <v>VASO PLASTICO 180</v>
      </c>
      <c r="F197" s="36">
        <f>_xlfn.XLOOKUP(C197,'Tabla Articulos'!B:B,'Tabla Articulos'!E:E)</f>
        <v>50</v>
      </c>
      <c r="G197" s="40">
        <f>SUM(
    SUMIFS(MRP!$H$2:$H$221, MRP!$B$2:$B$221, $C197, MRP!$G$2:$G$221, G$1),
    SUMIFS(MRP!$I$2:$I$221, MRP!$B$2:$B$221, $C197, MRP!$G$2:$G$221, G$1),
    SUMIFS(MRP!$J$2:$J$221, MRP!$B$2:$B$221, $C197,  MRP!$G$2:$G$221, G$1),
    SUMIFS(MRP!$K$2:$K$221, MRP!$B$2:$B$221, $C197,  MRP!$G$2:$G$221, G$1),
    SUMIFS(MRP!$L$2:$L$221, MRP!$B$2:$B$221, $C197,  MRP!$G$2:$G$221, G$1)
)*F197</f>
        <v>0</v>
      </c>
      <c r="H197" s="40">
        <f>SUM(
    SUMIFS(MRP!$H$2:$H$221, MRP!$B$2:$B$221, $C197, MRP!$G$2:$G$221, H$1),
    SUMIFS(MRP!$I$2:$I$221, MRP!$B$2:$B$221, $C197, MRP!$G$2:$G$221, H$1),
    SUMIFS(MRP!$J$2:$J$221, MRP!$B$2:$B$221, $C197,  MRP!$G$2:$G$221, H$1),
    SUMIFS(MRP!$K$2:$K$221, MRP!$B$2:$B$221, $C197,  MRP!$G$2:$G$221, H$1),
    SUMIFS(MRP!$L$2:$L$221, MRP!$B$2:$B$221, $C197,  MRP!$G$2:$G$221, H$1)
)*F197</f>
        <v>0</v>
      </c>
      <c r="I197" s="15">
        <f>SUM(
    SUMIFS(MRP!$H$2:$H$221, MRP!$B$2:$B$221, $C197, MRP!$G$2:$G$221, I$1),
    SUMIFS(MRP!$I$2:$I$221, MRP!$B$2:$B$221, $C197, MRP!$G$2:$G$221, I$1),
    SUMIFS(MRP!$J$2:$J$221, MRP!$B$2:$B$221, $C197,  MRP!$G$2:$G$221, I$1),
    SUMIFS(MRP!$K$2:$K$221, MRP!$B$2:$B$221, $C197,  MRP!$G$2:$G$221, I$1),
    SUMIFS(MRP!$L$2:$L$221, MRP!$B$2:$B$221, $C197,  MRP!$G$2:$G$221, I$1)
)*F197</f>
        <v>0</v>
      </c>
      <c r="J197" s="15">
        <f>SUM(
    SUMIFS(MRP!$H$2:$H$221, MRP!$B$2:$B$221, $C197, MRP!$G$2:$G$221, J$1),
    SUMIFS(MRP!$I$2:$I$221, MRP!$B$2:$B$221, $C197, MRP!$G$2:$G$221, J$1),
    SUMIFS(MRP!$J$2:$J$221, MRP!$B$2:$B$221, $C197,  MRP!$G$2:$G$221, J$1),
    SUMIFS(MRP!$K$2:$K$221, MRP!$B$2:$B$221, $C197,  MRP!$G$2:$G$221, J$1),
    SUMIFS(MRP!$L$2:$L$221, MRP!$B$2:$B$221, $C197,  MRP!$G$2:$G$221, J$1)
)*F197</f>
        <v>0</v>
      </c>
      <c r="K197" s="15">
        <f>SUM(
    SUMIFS(MRP!$H$2:$H$221, MRP!$B$2:$B$221, $C197, MRP!$G$2:$G$221, K$1),
    SUMIFS(MRP!$I$2:$I$221, MRP!$B$2:$B$221, $C197, MRP!$G$2:$G$221, K$1),
    SUMIFS(MRP!$J$2:$J$221, MRP!$B$2:$B$221, $C197,  MRP!$G$2:$G$221, K$1),
    SUMIFS(MRP!$K$2:$K$221, MRP!$B$2:$B$221, $C197,  MRP!$G$2:$G$221, K$1),
    SUMIFS(MRP!$L$2:$L$221, MRP!$B$2:$B$221, $C197,  MRP!$G$2:$G$221, K$1)
)*F197</f>
        <v>0</v>
      </c>
      <c r="L197" s="55" t="str">
        <f>TRIM(Tabla3[[#This Row],[CodInternoArti]])</f>
        <v>7790430132762</v>
      </c>
    </row>
    <row r="198" spans="1:12" hidden="1" x14ac:dyDescent="0.35">
      <c r="A198" s="41" t="str">
        <f>IF(ISNUMBER(_xlfn.XMATCH(Tabla3[[#This Row],[CodInternoArti]],'Tabla Articulos'!B:B)),"OK","NO ESTA")</f>
        <v>OK</v>
      </c>
      <c r="B198" s="29" t="str">
        <f>IF(ISNUMBER(_xlfn.XMATCH('Calcular necesidad'!E:E,'Necesidad por familia'!A:A)),"OK","NO ESTA")</f>
        <v>OK</v>
      </c>
      <c r="C198" s="36" t="s">
        <v>733</v>
      </c>
      <c r="D198" s="36" t="s">
        <v>734</v>
      </c>
      <c r="E198" s="36" t="str">
        <f>_xlfn.XLOOKUP(C198,'Tabla Articulos'!B:B,'Tabla Articulos'!D:D)</f>
        <v>FILM STRECH</v>
      </c>
      <c r="F198" s="36">
        <f>_xlfn.XLOOKUP(C198,'Tabla Articulos'!B:B,'Tabla Articulos'!E:E)</f>
        <v>1</v>
      </c>
      <c r="G198" s="40">
        <f>SUM(
    SUMIFS(MRP!$H$2:$H$221, MRP!$B$2:$B$221, $C198, MRP!$G$2:$G$221, G$1),
    SUMIFS(MRP!$I$2:$I$221, MRP!$B$2:$B$221, $C198, MRP!$G$2:$G$221, G$1),
    SUMIFS(MRP!$J$2:$J$221, MRP!$B$2:$B$221, $C198,  MRP!$G$2:$G$221, G$1),
    SUMIFS(MRP!$K$2:$K$221, MRP!$B$2:$B$221, $C198,  MRP!$G$2:$G$221, G$1),
    SUMIFS(MRP!$L$2:$L$221, MRP!$B$2:$B$221, $C198,  MRP!$G$2:$G$221, G$1)
)*F198</f>
        <v>0</v>
      </c>
      <c r="H198" s="40">
        <f>SUM(
    SUMIFS(MRP!$H$2:$H$221, MRP!$B$2:$B$221, $C198, MRP!$G$2:$G$221, H$1),
    SUMIFS(MRP!$I$2:$I$221, MRP!$B$2:$B$221, $C198, MRP!$G$2:$G$221, H$1),
    SUMIFS(MRP!$J$2:$J$221, MRP!$B$2:$B$221, $C198,  MRP!$G$2:$G$221, H$1),
    SUMIFS(MRP!$K$2:$K$221, MRP!$B$2:$B$221, $C198,  MRP!$G$2:$G$221, H$1),
    SUMIFS(MRP!$L$2:$L$221, MRP!$B$2:$B$221, $C198,  MRP!$G$2:$G$221, H$1)
)*F198</f>
        <v>0</v>
      </c>
      <c r="I198" s="15">
        <f>SUM(
    SUMIFS(MRP!$H$2:$H$221, MRP!$B$2:$B$221, $C198, MRP!$G$2:$G$221, I$1),
    SUMIFS(MRP!$I$2:$I$221, MRP!$B$2:$B$221, $C198, MRP!$G$2:$G$221, I$1),
    SUMIFS(MRP!$J$2:$J$221, MRP!$B$2:$B$221, $C198,  MRP!$G$2:$G$221, I$1),
    SUMIFS(MRP!$K$2:$K$221, MRP!$B$2:$B$221, $C198,  MRP!$G$2:$G$221, I$1),
    SUMIFS(MRP!$L$2:$L$221, MRP!$B$2:$B$221, $C198,  MRP!$G$2:$G$221, I$1)
)*F198</f>
        <v>0</v>
      </c>
      <c r="J198" s="15">
        <f>SUM(
    SUMIFS(MRP!$H$2:$H$221, MRP!$B$2:$B$221, $C198, MRP!$G$2:$G$221, J$1),
    SUMIFS(MRP!$I$2:$I$221, MRP!$B$2:$B$221, $C198, MRP!$G$2:$G$221, J$1),
    SUMIFS(MRP!$J$2:$J$221, MRP!$B$2:$B$221, $C198,  MRP!$G$2:$G$221, J$1),
    SUMIFS(MRP!$K$2:$K$221, MRP!$B$2:$B$221, $C198,  MRP!$G$2:$G$221, J$1),
    SUMIFS(MRP!$L$2:$L$221, MRP!$B$2:$B$221, $C198,  MRP!$G$2:$G$221, J$1)
)*F198</f>
        <v>0</v>
      </c>
      <c r="K198" s="15">
        <f>SUM(
    SUMIFS(MRP!$H$2:$H$221, MRP!$B$2:$B$221, $C198, MRP!$G$2:$G$221, K$1),
    SUMIFS(MRP!$I$2:$I$221, MRP!$B$2:$B$221, $C198, MRP!$G$2:$G$221, K$1),
    SUMIFS(MRP!$J$2:$J$221, MRP!$B$2:$B$221, $C198,  MRP!$G$2:$G$221, K$1),
    SUMIFS(MRP!$K$2:$K$221, MRP!$B$2:$B$221, $C198,  MRP!$G$2:$G$221, K$1),
    SUMIFS(MRP!$L$2:$L$221, MRP!$B$2:$B$221, $C198,  MRP!$G$2:$G$221, K$1)
)*F198</f>
        <v>0</v>
      </c>
      <c r="L198" s="55" t="str">
        <f>TRIM(Tabla3[[#This Row],[CodInternoArti]])</f>
        <v>7790000000657</v>
      </c>
    </row>
    <row r="199" spans="1:12" hidden="1" x14ac:dyDescent="0.35">
      <c r="A199" s="41" t="str">
        <f>IF(ISNUMBER(_xlfn.XMATCH(Tabla3[[#This Row],[CodInternoArti]],'Tabla Articulos'!B:B)),"OK","NO ESTA")</f>
        <v>OK</v>
      </c>
      <c r="B199" s="29" t="str">
        <f>IF(ISNUMBER(_xlfn.XMATCH('Calcular necesidad'!E:E,'Necesidad por familia'!A:A)),"OK","NO ESTA")</f>
        <v>OK</v>
      </c>
      <c r="C199" s="36" t="s">
        <v>735</v>
      </c>
      <c r="D199" s="36" t="s">
        <v>469</v>
      </c>
      <c r="E199" s="36" t="str">
        <f>_xlfn.XLOOKUP(C199,'Tabla Articulos'!B:B,'Tabla Articulos'!D:D)</f>
        <v>SERVILLETE 33X33 BIO</v>
      </c>
      <c r="F199" s="36">
        <f>_xlfn.XLOOKUP(C199,'Tabla Articulos'!B:B,'Tabla Articulos'!E:E)</f>
        <v>500</v>
      </c>
      <c r="G199" s="40">
        <f>SUM(
    SUMIFS(MRP!$H$2:$H$221, MRP!$B$2:$B$221, $C199, MRP!$G$2:$G$221, G$1),
    SUMIFS(MRP!$I$2:$I$221, MRP!$B$2:$B$221, $C199, MRP!$G$2:$G$221, G$1),
    SUMIFS(MRP!$J$2:$J$221, MRP!$B$2:$B$221, $C199,  MRP!$G$2:$G$221, G$1),
    SUMIFS(MRP!$K$2:$K$221, MRP!$B$2:$B$221, $C199,  MRP!$G$2:$G$221, G$1),
    SUMIFS(MRP!$L$2:$L$221, MRP!$B$2:$B$221, $C199,  MRP!$G$2:$G$221, G$1)
)*F199</f>
        <v>0</v>
      </c>
      <c r="H199" s="40">
        <f>SUM(
    SUMIFS(MRP!$H$2:$H$221, MRP!$B$2:$B$221, $C199, MRP!$G$2:$G$221, H$1),
    SUMIFS(MRP!$I$2:$I$221, MRP!$B$2:$B$221, $C199, MRP!$G$2:$G$221, H$1),
    SUMIFS(MRP!$J$2:$J$221, MRP!$B$2:$B$221, $C199,  MRP!$G$2:$G$221, H$1),
    SUMIFS(MRP!$K$2:$K$221, MRP!$B$2:$B$221, $C199,  MRP!$G$2:$G$221, H$1),
    SUMIFS(MRP!$L$2:$L$221, MRP!$B$2:$B$221, $C199,  MRP!$G$2:$G$221, H$1)
)*F199</f>
        <v>1500</v>
      </c>
      <c r="I199" s="15">
        <f>SUM(
    SUMIFS(MRP!$H$2:$H$221, MRP!$B$2:$B$221, $C199, MRP!$G$2:$G$221, I$1),
    SUMIFS(MRP!$I$2:$I$221, MRP!$B$2:$B$221, $C199, MRP!$G$2:$G$221, I$1),
    SUMIFS(MRP!$J$2:$J$221, MRP!$B$2:$B$221, $C199,  MRP!$G$2:$G$221, I$1),
    SUMIFS(MRP!$K$2:$K$221, MRP!$B$2:$B$221, $C199,  MRP!$G$2:$G$221, I$1),
    SUMIFS(MRP!$L$2:$L$221, MRP!$B$2:$B$221, $C199,  MRP!$G$2:$G$221, I$1)
)*F199</f>
        <v>0</v>
      </c>
      <c r="J199" s="15">
        <f>SUM(
    SUMIFS(MRP!$H$2:$H$221, MRP!$B$2:$B$221, $C199, MRP!$G$2:$G$221, J$1),
    SUMIFS(MRP!$I$2:$I$221, MRP!$B$2:$B$221, $C199, MRP!$G$2:$G$221, J$1),
    SUMIFS(MRP!$J$2:$J$221, MRP!$B$2:$B$221, $C199,  MRP!$G$2:$G$221, J$1),
    SUMIFS(MRP!$K$2:$K$221, MRP!$B$2:$B$221, $C199,  MRP!$G$2:$G$221, J$1),
    SUMIFS(MRP!$L$2:$L$221, MRP!$B$2:$B$221, $C199,  MRP!$G$2:$G$221, J$1)
)*F199</f>
        <v>0</v>
      </c>
      <c r="K199" s="15">
        <f>SUM(
    SUMIFS(MRP!$H$2:$H$221, MRP!$B$2:$B$221, $C199, MRP!$G$2:$G$221, K$1),
    SUMIFS(MRP!$I$2:$I$221, MRP!$B$2:$B$221, $C199, MRP!$G$2:$G$221, K$1),
    SUMIFS(MRP!$J$2:$J$221, MRP!$B$2:$B$221, $C199,  MRP!$G$2:$G$221, K$1),
    SUMIFS(MRP!$K$2:$K$221, MRP!$B$2:$B$221, $C199,  MRP!$G$2:$G$221, K$1),
    SUMIFS(MRP!$L$2:$L$221, MRP!$B$2:$B$221, $C199,  MRP!$G$2:$G$221, K$1)
)*F199</f>
        <v>0</v>
      </c>
      <c r="L199" s="55" t="str">
        <f>TRIM(Tabla3[[#This Row],[CodInternoArti]])</f>
        <v>7790000000524</v>
      </c>
    </row>
    <row r="200" spans="1:12" hidden="1" x14ac:dyDescent="0.35">
      <c r="A200" s="41" t="str">
        <f>IF(ISNUMBER(_xlfn.XMATCH(Tabla3[[#This Row],[CodInternoArti]],'Tabla Articulos'!B:B)),"OK","NO ESTA")</f>
        <v>OK</v>
      </c>
      <c r="B200" s="29" t="str">
        <f>IF(ISNUMBER(_xlfn.XMATCH('Calcular necesidad'!E:E,'Necesidad por familia'!A:A)),"OK","NO ESTA")</f>
        <v>OK</v>
      </c>
      <c r="C200" s="36" t="s">
        <v>736</v>
      </c>
      <c r="D200" s="36" t="s">
        <v>737</v>
      </c>
      <c r="E200" s="36" t="str">
        <f>_xlfn.XLOOKUP(C200,'Tabla Articulos'!B:B,'Tabla Articulos'!D:D)</f>
        <v>TAPA R3</v>
      </c>
      <c r="F200" s="36">
        <f>_xlfn.XLOOKUP(C200,'Tabla Articulos'!B:B,'Tabla Articulos'!E:E)</f>
        <v>1000</v>
      </c>
      <c r="G200" s="40">
        <f>SUM(
    SUMIFS(MRP!$H$2:$H$221, MRP!$B$2:$B$221, $C200, MRP!$G$2:$G$221, G$1),
    SUMIFS(MRP!$I$2:$I$221, MRP!$B$2:$B$221, $C200, MRP!$G$2:$G$221, G$1),
    SUMIFS(MRP!$J$2:$J$221, MRP!$B$2:$B$221, $C200,  MRP!$G$2:$G$221, G$1),
    SUMIFS(MRP!$K$2:$K$221, MRP!$B$2:$B$221, $C200,  MRP!$G$2:$G$221, G$1),
    SUMIFS(MRP!$L$2:$L$221, MRP!$B$2:$B$221, $C200,  MRP!$G$2:$G$221, G$1)
)*F200</f>
        <v>0</v>
      </c>
      <c r="H200" s="40">
        <f>SUM(
    SUMIFS(MRP!$H$2:$H$221, MRP!$B$2:$B$221, $C200, MRP!$G$2:$G$221, H$1),
    SUMIFS(MRP!$I$2:$I$221, MRP!$B$2:$B$221, $C200, MRP!$G$2:$G$221, H$1),
    SUMIFS(MRP!$J$2:$J$221, MRP!$B$2:$B$221, $C200,  MRP!$G$2:$G$221, H$1),
    SUMIFS(MRP!$K$2:$K$221, MRP!$B$2:$B$221, $C200,  MRP!$G$2:$G$221, H$1),
    SUMIFS(MRP!$L$2:$L$221, MRP!$B$2:$B$221, $C200,  MRP!$G$2:$G$221, H$1)
)*F200</f>
        <v>0</v>
      </c>
      <c r="I200" s="15">
        <f>SUM(
    SUMIFS(MRP!$H$2:$H$221, MRP!$B$2:$B$221, $C200, MRP!$G$2:$G$221, I$1),
    SUMIFS(MRP!$I$2:$I$221, MRP!$B$2:$B$221, $C200, MRP!$G$2:$G$221, I$1),
    SUMIFS(MRP!$J$2:$J$221, MRP!$B$2:$B$221, $C200,  MRP!$G$2:$G$221, I$1),
    SUMIFS(MRP!$K$2:$K$221, MRP!$B$2:$B$221, $C200,  MRP!$G$2:$G$221, I$1),
    SUMIFS(MRP!$L$2:$L$221, MRP!$B$2:$B$221, $C200,  MRP!$G$2:$G$221, I$1)
)*F200</f>
        <v>0</v>
      </c>
      <c r="J200" s="15">
        <f>SUM(
    SUMIFS(MRP!$H$2:$H$221, MRP!$B$2:$B$221, $C200, MRP!$G$2:$G$221, J$1),
    SUMIFS(MRP!$I$2:$I$221, MRP!$B$2:$B$221, $C200, MRP!$G$2:$G$221, J$1),
    SUMIFS(MRP!$J$2:$J$221, MRP!$B$2:$B$221, $C200,  MRP!$G$2:$G$221, J$1),
    SUMIFS(MRP!$K$2:$K$221, MRP!$B$2:$B$221, $C200,  MRP!$G$2:$G$221, J$1),
    SUMIFS(MRP!$L$2:$L$221, MRP!$B$2:$B$221, $C200,  MRP!$G$2:$G$221, J$1)
)*F200</f>
        <v>0</v>
      </c>
      <c r="K200" s="15">
        <f>SUM(
    SUMIFS(MRP!$H$2:$H$221, MRP!$B$2:$B$221, $C200, MRP!$G$2:$G$221, K$1),
    SUMIFS(MRP!$I$2:$I$221, MRP!$B$2:$B$221, $C200, MRP!$G$2:$G$221, K$1),
    SUMIFS(MRP!$J$2:$J$221, MRP!$B$2:$B$221, $C200,  MRP!$G$2:$G$221, K$1),
    SUMIFS(MRP!$K$2:$K$221, MRP!$B$2:$B$221, $C200,  MRP!$G$2:$G$221, K$1),
    SUMIFS(MRP!$L$2:$L$221, MRP!$B$2:$B$221, $C200,  MRP!$G$2:$G$221, K$1)
)*F200</f>
        <v>0</v>
      </c>
      <c r="L200" s="55" t="str">
        <f>TRIM(Tabla3[[#This Row],[CodInternoArti]])</f>
        <v>640000108776</v>
      </c>
    </row>
    <row r="201" spans="1:12" hidden="1" x14ac:dyDescent="0.35">
      <c r="A201" s="41" t="str">
        <f>IF(ISNUMBER(_xlfn.XMATCH(Tabla3[[#This Row],[CodInternoArti]],'Tabla Articulos'!B:B)),"OK","NO ESTA")</f>
        <v>OK</v>
      </c>
      <c r="B201" s="29" t="str">
        <f>IF(ISNUMBER(_xlfn.XMATCH('Calcular necesidad'!E:E,'Necesidad por familia'!A:A)),"OK","NO ESTA")</f>
        <v>OK</v>
      </c>
      <c r="C201" s="36" t="s">
        <v>738</v>
      </c>
      <c r="D201" s="36" t="s">
        <v>739</v>
      </c>
      <c r="E201" s="36" t="str">
        <f>_xlfn.XLOOKUP(C201,'Tabla Articulos'!B:B,'Tabla Articulos'!D:D)</f>
        <v>MANGAS DESCARTABLES</v>
      </c>
      <c r="F201" s="36">
        <f>_xlfn.XLOOKUP(C201,'Tabla Articulos'!B:B,'Tabla Articulos'!E:E)</f>
        <v>25</v>
      </c>
      <c r="G201" s="40">
        <f>SUM(
    SUMIFS(MRP!$H$2:$H$221, MRP!$B$2:$B$221, $C201, MRP!$G$2:$G$221, G$1),
    SUMIFS(MRP!$I$2:$I$221, MRP!$B$2:$B$221, $C201, MRP!$G$2:$G$221, G$1),
    SUMIFS(MRP!$J$2:$J$221, MRP!$B$2:$B$221, $C201,  MRP!$G$2:$G$221, G$1),
    SUMIFS(MRP!$K$2:$K$221, MRP!$B$2:$B$221, $C201,  MRP!$G$2:$G$221, G$1),
    SUMIFS(MRP!$L$2:$L$221, MRP!$B$2:$B$221, $C201,  MRP!$G$2:$G$221, G$1)
)*F201</f>
        <v>0</v>
      </c>
      <c r="H201" s="40">
        <f>SUM(
    SUMIFS(MRP!$H$2:$H$221, MRP!$B$2:$B$221, $C201, MRP!$G$2:$G$221, H$1),
    SUMIFS(MRP!$I$2:$I$221, MRP!$B$2:$B$221, $C201, MRP!$G$2:$G$221, H$1),
    SUMIFS(MRP!$J$2:$J$221, MRP!$B$2:$B$221, $C201,  MRP!$G$2:$G$221, H$1),
    SUMIFS(MRP!$K$2:$K$221, MRP!$B$2:$B$221, $C201,  MRP!$G$2:$G$221, H$1),
    SUMIFS(MRP!$L$2:$L$221, MRP!$B$2:$B$221, $C201,  MRP!$G$2:$G$221, H$1)
)*F201</f>
        <v>0</v>
      </c>
      <c r="I201" s="15">
        <f>SUM(
    SUMIFS(MRP!$H$2:$H$221, MRP!$B$2:$B$221, $C201, MRP!$G$2:$G$221, I$1),
    SUMIFS(MRP!$I$2:$I$221, MRP!$B$2:$B$221, $C201, MRP!$G$2:$G$221, I$1),
    SUMIFS(MRP!$J$2:$J$221, MRP!$B$2:$B$221, $C201,  MRP!$G$2:$G$221, I$1),
    SUMIFS(MRP!$K$2:$K$221, MRP!$B$2:$B$221, $C201,  MRP!$G$2:$G$221, I$1),
    SUMIFS(MRP!$L$2:$L$221, MRP!$B$2:$B$221, $C201,  MRP!$G$2:$G$221, I$1)
)*F201</f>
        <v>0</v>
      </c>
      <c r="J201" s="15">
        <f>SUM(
    SUMIFS(MRP!$H$2:$H$221, MRP!$B$2:$B$221, $C201, MRP!$G$2:$G$221, J$1),
    SUMIFS(MRP!$I$2:$I$221, MRP!$B$2:$B$221, $C201, MRP!$G$2:$G$221, J$1),
    SUMIFS(MRP!$J$2:$J$221, MRP!$B$2:$B$221, $C201,  MRP!$G$2:$G$221, J$1),
    SUMIFS(MRP!$K$2:$K$221, MRP!$B$2:$B$221, $C201,  MRP!$G$2:$G$221, J$1),
    SUMIFS(MRP!$L$2:$L$221, MRP!$B$2:$B$221, $C201,  MRP!$G$2:$G$221, J$1)
)*F201</f>
        <v>0</v>
      </c>
      <c r="K201" s="15">
        <f>SUM(
    SUMIFS(MRP!$H$2:$H$221, MRP!$B$2:$B$221, $C201, MRP!$G$2:$G$221, K$1),
    SUMIFS(MRP!$I$2:$I$221, MRP!$B$2:$B$221, $C201, MRP!$G$2:$G$221, K$1),
    SUMIFS(MRP!$J$2:$J$221, MRP!$B$2:$B$221, $C201,  MRP!$G$2:$G$221, K$1),
    SUMIFS(MRP!$K$2:$K$221, MRP!$B$2:$B$221, $C201,  MRP!$G$2:$G$221, K$1),
    SUMIFS(MRP!$L$2:$L$221, MRP!$B$2:$B$221, $C201,  MRP!$G$2:$G$221, K$1)
)*F201</f>
        <v>0</v>
      </c>
      <c r="L201" s="55" t="str">
        <f>TRIM(Tabla3[[#This Row],[CodInternoArti]])</f>
        <v>7798044557721</v>
      </c>
    </row>
    <row r="202" spans="1:12" hidden="1" x14ac:dyDescent="0.35">
      <c r="A202" s="41" t="str">
        <f>IF(ISNUMBER(_xlfn.XMATCH(Tabla3[[#This Row],[CodInternoArti]],'Tabla Articulos'!B:B)),"OK","NO ESTA")</f>
        <v>OK</v>
      </c>
      <c r="B202" s="29" t="str">
        <f>IF(ISNUMBER(_xlfn.XMATCH('Calcular necesidad'!E:E,'Necesidad por familia'!A:A)),"OK","NO ESTA")</f>
        <v>OK</v>
      </c>
      <c r="C202" s="36" t="s">
        <v>740</v>
      </c>
      <c r="D202" s="36" t="s">
        <v>520</v>
      </c>
      <c r="E202" s="36" t="str">
        <f>_xlfn.XLOOKUP(C202,'Tabla Articulos'!B:B,'Tabla Articulos'!D:D)</f>
        <v>BARBIJO QUIRURGICO</v>
      </c>
      <c r="F202" s="36">
        <f>_xlfn.XLOOKUP(C202,'Tabla Articulos'!B:B,'Tabla Articulos'!E:E)</f>
        <v>50</v>
      </c>
      <c r="G202" s="40">
        <f>SUM(
    SUMIFS(MRP!$H$2:$H$221, MRP!$B$2:$B$221, $C202, MRP!$G$2:$G$221, G$1),
    SUMIFS(MRP!$I$2:$I$221, MRP!$B$2:$B$221, $C202, MRP!$G$2:$G$221, G$1),
    SUMIFS(MRP!$J$2:$J$221, MRP!$B$2:$B$221, $C202,  MRP!$G$2:$G$221, G$1),
    SUMIFS(MRP!$K$2:$K$221, MRP!$B$2:$B$221, $C202,  MRP!$G$2:$G$221, G$1),
    SUMIFS(MRP!$L$2:$L$221, MRP!$B$2:$B$221, $C202,  MRP!$G$2:$G$221, G$1)
)*F202</f>
        <v>0</v>
      </c>
      <c r="H202" s="40">
        <f>SUM(
    SUMIFS(MRP!$H$2:$H$221, MRP!$B$2:$B$221, $C202, MRP!$G$2:$G$221, H$1),
    SUMIFS(MRP!$I$2:$I$221, MRP!$B$2:$B$221, $C202, MRP!$G$2:$G$221, H$1),
    SUMIFS(MRP!$J$2:$J$221, MRP!$B$2:$B$221, $C202,  MRP!$G$2:$G$221, H$1),
    SUMIFS(MRP!$K$2:$K$221, MRP!$B$2:$B$221, $C202,  MRP!$G$2:$G$221, H$1),
    SUMIFS(MRP!$L$2:$L$221, MRP!$B$2:$B$221, $C202,  MRP!$G$2:$G$221, H$1)
)*F202</f>
        <v>300</v>
      </c>
      <c r="I202" s="15">
        <f>SUM(
    SUMIFS(MRP!$H$2:$H$221, MRP!$B$2:$B$221, $C202, MRP!$G$2:$G$221, I$1),
    SUMIFS(MRP!$I$2:$I$221, MRP!$B$2:$B$221, $C202, MRP!$G$2:$G$221, I$1),
    SUMIFS(MRP!$J$2:$J$221, MRP!$B$2:$B$221, $C202,  MRP!$G$2:$G$221, I$1),
    SUMIFS(MRP!$K$2:$K$221, MRP!$B$2:$B$221, $C202,  MRP!$G$2:$G$221, I$1),
    SUMIFS(MRP!$L$2:$L$221, MRP!$B$2:$B$221, $C202,  MRP!$G$2:$G$221, I$1)
)*F202</f>
        <v>0</v>
      </c>
      <c r="J202" s="15">
        <f>SUM(
    SUMIFS(MRP!$H$2:$H$221, MRP!$B$2:$B$221, $C202, MRP!$G$2:$G$221, J$1),
    SUMIFS(MRP!$I$2:$I$221, MRP!$B$2:$B$221, $C202, MRP!$G$2:$G$221, J$1),
    SUMIFS(MRP!$J$2:$J$221, MRP!$B$2:$B$221, $C202,  MRP!$G$2:$G$221, J$1),
    SUMIFS(MRP!$K$2:$K$221, MRP!$B$2:$B$221, $C202,  MRP!$G$2:$G$221, J$1),
    SUMIFS(MRP!$L$2:$L$221, MRP!$B$2:$B$221, $C202,  MRP!$G$2:$G$221, J$1)
)*F202</f>
        <v>0</v>
      </c>
      <c r="K202" s="15">
        <f>SUM(
    SUMIFS(MRP!$H$2:$H$221, MRP!$B$2:$B$221, $C202, MRP!$G$2:$G$221, K$1),
    SUMIFS(MRP!$I$2:$I$221, MRP!$B$2:$B$221, $C202, MRP!$G$2:$G$221, K$1),
    SUMIFS(MRP!$J$2:$J$221, MRP!$B$2:$B$221, $C202,  MRP!$G$2:$G$221, K$1),
    SUMIFS(MRP!$K$2:$K$221, MRP!$B$2:$B$221, $C202,  MRP!$G$2:$G$221, K$1),
    SUMIFS(MRP!$L$2:$L$221, MRP!$B$2:$B$221, $C202,  MRP!$G$2:$G$221, K$1)
)*F202</f>
        <v>0</v>
      </c>
      <c r="L202" s="55" t="str">
        <f>TRIM(Tabla3[[#This Row],[CodInternoArti]])</f>
        <v>7790000000195</v>
      </c>
    </row>
    <row r="203" spans="1:12" x14ac:dyDescent="0.35">
      <c r="A203" s="41" t="str">
        <f>IF(ISNUMBER(_xlfn.XMATCH(Tabla3[[#This Row],[CodInternoArti]],'Tabla Articulos'!B:B)),"OK","NO ESTA")</f>
        <v>OK</v>
      </c>
      <c r="B203" s="29" t="str">
        <f>IF(ISNUMBER(_xlfn.XMATCH('Calcular necesidad'!E:E,'Necesidad por familia'!A:A)),"OK","NO ESTA")</f>
        <v>OK</v>
      </c>
      <c r="C203" s="36" t="s">
        <v>741</v>
      </c>
      <c r="D203" s="36" t="s">
        <v>742</v>
      </c>
      <c r="E203" s="36" t="str">
        <f>_xlfn.XLOOKUP(C203,'Tabla Articulos'!B:B,'Tabla Articulos'!D:D)</f>
        <v>GUANTE NITRILO M</v>
      </c>
      <c r="F203" s="36">
        <f>_xlfn.XLOOKUP(C203,'Tabla Articulos'!B:B,'Tabla Articulos'!E:E)</f>
        <v>100</v>
      </c>
      <c r="G203" s="40">
        <f>SUM(
    SUMIFS(MRP!$H$2:$H$221, MRP!$B$2:$B$221, $C203, MRP!$G$2:$G$221, G$1),
    SUMIFS(MRP!$I$2:$I$221, MRP!$B$2:$B$221, $C203, MRP!$G$2:$G$221, G$1),
    SUMIFS(MRP!$J$2:$J$221, MRP!$B$2:$B$221, $C203,  MRP!$G$2:$G$221, G$1),
    SUMIFS(MRP!$K$2:$K$221, MRP!$B$2:$B$221, $C203,  MRP!$G$2:$G$221, G$1),
    SUMIFS(MRP!$L$2:$L$221, MRP!$B$2:$B$221, $C203,  MRP!$G$2:$G$221, G$1)
)*F203</f>
        <v>0</v>
      </c>
      <c r="H203" s="40">
        <f>SUM(
    SUMIFS(MRP!$H$2:$H$221, MRP!$B$2:$B$221, $C203, MRP!$G$2:$G$221, H$1),
    SUMIFS(MRP!$I$2:$I$221, MRP!$B$2:$B$221, $C203, MRP!$G$2:$G$221, H$1),
    SUMIFS(MRP!$J$2:$J$221, MRP!$B$2:$B$221, $C203,  MRP!$G$2:$G$221, H$1),
    SUMIFS(MRP!$K$2:$K$221, MRP!$B$2:$B$221, $C203,  MRP!$G$2:$G$221, H$1),
    SUMIFS(MRP!$L$2:$L$221, MRP!$B$2:$B$221, $C203,  MRP!$G$2:$G$221, H$1)
)*F203</f>
        <v>0</v>
      </c>
      <c r="I203" s="40">
        <f>SUM(
    SUMIFS(MRP!$H$2:$H$221, MRP!$B$2:$B$221, $C203, MRP!$G$2:$G$221, I$1),
    SUMIFS(MRP!$I$2:$I$221, MRP!$B$2:$B$221, $C203, MRP!$G$2:$G$221, I$1),
    SUMIFS(MRP!$J$2:$J$221, MRP!$B$2:$B$221, $C203,  MRP!$G$2:$G$221, I$1),
    SUMIFS(MRP!$K$2:$K$221, MRP!$B$2:$B$221, $C203,  MRP!$G$2:$G$221, I$1),
    SUMIFS(MRP!$L$2:$L$221, MRP!$B$2:$B$221, $C203,  MRP!$G$2:$G$221, I$1)
)*F203</f>
        <v>0</v>
      </c>
      <c r="J203" s="40">
        <f>SUM(
    SUMIFS(MRP!$H$2:$H$221, MRP!$B$2:$B$221, $C203, MRP!$G$2:$G$221, J$1),
    SUMIFS(MRP!$I$2:$I$221, MRP!$B$2:$B$221, $C203, MRP!$G$2:$G$221, J$1),
    SUMIFS(MRP!$J$2:$J$221, MRP!$B$2:$B$221, $C203,  MRP!$G$2:$G$221, J$1),
    SUMIFS(MRP!$K$2:$K$221, MRP!$B$2:$B$221, $C203,  MRP!$G$2:$G$221, J$1),
    SUMIFS(MRP!$L$2:$L$221, MRP!$B$2:$B$221, $C203,  MRP!$G$2:$G$221, J$1)
)*F203</f>
        <v>0</v>
      </c>
      <c r="K203" s="56">
        <f>SUM(
    SUMIFS(MRP!$H$2:$H$221, MRP!$B$2:$B$221, $C203, MRP!$G$2:$G$221, K$1),
    SUMIFS(MRP!$I$2:$I$221, MRP!$B$2:$B$221, $C203, MRP!$G$2:$G$221, K$1),
    SUMIFS(MRP!$J$2:$J$221, MRP!$B$2:$B$221, $C203,  MRP!$G$2:$G$221, K$1),
    SUMIFS(MRP!$K$2:$K$221, MRP!$B$2:$B$221, $C203,  MRP!$G$2:$G$221, K$1),
    SUMIFS(MRP!$L$2:$L$221, MRP!$B$2:$B$221, $C203,  MRP!$G$2:$G$221, K$1)
)*F203</f>
        <v>0</v>
      </c>
      <c r="L203" s="55" t="str">
        <f>TRIM(Tabla3[[#This Row],[CodInternoArti]])</f>
        <v>7790000000702</v>
      </c>
    </row>
    <row r="204" spans="1:12" hidden="1" x14ac:dyDescent="0.35">
      <c r="A204" s="41" t="str">
        <f>IF(ISNUMBER(_xlfn.XMATCH(Tabla3[[#This Row],[CodInternoArti]],'Tabla Articulos'!B:B)),"OK","NO ESTA")</f>
        <v>OK</v>
      </c>
      <c r="B204" s="29" t="str">
        <f>IF(ISNUMBER(_xlfn.XMATCH('Calcular necesidad'!E:E,'Necesidad por familia'!A:A)),"OK","NO ESTA")</f>
        <v>OK</v>
      </c>
      <c r="C204" s="36" t="s">
        <v>743</v>
      </c>
      <c r="D204" s="36" t="s">
        <v>744</v>
      </c>
      <c r="E204" s="36" t="str">
        <f>_xlfn.XLOOKUP(C204,'Tabla Articulos'!B:B,'Tabla Articulos'!D:D)</f>
        <v>BANDEJA 105</v>
      </c>
      <c r="F204" s="36">
        <f>_xlfn.XLOOKUP(C204,'Tabla Articulos'!B:B,'Tabla Articulos'!E:E)</f>
        <v>100</v>
      </c>
      <c r="G204" s="40">
        <f>SUM(
    SUMIFS(MRP!$H$2:$H$221, MRP!$B$2:$B$221, $C204, MRP!$G$2:$G$221, G$1),
    SUMIFS(MRP!$I$2:$I$221, MRP!$B$2:$B$221, $C204, MRP!$G$2:$G$221, G$1),
    SUMIFS(MRP!$J$2:$J$221, MRP!$B$2:$B$221, $C204,  MRP!$G$2:$G$221, G$1),
    SUMIFS(MRP!$K$2:$K$221, MRP!$B$2:$B$221, $C204,  MRP!$G$2:$G$221, G$1),
    SUMIFS(MRP!$L$2:$L$221, MRP!$B$2:$B$221, $C204,  MRP!$G$2:$G$221, G$1)
)*F204</f>
        <v>0</v>
      </c>
      <c r="H204" s="40">
        <f>SUM(
    SUMIFS(MRP!$H$2:$H$221, MRP!$B$2:$B$221, $C204, MRP!$G$2:$G$221, H$1),
    SUMIFS(MRP!$I$2:$I$221, MRP!$B$2:$B$221, $C204, MRP!$G$2:$G$221, H$1),
    SUMIFS(MRP!$J$2:$J$221, MRP!$B$2:$B$221, $C204,  MRP!$G$2:$G$221, H$1),
    SUMIFS(MRP!$K$2:$K$221, MRP!$B$2:$B$221, $C204,  MRP!$G$2:$G$221, H$1),
    SUMIFS(MRP!$L$2:$L$221, MRP!$B$2:$B$221, $C204,  MRP!$G$2:$G$221, H$1)
)*F204</f>
        <v>0</v>
      </c>
      <c r="I204" s="40">
        <f>SUM(
    SUMIFS(MRP!$H$2:$H$221, MRP!$B$2:$B$221, $C204, MRP!$G$2:$G$221, I$1),
    SUMIFS(MRP!$I$2:$I$221, MRP!$B$2:$B$221, $C204, MRP!$G$2:$G$221, I$1),
    SUMIFS(MRP!$J$2:$J$221, MRP!$B$2:$B$221, $C204,  MRP!$G$2:$G$221, I$1),
    SUMIFS(MRP!$K$2:$K$221, MRP!$B$2:$B$221, $C204,  MRP!$G$2:$G$221, I$1),
    SUMIFS(MRP!$L$2:$L$221, MRP!$B$2:$B$221, $C204,  MRP!$G$2:$G$221, I$1)
)*F204</f>
        <v>0</v>
      </c>
      <c r="J204" s="40">
        <f>SUM(
    SUMIFS(MRP!$H$2:$H$221, MRP!$B$2:$B$221, $C204, MRP!$G$2:$G$221, J$1),
    SUMIFS(MRP!$I$2:$I$221, MRP!$B$2:$B$221, $C204, MRP!$G$2:$G$221, J$1),
    SUMIFS(MRP!$J$2:$J$221, MRP!$B$2:$B$221, $C204,  MRP!$G$2:$G$221, J$1),
    SUMIFS(MRP!$K$2:$K$221, MRP!$B$2:$B$221, $C204,  MRP!$G$2:$G$221, J$1),
    SUMIFS(MRP!$L$2:$L$221, MRP!$B$2:$B$221, $C204,  MRP!$G$2:$G$221, J$1)
)*F204</f>
        <v>0</v>
      </c>
      <c r="K204" s="56">
        <f>SUM(
    SUMIFS(MRP!$H$2:$H$221, MRP!$B$2:$B$221, $C204, MRP!$G$2:$G$221, K$1),
    SUMIFS(MRP!$I$2:$I$221, MRP!$B$2:$B$221, $C204, MRP!$G$2:$G$221, K$1),
    SUMIFS(MRP!$J$2:$J$221, MRP!$B$2:$B$221, $C204,  MRP!$G$2:$G$221, K$1),
    SUMIFS(MRP!$K$2:$K$221, MRP!$B$2:$B$221, $C204,  MRP!$G$2:$G$221, K$1),
    SUMIFS(MRP!$L$2:$L$221, MRP!$B$2:$B$221, $C204,  MRP!$G$2:$G$221, K$1)
)*F204</f>
        <v>0</v>
      </c>
      <c r="L204" s="55" t="str">
        <f>TRIM(Tabla3[[#This Row],[CodInternoArti]])</f>
        <v>798011210077</v>
      </c>
    </row>
    <row r="205" spans="1:12" hidden="1" x14ac:dyDescent="0.35">
      <c r="A205" s="41" t="str">
        <f>IF(ISNUMBER(_xlfn.XMATCH(Tabla3[[#This Row],[CodInternoArti]],'Tabla Articulos'!B:B)),"OK","NO ESTA")</f>
        <v>OK</v>
      </c>
      <c r="B205" s="29" t="str">
        <f>IF(ISNUMBER(_xlfn.XMATCH('Calcular necesidad'!E:E,'Necesidad por familia'!A:A)),"OK","NO ESTA")</f>
        <v>OK</v>
      </c>
      <c r="C205" s="36" t="s">
        <v>745</v>
      </c>
      <c r="D205" s="36" t="s">
        <v>504</v>
      </c>
      <c r="E205" s="36" t="str">
        <f>_xlfn.XLOOKUP(C205,'Tabla Articulos'!B:B,'Tabla Articulos'!D:D)</f>
        <v>BANDEJA 103</v>
      </c>
      <c r="F205" s="36">
        <f>_xlfn.XLOOKUP(C205,'Tabla Articulos'!B:B,'Tabla Articulos'!E:E)</f>
        <v>100</v>
      </c>
      <c r="G205" s="40">
        <f>SUM(
    SUMIFS(MRP!$H$2:$H$221, MRP!$B$2:$B$221, $C205, MRP!$G$2:$G$221, G$1),
    SUMIFS(MRP!$I$2:$I$221, MRP!$B$2:$B$221, $C205, MRP!$G$2:$G$221, G$1),
    SUMIFS(MRP!$J$2:$J$221, MRP!$B$2:$B$221, $C205,  MRP!$G$2:$G$221, G$1),
    SUMIFS(MRP!$K$2:$K$221, MRP!$B$2:$B$221, $C205,  MRP!$G$2:$G$221, G$1),
    SUMIFS(MRP!$L$2:$L$221, MRP!$B$2:$B$221, $C205,  MRP!$G$2:$G$221, G$1)
)*F205</f>
        <v>0</v>
      </c>
      <c r="H205" s="40">
        <f>SUM(
    SUMIFS(MRP!$H$2:$H$221, MRP!$B$2:$B$221, $C205, MRP!$G$2:$G$221, H$1),
    SUMIFS(MRP!$I$2:$I$221, MRP!$B$2:$B$221, $C205, MRP!$G$2:$G$221, H$1),
    SUMIFS(MRP!$J$2:$J$221, MRP!$B$2:$B$221, $C205,  MRP!$G$2:$G$221, H$1),
    SUMIFS(MRP!$K$2:$K$221, MRP!$B$2:$B$221, $C205,  MRP!$G$2:$G$221, H$1),
    SUMIFS(MRP!$L$2:$L$221, MRP!$B$2:$B$221, $C205,  MRP!$G$2:$G$221, H$1)
)*F205</f>
        <v>18000</v>
      </c>
      <c r="I205" s="40">
        <f>SUM(
    SUMIFS(MRP!$H$2:$H$221, MRP!$B$2:$B$221, $C205, MRP!$G$2:$G$221, I$1),
    SUMIFS(MRP!$I$2:$I$221, MRP!$B$2:$B$221, $C205, MRP!$G$2:$G$221, I$1),
    SUMIFS(MRP!$J$2:$J$221, MRP!$B$2:$B$221, $C205,  MRP!$G$2:$G$221, I$1),
    SUMIFS(MRP!$K$2:$K$221, MRP!$B$2:$B$221, $C205,  MRP!$G$2:$G$221, I$1),
    SUMIFS(MRP!$L$2:$L$221, MRP!$B$2:$B$221, $C205,  MRP!$G$2:$G$221, I$1)
)*F205</f>
        <v>0</v>
      </c>
      <c r="J205" s="40">
        <f>SUM(
    SUMIFS(MRP!$H$2:$H$221, MRP!$B$2:$B$221, $C205, MRP!$G$2:$G$221, J$1),
    SUMIFS(MRP!$I$2:$I$221, MRP!$B$2:$B$221, $C205, MRP!$G$2:$G$221, J$1),
    SUMIFS(MRP!$J$2:$J$221, MRP!$B$2:$B$221, $C205,  MRP!$G$2:$G$221, J$1),
    SUMIFS(MRP!$K$2:$K$221, MRP!$B$2:$B$221, $C205,  MRP!$G$2:$G$221, J$1),
    SUMIFS(MRP!$L$2:$L$221, MRP!$B$2:$B$221, $C205,  MRP!$G$2:$G$221, J$1)
)*F205</f>
        <v>0</v>
      </c>
      <c r="K205" s="56">
        <f>SUM(
    SUMIFS(MRP!$H$2:$H$221, MRP!$B$2:$B$221, $C205, MRP!$G$2:$G$221, K$1),
    SUMIFS(MRP!$I$2:$I$221, MRP!$B$2:$B$221, $C205, MRP!$G$2:$G$221, K$1),
    SUMIFS(MRP!$J$2:$J$221, MRP!$B$2:$B$221, $C205,  MRP!$G$2:$G$221, K$1),
    SUMIFS(MRP!$K$2:$K$221, MRP!$B$2:$B$221, $C205,  MRP!$G$2:$G$221, K$1),
    SUMIFS(MRP!$L$2:$L$221, MRP!$B$2:$B$221, $C205,  MRP!$G$2:$G$221, K$1)
)*F205</f>
        <v>0</v>
      </c>
      <c r="L205" s="55" t="str">
        <f>TRIM(Tabla3[[#This Row],[CodInternoArti]])</f>
        <v>7798011210053</v>
      </c>
    </row>
    <row r="206" spans="1:12" hidden="1" x14ac:dyDescent="0.35">
      <c r="A206" s="41" t="str">
        <f>IF(ISNUMBER(_xlfn.XMATCH(Tabla3[[#This Row],[CodInternoArti]],'Tabla Articulos'!B:B)),"OK","NO ESTA")</f>
        <v>OK</v>
      </c>
      <c r="B206" s="29" t="str">
        <f>IF(ISNUMBER(_xlfn.XMATCH('Calcular necesidad'!E:E,'Necesidad por familia'!A:A)),"OK","NO ESTA")</f>
        <v>OK</v>
      </c>
      <c r="C206" s="36" t="s">
        <v>746</v>
      </c>
      <c r="D206" s="36" t="s">
        <v>747</v>
      </c>
      <c r="E206" s="36" t="str">
        <f>_xlfn.XLOOKUP(C206,'Tabla Articulos'!B:B,'Tabla Articulos'!D:D)</f>
        <v>BANDEJA 105 C/ BISAGRA</v>
      </c>
      <c r="F206" s="36">
        <f>_xlfn.XLOOKUP(C206,'Tabla Articulos'!B:B,'Tabla Articulos'!E:E)</f>
        <v>50</v>
      </c>
      <c r="G206" s="40">
        <f>SUM(
    SUMIFS(MRP!$H$2:$H$221, MRP!$B$2:$B$221, $C206, MRP!$G$2:$G$221, G$1),
    SUMIFS(MRP!$I$2:$I$221, MRP!$B$2:$B$221, $C206, MRP!$G$2:$G$221, G$1),
    SUMIFS(MRP!$J$2:$J$221, MRP!$B$2:$B$221, $C206,  MRP!$G$2:$G$221, G$1),
    SUMIFS(MRP!$K$2:$K$221, MRP!$B$2:$B$221, $C206,  MRP!$G$2:$G$221, G$1),
    SUMIFS(MRP!$L$2:$L$221, MRP!$B$2:$B$221, $C206,  MRP!$G$2:$G$221, G$1)
)*F206</f>
        <v>0</v>
      </c>
      <c r="H206" s="40">
        <f>SUM(
    SUMIFS(MRP!$H$2:$H$221, MRP!$B$2:$B$221, $C206, MRP!$G$2:$G$221, H$1),
    SUMIFS(MRP!$I$2:$I$221, MRP!$B$2:$B$221, $C206, MRP!$G$2:$G$221, H$1),
    SUMIFS(MRP!$J$2:$J$221, MRP!$B$2:$B$221, $C206,  MRP!$G$2:$G$221, H$1),
    SUMIFS(MRP!$K$2:$K$221, MRP!$B$2:$B$221, $C206,  MRP!$G$2:$G$221, H$1),
    SUMIFS(MRP!$L$2:$L$221, MRP!$B$2:$B$221, $C206,  MRP!$G$2:$G$221, H$1)
)*F206</f>
        <v>0</v>
      </c>
      <c r="I206" s="40">
        <f>SUM(
    SUMIFS(MRP!$H$2:$H$221, MRP!$B$2:$B$221, $C206, MRP!$G$2:$G$221, I$1),
    SUMIFS(MRP!$I$2:$I$221, MRP!$B$2:$B$221, $C206, MRP!$G$2:$G$221, I$1),
    SUMIFS(MRP!$J$2:$J$221, MRP!$B$2:$B$221, $C206,  MRP!$G$2:$G$221, I$1),
    SUMIFS(MRP!$K$2:$K$221, MRP!$B$2:$B$221, $C206,  MRP!$G$2:$G$221, I$1),
    SUMIFS(MRP!$L$2:$L$221, MRP!$B$2:$B$221, $C206,  MRP!$G$2:$G$221, I$1)
)*F206</f>
        <v>0</v>
      </c>
      <c r="J206" s="40">
        <f>SUM(
    SUMIFS(MRP!$H$2:$H$221, MRP!$B$2:$B$221, $C206, MRP!$G$2:$G$221, J$1),
    SUMIFS(MRP!$I$2:$I$221, MRP!$B$2:$B$221, $C206, MRP!$G$2:$G$221, J$1),
    SUMIFS(MRP!$J$2:$J$221, MRP!$B$2:$B$221, $C206,  MRP!$G$2:$G$221, J$1),
    SUMIFS(MRP!$K$2:$K$221, MRP!$B$2:$B$221, $C206,  MRP!$G$2:$G$221, J$1),
    SUMIFS(MRP!$L$2:$L$221, MRP!$B$2:$B$221, $C206,  MRP!$G$2:$G$221, J$1)
)*F206</f>
        <v>0</v>
      </c>
      <c r="K206" s="56">
        <f>SUM(
    SUMIFS(MRP!$H$2:$H$221, MRP!$B$2:$B$221, $C206, MRP!$G$2:$G$221, K$1),
    SUMIFS(MRP!$I$2:$I$221, MRP!$B$2:$B$221, $C206, MRP!$G$2:$G$221, K$1),
    SUMIFS(MRP!$J$2:$J$221, MRP!$B$2:$B$221, $C206,  MRP!$G$2:$G$221, K$1),
    SUMIFS(MRP!$K$2:$K$221, MRP!$B$2:$B$221, $C206,  MRP!$G$2:$G$221, K$1),
    SUMIFS(MRP!$L$2:$L$221, MRP!$B$2:$B$221, $C206,  MRP!$G$2:$G$221, K$1)
)*F206</f>
        <v>0</v>
      </c>
      <c r="L206" s="55" t="str">
        <f>TRIM(Tabla3[[#This Row],[CodInternoArti]])</f>
        <v>7790321020046</v>
      </c>
    </row>
    <row r="207" spans="1:12" hidden="1" x14ac:dyDescent="0.35">
      <c r="A207" s="41" t="str">
        <f>IF(ISNUMBER(_xlfn.XMATCH(Tabla3[[#This Row],[CodInternoArti]],'Tabla Articulos'!B:B)),"OK","NO ESTA")</f>
        <v>OK</v>
      </c>
      <c r="B207" s="29" t="str">
        <f>IF(ISNUMBER(_xlfn.XMATCH('Calcular necesidad'!E:E,'Necesidad por familia'!A:A)),"OK","NO ESTA")</f>
        <v>OK</v>
      </c>
      <c r="C207" s="36">
        <v>7794459003554</v>
      </c>
      <c r="D207" s="36" t="s">
        <v>481</v>
      </c>
      <c r="E207" s="36" t="str">
        <f>_xlfn.XLOOKUP(C207,'Tabla Articulos'!B:B,'Tabla Articulos'!D:D)</f>
        <v>ARRANQUE 60X90</v>
      </c>
      <c r="F207" s="36">
        <f>_xlfn.XLOOKUP(C207,'Tabla Articulos'!B:B,'Tabla Articulos'!E:E)</f>
        <v>4</v>
      </c>
      <c r="G207" s="40">
        <f>SUM(
    SUMIFS(MRP!$H$2:$H$221, MRP!$B$2:$B$221, $C207, MRP!$G$2:$G$221, G$1),
    SUMIFS(MRP!$I$2:$I$221, MRP!$B$2:$B$221, $C207, MRP!$G$2:$G$221, G$1),
    SUMIFS(MRP!$J$2:$J$221, MRP!$B$2:$B$221, $C207,  MRP!$G$2:$G$221, G$1),
    SUMIFS(MRP!$K$2:$K$221, MRP!$B$2:$B$221, $C207,  MRP!$G$2:$G$221, G$1),
    SUMIFS(MRP!$L$2:$L$221, MRP!$B$2:$B$221, $C207,  MRP!$G$2:$G$221, G$1)
)*F207</f>
        <v>0</v>
      </c>
      <c r="H207" s="40">
        <f>SUM(
    SUMIFS(MRP!$H$2:$H$221, MRP!$B$2:$B$221, $C207, MRP!$G$2:$G$221, H$1),
    SUMIFS(MRP!$I$2:$I$221, MRP!$B$2:$B$221, $C207, MRP!$G$2:$G$221, H$1),
    SUMIFS(MRP!$J$2:$J$221, MRP!$B$2:$B$221, $C207,  MRP!$G$2:$G$221, H$1),
    SUMIFS(MRP!$K$2:$K$221, MRP!$B$2:$B$221, $C207,  MRP!$G$2:$G$221, H$1),
    SUMIFS(MRP!$L$2:$L$221, MRP!$B$2:$B$221, $C207,  MRP!$G$2:$G$221, H$1)
)*F207</f>
        <v>92</v>
      </c>
      <c r="I207" s="40">
        <f>SUM(
    SUMIFS(MRP!$H$2:$H$221, MRP!$B$2:$B$221, $C207, MRP!$G$2:$G$221, I$1),
    SUMIFS(MRP!$I$2:$I$221, MRP!$B$2:$B$221, $C207, MRP!$G$2:$G$221, I$1),
    SUMIFS(MRP!$J$2:$J$221, MRP!$B$2:$B$221, $C207,  MRP!$G$2:$G$221, I$1),
    SUMIFS(MRP!$K$2:$K$221, MRP!$B$2:$B$221, $C207,  MRP!$G$2:$G$221, I$1),
    SUMIFS(MRP!$L$2:$L$221, MRP!$B$2:$B$221, $C207,  MRP!$G$2:$G$221, I$1)
)*F207</f>
        <v>0</v>
      </c>
      <c r="J207" s="40">
        <f>SUM(
    SUMIFS(MRP!$H$2:$H$221, MRP!$B$2:$B$221, $C207, MRP!$G$2:$G$221, J$1),
    SUMIFS(MRP!$I$2:$I$221, MRP!$B$2:$B$221, $C207, MRP!$G$2:$G$221, J$1),
    SUMIFS(MRP!$J$2:$J$221, MRP!$B$2:$B$221, $C207,  MRP!$G$2:$G$221, J$1),
    SUMIFS(MRP!$K$2:$K$221, MRP!$B$2:$B$221, $C207,  MRP!$G$2:$G$221, J$1),
    SUMIFS(MRP!$L$2:$L$221, MRP!$B$2:$B$221, $C207,  MRP!$G$2:$G$221, J$1)
)*F207</f>
        <v>0</v>
      </c>
      <c r="K207" s="56">
        <f>SUM(
    SUMIFS(MRP!$H$2:$H$221, MRP!$B$2:$B$221, $C207, MRP!$G$2:$G$221, K$1),
    SUMIFS(MRP!$I$2:$I$221, MRP!$B$2:$B$221, $C207, MRP!$G$2:$G$221, K$1),
    SUMIFS(MRP!$J$2:$J$221, MRP!$B$2:$B$221, $C207,  MRP!$G$2:$G$221, K$1),
    SUMIFS(MRP!$K$2:$K$221, MRP!$B$2:$B$221, $C207,  MRP!$G$2:$G$221, K$1),
    SUMIFS(MRP!$L$2:$L$221, MRP!$B$2:$B$221, $C207,  MRP!$G$2:$G$221, K$1)
)*F207</f>
        <v>0</v>
      </c>
      <c r="L207" s="55" t="str">
        <f>TRIM(Tabla3[[#This Row],[CodInternoArti]])</f>
        <v>7794459003554</v>
      </c>
    </row>
    <row r="208" spans="1:12" hidden="1" x14ac:dyDescent="0.35">
      <c r="A208" s="41" t="str">
        <f>IF(ISNUMBER(_xlfn.XMATCH(Tabla3[[#This Row],[CodInternoArti]],'Tabla Articulos'!B:B)),"OK","NO ESTA")</f>
        <v>OK</v>
      </c>
      <c r="B208" s="29" t="str">
        <f>IF(ISNUMBER(_xlfn.XMATCH('Calcular necesidad'!E:E,'Necesidad por familia'!A:A)),"OK","NO ESTA")</f>
        <v>OK</v>
      </c>
      <c r="C208" s="36">
        <v>7794459003516</v>
      </c>
      <c r="D208" s="36" t="s">
        <v>495</v>
      </c>
      <c r="E208" s="36" t="str">
        <f>_xlfn.XLOOKUP(C208,'Tabla Articulos'!B:B,'Tabla Articulos'!D:D)</f>
        <v>ARRANQUE 20X30</v>
      </c>
      <c r="F208" s="36">
        <f>_xlfn.XLOOKUP(C208,'Tabla Articulos'!B:B,'Tabla Articulos'!E:E)</f>
        <v>6</v>
      </c>
      <c r="G208" s="40">
        <f>SUM(
    SUMIFS(MRP!$H$2:$H$221, MRP!$B$2:$B$221, $C208, MRP!$G$2:$G$221, G$1),
    SUMIFS(MRP!$I$2:$I$221, MRP!$B$2:$B$221, $C208, MRP!$G$2:$G$221, G$1),
    SUMIFS(MRP!$J$2:$J$221, MRP!$B$2:$B$221, $C208,  MRP!$G$2:$G$221, G$1),
    SUMIFS(MRP!$K$2:$K$221, MRP!$B$2:$B$221, $C208,  MRP!$G$2:$G$221, G$1),
    SUMIFS(MRP!$L$2:$L$221, MRP!$B$2:$B$221, $C208,  MRP!$G$2:$G$221, G$1)
)*F208</f>
        <v>0</v>
      </c>
      <c r="H208" s="40">
        <f>SUM(
    SUMIFS(MRP!$H$2:$H$221, MRP!$B$2:$B$221, $C208, MRP!$G$2:$G$221, H$1),
    SUMIFS(MRP!$I$2:$I$221, MRP!$B$2:$B$221, $C208, MRP!$G$2:$G$221, H$1),
    SUMIFS(MRP!$J$2:$J$221, MRP!$B$2:$B$221, $C208,  MRP!$G$2:$G$221, H$1),
    SUMIFS(MRP!$K$2:$K$221, MRP!$B$2:$B$221, $C208,  MRP!$G$2:$G$221, H$1),
    SUMIFS(MRP!$L$2:$L$221, MRP!$B$2:$B$221, $C208,  MRP!$G$2:$G$221, H$1)
)*F208</f>
        <v>54</v>
      </c>
      <c r="I208" s="40">
        <f>SUM(
    SUMIFS(MRP!$H$2:$H$221, MRP!$B$2:$B$221, $C208, MRP!$G$2:$G$221, I$1),
    SUMIFS(MRP!$I$2:$I$221, MRP!$B$2:$B$221, $C208, MRP!$G$2:$G$221, I$1),
    SUMIFS(MRP!$J$2:$J$221, MRP!$B$2:$B$221, $C208,  MRP!$G$2:$G$221, I$1),
    SUMIFS(MRP!$K$2:$K$221, MRP!$B$2:$B$221, $C208,  MRP!$G$2:$G$221, I$1),
    SUMIFS(MRP!$L$2:$L$221, MRP!$B$2:$B$221, $C208,  MRP!$G$2:$G$221, I$1)
)*F208</f>
        <v>0</v>
      </c>
      <c r="J208" s="40">
        <f>SUM(
    SUMIFS(MRP!$H$2:$H$221, MRP!$B$2:$B$221, $C208, MRP!$G$2:$G$221, J$1),
    SUMIFS(MRP!$I$2:$I$221, MRP!$B$2:$B$221, $C208, MRP!$G$2:$G$221, J$1),
    SUMIFS(MRP!$J$2:$J$221, MRP!$B$2:$B$221, $C208,  MRP!$G$2:$G$221, J$1),
    SUMIFS(MRP!$K$2:$K$221, MRP!$B$2:$B$221, $C208,  MRP!$G$2:$G$221, J$1),
    SUMIFS(MRP!$L$2:$L$221, MRP!$B$2:$B$221, $C208,  MRP!$G$2:$G$221, J$1)
)*F208</f>
        <v>0</v>
      </c>
      <c r="K208" s="56">
        <f>SUM(
    SUMIFS(MRP!$H$2:$H$221, MRP!$B$2:$B$221, $C208, MRP!$G$2:$G$221, K$1),
    SUMIFS(MRP!$I$2:$I$221, MRP!$B$2:$B$221, $C208, MRP!$G$2:$G$221, K$1),
    SUMIFS(MRP!$J$2:$J$221, MRP!$B$2:$B$221, $C208,  MRP!$G$2:$G$221, K$1),
    SUMIFS(MRP!$K$2:$K$221, MRP!$B$2:$B$221, $C208,  MRP!$G$2:$G$221, K$1),
    SUMIFS(MRP!$L$2:$L$221, MRP!$B$2:$B$221, $C208,  MRP!$G$2:$G$221, K$1)
)*F208</f>
        <v>0</v>
      </c>
      <c r="L208" s="55" t="str">
        <f>TRIM(Tabla3[[#This Row],[CodInternoArti]])</f>
        <v>7794459003516</v>
      </c>
    </row>
    <row r="209" spans="1:12" hidden="1" x14ac:dyDescent="0.35">
      <c r="A209" s="41" t="str">
        <f>IF(ISNUMBER(_xlfn.XMATCH(Tabla3[[#This Row],[CodInternoArti]],'Tabla Articulos'!B:B)),"OK","NO ESTA")</f>
        <v>OK</v>
      </c>
      <c r="B209" s="29" t="str">
        <f>IF(ISNUMBER(_xlfn.XMATCH('Calcular necesidad'!E:E,'Necesidad por familia'!A:A)),"OK","NO ESTA")</f>
        <v>OK</v>
      </c>
      <c r="C209" s="36">
        <v>7790000000768</v>
      </c>
      <c r="D209" s="36" t="s">
        <v>461</v>
      </c>
      <c r="E209" s="36" t="str">
        <f>_xlfn.XLOOKUP(C209,'Tabla Articulos'!B:B,'Tabla Articulos'!D:D)</f>
        <v>FILM PVC 38</v>
      </c>
      <c r="F209" s="36">
        <f>_xlfn.XLOOKUP(C209,'Tabla Articulos'!B:B,'Tabla Articulos'!E:E)</f>
        <v>1</v>
      </c>
      <c r="G209" s="40">
        <f>SUM(
    SUMIFS(MRP!$H$2:$H$221, MRP!$B$2:$B$221, $C209, MRP!$G$2:$G$221, G$1),
    SUMIFS(MRP!$I$2:$I$221, MRP!$B$2:$B$221, $C209, MRP!$G$2:$G$221, G$1),
    SUMIFS(MRP!$J$2:$J$221, MRP!$B$2:$B$221, $C209,  MRP!$G$2:$G$221, G$1),
    SUMIFS(MRP!$K$2:$K$221, MRP!$B$2:$B$221, $C209,  MRP!$G$2:$G$221, G$1),
    SUMIFS(MRP!$L$2:$L$221, MRP!$B$2:$B$221, $C209,  MRP!$G$2:$G$221, G$1)
)*F209</f>
        <v>0</v>
      </c>
      <c r="H209" s="40">
        <f>SUM(
    SUMIFS(MRP!$H$2:$H$221, MRP!$B$2:$B$221, $C209, MRP!$G$2:$G$221, H$1),
    SUMIFS(MRP!$I$2:$I$221, MRP!$B$2:$B$221, $C209, MRP!$G$2:$G$221, H$1),
    SUMIFS(MRP!$J$2:$J$221, MRP!$B$2:$B$221, $C209,  MRP!$G$2:$G$221, H$1),
    SUMIFS(MRP!$K$2:$K$221, MRP!$B$2:$B$221, $C209,  MRP!$G$2:$G$221, H$1),
    SUMIFS(MRP!$L$2:$L$221, MRP!$B$2:$B$221, $C209,  MRP!$G$2:$G$221, H$1)
)*F209</f>
        <v>1</v>
      </c>
      <c r="I209" s="40">
        <f>SUM(
    SUMIFS(MRP!$H$2:$H$221, MRP!$B$2:$B$221, $C209, MRP!$G$2:$G$221, I$1),
    SUMIFS(MRP!$I$2:$I$221, MRP!$B$2:$B$221, $C209, MRP!$G$2:$G$221, I$1),
    SUMIFS(MRP!$J$2:$J$221, MRP!$B$2:$B$221, $C209,  MRP!$G$2:$G$221, I$1),
    SUMIFS(MRP!$K$2:$K$221, MRP!$B$2:$B$221, $C209,  MRP!$G$2:$G$221, I$1),
    SUMIFS(MRP!$L$2:$L$221, MRP!$B$2:$B$221, $C209,  MRP!$G$2:$G$221, I$1)
)*F209</f>
        <v>0</v>
      </c>
      <c r="J209" s="40">
        <f>SUM(
    SUMIFS(MRP!$H$2:$H$221, MRP!$B$2:$B$221, $C209, MRP!$G$2:$G$221, J$1),
    SUMIFS(MRP!$I$2:$I$221, MRP!$B$2:$B$221, $C209, MRP!$G$2:$G$221, J$1),
    SUMIFS(MRP!$J$2:$J$221, MRP!$B$2:$B$221, $C209,  MRP!$G$2:$G$221, J$1),
    SUMIFS(MRP!$K$2:$K$221, MRP!$B$2:$B$221, $C209,  MRP!$G$2:$G$221, J$1),
    SUMIFS(MRP!$L$2:$L$221, MRP!$B$2:$B$221, $C209,  MRP!$G$2:$G$221, J$1)
)*F209</f>
        <v>0</v>
      </c>
      <c r="K209" s="56">
        <f>SUM(
    SUMIFS(MRP!$H$2:$H$221, MRP!$B$2:$B$221, $C209, MRP!$G$2:$G$221, K$1),
    SUMIFS(MRP!$I$2:$I$221, MRP!$B$2:$B$221, $C209, MRP!$G$2:$G$221, K$1),
    SUMIFS(MRP!$J$2:$J$221, MRP!$B$2:$B$221, $C209,  MRP!$G$2:$G$221, K$1),
    SUMIFS(MRP!$K$2:$K$221, MRP!$B$2:$B$221, $C209,  MRP!$G$2:$G$221, K$1),
    SUMIFS(MRP!$L$2:$L$221, MRP!$B$2:$B$221, $C209,  MRP!$G$2:$G$221, K$1)
)*F209</f>
        <v>0</v>
      </c>
      <c r="L209" s="55" t="str">
        <f>TRIM(Tabla3[[#This Row],[CodInternoArti]])</f>
        <v>7790000000768</v>
      </c>
    </row>
    <row r="210" spans="1:12" hidden="1" x14ac:dyDescent="0.35">
      <c r="A210" s="41" t="str">
        <f>IF(ISNUMBER(_xlfn.XMATCH(Tabla3[[#This Row],[CodInternoArti]],'Tabla Articulos'!B:B)),"OK","NO ESTA")</f>
        <v>OK</v>
      </c>
      <c r="B210" s="29" t="str">
        <f>IF(ISNUMBER(_xlfn.XMATCH('Calcular necesidad'!E:E,'Necesidad por familia'!A:A)),"OK","NO ESTA")</f>
        <v>OK</v>
      </c>
      <c r="C210" s="36">
        <v>7790250912828</v>
      </c>
      <c r="D210" s="36" t="s">
        <v>492</v>
      </c>
      <c r="E210" s="36" t="str">
        <f>_xlfn.XLOOKUP(C210,'Tabla Articulos'!B:B,'Tabla Articulos'!D:D)</f>
        <v xml:space="preserve">SERVILLETA 16X21 </v>
      </c>
      <c r="F210" s="36">
        <f>_xlfn.XLOOKUP(C210,'Tabla Articulos'!B:B,'Tabla Articulos'!E:E)</f>
        <v>8400</v>
      </c>
      <c r="G210" s="40">
        <f>SUM(
    SUMIFS(MRP!$H$2:$H$221, MRP!$B$2:$B$221, $C210, MRP!$G$2:$G$221, G$1),
    SUMIFS(MRP!$I$2:$I$221, MRP!$B$2:$B$221, $C210, MRP!$G$2:$G$221, G$1),
    SUMIFS(MRP!$J$2:$J$221, MRP!$B$2:$B$221, $C210,  MRP!$G$2:$G$221, G$1),
    SUMIFS(MRP!$K$2:$K$221, MRP!$B$2:$B$221, $C210,  MRP!$G$2:$G$221, G$1),
    SUMIFS(MRP!$L$2:$L$221, MRP!$B$2:$B$221, $C210,  MRP!$G$2:$G$221, G$1)
)*F210</f>
        <v>0</v>
      </c>
      <c r="H210" s="40">
        <f>SUM(
    SUMIFS(MRP!$H$2:$H$221, MRP!$B$2:$B$221, $C210, MRP!$G$2:$G$221, H$1),
    SUMIFS(MRP!$I$2:$I$221, MRP!$B$2:$B$221, $C210, MRP!$G$2:$G$221, H$1),
    SUMIFS(MRP!$J$2:$J$221, MRP!$B$2:$B$221, $C210,  MRP!$G$2:$G$221, H$1),
    SUMIFS(MRP!$K$2:$K$221, MRP!$B$2:$B$221, $C210,  MRP!$G$2:$G$221, H$1),
    SUMIFS(MRP!$L$2:$L$221, MRP!$B$2:$B$221, $C210,  MRP!$G$2:$G$221, H$1)
)*F210</f>
        <v>75600</v>
      </c>
      <c r="I210" s="40">
        <f>SUM(
    SUMIFS(MRP!$H$2:$H$221, MRP!$B$2:$B$221, $C210, MRP!$G$2:$G$221, I$1),
    SUMIFS(MRP!$I$2:$I$221, MRP!$B$2:$B$221, $C210, MRP!$G$2:$G$221, I$1),
    SUMIFS(MRP!$J$2:$J$221, MRP!$B$2:$B$221, $C210,  MRP!$G$2:$G$221, I$1),
    SUMIFS(MRP!$K$2:$K$221, MRP!$B$2:$B$221, $C210,  MRP!$G$2:$G$221, I$1),
    SUMIFS(MRP!$L$2:$L$221, MRP!$B$2:$B$221, $C210,  MRP!$G$2:$G$221, I$1)
)*F210</f>
        <v>0</v>
      </c>
      <c r="J210" s="40">
        <f>SUM(
    SUMIFS(MRP!$H$2:$H$221, MRP!$B$2:$B$221, $C210, MRP!$G$2:$G$221, J$1),
    SUMIFS(MRP!$I$2:$I$221, MRP!$B$2:$B$221, $C210, MRP!$G$2:$G$221, J$1),
    SUMIFS(MRP!$J$2:$J$221, MRP!$B$2:$B$221, $C210,  MRP!$G$2:$G$221, J$1),
    SUMIFS(MRP!$K$2:$K$221, MRP!$B$2:$B$221, $C210,  MRP!$G$2:$G$221, J$1),
    SUMIFS(MRP!$L$2:$L$221, MRP!$B$2:$B$221, $C210,  MRP!$G$2:$G$221, J$1)
)*F210</f>
        <v>0</v>
      </c>
      <c r="K210" s="56">
        <f>SUM(
    SUMIFS(MRP!$H$2:$H$221, MRP!$B$2:$B$221, $C210, MRP!$G$2:$G$221, K$1),
    SUMIFS(MRP!$I$2:$I$221, MRP!$B$2:$B$221, $C210, MRP!$G$2:$G$221, K$1),
    SUMIFS(MRP!$J$2:$J$221, MRP!$B$2:$B$221, $C210,  MRP!$G$2:$G$221, K$1),
    SUMIFS(MRP!$K$2:$K$221, MRP!$B$2:$B$221, $C210,  MRP!$G$2:$G$221, K$1),
    SUMIFS(MRP!$L$2:$L$221, MRP!$B$2:$B$221, $C210,  MRP!$G$2:$G$221, K$1)
)*F210</f>
        <v>0</v>
      </c>
      <c r="L210" s="55" t="str">
        <f>TRIM(Tabla3[[#This Row],[CodInternoArti]])</f>
        <v>7790250912828</v>
      </c>
    </row>
    <row r="211" spans="1:12" hidden="1" x14ac:dyDescent="0.35">
      <c r="A211" s="63" t="str">
        <f>IF(ISNUMBER(_xlfn.XMATCH(Tabla3[[#This Row],[CodInternoArti]],'Tabla Articulos'!B:B)),"OK","NO ESTA")</f>
        <v>OK</v>
      </c>
      <c r="B211" s="19" t="str">
        <f>IF(ISNUMBER(_xlfn.XMATCH('Calcular necesidad'!E:E,'Necesidad por familia'!A:A)),"OK","NO ESTA")</f>
        <v>OK</v>
      </c>
      <c r="C211" s="1">
        <v>7790000000762</v>
      </c>
      <c r="D211" s="1" t="s">
        <v>511</v>
      </c>
      <c r="E211" s="1" t="str">
        <f>_xlfn.XLOOKUP(C211,'Tabla Articulos'!B:B,'Tabla Articulos'!D:D)</f>
        <v>TAPA BOWL COMPOSTABLE 960</v>
      </c>
      <c r="F211" s="1">
        <f>_xlfn.XLOOKUP(C211,'Tabla Articulos'!B:B,'Tabla Articulos'!E:E)</f>
        <v>300</v>
      </c>
      <c r="G211" s="15">
        <f>SUM(
    SUMIFS(MRP!$H$2:$H$221, MRP!$B$2:$B$221, $C211, MRP!$G$2:$G$221, G$1),
    SUMIFS(MRP!$I$2:$I$221, MRP!$B$2:$B$221, $C211, MRP!$G$2:$G$221, G$1),
    SUMIFS(MRP!$J$2:$J$221, MRP!$B$2:$B$221, $C211,  MRP!$G$2:$G$221, G$1),
    SUMIFS(MRP!$K$2:$K$221, MRP!$B$2:$B$221, $C211,  MRP!$G$2:$G$221, G$1),
    SUMIFS(MRP!$L$2:$L$221, MRP!$B$2:$B$221, $C211,  MRP!$G$2:$G$221, G$1)
)*F211</f>
        <v>0</v>
      </c>
      <c r="H211" s="15">
        <f>SUM(
    SUMIFS(MRP!$H$2:$H$221, MRP!$B$2:$B$221, $C211, MRP!$G$2:$G$221, H$1),
    SUMIFS(MRP!$I$2:$I$221, MRP!$B$2:$B$221, $C211, MRP!$G$2:$G$221, H$1),
    SUMIFS(MRP!$J$2:$J$221, MRP!$B$2:$B$221, $C211,  MRP!$G$2:$G$221, H$1),
    SUMIFS(MRP!$K$2:$K$221, MRP!$B$2:$B$221, $C211,  MRP!$G$2:$G$221, H$1),
    SUMIFS(MRP!$L$2:$L$221, MRP!$B$2:$B$221, $C211,  MRP!$G$2:$G$221, H$1)
)*F211</f>
        <v>4200</v>
      </c>
      <c r="I211" s="15">
        <f>SUM(
    SUMIFS(MRP!$H$2:$H$221, MRP!$B$2:$B$221, $C211, MRP!$G$2:$G$221, I$1),
    SUMIFS(MRP!$I$2:$I$221, MRP!$B$2:$B$221, $C211, MRP!$G$2:$G$221, I$1),
    SUMIFS(MRP!$J$2:$J$221, MRP!$B$2:$B$221, $C211,  MRP!$G$2:$G$221, I$1),
    SUMIFS(MRP!$K$2:$K$221, MRP!$B$2:$B$221, $C211,  MRP!$G$2:$G$221, I$1),
    SUMIFS(MRP!$L$2:$L$221, MRP!$B$2:$B$221, $C211,  MRP!$G$2:$G$221, I$1)
)*F211</f>
        <v>0</v>
      </c>
      <c r="J211" s="15">
        <f>SUM(
    SUMIFS(MRP!$H$2:$H$221, MRP!$B$2:$B$221, $C211, MRP!$G$2:$G$221, J$1),
    SUMIFS(MRP!$I$2:$I$221, MRP!$B$2:$B$221, $C211, MRP!$G$2:$G$221, J$1),
    SUMIFS(MRP!$J$2:$J$221, MRP!$B$2:$B$221, $C211,  MRP!$G$2:$G$221, J$1),
    SUMIFS(MRP!$K$2:$K$221, MRP!$B$2:$B$221, $C211,  MRP!$G$2:$G$221, J$1),
    SUMIFS(MRP!$L$2:$L$221, MRP!$B$2:$B$221, $C211,  MRP!$G$2:$G$221, J$1)
)*F211</f>
        <v>0</v>
      </c>
      <c r="K211" s="64">
        <f>SUM(
    SUMIFS(MRP!$H$2:$H$221, MRP!$B$2:$B$221, $C211, MRP!$G$2:$G$221, K$1),
    SUMIFS(MRP!$I$2:$I$221, MRP!$B$2:$B$221, $C211, MRP!$G$2:$G$221, K$1),
    SUMIFS(MRP!$J$2:$J$221, MRP!$B$2:$B$221, $C211,  MRP!$G$2:$G$221, K$1),
    SUMIFS(MRP!$K$2:$K$221, MRP!$B$2:$B$221, $C211,  MRP!$G$2:$G$221, K$1),
    SUMIFS(MRP!$L$2:$L$221, MRP!$B$2:$B$221, $C211,  MRP!$G$2:$G$221, K$1)
)*F211</f>
        <v>0</v>
      </c>
      <c r="L211" s="55" t="str">
        <f>TRIM(Tabla3[[#This Row],[CodInternoArti]])</f>
        <v>7790000000762</v>
      </c>
    </row>
    <row r="212" spans="1:12" hidden="1" x14ac:dyDescent="0.35">
      <c r="A212" s="41" t="str">
        <f>IF(ISNUMBER(_xlfn.XMATCH(Tabla3[[#This Row],[CodInternoArti]],'Tabla Articulos'!B:B)),"OK","NO ESTA")</f>
        <v>OK</v>
      </c>
      <c r="B212" s="29" t="str">
        <f>IF(ISNUMBER(_xlfn.XMATCH('Calcular necesidad'!E:E,'Necesidad por familia'!A:A)),"OK","NO ESTA")</f>
        <v>OK</v>
      </c>
      <c r="C212" s="36">
        <v>7790000000250</v>
      </c>
      <c r="D212" s="36" t="s">
        <v>500</v>
      </c>
      <c r="E212" s="36" t="str">
        <f>_xlfn.XLOOKUP(C212,'Tabla Articulos'!B:B,'Tabla Articulos'!D:D)</f>
        <v>TAPA BOWL COMPOSTABLE 960</v>
      </c>
      <c r="F212" s="36">
        <f>_xlfn.XLOOKUP(C212,'Tabla Articulos'!B:B,'Tabla Articulos'!E:E)</f>
        <v>600</v>
      </c>
      <c r="G212" s="40">
        <f>SUM(
    SUMIFS(MRP!$H$2:$H$221, MRP!$B$2:$B$221, $C212, MRP!$G$2:$G$221, G$1),
    SUMIFS(MRP!$I$2:$I$221, MRP!$B$2:$B$221, $C212, MRP!$G$2:$G$221, G$1),
    SUMIFS(MRP!$J$2:$J$221, MRP!$B$2:$B$221, $C212,  MRP!$G$2:$G$221, G$1),
    SUMIFS(MRP!$K$2:$K$221, MRP!$B$2:$B$221, $C212,  MRP!$G$2:$G$221, G$1),
    SUMIFS(MRP!$L$2:$L$221, MRP!$B$2:$B$221, $C212,  MRP!$G$2:$G$221, G$1)
)*F212</f>
        <v>0</v>
      </c>
      <c r="H212" s="40">
        <f>SUM(
    SUMIFS(MRP!$H$2:$H$221, MRP!$B$2:$B$221, $C212, MRP!$G$2:$G$221, H$1),
    SUMIFS(MRP!$I$2:$I$221, MRP!$B$2:$B$221, $C212, MRP!$G$2:$G$221, H$1),
    SUMIFS(MRP!$J$2:$J$221, MRP!$B$2:$B$221, $C212,  MRP!$G$2:$G$221, H$1),
    SUMIFS(MRP!$K$2:$K$221, MRP!$B$2:$B$221, $C212,  MRP!$G$2:$G$221, H$1),
    SUMIFS(MRP!$L$2:$L$221, MRP!$B$2:$B$221, $C212,  MRP!$G$2:$G$221, H$1)
)*F212</f>
        <v>12000</v>
      </c>
      <c r="I212" s="40">
        <f>SUM(
    SUMIFS(MRP!$H$2:$H$221, MRP!$B$2:$B$221, $C212, MRP!$G$2:$G$221, I$1),
    SUMIFS(MRP!$I$2:$I$221, MRP!$B$2:$B$221, $C212, MRP!$G$2:$G$221, I$1),
    SUMIFS(MRP!$J$2:$J$221, MRP!$B$2:$B$221, $C212,  MRP!$G$2:$G$221, I$1),
    SUMIFS(MRP!$K$2:$K$221, MRP!$B$2:$B$221, $C212,  MRP!$G$2:$G$221, I$1),
    SUMIFS(MRP!$L$2:$L$221, MRP!$B$2:$B$221, $C212,  MRP!$G$2:$G$221, I$1)
)*F212</f>
        <v>0</v>
      </c>
      <c r="J212" s="40">
        <f>SUM(
    SUMIFS(MRP!$H$2:$H$221, MRP!$B$2:$B$221, $C212, MRP!$G$2:$G$221, J$1),
    SUMIFS(MRP!$I$2:$I$221, MRP!$B$2:$B$221, $C212, MRP!$G$2:$G$221, J$1),
    SUMIFS(MRP!$J$2:$J$221, MRP!$B$2:$B$221, $C212,  MRP!$G$2:$G$221, J$1),
    SUMIFS(MRP!$K$2:$K$221, MRP!$B$2:$B$221, $C212,  MRP!$G$2:$G$221, J$1),
    SUMIFS(MRP!$L$2:$L$221, MRP!$B$2:$B$221, $C212,  MRP!$G$2:$G$221, J$1)
)*F212</f>
        <v>0</v>
      </c>
      <c r="K212" s="56">
        <f>SUM(
    SUMIFS(MRP!$H$2:$H$221, MRP!$B$2:$B$221, $C212, MRP!$G$2:$G$221, K$1),
    SUMIFS(MRP!$I$2:$I$221, MRP!$B$2:$B$221, $C212, MRP!$G$2:$G$221, K$1),
    SUMIFS(MRP!$J$2:$J$221, MRP!$B$2:$B$221, $C212,  MRP!$G$2:$G$221, K$1),
    SUMIFS(MRP!$K$2:$K$221, MRP!$B$2:$B$221, $C212,  MRP!$G$2:$G$221, K$1),
    SUMIFS(MRP!$L$2:$L$221, MRP!$B$2:$B$221, $C212,  MRP!$G$2:$G$221, K$1)
)*F212</f>
        <v>0</v>
      </c>
      <c r="L212" s="55" t="str">
        <f>TRIM(Tabla3[[#This Row],[CodInternoArti]])</f>
        <v>7790000000250</v>
      </c>
    </row>
    <row r="213" spans="1:12" hidden="1" x14ac:dyDescent="0.35">
      <c r="A213" s="41" t="str">
        <f>IF(ISNUMBER(_xlfn.XMATCH(Tabla3[[#This Row],[CodInternoArti]],'Tabla Articulos'!B:B)),"OK","NO ESTA")</f>
        <v>OK</v>
      </c>
      <c r="B213" s="29" t="str">
        <f>IF(ISNUMBER(_xlfn.XMATCH('Calcular necesidad'!E:E,'Necesidad por familia'!A:A)),"OK","NO ESTA")</f>
        <v>OK</v>
      </c>
      <c r="C213" s="36">
        <v>790757820753</v>
      </c>
      <c r="D213" s="36" t="s">
        <v>489</v>
      </c>
      <c r="E213" s="36" t="str">
        <f>_xlfn.XLOOKUP(C213,'Tabla Articulos'!B:B,'Tabla Articulos'!D:D)</f>
        <v>SERVILLETA 30X30 S/LOGO</v>
      </c>
      <c r="F213" s="36">
        <f>_xlfn.XLOOKUP(C213,'Tabla Articulos'!B:B,'Tabla Articulos'!E:E)</f>
        <v>2000</v>
      </c>
      <c r="G213" s="40">
        <f>SUM(
    SUMIFS(MRP!$H$2:$H$221, MRP!$B$2:$B$221, $C213, MRP!$G$2:$G$221, G$1),
    SUMIFS(MRP!$I$2:$I$221, MRP!$B$2:$B$221, $C213, MRP!$G$2:$G$221, G$1),
    SUMIFS(MRP!$J$2:$J$221, MRP!$B$2:$B$221, $C213,  MRP!$G$2:$G$221, G$1),
    SUMIFS(MRP!$K$2:$K$221, MRP!$B$2:$B$221, $C213,  MRP!$G$2:$G$221, G$1),
    SUMIFS(MRP!$L$2:$L$221, MRP!$B$2:$B$221, $C213,  MRP!$G$2:$G$221, G$1)
)*F213</f>
        <v>0</v>
      </c>
      <c r="H213" s="40">
        <f>SUM(
    SUMIFS(MRP!$H$2:$H$221, MRP!$B$2:$B$221, $C213, MRP!$G$2:$G$221, H$1),
    SUMIFS(MRP!$I$2:$I$221, MRP!$B$2:$B$221, $C213, MRP!$G$2:$G$221, H$1),
    SUMIFS(MRP!$J$2:$J$221, MRP!$B$2:$B$221, $C213,  MRP!$G$2:$G$221, H$1),
    SUMIFS(MRP!$K$2:$K$221, MRP!$B$2:$B$221, $C213,  MRP!$G$2:$G$221, H$1),
    SUMIFS(MRP!$L$2:$L$221, MRP!$B$2:$B$221, $C213,  MRP!$G$2:$G$221, H$1)
)*F213</f>
        <v>14000</v>
      </c>
      <c r="I213" s="40">
        <f>SUM(
    SUMIFS(MRP!$H$2:$H$221, MRP!$B$2:$B$221, $C213, MRP!$G$2:$G$221, I$1),
    SUMIFS(MRP!$I$2:$I$221, MRP!$B$2:$B$221, $C213, MRP!$G$2:$G$221, I$1),
    SUMIFS(MRP!$J$2:$J$221, MRP!$B$2:$B$221, $C213,  MRP!$G$2:$G$221, I$1),
    SUMIFS(MRP!$K$2:$K$221, MRP!$B$2:$B$221, $C213,  MRP!$G$2:$G$221, I$1),
    SUMIFS(MRP!$L$2:$L$221, MRP!$B$2:$B$221, $C213,  MRP!$G$2:$G$221, I$1)
)*F213</f>
        <v>0</v>
      </c>
      <c r="J213" s="40">
        <f>SUM(
    SUMIFS(MRP!$H$2:$H$221, MRP!$B$2:$B$221, $C213, MRP!$G$2:$G$221, J$1),
    SUMIFS(MRP!$I$2:$I$221, MRP!$B$2:$B$221, $C213, MRP!$G$2:$G$221, J$1),
    SUMIFS(MRP!$J$2:$J$221, MRP!$B$2:$B$221, $C213,  MRP!$G$2:$G$221, J$1),
    SUMIFS(MRP!$K$2:$K$221, MRP!$B$2:$B$221, $C213,  MRP!$G$2:$G$221, J$1),
    SUMIFS(MRP!$L$2:$L$221, MRP!$B$2:$B$221, $C213,  MRP!$G$2:$G$221, J$1)
)*F213</f>
        <v>0</v>
      </c>
      <c r="K213" s="56">
        <f>SUM(
    SUMIFS(MRP!$H$2:$H$221, MRP!$B$2:$B$221, $C213, MRP!$G$2:$G$221, K$1),
    SUMIFS(MRP!$I$2:$I$221, MRP!$B$2:$B$221, $C213, MRP!$G$2:$G$221, K$1),
    SUMIFS(MRP!$J$2:$J$221, MRP!$B$2:$B$221, $C213,  MRP!$G$2:$G$221, K$1),
    SUMIFS(MRP!$K$2:$K$221, MRP!$B$2:$B$221, $C213,  MRP!$G$2:$G$221, K$1),
    SUMIFS(MRP!$L$2:$L$221, MRP!$B$2:$B$221, $C213,  MRP!$G$2:$G$221, K$1)
)*F213</f>
        <v>0</v>
      </c>
      <c r="L213" s="55" t="str">
        <f>TRIM(Tabla3[[#This Row],[CodInternoArti]])</f>
        <v>790757820753</v>
      </c>
    </row>
    <row r="214" spans="1:12" x14ac:dyDescent="0.35">
      <c r="A214" s="41" t="str">
        <f>IF(ISNUMBER(_xlfn.XMATCH(Tabla3[[#This Row],[CodInternoArti]],'Tabla Articulos'!B:B)),"OK","NO ESTA")</f>
        <v>NO ESTA</v>
      </c>
      <c r="B214" s="29" t="str">
        <f>IF(ISNUMBER(_xlfn.XMATCH('Calcular necesidad'!E:E,'Necesidad por familia'!A:A)),"OK","NO ESTA")</f>
        <v>NO ESTA</v>
      </c>
      <c r="C214" s="36">
        <v>754697478351</v>
      </c>
      <c r="D214" s="36" t="s">
        <v>748</v>
      </c>
      <c r="E214" s="36" t="e">
        <f>_xlfn.XLOOKUP(C214,'Tabla Articulos'!B:B,'Tabla Articulos'!D:D)</f>
        <v>#N/A</v>
      </c>
      <c r="F214" s="36" t="e">
        <f>_xlfn.XLOOKUP(C214,'Tabla Articulos'!B:B,'Tabla Articulos'!E:E)</f>
        <v>#N/A</v>
      </c>
      <c r="G214" s="40" t="e">
        <f>SUM(
    SUMIFS(MRP!$H$2:$H$221, MRP!$B$2:$B$221, $C214, MRP!$G$2:$G$221, G$1),
    SUMIFS(MRP!$I$2:$I$221, MRP!$B$2:$B$221, $C214, MRP!$G$2:$G$221, G$1),
    SUMIFS(MRP!$J$2:$J$221, MRP!$B$2:$B$221, $C214,  MRP!$G$2:$G$221, G$1),
    SUMIFS(MRP!$K$2:$K$221, MRP!$B$2:$B$221, $C214,  MRP!$G$2:$G$221, G$1),
    SUMIFS(MRP!$L$2:$L$221, MRP!$B$2:$B$221, $C214,  MRP!$G$2:$G$221, G$1)
)*F214</f>
        <v>#N/A</v>
      </c>
      <c r="H214" s="40" t="e">
        <f>SUM(
    SUMIFS(MRP!$H$2:$H$221, MRP!$B$2:$B$221, $C214, MRP!$G$2:$G$221, H$1),
    SUMIFS(MRP!$I$2:$I$221, MRP!$B$2:$B$221, $C214, MRP!$G$2:$G$221, H$1),
    SUMIFS(MRP!$J$2:$J$221, MRP!$B$2:$B$221, $C214,  MRP!$G$2:$G$221, H$1),
    SUMIFS(MRP!$K$2:$K$221, MRP!$B$2:$B$221, $C214,  MRP!$G$2:$G$221, H$1),
    SUMIFS(MRP!$L$2:$L$221, MRP!$B$2:$B$221, $C214,  MRP!$G$2:$G$221, H$1)
)*F214</f>
        <v>#N/A</v>
      </c>
      <c r="I214" s="40" t="e">
        <f>SUM(
    SUMIFS(MRP!$H$2:$H$221, MRP!$B$2:$B$221, $C214, MRP!$G$2:$G$221, I$1),
    SUMIFS(MRP!$I$2:$I$221, MRP!$B$2:$B$221, $C214, MRP!$G$2:$G$221, I$1),
    SUMIFS(MRP!$J$2:$J$221, MRP!$B$2:$B$221, $C214,  MRP!$G$2:$G$221, I$1),
    SUMIFS(MRP!$K$2:$K$221, MRP!$B$2:$B$221, $C214,  MRP!$G$2:$G$221, I$1),
    SUMIFS(MRP!$L$2:$L$221, MRP!$B$2:$B$221, $C214,  MRP!$G$2:$G$221, I$1)
)*F214</f>
        <v>#N/A</v>
      </c>
      <c r="J214" s="40" t="e">
        <f>SUM(
    SUMIFS(MRP!$H$2:$H$221, MRP!$B$2:$B$221, $C214, MRP!$G$2:$G$221, J$1),
    SUMIFS(MRP!$I$2:$I$221, MRP!$B$2:$B$221, $C214, MRP!$G$2:$G$221, J$1),
    SUMIFS(MRP!$J$2:$J$221, MRP!$B$2:$B$221, $C214,  MRP!$G$2:$G$221, J$1),
    SUMIFS(MRP!$K$2:$K$221, MRP!$B$2:$B$221, $C214,  MRP!$G$2:$G$221, J$1),
    SUMIFS(MRP!$L$2:$L$221, MRP!$B$2:$B$221, $C214,  MRP!$G$2:$G$221, J$1)
)*F214</f>
        <v>#N/A</v>
      </c>
      <c r="K214" s="56" t="e">
        <f>SUM(
    SUMIFS(MRP!$H$2:$H$221, MRP!$B$2:$B$221, $C214, MRP!$G$2:$G$221, K$1),
    SUMIFS(MRP!$I$2:$I$221, MRP!$B$2:$B$221, $C214, MRP!$G$2:$G$221, K$1),
    SUMIFS(MRP!$J$2:$J$221, MRP!$B$2:$B$221, $C214,  MRP!$G$2:$G$221, K$1),
    SUMIFS(MRP!$K$2:$K$221, MRP!$B$2:$B$221, $C214,  MRP!$G$2:$G$221, K$1),
    SUMIFS(MRP!$L$2:$L$221, MRP!$B$2:$B$221, $C214,  MRP!$G$2:$G$221, K$1)
)*F214</f>
        <v>#N/A</v>
      </c>
      <c r="L214" s="55" t="str">
        <f>TRIM(Tabla3[[#This Row],[CodInternoArti]])</f>
        <v>754697478351</v>
      </c>
    </row>
    <row r="215" spans="1:12" hidden="1" x14ac:dyDescent="0.35">
      <c r="A215" s="41" t="str">
        <f>IF(ISNUMBER(_xlfn.XMATCH(Tabla3[[#This Row],[CodInternoArti]],'Tabla Articulos'!B:B)),"OK","NO ESTA")</f>
        <v>OK</v>
      </c>
      <c r="B215" s="29" t="str">
        <f>IF(ISNUMBER(_xlfn.XMATCH('Calcular necesidad'!E:E,'Necesidad por familia'!A:A)),"OK","NO ESTA")</f>
        <v>OK</v>
      </c>
      <c r="C215" s="36" t="s">
        <v>749</v>
      </c>
      <c r="D215" s="36" t="s">
        <v>750</v>
      </c>
      <c r="E215" s="36" t="str">
        <f>_xlfn.XLOOKUP(C215,'Tabla Articulos'!B:B,'Tabla Articulos'!D:D)</f>
        <v>BANDEJA 101</v>
      </c>
      <c r="F215" s="36">
        <f>_xlfn.XLOOKUP(C215,'Tabla Articulos'!B:B,'Tabla Articulos'!E:E)</f>
        <v>100</v>
      </c>
      <c r="G215" s="40">
        <f>SUM(
    SUMIFS(MRP!$H$2:$H$221, MRP!$B$2:$B$221, $C215, MRP!$G$2:$G$221, G$1),
    SUMIFS(MRP!$I$2:$I$221, MRP!$B$2:$B$221, $C215, MRP!$G$2:$G$221, G$1),
    SUMIFS(MRP!$J$2:$J$221, MRP!$B$2:$B$221, $C215,  MRP!$G$2:$G$221, G$1),
    SUMIFS(MRP!$K$2:$K$221, MRP!$B$2:$B$221, $C215,  MRP!$G$2:$G$221, G$1),
    SUMIFS(MRP!$L$2:$L$221, MRP!$B$2:$B$221, $C215,  MRP!$G$2:$G$221, G$1)
)*F215</f>
        <v>0</v>
      </c>
      <c r="H215" s="40">
        <f>SUM(
    SUMIFS(MRP!$H$2:$H$221, MRP!$B$2:$B$221, $C215, MRP!$G$2:$G$221, H$1),
    SUMIFS(MRP!$I$2:$I$221, MRP!$B$2:$B$221, $C215, MRP!$G$2:$G$221, H$1),
    SUMIFS(MRP!$J$2:$J$221, MRP!$B$2:$B$221, $C215,  MRP!$G$2:$G$221, H$1),
    SUMIFS(MRP!$K$2:$K$221, MRP!$B$2:$B$221, $C215,  MRP!$G$2:$G$221, H$1),
    SUMIFS(MRP!$L$2:$L$221, MRP!$B$2:$B$221, $C215,  MRP!$G$2:$G$221, H$1)
)*F215</f>
        <v>0</v>
      </c>
      <c r="I215" s="40">
        <f>SUM(
    SUMIFS(MRP!$H$2:$H$221, MRP!$B$2:$B$221, $C215, MRP!$G$2:$G$221, I$1),
    SUMIFS(MRP!$I$2:$I$221, MRP!$B$2:$B$221, $C215, MRP!$G$2:$G$221, I$1),
    SUMIFS(MRP!$J$2:$J$221, MRP!$B$2:$B$221, $C215,  MRP!$G$2:$G$221, I$1),
    SUMIFS(MRP!$K$2:$K$221, MRP!$B$2:$B$221, $C215,  MRP!$G$2:$G$221, I$1),
    SUMIFS(MRP!$L$2:$L$221, MRP!$B$2:$B$221, $C215,  MRP!$G$2:$G$221, I$1)
)*F215</f>
        <v>0</v>
      </c>
      <c r="J215" s="40">
        <f>SUM(
    SUMIFS(MRP!$H$2:$H$221, MRP!$B$2:$B$221, $C215, MRP!$G$2:$G$221, J$1),
    SUMIFS(MRP!$I$2:$I$221, MRP!$B$2:$B$221, $C215, MRP!$G$2:$G$221, J$1),
    SUMIFS(MRP!$J$2:$J$221, MRP!$B$2:$B$221, $C215,  MRP!$G$2:$G$221, J$1),
    SUMIFS(MRP!$K$2:$K$221, MRP!$B$2:$B$221, $C215,  MRP!$G$2:$G$221, J$1),
    SUMIFS(MRP!$L$2:$L$221, MRP!$B$2:$B$221, $C215,  MRP!$G$2:$G$221, J$1)
)*F215</f>
        <v>0</v>
      </c>
      <c r="K215" s="56">
        <f>SUM(
    SUMIFS(MRP!$H$2:$H$221, MRP!$B$2:$B$221, $C215, MRP!$G$2:$G$221, K$1),
    SUMIFS(MRP!$I$2:$I$221, MRP!$B$2:$B$221, $C215, MRP!$G$2:$G$221, K$1),
    SUMIFS(MRP!$J$2:$J$221, MRP!$B$2:$B$221, $C215,  MRP!$G$2:$G$221, K$1),
    SUMIFS(MRP!$K$2:$K$221, MRP!$B$2:$B$221, $C215,  MRP!$G$2:$G$221, K$1),
    SUMIFS(MRP!$L$2:$L$221, MRP!$B$2:$B$221, $C215,  MRP!$G$2:$G$221, K$1)
)*F215</f>
        <v>0</v>
      </c>
      <c r="L215" s="55" t="str">
        <f>TRIM(Tabla3[[#This Row],[CodInternoArti]])</f>
        <v>798011214860</v>
      </c>
    </row>
    <row r="216" spans="1:12" hidden="1" x14ac:dyDescent="0.35">
      <c r="A216" s="41" t="str">
        <f>IF(ISNUMBER(_xlfn.XMATCH(Tabla3[[#This Row],[CodInternoArti]],'Tabla Articulos'!B:B)),"OK","NO ESTA")</f>
        <v>OK</v>
      </c>
      <c r="B216" s="29" t="str">
        <f>IF(ISNUMBER(_xlfn.XMATCH('Calcular necesidad'!E:E,'Necesidad por familia'!A:A)),"OK","NO ESTA")</f>
        <v>OK</v>
      </c>
      <c r="C216" s="36" t="s">
        <v>751</v>
      </c>
      <c r="D216" s="36" t="s">
        <v>490</v>
      </c>
      <c r="E216" s="36" t="str">
        <f>_xlfn.XLOOKUP(C216,'Tabla Articulos'!B:B,'Tabla Articulos'!D:D)</f>
        <v>ARRANQUE 20X30</v>
      </c>
      <c r="F216" s="36">
        <f>_xlfn.XLOOKUP(C216,'Tabla Articulos'!B:B,'Tabla Articulos'!E:E)</f>
        <v>12</v>
      </c>
      <c r="G216" s="40">
        <f>SUM(
    SUMIFS(MRP!$H$2:$H$221, MRP!$B$2:$B$221, $C216, MRP!$G$2:$G$221, G$1),
    SUMIFS(MRP!$I$2:$I$221, MRP!$B$2:$B$221, $C216, MRP!$G$2:$G$221, G$1),
    SUMIFS(MRP!$J$2:$J$221, MRP!$B$2:$B$221, $C216,  MRP!$G$2:$G$221, G$1),
    SUMIFS(MRP!$K$2:$K$221, MRP!$B$2:$B$221, $C216,  MRP!$G$2:$G$221, G$1),
    SUMIFS(MRP!$L$2:$L$221, MRP!$B$2:$B$221, $C216,  MRP!$G$2:$G$221, G$1)
)*F216</f>
        <v>0</v>
      </c>
      <c r="H216" s="40">
        <f>SUM(
    SUMIFS(MRP!$H$2:$H$221, MRP!$B$2:$B$221, $C216, MRP!$G$2:$G$221, H$1),
    SUMIFS(MRP!$I$2:$I$221, MRP!$B$2:$B$221, $C216, MRP!$G$2:$G$221, H$1),
    SUMIFS(MRP!$J$2:$J$221, MRP!$B$2:$B$221, $C216,  MRP!$G$2:$G$221, H$1),
    SUMIFS(MRP!$K$2:$K$221, MRP!$B$2:$B$221, $C216,  MRP!$G$2:$G$221, H$1),
    SUMIFS(MRP!$L$2:$L$221, MRP!$B$2:$B$221, $C216,  MRP!$G$2:$G$221, H$1)
)*F216</f>
        <v>24</v>
      </c>
      <c r="I216" s="40">
        <f>SUM(
    SUMIFS(MRP!$H$2:$H$221, MRP!$B$2:$B$221, $C216, MRP!$G$2:$G$221, I$1),
    SUMIFS(MRP!$I$2:$I$221, MRP!$B$2:$B$221, $C216, MRP!$G$2:$G$221, I$1),
    SUMIFS(MRP!$J$2:$J$221, MRP!$B$2:$B$221, $C216,  MRP!$G$2:$G$221, I$1),
    SUMIFS(MRP!$K$2:$K$221, MRP!$B$2:$B$221, $C216,  MRP!$G$2:$G$221, I$1),
    SUMIFS(MRP!$L$2:$L$221, MRP!$B$2:$B$221, $C216,  MRP!$G$2:$G$221, I$1)
)*F216</f>
        <v>0</v>
      </c>
      <c r="J216" s="40">
        <f>SUM(
    SUMIFS(MRP!$H$2:$H$221, MRP!$B$2:$B$221, $C216, MRP!$G$2:$G$221, J$1),
    SUMIFS(MRP!$I$2:$I$221, MRP!$B$2:$B$221, $C216, MRP!$G$2:$G$221, J$1),
    SUMIFS(MRP!$J$2:$J$221, MRP!$B$2:$B$221, $C216,  MRP!$G$2:$G$221, J$1),
    SUMIFS(MRP!$K$2:$K$221, MRP!$B$2:$B$221, $C216,  MRP!$G$2:$G$221, J$1),
    SUMIFS(MRP!$L$2:$L$221, MRP!$B$2:$B$221, $C216,  MRP!$G$2:$G$221, J$1)
)*F216</f>
        <v>0</v>
      </c>
      <c r="K216" s="56">
        <f>SUM(
    SUMIFS(MRP!$H$2:$H$221, MRP!$B$2:$B$221, $C216, MRP!$G$2:$G$221, K$1),
    SUMIFS(MRP!$I$2:$I$221, MRP!$B$2:$B$221, $C216, MRP!$G$2:$G$221, K$1),
    SUMIFS(MRP!$J$2:$J$221, MRP!$B$2:$B$221, $C216,  MRP!$G$2:$G$221, K$1),
    SUMIFS(MRP!$K$2:$K$221, MRP!$B$2:$B$221, $C216,  MRP!$G$2:$G$221, K$1),
    SUMIFS(MRP!$L$2:$L$221, MRP!$B$2:$B$221, $C216,  MRP!$G$2:$G$221, K$1)
)*F216</f>
        <v>0</v>
      </c>
      <c r="L216" s="55" t="str">
        <f>TRIM(Tabla3[[#This Row],[CodInternoArti]])</f>
        <v>7790023000196</v>
      </c>
    </row>
    <row r="217" spans="1:12" hidden="1" x14ac:dyDescent="0.35">
      <c r="A217" s="41" t="str">
        <f>IF(ISNUMBER(_xlfn.XMATCH(Tabla3[[#This Row],[CodInternoArti]],'Tabla Articulos'!B:B)),"OK","NO ESTA")</f>
        <v>OK</v>
      </c>
      <c r="B217" s="29" t="str">
        <f>IF(ISNUMBER(_xlfn.XMATCH('Calcular necesidad'!E:E,'Necesidad por familia'!A:A)),"OK","NO ESTA")</f>
        <v>OK</v>
      </c>
      <c r="C217" s="36" t="s">
        <v>752</v>
      </c>
      <c r="D217" s="36" t="s">
        <v>753</v>
      </c>
      <c r="E217" s="36" t="str">
        <f>_xlfn.XLOOKUP(C217,'Tabla Articulos'!B:B,'Tabla Articulos'!D:D)</f>
        <v>ARRANQUE 40X60</v>
      </c>
      <c r="F217" s="36">
        <f>_xlfn.XLOOKUP(C217,'Tabla Articulos'!B:B,'Tabla Articulos'!E:E)</f>
        <v>6</v>
      </c>
      <c r="G217" s="40">
        <f>SUM(
    SUMIFS(MRP!$H$2:$H$221, MRP!$B$2:$B$221, $C217, MRP!$G$2:$G$221, G$1),
    SUMIFS(MRP!$I$2:$I$221, MRP!$B$2:$B$221, $C217, MRP!$G$2:$G$221, G$1),
    SUMIFS(MRP!$J$2:$J$221, MRP!$B$2:$B$221, $C217,  MRP!$G$2:$G$221, G$1),
    SUMIFS(MRP!$K$2:$K$221, MRP!$B$2:$B$221, $C217,  MRP!$G$2:$G$221, G$1),
    SUMIFS(MRP!$L$2:$L$221, MRP!$B$2:$B$221, $C217,  MRP!$G$2:$G$221, G$1)
)*F217</f>
        <v>0</v>
      </c>
      <c r="H217" s="40">
        <f>SUM(
    SUMIFS(MRP!$H$2:$H$221, MRP!$B$2:$B$221, $C217, MRP!$G$2:$G$221, H$1),
    SUMIFS(MRP!$I$2:$I$221, MRP!$B$2:$B$221, $C217, MRP!$G$2:$G$221, H$1),
    SUMIFS(MRP!$J$2:$J$221, MRP!$B$2:$B$221, $C217,  MRP!$G$2:$G$221, H$1),
    SUMIFS(MRP!$K$2:$K$221, MRP!$B$2:$B$221, $C217,  MRP!$G$2:$G$221, H$1),
    SUMIFS(MRP!$L$2:$L$221, MRP!$B$2:$B$221, $C217,  MRP!$G$2:$G$221, H$1)
)*F217</f>
        <v>0</v>
      </c>
      <c r="I217" s="40">
        <f>SUM(
    SUMIFS(MRP!$H$2:$H$221, MRP!$B$2:$B$221, $C217, MRP!$G$2:$G$221, I$1),
    SUMIFS(MRP!$I$2:$I$221, MRP!$B$2:$B$221, $C217, MRP!$G$2:$G$221, I$1),
    SUMIFS(MRP!$J$2:$J$221, MRP!$B$2:$B$221, $C217,  MRP!$G$2:$G$221, I$1),
    SUMIFS(MRP!$K$2:$K$221, MRP!$B$2:$B$221, $C217,  MRP!$G$2:$G$221, I$1),
    SUMIFS(MRP!$L$2:$L$221, MRP!$B$2:$B$221, $C217,  MRP!$G$2:$G$221, I$1)
)*F217</f>
        <v>0</v>
      </c>
      <c r="J217" s="40">
        <f>SUM(
    SUMIFS(MRP!$H$2:$H$221, MRP!$B$2:$B$221, $C217, MRP!$G$2:$G$221, J$1),
    SUMIFS(MRP!$I$2:$I$221, MRP!$B$2:$B$221, $C217, MRP!$G$2:$G$221, J$1),
    SUMIFS(MRP!$J$2:$J$221, MRP!$B$2:$B$221, $C217,  MRP!$G$2:$G$221, J$1),
    SUMIFS(MRP!$K$2:$K$221, MRP!$B$2:$B$221, $C217,  MRP!$G$2:$G$221, J$1),
    SUMIFS(MRP!$L$2:$L$221, MRP!$B$2:$B$221, $C217,  MRP!$G$2:$G$221, J$1)
)*F217</f>
        <v>0</v>
      </c>
      <c r="K217" s="56">
        <f>SUM(
    SUMIFS(MRP!$H$2:$H$221, MRP!$B$2:$B$221, $C217, MRP!$G$2:$G$221, K$1),
    SUMIFS(MRP!$I$2:$I$221, MRP!$B$2:$B$221, $C217, MRP!$G$2:$G$221, K$1),
    SUMIFS(MRP!$J$2:$J$221, MRP!$B$2:$B$221, $C217,  MRP!$G$2:$G$221, K$1),
    SUMIFS(MRP!$K$2:$K$221, MRP!$B$2:$B$221, $C217,  MRP!$G$2:$G$221, K$1),
    SUMIFS(MRP!$L$2:$L$221, MRP!$B$2:$B$221, $C217,  MRP!$G$2:$G$221, K$1)
)*F217</f>
        <v>0</v>
      </c>
      <c r="L217" s="55" t="str">
        <f>TRIM(Tabla3[[#This Row],[CodInternoArti]])</f>
        <v>7794459003547</v>
      </c>
    </row>
    <row r="218" spans="1:12" hidden="1" x14ac:dyDescent="0.35">
      <c r="A218" s="41" t="str">
        <f>IF(ISNUMBER(_xlfn.XMATCH(Tabla3[[#This Row],[CodInternoArti]],'Tabla Articulos'!B:B)),"OK","NO ESTA")</f>
        <v>OK</v>
      </c>
      <c r="B218" s="29" t="str">
        <f>IF(ISNUMBER(_xlfn.XMATCH('Calcular necesidad'!E:E,'Necesidad por familia'!A:A)),"OK","NO ESTA")</f>
        <v>OK</v>
      </c>
      <c r="C218" s="36" t="s">
        <v>754</v>
      </c>
      <c r="D218" s="36" t="s">
        <v>755</v>
      </c>
      <c r="E218" s="36" t="str">
        <f>_xlfn.XLOOKUP(C218,'Tabla Articulos'!B:B,'Tabla Articulos'!D:D)</f>
        <v>TAPA 103</v>
      </c>
      <c r="F218" s="36">
        <f>_xlfn.XLOOKUP(C218,'Tabla Articulos'!B:B,'Tabla Articulos'!E:E)</f>
        <v>50</v>
      </c>
      <c r="G218" s="40">
        <f>SUM(
    SUMIFS(MRP!$H$2:$H$221, MRP!$B$2:$B$221, $C218, MRP!$G$2:$G$221, G$1),
    SUMIFS(MRP!$I$2:$I$221, MRP!$B$2:$B$221, $C218, MRP!$G$2:$G$221, G$1),
    SUMIFS(MRP!$J$2:$J$221, MRP!$B$2:$B$221, $C218,  MRP!$G$2:$G$221, G$1),
    SUMIFS(MRP!$K$2:$K$221, MRP!$B$2:$B$221, $C218,  MRP!$G$2:$G$221, G$1),
    SUMIFS(MRP!$L$2:$L$221, MRP!$B$2:$B$221, $C218,  MRP!$G$2:$G$221, G$1)
)*F218</f>
        <v>0</v>
      </c>
      <c r="H218" s="40">
        <f>SUM(
    SUMIFS(MRP!$H$2:$H$221, MRP!$B$2:$B$221, $C218, MRP!$G$2:$G$221, H$1),
    SUMIFS(MRP!$I$2:$I$221, MRP!$B$2:$B$221, $C218, MRP!$G$2:$G$221, H$1),
    SUMIFS(MRP!$J$2:$J$221, MRP!$B$2:$B$221, $C218,  MRP!$G$2:$G$221, H$1),
    SUMIFS(MRP!$K$2:$K$221, MRP!$B$2:$B$221, $C218,  MRP!$G$2:$G$221, H$1),
    SUMIFS(MRP!$L$2:$L$221, MRP!$B$2:$B$221, $C218,  MRP!$G$2:$G$221, H$1)
)*F218</f>
        <v>0</v>
      </c>
      <c r="I218" s="40">
        <f>SUM(
    SUMIFS(MRP!$H$2:$H$221, MRP!$B$2:$B$221, $C218, MRP!$G$2:$G$221, I$1),
    SUMIFS(MRP!$I$2:$I$221, MRP!$B$2:$B$221, $C218, MRP!$G$2:$G$221, I$1),
    SUMIFS(MRP!$J$2:$J$221, MRP!$B$2:$B$221, $C218,  MRP!$G$2:$G$221, I$1),
    SUMIFS(MRP!$K$2:$K$221, MRP!$B$2:$B$221, $C218,  MRP!$G$2:$G$221, I$1),
    SUMIFS(MRP!$L$2:$L$221, MRP!$B$2:$B$221, $C218,  MRP!$G$2:$G$221, I$1)
)*F218</f>
        <v>0</v>
      </c>
      <c r="J218" s="40">
        <f>SUM(
    SUMIFS(MRP!$H$2:$H$221, MRP!$B$2:$B$221, $C218, MRP!$G$2:$G$221, J$1),
    SUMIFS(MRP!$I$2:$I$221, MRP!$B$2:$B$221, $C218, MRP!$G$2:$G$221, J$1),
    SUMIFS(MRP!$J$2:$J$221, MRP!$B$2:$B$221, $C218,  MRP!$G$2:$G$221, J$1),
    SUMIFS(MRP!$K$2:$K$221, MRP!$B$2:$B$221, $C218,  MRP!$G$2:$G$221, J$1),
    SUMIFS(MRP!$L$2:$L$221, MRP!$B$2:$B$221, $C218,  MRP!$G$2:$G$221, J$1)
)*F218</f>
        <v>0</v>
      </c>
      <c r="K218" s="56">
        <f>SUM(
    SUMIFS(MRP!$H$2:$H$221, MRP!$B$2:$B$221, $C218, MRP!$G$2:$G$221, K$1),
    SUMIFS(MRP!$I$2:$I$221, MRP!$B$2:$B$221, $C218, MRP!$G$2:$G$221, K$1),
    SUMIFS(MRP!$J$2:$J$221, MRP!$B$2:$B$221, $C218,  MRP!$G$2:$G$221, K$1),
    SUMIFS(MRP!$K$2:$K$221, MRP!$B$2:$B$221, $C218,  MRP!$G$2:$G$221, K$1),
    SUMIFS(MRP!$L$2:$L$221, MRP!$B$2:$B$221, $C218,  MRP!$G$2:$G$221, K$1)
)*F218</f>
        <v>0</v>
      </c>
      <c r="L218" s="55" t="str">
        <f>TRIM(Tabla3[[#This Row],[CodInternoArti]])</f>
        <v>7798011210060</v>
      </c>
    </row>
    <row r="219" spans="1:12" hidden="1" x14ac:dyDescent="0.35">
      <c r="A219" s="41" t="str">
        <f>IF(ISNUMBER(_xlfn.XMATCH(Tabla3[[#This Row],[CodInternoArti]],'Tabla Articulos'!B:B)),"OK","NO ESTA")</f>
        <v>OK</v>
      </c>
      <c r="B219" s="29" t="str">
        <f>IF(ISNUMBER(_xlfn.XMATCH('Calcular necesidad'!E:E,'Necesidad por familia'!A:A)),"OK","NO ESTA")</f>
        <v>OK</v>
      </c>
      <c r="C219" s="36" t="s">
        <v>756</v>
      </c>
      <c r="D219" s="36" t="s">
        <v>757</v>
      </c>
      <c r="E219" s="36" t="str">
        <f>_xlfn.XLOOKUP(C219,'Tabla Articulos'!B:B,'Tabla Articulos'!D:D)</f>
        <v>ARRANQUE 20X30</v>
      </c>
      <c r="F219" s="36">
        <f>_xlfn.XLOOKUP(C219,'Tabla Articulos'!B:B,'Tabla Articulos'!E:E)</f>
        <v>12</v>
      </c>
      <c r="G219" s="40">
        <f>SUM(
    SUMIFS(MRP!$H$2:$H$221, MRP!$B$2:$B$221, $C219, MRP!$G$2:$G$221, G$1),
    SUMIFS(MRP!$I$2:$I$221, MRP!$B$2:$B$221, $C219, MRP!$G$2:$G$221, G$1),
    SUMIFS(MRP!$J$2:$J$221, MRP!$B$2:$B$221, $C219,  MRP!$G$2:$G$221, G$1),
    SUMIFS(MRP!$K$2:$K$221, MRP!$B$2:$B$221, $C219,  MRP!$G$2:$G$221, G$1),
    SUMIFS(MRP!$L$2:$L$221, MRP!$B$2:$B$221, $C219,  MRP!$G$2:$G$221, G$1)
)*F219</f>
        <v>0</v>
      </c>
      <c r="H219" s="40">
        <f>SUM(
    SUMIFS(MRP!$H$2:$H$221, MRP!$B$2:$B$221, $C219, MRP!$G$2:$G$221, H$1),
    SUMIFS(MRP!$I$2:$I$221, MRP!$B$2:$B$221, $C219, MRP!$G$2:$G$221, H$1),
    SUMIFS(MRP!$J$2:$J$221, MRP!$B$2:$B$221, $C219,  MRP!$G$2:$G$221, H$1),
    SUMIFS(MRP!$K$2:$K$221, MRP!$B$2:$B$221, $C219,  MRP!$G$2:$G$221, H$1),
    SUMIFS(MRP!$L$2:$L$221, MRP!$B$2:$B$221, $C219,  MRP!$G$2:$G$221, H$1)
)*F219</f>
        <v>0</v>
      </c>
      <c r="I219" s="40">
        <f>SUM(
    SUMIFS(MRP!$H$2:$H$221, MRP!$B$2:$B$221, $C219, MRP!$G$2:$G$221, I$1),
    SUMIFS(MRP!$I$2:$I$221, MRP!$B$2:$B$221, $C219, MRP!$G$2:$G$221, I$1),
    SUMIFS(MRP!$J$2:$J$221, MRP!$B$2:$B$221, $C219,  MRP!$G$2:$G$221, I$1),
    SUMIFS(MRP!$K$2:$K$221, MRP!$B$2:$B$221, $C219,  MRP!$G$2:$G$221, I$1),
    SUMIFS(MRP!$L$2:$L$221, MRP!$B$2:$B$221, $C219,  MRP!$G$2:$G$221, I$1)
)*F219</f>
        <v>0</v>
      </c>
      <c r="J219" s="40">
        <f>SUM(
    SUMIFS(MRP!$H$2:$H$221, MRP!$B$2:$B$221, $C219, MRP!$G$2:$G$221, J$1),
    SUMIFS(MRP!$I$2:$I$221, MRP!$B$2:$B$221, $C219, MRP!$G$2:$G$221, J$1),
    SUMIFS(MRP!$J$2:$J$221, MRP!$B$2:$B$221, $C219,  MRP!$G$2:$G$221, J$1),
    SUMIFS(MRP!$K$2:$K$221, MRP!$B$2:$B$221, $C219,  MRP!$G$2:$G$221, J$1),
    SUMIFS(MRP!$L$2:$L$221, MRP!$B$2:$B$221, $C219,  MRP!$G$2:$G$221, J$1)
)*F219</f>
        <v>0</v>
      </c>
      <c r="K219" s="56">
        <f>SUM(
    SUMIFS(MRP!$H$2:$H$221, MRP!$B$2:$B$221, $C219, MRP!$G$2:$G$221, K$1),
    SUMIFS(MRP!$I$2:$I$221, MRP!$B$2:$B$221, $C219, MRP!$G$2:$G$221, K$1),
    SUMIFS(MRP!$J$2:$J$221, MRP!$B$2:$B$221, $C219,  MRP!$G$2:$G$221, K$1),
    SUMIFS(MRP!$K$2:$K$221, MRP!$B$2:$B$221, $C219,  MRP!$G$2:$G$221, K$1),
    SUMIFS(MRP!$L$2:$L$221, MRP!$B$2:$B$221, $C219,  MRP!$G$2:$G$221, K$1)
)*F219</f>
        <v>0</v>
      </c>
      <c r="L219" s="55" t="str">
        <f>TRIM(Tabla3[[#This Row],[CodInternoArti]])</f>
        <v>7794459003530</v>
      </c>
    </row>
    <row r="220" spans="1:12" hidden="1" x14ac:dyDescent="0.35">
      <c r="A220" s="41" t="str">
        <f>IF(ISNUMBER(_xlfn.XMATCH(Tabla3[[#This Row],[CodInternoArti]],'Tabla Articulos'!B:B)),"OK","NO ESTA")</f>
        <v>OK</v>
      </c>
      <c r="B220" s="29" t="str">
        <f>IF(ISNUMBER(_xlfn.XMATCH('Calcular necesidad'!E:E,'Necesidad por familia'!A:A)),"OK","NO ESTA")</f>
        <v>OK</v>
      </c>
      <c r="C220" s="36" t="s">
        <v>758</v>
      </c>
      <c r="D220" s="36" t="s">
        <v>482</v>
      </c>
      <c r="E220" s="36" t="str">
        <f>_xlfn.XLOOKUP(C220,'Tabla Articulos'!B:B,'Tabla Articulos'!D:D)</f>
        <v>SERVILLETA 30X30 S/LOGO</v>
      </c>
      <c r="F220" s="36">
        <f>_xlfn.XLOOKUP(C220,'Tabla Articulos'!B:B,'Tabla Articulos'!E:E)</f>
        <v>1000</v>
      </c>
      <c r="G220" s="40">
        <f>SUM(
    SUMIFS(MRP!$H$2:$H$221, MRP!$B$2:$B$221, $C220, MRP!$G$2:$G$221, G$1),
    SUMIFS(MRP!$I$2:$I$221, MRP!$B$2:$B$221, $C220, MRP!$G$2:$G$221, G$1),
    SUMIFS(MRP!$J$2:$J$221, MRP!$B$2:$B$221, $C220,  MRP!$G$2:$G$221, G$1),
    SUMIFS(MRP!$K$2:$K$221, MRP!$B$2:$B$221, $C220,  MRP!$G$2:$G$221, G$1),
    SUMIFS(MRP!$L$2:$L$221, MRP!$B$2:$B$221, $C220,  MRP!$G$2:$G$221, G$1)
)*F220</f>
        <v>0</v>
      </c>
      <c r="H220" s="40">
        <f>SUM(
    SUMIFS(MRP!$H$2:$H$221, MRP!$B$2:$B$221, $C220, MRP!$G$2:$G$221, H$1),
    SUMIFS(MRP!$I$2:$I$221, MRP!$B$2:$B$221, $C220, MRP!$G$2:$G$221, H$1),
    SUMIFS(MRP!$J$2:$J$221, MRP!$B$2:$B$221, $C220,  MRP!$G$2:$G$221, H$1),
    SUMIFS(MRP!$K$2:$K$221, MRP!$B$2:$B$221, $C220,  MRP!$G$2:$G$221, H$1),
    SUMIFS(MRP!$L$2:$L$221, MRP!$B$2:$B$221, $C220,  MRP!$G$2:$G$221, H$1)
)*F220</f>
        <v>17000</v>
      </c>
      <c r="I220" s="40">
        <f>SUM(
    SUMIFS(MRP!$H$2:$H$221, MRP!$B$2:$B$221, $C220, MRP!$G$2:$G$221, I$1),
    SUMIFS(MRP!$I$2:$I$221, MRP!$B$2:$B$221, $C220, MRP!$G$2:$G$221, I$1),
    SUMIFS(MRP!$J$2:$J$221, MRP!$B$2:$B$221, $C220,  MRP!$G$2:$G$221, I$1),
    SUMIFS(MRP!$K$2:$K$221, MRP!$B$2:$B$221, $C220,  MRP!$G$2:$G$221, I$1),
    SUMIFS(MRP!$L$2:$L$221, MRP!$B$2:$B$221, $C220,  MRP!$G$2:$G$221, I$1)
)*F220</f>
        <v>0</v>
      </c>
      <c r="J220" s="40">
        <f>SUM(
    SUMIFS(MRP!$H$2:$H$221, MRP!$B$2:$B$221, $C220, MRP!$G$2:$G$221, J$1),
    SUMIFS(MRP!$I$2:$I$221, MRP!$B$2:$B$221, $C220, MRP!$G$2:$G$221, J$1),
    SUMIFS(MRP!$J$2:$J$221, MRP!$B$2:$B$221, $C220,  MRP!$G$2:$G$221, J$1),
    SUMIFS(MRP!$K$2:$K$221, MRP!$B$2:$B$221, $C220,  MRP!$G$2:$G$221, J$1),
    SUMIFS(MRP!$L$2:$L$221, MRP!$B$2:$B$221, $C220,  MRP!$G$2:$G$221, J$1)
)*F220</f>
        <v>0</v>
      </c>
      <c r="K220" s="56">
        <f>SUM(
    SUMIFS(MRP!$H$2:$H$221, MRP!$B$2:$B$221, $C220, MRP!$G$2:$G$221, K$1),
    SUMIFS(MRP!$I$2:$I$221, MRP!$B$2:$B$221, $C220, MRP!$G$2:$G$221, K$1),
    SUMIFS(MRP!$J$2:$J$221, MRP!$B$2:$B$221, $C220,  MRP!$G$2:$G$221, K$1),
    SUMIFS(MRP!$K$2:$K$221, MRP!$B$2:$B$221, $C220,  MRP!$G$2:$G$221, K$1),
    SUMIFS(MRP!$L$2:$L$221, MRP!$B$2:$B$221, $C220,  MRP!$G$2:$G$221, K$1)
)*F220</f>
        <v>0</v>
      </c>
      <c r="L220" s="55" t="str">
        <f>TRIM(Tabla3[[#This Row],[CodInternoArti]])</f>
        <v>7798188651727</v>
      </c>
    </row>
    <row r="221" spans="1:12" hidden="1" x14ac:dyDescent="0.35">
      <c r="A221" s="63" t="str">
        <f>IF(ISNUMBER(_xlfn.XMATCH(Tabla3[[#This Row],[CodInternoArti]],'Tabla Articulos'!B:B)),"OK","NO ESTA")</f>
        <v>OK</v>
      </c>
      <c r="B221" s="19" t="str">
        <f>IF(ISNUMBER(_xlfn.XMATCH('Calcular necesidad'!E:E,'Necesidad por familia'!A:A)),"OK","NO ESTA")</f>
        <v>OK</v>
      </c>
      <c r="C221" s="1" t="s">
        <v>759</v>
      </c>
      <c r="D221" s="1" t="s">
        <v>524</v>
      </c>
      <c r="E221" s="1" t="str">
        <f>_xlfn.XLOOKUP(C221,'Tabla Articulos'!B:B,'Tabla Articulos'!D:D)</f>
        <v>ESCARBADIENTE</v>
      </c>
      <c r="F221" s="1">
        <f>_xlfn.XLOOKUP(C221,'Tabla Articulos'!B:B,'Tabla Articulos'!E:E)</f>
        <v>500</v>
      </c>
      <c r="G221" s="15">
        <f>SUM(
    SUMIFS(MRP!$H$2:$H$221, MRP!$B$2:$B$221, $C221, MRP!$G$2:$G$221, G$1),
    SUMIFS(MRP!$I$2:$I$221, MRP!$B$2:$B$221, $C221, MRP!$G$2:$G$221, G$1),
    SUMIFS(MRP!$J$2:$J$221, MRP!$B$2:$B$221, $C221,  MRP!$G$2:$G$221, G$1),
    SUMIFS(MRP!$K$2:$K$221, MRP!$B$2:$B$221, $C221,  MRP!$G$2:$G$221, G$1),
    SUMIFS(MRP!$L$2:$L$221, MRP!$B$2:$B$221, $C221,  MRP!$G$2:$G$221, G$1)
)*F221</f>
        <v>0</v>
      </c>
      <c r="H221" s="15">
        <f>SUM(
    SUMIFS(MRP!$H$2:$H$221, MRP!$B$2:$B$221, $C221, MRP!$G$2:$G$221, H$1),
    SUMIFS(MRP!$I$2:$I$221, MRP!$B$2:$B$221, $C221, MRP!$G$2:$G$221, H$1),
    SUMIFS(MRP!$J$2:$J$221, MRP!$B$2:$B$221, $C221,  MRP!$G$2:$G$221, H$1),
    SUMIFS(MRP!$K$2:$K$221, MRP!$B$2:$B$221, $C221,  MRP!$G$2:$G$221, H$1),
    SUMIFS(MRP!$L$2:$L$221, MRP!$B$2:$B$221, $C221,  MRP!$G$2:$G$221, H$1)
)*F221</f>
        <v>2000</v>
      </c>
      <c r="I221" s="15">
        <f>SUM(
    SUMIFS(MRP!$H$2:$H$221, MRP!$B$2:$B$221, $C221, MRP!$G$2:$G$221, I$1),
    SUMIFS(MRP!$I$2:$I$221, MRP!$B$2:$B$221, $C221, MRP!$G$2:$G$221, I$1),
    SUMIFS(MRP!$J$2:$J$221, MRP!$B$2:$B$221, $C221,  MRP!$G$2:$G$221, I$1),
    SUMIFS(MRP!$K$2:$K$221, MRP!$B$2:$B$221, $C221,  MRP!$G$2:$G$221, I$1),
    SUMIFS(MRP!$L$2:$L$221, MRP!$B$2:$B$221, $C221,  MRP!$G$2:$G$221, I$1)
)*F221</f>
        <v>0</v>
      </c>
      <c r="J221" s="15">
        <f>SUM(
    SUMIFS(MRP!$H$2:$H$221, MRP!$B$2:$B$221, $C221, MRP!$G$2:$G$221, J$1),
    SUMIFS(MRP!$I$2:$I$221, MRP!$B$2:$B$221, $C221, MRP!$G$2:$G$221, J$1),
    SUMIFS(MRP!$J$2:$J$221, MRP!$B$2:$B$221, $C221,  MRP!$G$2:$G$221, J$1),
    SUMIFS(MRP!$K$2:$K$221, MRP!$B$2:$B$221, $C221,  MRP!$G$2:$G$221, J$1),
    SUMIFS(MRP!$L$2:$L$221, MRP!$B$2:$B$221, $C221,  MRP!$G$2:$G$221, J$1)
)*F221</f>
        <v>0</v>
      </c>
      <c r="K221" s="64">
        <f>SUM(
    SUMIFS(MRP!$H$2:$H$221, MRP!$B$2:$B$221, $C221, MRP!$G$2:$G$221, K$1),
    SUMIFS(MRP!$I$2:$I$221, MRP!$B$2:$B$221, $C221, MRP!$G$2:$G$221, K$1),
    SUMIFS(MRP!$J$2:$J$221, MRP!$B$2:$B$221, $C221,  MRP!$G$2:$G$221, K$1),
    SUMIFS(MRP!$K$2:$K$221, MRP!$B$2:$B$221, $C221,  MRP!$G$2:$G$221, K$1),
    SUMIFS(MRP!$L$2:$L$221, MRP!$B$2:$B$221, $C221,  MRP!$G$2:$G$221, K$1)
)*F221</f>
        <v>0</v>
      </c>
      <c r="L221" s="55" t="str">
        <f>TRIM(Tabla3[[#This Row],[CodInternoArti]])</f>
        <v>648260488628</v>
      </c>
    </row>
    <row r="222" spans="1:12" hidden="1" x14ac:dyDescent="0.35">
      <c r="A222" s="41" t="str">
        <f>IF(ISNUMBER(_xlfn.XMATCH(Tabla3[[#This Row],[CodInternoArti]],'Tabla Articulos'!B:B)),"OK","NO ESTA")</f>
        <v>OK</v>
      </c>
      <c r="B222" s="29" t="str">
        <f>IF(ISNUMBER(_xlfn.XMATCH('Calcular necesidad'!E:E,'Necesidad por familia'!A:A)),"OK","NO ESTA")</f>
        <v>OK</v>
      </c>
      <c r="C222" s="36" t="s">
        <v>760</v>
      </c>
      <c r="D222" s="36" t="s">
        <v>525</v>
      </c>
      <c r="E222" s="36" t="str">
        <f>_xlfn.XLOOKUP(C222,'Tabla Articulos'!B:B,'Tabla Articulos'!D:D)</f>
        <v>TAPA 101</v>
      </c>
      <c r="F222" s="36">
        <f>_xlfn.XLOOKUP(C222,'Tabla Articulos'!B:B,'Tabla Articulos'!E:E)</f>
        <v>100</v>
      </c>
      <c r="G222" s="40">
        <f>SUM(
    SUMIFS(MRP!$H$2:$H$221, MRP!$B$2:$B$221, $C222, MRP!$G$2:$G$221, G$1),
    SUMIFS(MRP!$I$2:$I$221, MRP!$B$2:$B$221, $C222, MRP!$G$2:$G$221, G$1),
    SUMIFS(MRP!$J$2:$J$221, MRP!$B$2:$B$221, $C222,  MRP!$G$2:$G$221, G$1),
    SUMIFS(MRP!$K$2:$K$221, MRP!$B$2:$B$221, $C222,  MRP!$G$2:$G$221, G$1),
    SUMIFS(MRP!$L$2:$L$221, MRP!$B$2:$B$221, $C222,  MRP!$G$2:$G$221, G$1)
)*F222</f>
        <v>0</v>
      </c>
      <c r="H222" s="40">
        <f>SUM(
    SUMIFS(MRP!$H$2:$H$221, MRP!$B$2:$B$221, $C222, MRP!$G$2:$G$221, H$1),
    SUMIFS(MRP!$I$2:$I$221, MRP!$B$2:$B$221, $C222, MRP!$G$2:$G$221, H$1),
    SUMIFS(MRP!$J$2:$J$221, MRP!$B$2:$B$221, $C222,  MRP!$G$2:$G$221, H$1),
    SUMIFS(MRP!$K$2:$K$221, MRP!$B$2:$B$221, $C222,  MRP!$G$2:$G$221, H$1),
    SUMIFS(MRP!$L$2:$L$221, MRP!$B$2:$B$221, $C222,  MRP!$G$2:$G$221, H$1)
)*F222</f>
        <v>2400</v>
      </c>
      <c r="I222" s="40">
        <f>SUM(
    SUMIFS(MRP!$H$2:$H$221, MRP!$B$2:$B$221, $C222, MRP!$G$2:$G$221, I$1),
    SUMIFS(MRP!$I$2:$I$221, MRP!$B$2:$B$221, $C222, MRP!$G$2:$G$221, I$1),
    SUMIFS(MRP!$J$2:$J$221, MRP!$B$2:$B$221, $C222,  MRP!$G$2:$G$221, I$1),
    SUMIFS(MRP!$K$2:$K$221, MRP!$B$2:$B$221, $C222,  MRP!$G$2:$G$221, I$1),
    SUMIFS(MRP!$L$2:$L$221, MRP!$B$2:$B$221, $C222,  MRP!$G$2:$G$221, I$1)
)*F222</f>
        <v>0</v>
      </c>
      <c r="J222" s="40">
        <f>SUM(
    SUMIFS(MRP!$H$2:$H$221, MRP!$B$2:$B$221, $C222, MRP!$G$2:$G$221, J$1),
    SUMIFS(MRP!$I$2:$I$221, MRP!$B$2:$B$221, $C222, MRP!$G$2:$G$221, J$1),
    SUMIFS(MRP!$J$2:$J$221, MRP!$B$2:$B$221, $C222,  MRP!$G$2:$G$221, J$1),
    SUMIFS(MRP!$K$2:$K$221, MRP!$B$2:$B$221, $C222,  MRP!$G$2:$G$221, J$1),
    SUMIFS(MRP!$L$2:$L$221, MRP!$B$2:$B$221, $C222,  MRP!$G$2:$G$221, J$1)
)*F222</f>
        <v>0</v>
      </c>
      <c r="K222" s="56">
        <f>SUM(
    SUMIFS(MRP!$H$2:$H$221, MRP!$B$2:$B$221, $C222, MRP!$G$2:$G$221, K$1),
    SUMIFS(MRP!$I$2:$I$221, MRP!$B$2:$B$221, $C222, MRP!$G$2:$G$221, K$1),
    SUMIFS(MRP!$J$2:$J$221, MRP!$B$2:$B$221, $C222,  MRP!$G$2:$G$221, K$1),
    SUMIFS(MRP!$K$2:$K$221, MRP!$B$2:$B$221, $C222,  MRP!$G$2:$G$221, K$1),
    SUMIFS(MRP!$L$2:$L$221, MRP!$B$2:$B$221, $C222,  MRP!$G$2:$G$221, K$1)
)*F222</f>
        <v>0</v>
      </c>
      <c r="L222" s="55" t="str">
        <f>TRIM(Tabla3[[#This Row],[CodInternoArti]])</f>
        <v>7798011210022</v>
      </c>
    </row>
    <row r="223" spans="1:12" hidden="1" x14ac:dyDescent="0.35">
      <c r="A223" s="63" t="str">
        <f>IF(ISNUMBER(_xlfn.XMATCH(Tabla3[[#This Row],[CodInternoArti]],'Tabla Articulos'!B:B)),"OK","NO ESTA")</f>
        <v>OK</v>
      </c>
      <c r="B223" s="19" t="str">
        <f>IF(ISNUMBER(_xlfn.XMATCH('Calcular necesidad'!E:E,'Necesidad por familia'!A:A)),"OK","NO ESTA")</f>
        <v>OK</v>
      </c>
      <c r="C223" s="1" t="s">
        <v>761</v>
      </c>
      <c r="D223" s="1" t="s">
        <v>430</v>
      </c>
      <c r="E223" s="1" t="str">
        <f>_xlfn.XLOOKUP(C223,'Tabla Articulos'!B:B,'Tabla Articulos'!D:D)</f>
        <v>BOLSA CUBIERTO 10X25</v>
      </c>
      <c r="F223" s="1">
        <f>_xlfn.XLOOKUP(C223,'Tabla Articulos'!B:B,'Tabla Articulos'!E:E)</f>
        <v>200</v>
      </c>
      <c r="G223" s="15">
        <f>SUM(
    SUMIFS(MRP!$H$2:$H$221, MRP!$B$2:$B$221, $C223, MRP!$G$2:$G$221, G$1),
    SUMIFS(MRP!$I$2:$I$221, MRP!$B$2:$B$221, $C223, MRP!$G$2:$G$221, G$1),
    SUMIFS(MRP!$J$2:$J$221, MRP!$B$2:$B$221, $C223,  MRP!$G$2:$G$221, G$1),
    SUMIFS(MRP!$K$2:$K$221, MRP!$B$2:$B$221, $C223,  MRP!$G$2:$G$221, G$1),
    SUMIFS(MRP!$L$2:$L$221, MRP!$B$2:$B$221, $C223,  MRP!$G$2:$G$221, G$1)
)*F223</f>
        <v>0</v>
      </c>
      <c r="H223" s="15">
        <f>SUM(
    SUMIFS(MRP!$H$2:$H$221, MRP!$B$2:$B$221, $C223, MRP!$G$2:$G$221, H$1),
    SUMIFS(MRP!$I$2:$I$221, MRP!$B$2:$B$221, $C223, MRP!$G$2:$G$221, H$1),
    SUMIFS(MRP!$J$2:$J$221, MRP!$B$2:$B$221, $C223,  MRP!$G$2:$G$221, H$1),
    SUMIFS(MRP!$K$2:$K$221, MRP!$B$2:$B$221, $C223,  MRP!$G$2:$G$221, H$1),
    SUMIFS(MRP!$L$2:$L$221, MRP!$B$2:$B$221, $C223,  MRP!$G$2:$G$221, H$1)
)*F223</f>
        <v>23800</v>
      </c>
      <c r="I223" s="15">
        <f>SUM(
    SUMIFS(MRP!$H$2:$H$221, MRP!$B$2:$B$221, $C223, MRP!$G$2:$G$221, I$1),
    SUMIFS(MRP!$I$2:$I$221, MRP!$B$2:$B$221, $C223, MRP!$G$2:$G$221, I$1),
    SUMIFS(MRP!$J$2:$J$221, MRP!$B$2:$B$221, $C223,  MRP!$G$2:$G$221, I$1),
    SUMIFS(MRP!$K$2:$K$221, MRP!$B$2:$B$221, $C223,  MRP!$G$2:$G$221, I$1),
    SUMIFS(MRP!$L$2:$L$221, MRP!$B$2:$B$221, $C223,  MRP!$G$2:$G$221, I$1)
)*F223</f>
        <v>0</v>
      </c>
      <c r="J223" s="15">
        <f>SUM(
    SUMIFS(MRP!$H$2:$H$221, MRP!$B$2:$B$221, $C223, MRP!$G$2:$G$221, J$1),
    SUMIFS(MRP!$I$2:$I$221, MRP!$B$2:$B$221, $C223, MRP!$G$2:$G$221, J$1),
    SUMIFS(MRP!$J$2:$J$221, MRP!$B$2:$B$221, $C223,  MRP!$G$2:$G$221, J$1),
    SUMIFS(MRP!$K$2:$K$221, MRP!$B$2:$B$221, $C223,  MRP!$G$2:$G$221, J$1),
    SUMIFS(MRP!$L$2:$L$221, MRP!$B$2:$B$221, $C223,  MRP!$G$2:$G$221, J$1)
)*F223</f>
        <v>0</v>
      </c>
      <c r="K223" s="64">
        <f>SUM(
    SUMIFS(MRP!$H$2:$H$221, MRP!$B$2:$B$221, $C223, MRP!$G$2:$G$221, K$1),
    SUMIFS(MRP!$I$2:$I$221, MRP!$B$2:$B$221, $C223, MRP!$G$2:$G$221, K$1),
    SUMIFS(MRP!$J$2:$J$221, MRP!$B$2:$B$221, $C223,  MRP!$G$2:$G$221, K$1),
    SUMIFS(MRP!$K$2:$K$221, MRP!$B$2:$B$221, $C223,  MRP!$G$2:$G$221, K$1),
    SUMIFS(MRP!$L$2:$L$221, MRP!$B$2:$B$221, $C223,  MRP!$G$2:$G$221, K$1)
)*F223</f>
        <v>0</v>
      </c>
      <c r="L223" s="55" t="str">
        <f>TRIM(Tabla3[[#This Row],[CodInternoArti]])</f>
        <v>7790321020994</v>
      </c>
    </row>
    <row r="224" spans="1:12" hidden="1" x14ac:dyDescent="0.35">
      <c r="A224" s="63" t="str">
        <f>IF(ISNUMBER(_xlfn.XMATCH(Tabla3[[#This Row],[CodInternoArti]],'Tabla Articulos'!B:B)),"OK","NO ESTA")</f>
        <v>OK</v>
      </c>
      <c r="B224" s="19" t="str">
        <f>IF(ISNUMBER(_xlfn.XMATCH('Calcular necesidad'!E:E,'Necesidad por familia'!A:A)),"OK","NO ESTA")</f>
        <v>OK</v>
      </c>
      <c r="C224" s="1" t="s">
        <v>762</v>
      </c>
      <c r="D224" s="1" t="s">
        <v>357</v>
      </c>
      <c r="E224" s="1" t="str">
        <f>_xlfn.XLOOKUP(C224,'Tabla Articulos'!B:B,'Tabla Articulos'!D:D)</f>
        <v>BROCHETTE</v>
      </c>
      <c r="F224" s="1">
        <f>_xlfn.XLOOKUP(C224,'Tabla Articulos'!B:B,'Tabla Articulos'!E:E)</f>
        <v>80</v>
      </c>
      <c r="G224" s="15">
        <f>SUM(
    SUMIFS(MRP!$H$2:$H$221, MRP!$B$2:$B$221, $C224, MRP!$G$2:$G$221, G$1),
    SUMIFS(MRP!$I$2:$I$221, MRP!$B$2:$B$221, $C224, MRP!$G$2:$G$221, G$1),
    SUMIFS(MRP!$J$2:$J$221, MRP!$B$2:$B$221, $C224,  MRP!$G$2:$G$221, G$1),
    SUMIFS(MRP!$K$2:$K$221, MRP!$B$2:$B$221, $C224,  MRP!$G$2:$G$221, G$1),
    SUMIFS(MRP!$L$2:$L$221, MRP!$B$2:$B$221, $C224,  MRP!$G$2:$G$221, G$1)
)*F224</f>
        <v>0</v>
      </c>
      <c r="H224" s="15">
        <f>SUM(
    SUMIFS(MRP!$H$2:$H$221, MRP!$B$2:$B$221, $C224, MRP!$G$2:$G$221, H$1),
    SUMIFS(MRP!$I$2:$I$221, MRP!$B$2:$B$221, $C224, MRP!$G$2:$G$221, H$1),
    SUMIFS(MRP!$J$2:$J$221, MRP!$B$2:$B$221, $C224,  MRP!$G$2:$G$221, H$1),
    SUMIFS(MRP!$K$2:$K$221, MRP!$B$2:$B$221, $C224,  MRP!$G$2:$G$221, H$1),
    SUMIFS(MRP!$L$2:$L$221, MRP!$B$2:$B$221, $C224,  MRP!$G$2:$G$221, H$1)
)*F224</f>
        <v>400</v>
      </c>
      <c r="I224" s="15">
        <f>SUM(
    SUMIFS(MRP!$H$2:$H$221, MRP!$B$2:$B$221, $C224, MRP!$G$2:$G$221, I$1),
    SUMIFS(MRP!$I$2:$I$221, MRP!$B$2:$B$221, $C224, MRP!$G$2:$G$221, I$1),
    SUMIFS(MRP!$J$2:$J$221, MRP!$B$2:$B$221, $C224,  MRP!$G$2:$G$221, I$1),
    SUMIFS(MRP!$K$2:$K$221, MRP!$B$2:$B$221, $C224,  MRP!$G$2:$G$221, I$1),
    SUMIFS(MRP!$L$2:$L$221, MRP!$B$2:$B$221, $C224,  MRP!$G$2:$G$221, I$1)
)*F224</f>
        <v>0</v>
      </c>
      <c r="J224" s="15">
        <f>SUM(
    SUMIFS(MRP!$H$2:$H$221, MRP!$B$2:$B$221, $C224, MRP!$G$2:$G$221, J$1),
    SUMIFS(MRP!$I$2:$I$221, MRP!$B$2:$B$221, $C224, MRP!$G$2:$G$221, J$1),
    SUMIFS(MRP!$J$2:$J$221, MRP!$B$2:$B$221, $C224,  MRP!$G$2:$G$221, J$1),
    SUMIFS(MRP!$K$2:$K$221, MRP!$B$2:$B$221, $C224,  MRP!$G$2:$G$221, J$1),
    SUMIFS(MRP!$L$2:$L$221, MRP!$B$2:$B$221, $C224,  MRP!$G$2:$G$221, J$1)
)*F224</f>
        <v>0</v>
      </c>
      <c r="K224" s="64">
        <f>SUM(
    SUMIFS(MRP!$H$2:$H$221, MRP!$B$2:$B$221, $C224, MRP!$G$2:$G$221, K$1),
    SUMIFS(MRP!$I$2:$I$221, MRP!$B$2:$B$221, $C224, MRP!$G$2:$G$221, K$1),
    SUMIFS(MRP!$J$2:$J$221, MRP!$B$2:$B$221, $C224,  MRP!$G$2:$G$221, K$1),
    SUMIFS(MRP!$K$2:$K$221, MRP!$B$2:$B$221, $C224,  MRP!$G$2:$G$221, K$1),
    SUMIFS(MRP!$L$2:$L$221, MRP!$B$2:$B$221, $C224,  MRP!$G$2:$G$221, K$1)
)*F224</f>
        <v>0</v>
      </c>
      <c r="L224" s="55" t="str">
        <f>TRIM(Tabla3[[#This Row],[CodInternoArti]])</f>
        <v>7790321123456</v>
      </c>
    </row>
    <row r="225" spans="1:12" hidden="1" x14ac:dyDescent="0.35">
      <c r="A225" s="63" t="str">
        <f>IF(ISNUMBER(_xlfn.XMATCH(Tabla3[[#This Row],[CodInternoArti]],'Tabla Articulos'!B:B)),"OK","NO ESTA")</f>
        <v>OK</v>
      </c>
      <c r="B225" s="19" t="str">
        <f>IF(ISNUMBER(_xlfn.XMATCH('Calcular necesidad'!E:E,'Necesidad por familia'!A:A)),"OK","NO ESTA")</f>
        <v>OK</v>
      </c>
      <c r="C225" s="1" t="s">
        <v>763</v>
      </c>
      <c r="D225" s="1" t="s">
        <v>435</v>
      </c>
      <c r="E225" s="1" t="str">
        <f>_xlfn.XLOOKUP(C225,'Tabla Articulos'!B:B,'Tabla Articulos'!D:D)</f>
        <v>BASE ENSALADERA CRISTAL</v>
      </c>
      <c r="F225" s="1">
        <f>_xlfn.XLOOKUP(C225,'Tabla Articulos'!B:B,'Tabla Articulos'!E:E)</f>
        <v>25</v>
      </c>
      <c r="G225" s="15">
        <f>SUM(
    SUMIFS(MRP!$H$2:$H$221, MRP!$B$2:$B$221, $C225, MRP!$G$2:$G$221, G$1),
    SUMIFS(MRP!$I$2:$I$221, MRP!$B$2:$B$221, $C225, MRP!$G$2:$G$221, G$1),
    SUMIFS(MRP!$J$2:$J$221, MRP!$B$2:$B$221, $C225,  MRP!$G$2:$G$221, G$1),
    SUMIFS(MRP!$K$2:$K$221, MRP!$B$2:$B$221, $C225,  MRP!$G$2:$G$221, G$1),
    SUMIFS(MRP!$L$2:$L$221, MRP!$B$2:$B$221, $C225,  MRP!$G$2:$G$221, G$1)
)*F225</f>
        <v>0</v>
      </c>
      <c r="H225" s="15">
        <f>SUM(
    SUMIFS(MRP!$H$2:$H$221, MRP!$B$2:$B$221, $C225, MRP!$G$2:$G$221, H$1),
    SUMIFS(MRP!$I$2:$I$221, MRP!$B$2:$B$221, $C225, MRP!$G$2:$G$221, H$1),
    SUMIFS(MRP!$J$2:$J$221, MRP!$B$2:$B$221, $C225,  MRP!$G$2:$G$221, H$1),
    SUMIFS(MRP!$K$2:$K$221, MRP!$B$2:$B$221, $C225,  MRP!$G$2:$G$221, H$1),
    SUMIFS(MRP!$L$2:$L$221, MRP!$B$2:$B$221, $C225,  MRP!$G$2:$G$221, H$1)
)*F225</f>
        <v>50</v>
      </c>
      <c r="I225" s="15">
        <f>SUM(
    SUMIFS(MRP!$H$2:$H$221, MRP!$B$2:$B$221, $C225, MRP!$G$2:$G$221, I$1),
    SUMIFS(MRP!$I$2:$I$221, MRP!$B$2:$B$221, $C225, MRP!$G$2:$G$221, I$1),
    SUMIFS(MRP!$J$2:$J$221, MRP!$B$2:$B$221, $C225,  MRP!$G$2:$G$221, I$1),
    SUMIFS(MRP!$K$2:$K$221, MRP!$B$2:$B$221, $C225,  MRP!$G$2:$G$221, I$1),
    SUMIFS(MRP!$L$2:$L$221, MRP!$B$2:$B$221, $C225,  MRP!$G$2:$G$221, I$1)
)*F225</f>
        <v>0</v>
      </c>
      <c r="J225" s="15">
        <f>SUM(
    SUMIFS(MRP!$H$2:$H$221, MRP!$B$2:$B$221, $C225, MRP!$G$2:$G$221, J$1),
    SUMIFS(MRP!$I$2:$I$221, MRP!$B$2:$B$221, $C225, MRP!$G$2:$G$221, J$1),
    SUMIFS(MRP!$J$2:$J$221, MRP!$B$2:$B$221, $C225,  MRP!$G$2:$G$221, J$1),
    SUMIFS(MRP!$K$2:$K$221, MRP!$B$2:$B$221, $C225,  MRP!$G$2:$G$221, J$1),
    SUMIFS(MRP!$L$2:$L$221, MRP!$B$2:$B$221, $C225,  MRP!$G$2:$G$221, J$1)
)*F225</f>
        <v>0</v>
      </c>
      <c r="K225" s="64">
        <f>SUM(
    SUMIFS(MRP!$H$2:$H$221, MRP!$B$2:$B$221, $C225, MRP!$G$2:$G$221, K$1),
    SUMIFS(MRP!$I$2:$I$221, MRP!$B$2:$B$221, $C225, MRP!$G$2:$G$221, K$1),
    SUMIFS(MRP!$J$2:$J$221, MRP!$B$2:$B$221, $C225,  MRP!$G$2:$G$221, K$1),
    SUMIFS(MRP!$K$2:$K$221, MRP!$B$2:$B$221, $C225,  MRP!$G$2:$G$221, K$1),
    SUMIFS(MRP!$L$2:$L$221, MRP!$B$2:$B$221, $C225,  MRP!$G$2:$G$221, K$1)
)*F225</f>
        <v>0</v>
      </c>
      <c r="L225" s="55" t="str">
        <f>TRIM(Tabla3[[#This Row],[CodInternoArti]])</f>
        <v>7790321130875</v>
      </c>
    </row>
    <row r="226" spans="1:12" hidden="1" x14ac:dyDescent="0.35">
      <c r="A226" s="41" t="str">
        <f>IF(ISNUMBER(_xlfn.XMATCH(Tabla3[[#This Row],[CodInternoArti]],'Tabla Articulos'!B:B)),"OK","NO ESTA")</f>
        <v>OK</v>
      </c>
      <c r="B226" s="29" t="str">
        <f>IF(ISNUMBER(_xlfn.XMATCH('Calcular necesidad'!E:E,'Necesidad por familia'!A:A)),"OK","NO ESTA")</f>
        <v>OK</v>
      </c>
      <c r="C226" s="36" t="s">
        <v>764</v>
      </c>
      <c r="D226" s="36" t="s">
        <v>437</v>
      </c>
      <c r="E226" s="36" t="str">
        <f>_xlfn.XLOOKUP(C226,'Tabla Articulos'!B:B,'Tabla Articulos'!D:D)</f>
        <v>FILM PVC 45</v>
      </c>
      <c r="F226" s="36">
        <f>_xlfn.XLOOKUP(C226,'Tabla Articulos'!B:B,'Tabla Articulos'!E:E)</f>
        <v>1</v>
      </c>
      <c r="G226" s="40">
        <f>SUM(
    SUMIFS(MRP!$H$2:$H$221, MRP!$B$2:$B$221, $C226, MRP!$G$2:$G$221, G$1),
    SUMIFS(MRP!$I$2:$I$221, MRP!$B$2:$B$221, $C226, MRP!$G$2:$G$221, G$1),
    SUMIFS(MRP!$J$2:$J$221, MRP!$B$2:$B$221, $C226,  MRP!$G$2:$G$221, G$1),
    SUMIFS(MRP!$K$2:$K$221, MRP!$B$2:$B$221, $C226,  MRP!$G$2:$G$221, G$1),
    SUMIFS(MRP!$L$2:$L$221, MRP!$B$2:$B$221, $C226,  MRP!$G$2:$G$221, G$1)
)*F226</f>
        <v>0</v>
      </c>
      <c r="H226" s="40">
        <f>SUM(
    SUMIFS(MRP!$H$2:$H$221, MRP!$B$2:$B$221, $C226, MRP!$G$2:$G$221, H$1),
    SUMIFS(MRP!$I$2:$I$221, MRP!$B$2:$B$221, $C226, MRP!$G$2:$G$221, H$1),
    SUMIFS(MRP!$J$2:$J$221, MRP!$B$2:$B$221, $C226,  MRP!$G$2:$G$221, H$1),
    SUMIFS(MRP!$K$2:$K$221, MRP!$B$2:$B$221, $C226,  MRP!$G$2:$G$221, H$1),
    SUMIFS(MRP!$L$2:$L$221, MRP!$B$2:$B$221, $C226,  MRP!$G$2:$G$221, H$1)
)*F226</f>
        <v>30</v>
      </c>
      <c r="I226" s="40">
        <f>SUM(
    SUMIFS(MRP!$H$2:$H$221, MRP!$B$2:$B$221, $C226, MRP!$G$2:$G$221, I$1),
    SUMIFS(MRP!$I$2:$I$221, MRP!$B$2:$B$221, $C226, MRP!$G$2:$G$221, I$1),
    SUMIFS(MRP!$J$2:$J$221, MRP!$B$2:$B$221, $C226,  MRP!$G$2:$G$221, I$1),
    SUMIFS(MRP!$K$2:$K$221, MRP!$B$2:$B$221, $C226,  MRP!$G$2:$G$221, I$1),
    SUMIFS(MRP!$L$2:$L$221, MRP!$B$2:$B$221, $C226,  MRP!$G$2:$G$221, I$1)
)*F226</f>
        <v>0</v>
      </c>
      <c r="J226" s="40">
        <f>SUM(
    SUMIFS(MRP!$H$2:$H$221, MRP!$B$2:$B$221, $C226, MRP!$G$2:$G$221, J$1),
    SUMIFS(MRP!$I$2:$I$221, MRP!$B$2:$B$221, $C226, MRP!$G$2:$G$221, J$1),
    SUMIFS(MRP!$J$2:$J$221, MRP!$B$2:$B$221, $C226,  MRP!$G$2:$G$221, J$1),
    SUMIFS(MRP!$K$2:$K$221, MRP!$B$2:$B$221, $C226,  MRP!$G$2:$G$221, J$1),
    SUMIFS(MRP!$L$2:$L$221, MRP!$B$2:$B$221, $C226,  MRP!$G$2:$G$221, J$1)
)*F226</f>
        <v>0</v>
      </c>
      <c r="K226" s="56">
        <f>SUM(
    SUMIFS(MRP!$H$2:$H$221, MRP!$B$2:$B$221, $C226, MRP!$G$2:$G$221, K$1),
    SUMIFS(MRP!$I$2:$I$221, MRP!$B$2:$B$221, $C226, MRP!$G$2:$G$221, K$1),
    SUMIFS(MRP!$J$2:$J$221, MRP!$B$2:$B$221, $C226,  MRP!$G$2:$G$221, K$1),
    SUMIFS(MRP!$K$2:$K$221, MRP!$B$2:$B$221, $C226,  MRP!$G$2:$G$221, K$1),
    SUMIFS(MRP!$L$2:$L$221, MRP!$B$2:$B$221, $C226,  MRP!$G$2:$G$221, K$1)
)*F226</f>
        <v>0</v>
      </c>
      <c r="L226" s="55" t="str">
        <f>TRIM(Tabla3[[#This Row],[CodInternoArti]])</f>
        <v>7790042181191</v>
      </c>
    </row>
    <row r="227" spans="1:12" hidden="1" x14ac:dyDescent="0.35">
      <c r="A227" s="63" t="str">
        <f>IF(ISNUMBER(_xlfn.XMATCH(Tabla3[[#This Row],[CodInternoArti]],'Tabla Articulos'!B:B)),"OK","NO ESTA")</f>
        <v>OK</v>
      </c>
      <c r="B227" s="19" t="str">
        <f>IF(ISNUMBER(_xlfn.XMATCH('Calcular necesidad'!E:E,'Necesidad por familia'!A:A)),"OK","NO ESTA")</f>
        <v>OK</v>
      </c>
      <c r="C227" s="1" t="s">
        <v>765</v>
      </c>
      <c r="D227" s="1" t="s">
        <v>365</v>
      </c>
      <c r="E227" s="1" t="str">
        <f>_xlfn.XLOOKUP(C227,'Tabla Articulos'!B:B,'Tabla Articulos'!D:D)</f>
        <v>TAPA DEGUSTADOR</v>
      </c>
      <c r="F227" s="1">
        <f>_xlfn.XLOOKUP(C227,'Tabla Articulos'!B:B,'Tabla Articulos'!E:E)</f>
        <v>2000</v>
      </c>
      <c r="G227" s="15">
        <f>SUM(
    SUMIFS(MRP!$H$2:$H$221, MRP!$B$2:$B$221, $C227, MRP!$G$2:$G$221, G$1),
    SUMIFS(MRP!$I$2:$I$221, MRP!$B$2:$B$221, $C227, MRP!$G$2:$G$221, G$1),
    SUMIFS(MRP!$J$2:$J$221, MRP!$B$2:$B$221, $C227,  MRP!$G$2:$G$221, G$1),
    SUMIFS(MRP!$K$2:$K$221, MRP!$B$2:$B$221, $C227,  MRP!$G$2:$G$221, G$1),
    SUMIFS(MRP!$L$2:$L$221, MRP!$B$2:$B$221, $C227,  MRP!$G$2:$G$221, G$1)
)*F227</f>
        <v>0</v>
      </c>
      <c r="H227" s="15">
        <f>SUM(
    SUMIFS(MRP!$H$2:$H$221, MRP!$B$2:$B$221, $C227, MRP!$G$2:$G$221, H$1),
    SUMIFS(MRP!$I$2:$I$221, MRP!$B$2:$B$221, $C227, MRP!$G$2:$G$221, H$1),
    SUMIFS(MRP!$J$2:$J$221, MRP!$B$2:$B$221, $C227,  MRP!$G$2:$G$221, H$1),
    SUMIFS(MRP!$K$2:$K$221, MRP!$B$2:$B$221, $C227,  MRP!$G$2:$G$221, H$1),
    SUMIFS(MRP!$L$2:$L$221, MRP!$B$2:$B$221, $C227,  MRP!$G$2:$G$221, H$1)
)*F227</f>
        <v>4000</v>
      </c>
      <c r="I227" s="15">
        <f>SUM(
    SUMIFS(MRP!$H$2:$H$221, MRP!$B$2:$B$221, $C227, MRP!$G$2:$G$221, I$1),
    SUMIFS(MRP!$I$2:$I$221, MRP!$B$2:$B$221, $C227, MRP!$G$2:$G$221, I$1),
    SUMIFS(MRP!$J$2:$J$221, MRP!$B$2:$B$221, $C227,  MRP!$G$2:$G$221, I$1),
    SUMIFS(MRP!$K$2:$K$221, MRP!$B$2:$B$221, $C227,  MRP!$G$2:$G$221, I$1),
    SUMIFS(MRP!$L$2:$L$221, MRP!$B$2:$B$221, $C227,  MRP!$G$2:$G$221, I$1)
)*F227</f>
        <v>0</v>
      </c>
      <c r="J227" s="15">
        <f>SUM(
    SUMIFS(MRP!$H$2:$H$221, MRP!$B$2:$B$221, $C227, MRP!$G$2:$G$221, J$1),
    SUMIFS(MRP!$I$2:$I$221, MRP!$B$2:$B$221, $C227, MRP!$G$2:$G$221, J$1),
    SUMIFS(MRP!$J$2:$J$221, MRP!$B$2:$B$221, $C227,  MRP!$G$2:$G$221, J$1),
    SUMIFS(MRP!$K$2:$K$221, MRP!$B$2:$B$221, $C227,  MRP!$G$2:$G$221, J$1),
    SUMIFS(MRP!$L$2:$L$221, MRP!$B$2:$B$221, $C227,  MRP!$G$2:$G$221, J$1)
)*F227</f>
        <v>0</v>
      </c>
      <c r="K227" s="64">
        <f>SUM(
    SUMIFS(MRP!$H$2:$H$221, MRP!$B$2:$B$221, $C227, MRP!$G$2:$G$221, K$1),
    SUMIFS(MRP!$I$2:$I$221, MRP!$B$2:$B$221, $C227, MRP!$G$2:$G$221, K$1),
    SUMIFS(MRP!$J$2:$J$221, MRP!$B$2:$B$221, $C227,  MRP!$G$2:$G$221, K$1),
    SUMIFS(MRP!$K$2:$K$221, MRP!$B$2:$B$221, $C227,  MRP!$G$2:$G$221, K$1),
    SUMIFS(MRP!$L$2:$L$221, MRP!$B$2:$B$221, $C227,  MRP!$G$2:$G$221, K$1)
)*F227</f>
        <v>0</v>
      </c>
      <c r="L227" s="55" t="str">
        <f>TRIM(Tabla3[[#This Row],[CodInternoArti]])</f>
        <v>7790231050180</v>
      </c>
    </row>
    <row r="228" spans="1:12" hidden="1" x14ac:dyDescent="0.35">
      <c r="A228" s="63" t="str">
        <f>IF(ISNUMBER(_xlfn.XMATCH(Tabla3[[#This Row],[CodInternoArti]],'Tabla Articulos'!B:B)),"OK","NO ESTA")</f>
        <v>OK</v>
      </c>
      <c r="B228" s="19" t="str">
        <f>IF(ISNUMBER(_xlfn.XMATCH('Calcular necesidad'!E:E,'Necesidad por familia'!A:A)),"OK","NO ESTA")</f>
        <v>OK</v>
      </c>
      <c r="C228" s="1" t="s">
        <v>766</v>
      </c>
      <c r="D228" s="1" t="s">
        <v>451</v>
      </c>
      <c r="E228" s="1" t="str">
        <f>_xlfn.XLOOKUP(C228,'Tabla Articulos'!B:B,'Tabla Articulos'!D:D)</f>
        <v>ROLLO ALUMINIO 40</v>
      </c>
      <c r="F228" s="1">
        <f>_xlfn.XLOOKUP(C228,'Tabla Articulos'!B:B,'Tabla Articulos'!E:E)</f>
        <v>1</v>
      </c>
      <c r="G228" s="15">
        <f>SUM(
    SUMIFS(MRP!$H$2:$H$221, MRP!$B$2:$B$221, $C228, MRP!$G$2:$G$221, G$1),
    SUMIFS(MRP!$I$2:$I$221, MRP!$B$2:$B$221, $C228, MRP!$G$2:$G$221, G$1),
    SUMIFS(MRP!$J$2:$J$221, MRP!$B$2:$B$221, $C228,  MRP!$G$2:$G$221, G$1),
    SUMIFS(MRP!$K$2:$K$221, MRP!$B$2:$B$221, $C228,  MRP!$G$2:$G$221, G$1),
    SUMIFS(MRP!$L$2:$L$221, MRP!$B$2:$B$221, $C228,  MRP!$G$2:$G$221, G$1)
)*F228</f>
        <v>0</v>
      </c>
      <c r="H228" s="15">
        <f>SUM(
    SUMIFS(MRP!$H$2:$H$221, MRP!$B$2:$B$221, $C228, MRP!$G$2:$G$221, H$1),
    SUMIFS(MRP!$I$2:$I$221, MRP!$B$2:$B$221, $C228, MRP!$G$2:$G$221, H$1),
    SUMIFS(MRP!$J$2:$J$221, MRP!$B$2:$B$221, $C228,  MRP!$G$2:$G$221, H$1),
    SUMIFS(MRP!$K$2:$K$221, MRP!$B$2:$B$221, $C228,  MRP!$G$2:$G$221, H$1),
    SUMIFS(MRP!$L$2:$L$221, MRP!$B$2:$B$221, $C228,  MRP!$G$2:$G$221, H$1)
)*F228</f>
        <v>20</v>
      </c>
      <c r="I228" s="15">
        <f>SUM(
    SUMIFS(MRP!$H$2:$H$221, MRP!$B$2:$B$221, $C228, MRP!$G$2:$G$221, I$1),
    SUMIFS(MRP!$I$2:$I$221, MRP!$B$2:$B$221, $C228, MRP!$G$2:$G$221, I$1),
    SUMIFS(MRP!$J$2:$J$221, MRP!$B$2:$B$221, $C228,  MRP!$G$2:$G$221, I$1),
    SUMIFS(MRP!$K$2:$K$221, MRP!$B$2:$B$221, $C228,  MRP!$G$2:$G$221, I$1),
    SUMIFS(MRP!$L$2:$L$221, MRP!$B$2:$B$221, $C228,  MRP!$G$2:$G$221, I$1)
)*F228</f>
        <v>0</v>
      </c>
      <c r="J228" s="15">
        <f>SUM(
    SUMIFS(MRP!$H$2:$H$221, MRP!$B$2:$B$221, $C228, MRP!$G$2:$G$221, J$1),
    SUMIFS(MRP!$I$2:$I$221, MRP!$B$2:$B$221, $C228, MRP!$G$2:$G$221, J$1),
    SUMIFS(MRP!$J$2:$J$221, MRP!$B$2:$B$221, $C228,  MRP!$G$2:$G$221, J$1),
    SUMIFS(MRP!$K$2:$K$221, MRP!$B$2:$B$221, $C228,  MRP!$G$2:$G$221, J$1),
    SUMIFS(MRP!$L$2:$L$221, MRP!$B$2:$B$221, $C228,  MRP!$G$2:$G$221, J$1)
)*F228</f>
        <v>0</v>
      </c>
      <c r="K228" s="64">
        <f>SUM(
    SUMIFS(MRP!$H$2:$H$221, MRP!$B$2:$B$221, $C228, MRP!$G$2:$G$221, K$1),
    SUMIFS(MRP!$I$2:$I$221, MRP!$B$2:$B$221, $C228, MRP!$G$2:$G$221, K$1),
    SUMIFS(MRP!$J$2:$J$221, MRP!$B$2:$B$221, $C228,  MRP!$G$2:$G$221, K$1),
    SUMIFS(MRP!$K$2:$K$221, MRP!$B$2:$B$221, $C228,  MRP!$G$2:$G$221, K$1),
    SUMIFS(MRP!$L$2:$L$221, MRP!$B$2:$B$221, $C228,  MRP!$G$2:$G$221, K$1)
)*F228</f>
        <v>0</v>
      </c>
      <c r="L228" s="55" t="str">
        <f>TRIM(Tabla3[[#This Row],[CodInternoArti]])</f>
        <v>7791388988495</v>
      </c>
    </row>
    <row r="229" spans="1:12" hidden="1" x14ac:dyDescent="0.35">
      <c r="A229" s="63" t="str">
        <f>IF(ISNUMBER(_xlfn.XMATCH(Tabla3[[#This Row],[CodInternoArti]],'Tabla Articulos'!B:B)),"OK","NO ESTA")</f>
        <v>OK</v>
      </c>
      <c r="B229" s="19" t="str">
        <f>IF(ISNUMBER(_xlfn.XMATCH('Calcular necesidad'!E:E,'Necesidad por familia'!A:A)),"OK","NO ESTA")</f>
        <v>OK</v>
      </c>
      <c r="C229" s="1" t="s">
        <v>767</v>
      </c>
      <c r="D229" s="1" t="s">
        <v>423</v>
      </c>
      <c r="E229" s="1" t="str">
        <f>_xlfn.XLOOKUP(C229,'Tabla Articulos'!B:B,'Tabla Articulos'!D:D)</f>
        <v>BANDEJA 101</v>
      </c>
      <c r="F229" s="1">
        <f>_xlfn.XLOOKUP(C229,'Tabla Articulos'!B:B,'Tabla Articulos'!E:E)</f>
        <v>200</v>
      </c>
      <c r="G229" s="15">
        <f>SUM(
    SUMIFS(MRP!$H$2:$H$221, MRP!$B$2:$B$221, $C229, MRP!$G$2:$G$221, G$1),
    SUMIFS(MRP!$I$2:$I$221, MRP!$B$2:$B$221, $C229, MRP!$G$2:$G$221, G$1),
    SUMIFS(MRP!$J$2:$J$221, MRP!$B$2:$B$221, $C229,  MRP!$G$2:$G$221, G$1),
    SUMIFS(MRP!$K$2:$K$221, MRP!$B$2:$B$221, $C229,  MRP!$G$2:$G$221, G$1),
    SUMIFS(MRP!$L$2:$L$221, MRP!$B$2:$B$221, $C229,  MRP!$G$2:$G$221, G$1)
)*F229</f>
        <v>0</v>
      </c>
      <c r="H229" s="15">
        <f>SUM(
    SUMIFS(MRP!$H$2:$H$221, MRP!$B$2:$B$221, $C229, MRP!$G$2:$G$221, H$1),
    SUMIFS(MRP!$I$2:$I$221, MRP!$B$2:$B$221, $C229, MRP!$G$2:$G$221, H$1),
    SUMIFS(MRP!$J$2:$J$221, MRP!$B$2:$B$221, $C229,  MRP!$G$2:$G$221, H$1),
    SUMIFS(MRP!$K$2:$K$221, MRP!$B$2:$B$221, $C229,  MRP!$G$2:$G$221, H$1),
    SUMIFS(MRP!$L$2:$L$221, MRP!$B$2:$B$221, $C229,  MRP!$G$2:$G$221, H$1)
)*F229</f>
        <v>1400</v>
      </c>
      <c r="I229" s="15">
        <f>SUM(
    SUMIFS(MRP!$H$2:$H$221, MRP!$B$2:$B$221, $C229, MRP!$G$2:$G$221, I$1),
    SUMIFS(MRP!$I$2:$I$221, MRP!$B$2:$B$221, $C229, MRP!$G$2:$G$221, I$1),
    SUMIFS(MRP!$J$2:$J$221, MRP!$B$2:$B$221, $C229,  MRP!$G$2:$G$221, I$1),
    SUMIFS(MRP!$K$2:$K$221, MRP!$B$2:$B$221, $C229,  MRP!$G$2:$G$221, I$1),
    SUMIFS(MRP!$L$2:$L$221, MRP!$B$2:$B$221, $C229,  MRP!$G$2:$G$221, I$1)
)*F229</f>
        <v>0</v>
      </c>
      <c r="J229" s="15">
        <f>SUM(
    SUMIFS(MRP!$H$2:$H$221, MRP!$B$2:$B$221, $C229, MRP!$G$2:$G$221, J$1),
    SUMIFS(MRP!$I$2:$I$221, MRP!$B$2:$B$221, $C229, MRP!$G$2:$G$221, J$1),
    SUMIFS(MRP!$J$2:$J$221, MRP!$B$2:$B$221, $C229,  MRP!$G$2:$G$221, J$1),
    SUMIFS(MRP!$K$2:$K$221, MRP!$B$2:$B$221, $C229,  MRP!$G$2:$G$221, J$1),
    SUMIFS(MRP!$L$2:$L$221, MRP!$B$2:$B$221, $C229,  MRP!$G$2:$G$221, J$1)
)*F229</f>
        <v>0</v>
      </c>
      <c r="K229" s="64">
        <f>SUM(
    SUMIFS(MRP!$H$2:$H$221, MRP!$B$2:$B$221, $C229, MRP!$G$2:$G$221, K$1),
    SUMIFS(MRP!$I$2:$I$221, MRP!$B$2:$B$221, $C229, MRP!$G$2:$G$221, K$1),
    SUMIFS(MRP!$J$2:$J$221, MRP!$B$2:$B$221, $C229,  MRP!$G$2:$G$221, K$1),
    SUMIFS(MRP!$K$2:$K$221, MRP!$B$2:$B$221, $C229,  MRP!$G$2:$G$221, K$1),
    SUMIFS(MRP!$L$2:$L$221, MRP!$B$2:$B$221, $C229,  MRP!$G$2:$G$221, K$1)
)*F229</f>
        <v>0</v>
      </c>
      <c r="L229" s="55" t="str">
        <f>TRIM(Tabla3[[#This Row],[CodInternoArti]])</f>
        <v>7790321020289</v>
      </c>
    </row>
    <row r="230" spans="1:12" hidden="1" x14ac:dyDescent="0.35">
      <c r="A230" s="63" t="str">
        <f>IF(ISNUMBER(_xlfn.XMATCH(Tabla3[[#This Row],[CodInternoArti]],'Tabla Articulos'!B:B)),"OK","NO ESTA")</f>
        <v>OK</v>
      </c>
      <c r="B230" s="19" t="str">
        <f>IF(ISNUMBER(_xlfn.XMATCH('Calcular necesidad'!E:E,'Necesidad por familia'!A:A)),"OK","NO ESTA")</f>
        <v>OK</v>
      </c>
      <c r="C230" s="1" t="s">
        <v>768</v>
      </c>
      <c r="D230" s="1" t="s">
        <v>427</v>
      </c>
      <c r="E230" s="1" t="str">
        <f>_xlfn.XLOOKUP(C230,'Tabla Articulos'!B:B,'Tabla Articulos'!D:D)</f>
        <v>BANDEJA 101</v>
      </c>
      <c r="F230" s="1">
        <f>_xlfn.XLOOKUP(C230,'Tabla Articulos'!B:B,'Tabla Articulos'!E:E)</f>
        <v>100</v>
      </c>
      <c r="G230" s="15">
        <f>SUM(
    SUMIFS(MRP!$H$2:$H$221, MRP!$B$2:$B$221, $C230, MRP!$G$2:$G$221, G$1),
    SUMIFS(MRP!$I$2:$I$221, MRP!$B$2:$B$221, $C230, MRP!$G$2:$G$221, G$1),
    SUMIFS(MRP!$J$2:$J$221, MRP!$B$2:$B$221, $C230,  MRP!$G$2:$G$221, G$1),
    SUMIFS(MRP!$K$2:$K$221, MRP!$B$2:$B$221, $C230,  MRP!$G$2:$G$221, G$1),
    SUMIFS(MRP!$L$2:$L$221, MRP!$B$2:$B$221, $C230,  MRP!$G$2:$G$221, G$1)
)*F230</f>
        <v>0</v>
      </c>
      <c r="H230" s="15">
        <f>SUM(
    SUMIFS(MRP!$H$2:$H$221, MRP!$B$2:$B$221, $C230, MRP!$G$2:$G$221, H$1),
    SUMIFS(MRP!$I$2:$I$221, MRP!$B$2:$B$221, $C230, MRP!$G$2:$G$221, H$1),
    SUMIFS(MRP!$J$2:$J$221, MRP!$B$2:$B$221, $C230,  MRP!$G$2:$G$221, H$1),
    SUMIFS(MRP!$K$2:$K$221, MRP!$B$2:$B$221, $C230,  MRP!$G$2:$G$221, H$1),
    SUMIFS(MRP!$L$2:$L$221, MRP!$B$2:$B$221, $C230,  MRP!$G$2:$G$221, H$1)
)*F230</f>
        <v>17500</v>
      </c>
      <c r="I230" s="15">
        <f>SUM(
    SUMIFS(MRP!$H$2:$H$221, MRP!$B$2:$B$221, $C230, MRP!$G$2:$G$221, I$1),
    SUMIFS(MRP!$I$2:$I$221, MRP!$B$2:$B$221, $C230, MRP!$G$2:$G$221, I$1),
    SUMIFS(MRP!$J$2:$J$221, MRP!$B$2:$B$221, $C230,  MRP!$G$2:$G$221, I$1),
    SUMIFS(MRP!$K$2:$K$221, MRP!$B$2:$B$221, $C230,  MRP!$G$2:$G$221, I$1),
    SUMIFS(MRP!$L$2:$L$221, MRP!$B$2:$B$221, $C230,  MRP!$G$2:$G$221, I$1)
)*F230</f>
        <v>0</v>
      </c>
      <c r="J230" s="15">
        <f>SUM(
    SUMIFS(MRP!$H$2:$H$221, MRP!$B$2:$B$221, $C230, MRP!$G$2:$G$221, J$1),
    SUMIFS(MRP!$I$2:$I$221, MRP!$B$2:$B$221, $C230, MRP!$G$2:$G$221, J$1),
    SUMIFS(MRP!$J$2:$J$221, MRP!$B$2:$B$221, $C230,  MRP!$G$2:$G$221, J$1),
    SUMIFS(MRP!$K$2:$K$221, MRP!$B$2:$B$221, $C230,  MRP!$G$2:$G$221, J$1),
    SUMIFS(MRP!$L$2:$L$221, MRP!$B$2:$B$221, $C230,  MRP!$G$2:$G$221, J$1)
)*F230</f>
        <v>0</v>
      </c>
      <c r="K230" s="64">
        <f>SUM(
    SUMIFS(MRP!$H$2:$H$221, MRP!$B$2:$B$221, $C230, MRP!$G$2:$G$221, K$1),
    SUMIFS(MRP!$I$2:$I$221, MRP!$B$2:$B$221, $C230, MRP!$G$2:$G$221, K$1),
    SUMIFS(MRP!$J$2:$J$221, MRP!$B$2:$B$221, $C230,  MRP!$G$2:$G$221, K$1),
    SUMIFS(MRP!$K$2:$K$221, MRP!$B$2:$B$221, $C230,  MRP!$G$2:$G$221, K$1),
    SUMIFS(MRP!$L$2:$L$221, MRP!$B$2:$B$221, $C230,  MRP!$G$2:$G$221, K$1)
)*F230</f>
        <v>0</v>
      </c>
      <c r="L230" s="55" t="str">
        <f>TRIM(Tabla3[[#This Row],[CodInternoArti]])</f>
        <v>7790321020283</v>
      </c>
    </row>
    <row r="231" spans="1:12" hidden="1" x14ac:dyDescent="0.35">
      <c r="A231" s="63" t="str">
        <f>IF(ISNUMBER(_xlfn.XMATCH(Tabla3[[#This Row],[CodInternoArti]],'Tabla Articulos'!B:B)),"OK","NO ESTA")</f>
        <v>OK</v>
      </c>
      <c r="B231" s="19" t="str">
        <f>IF(ISNUMBER(_xlfn.XMATCH('Calcular necesidad'!E:E,'Necesidad por familia'!A:A)),"OK","NO ESTA")</f>
        <v>OK</v>
      </c>
      <c r="C231" s="1" t="s">
        <v>769</v>
      </c>
      <c r="D231" s="1" t="s">
        <v>376</v>
      </c>
      <c r="E231" s="1" t="str">
        <f>_xlfn.XLOOKUP(C231,'Tabla Articulos'!B:B,'Tabla Articulos'!D:D)</f>
        <v>INDIVIDUAL NUTRIRE</v>
      </c>
      <c r="F231" s="1">
        <f>_xlfn.XLOOKUP(C231,'Tabla Articulos'!B:B,'Tabla Articulos'!E:E)</f>
        <v>1000</v>
      </c>
      <c r="G231" s="15">
        <f>SUM(
    SUMIFS(MRP!$H$2:$H$221, MRP!$B$2:$B$221, $C231, MRP!$G$2:$G$221, G$1),
    SUMIFS(MRP!$I$2:$I$221, MRP!$B$2:$B$221, $C231, MRP!$G$2:$G$221, G$1),
    SUMIFS(MRP!$J$2:$J$221, MRP!$B$2:$B$221, $C231,  MRP!$G$2:$G$221, G$1),
    SUMIFS(MRP!$K$2:$K$221, MRP!$B$2:$B$221, $C231,  MRP!$G$2:$G$221, G$1),
    SUMIFS(MRP!$L$2:$L$221, MRP!$B$2:$B$221, $C231,  MRP!$G$2:$G$221, G$1)
)*F231</f>
        <v>0</v>
      </c>
      <c r="H231" s="15">
        <f>SUM(
    SUMIFS(MRP!$H$2:$H$221, MRP!$B$2:$B$221, $C231, MRP!$G$2:$G$221, H$1),
    SUMIFS(MRP!$I$2:$I$221, MRP!$B$2:$B$221, $C231, MRP!$G$2:$G$221, H$1),
    SUMIFS(MRP!$J$2:$J$221, MRP!$B$2:$B$221, $C231,  MRP!$G$2:$G$221, H$1),
    SUMIFS(MRP!$K$2:$K$221, MRP!$B$2:$B$221, $C231,  MRP!$G$2:$G$221, H$1),
    SUMIFS(MRP!$L$2:$L$221, MRP!$B$2:$B$221, $C231,  MRP!$G$2:$G$221, H$1)
)*F231</f>
        <v>10000</v>
      </c>
      <c r="I231" s="15">
        <f>SUM(
    SUMIFS(MRP!$H$2:$H$221, MRP!$B$2:$B$221, $C231, MRP!$G$2:$G$221, I$1),
    SUMIFS(MRP!$I$2:$I$221, MRP!$B$2:$B$221, $C231, MRP!$G$2:$G$221, I$1),
    SUMIFS(MRP!$J$2:$J$221, MRP!$B$2:$B$221, $C231,  MRP!$G$2:$G$221, I$1),
    SUMIFS(MRP!$K$2:$K$221, MRP!$B$2:$B$221, $C231,  MRP!$G$2:$G$221, I$1),
    SUMIFS(MRP!$L$2:$L$221, MRP!$B$2:$B$221, $C231,  MRP!$G$2:$G$221, I$1)
)*F231</f>
        <v>0</v>
      </c>
      <c r="J231" s="15">
        <f>SUM(
    SUMIFS(MRP!$H$2:$H$221, MRP!$B$2:$B$221, $C231, MRP!$G$2:$G$221, J$1),
    SUMIFS(MRP!$I$2:$I$221, MRP!$B$2:$B$221, $C231, MRP!$G$2:$G$221, J$1),
    SUMIFS(MRP!$J$2:$J$221, MRP!$B$2:$B$221, $C231,  MRP!$G$2:$G$221, J$1),
    SUMIFS(MRP!$K$2:$K$221, MRP!$B$2:$B$221, $C231,  MRP!$G$2:$G$221, J$1),
    SUMIFS(MRP!$L$2:$L$221, MRP!$B$2:$B$221, $C231,  MRP!$G$2:$G$221, J$1)
)*F231</f>
        <v>0</v>
      </c>
      <c r="K231" s="64">
        <f>SUM(
    SUMIFS(MRP!$H$2:$H$221, MRP!$B$2:$B$221, $C231, MRP!$G$2:$G$221, K$1),
    SUMIFS(MRP!$I$2:$I$221, MRP!$B$2:$B$221, $C231, MRP!$G$2:$G$221, K$1),
    SUMIFS(MRP!$J$2:$J$221, MRP!$B$2:$B$221, $C231,  MRP!$G$2:$G$221, K$1),
    SUMIFS(MRP!$K$2:$K$221, MRP!$B$2:$B$221, $C231,  MRP!$G$2:$G$221, K$1),
    SUMIFS(MRP!$L$2:$L$221, MRP!$B$2:$B$221, $C231,  MRP!$G$2:$G$221, K$1)
)*F231</f>
        <v>0</v>
      </c>
      <c r="L231" s="55" t="str">
        <f>TRIM(Tabla3[[#This Row],[CodInternoArti]])</f>
        <v>7790321020530</v>
      </c>
    </row>
    <row r="232" spans="1:12" hidden="1" x14ac:dyDescent="0.35">
      <c r="A232" s="63" t="str">
        <f>IF(ISNUMBER(_xlfn.XMATCH(Tabla3[[#This Row],[CodInternoArti]],'Tabla Articulos'!B:B)),"OK","NO ESTA")</f>
        <v>OK</v>
      </c>
      <c r="B232" s="19" t="str">
        <f>IF(ISNUMBER(_xlfn.XMATCH('Calcular necesidad'!E:E,'Necesidad por familia'!A:A)),"OK","NO ESTA")</f>
        <v>OK</v>
      </c>
      <c r="C232" s="1" t="s">
        <v>770</v>
      </c>
      <c r="D232" s="1" t="s">
        <v>383</v>
      </c>
      <c r="E232" s="1" t="str">
        <f>_xlfn.XLOOKUP(C232,'Tabla Articulos'!B:B,'Tabla Articulos'!D:D)</f>
        <v>TAPA 102</v>
      </c>
      <c r="F232" s="1">
        <f>_xlfn.XLOOKUP(C232,'Tabla Articulos'!B:B,'Tabla Articulos'!E:E)</f>
        <v>100</v>
      </c>
      <c r="G232" s="15">
        <f>SUM(
    SUMIFS(MRP!$H$2:$H$221, MRP!$B$2:$B$221, $C232, MRP!$G$2:$G$221, G$1),
    SUMIFS(MRP!$I$2:$I$221, MRP!$B$2:$B$221, $C232, MRP!$G$2:$G$221, G$1),
    SUMIFS(MRP!$J$2:$J$221, MRP!$B$2:$B$221, $C232,  MRP!$G$2:$G$221, G$1),
    SUMIFS(MRP!$K$2:$K$221, MRP!$B$2:$B$221, $C232,  MRP!$G$2:$G$221, G$1),
    SUMIFS(MRP!$L$2:$L$221, MRP!$B$2:$B$221, $C232,  MRP!$G$2:$G$221, G$1)
)*F232</f>
        <v>0</v>
      </c>
      <c r="H232" s="15">
        <f>SUM(
    SUMIFS(MRP!$H$2:$H$221, MRP!$B$2:$B$221, $C232, MRP!$G$2:$G$221, H$1),
    SUMIFS(MRP!$I$2:$I$221, MRP!$B$2:$B$221, $C232, MRP!$G$2:$G$221, H$1),
    SUMIFS(MRP!$J$2:$J$221, MRP!$B$2:$B$221, $C232,  MRP!$G$2:$G$221, H$1),
    SUMIFS(MRP!$K$2:$K$221, MRP!$B$2:$B$221, $C232,  MRP!$G$2:$G$221, H$1),
    SUMIFS(MRP!$L$2:$L$221, MRP!$B$2:$B$221, $C232,  MRP!$G$2:$G$221, H$1)
)*F232</f>
        <v>14900</v>
      </c>
      <c r="I232" s="15">
        <f>SUM(
    SUMIFS(MRP!$H$2:$H$221, MRP!$B$2:$B$221, $C232, MRP!$G$2:$G$221, I$1),
    SUMIFS(MRP!$I$2:$I$221, MRP!$B$2:$B$221, $C232, MRP!$G$2:$G$221, I$1),
    SUMIFS(MRP!$J$2:$J$221, MRP!$B$2:$B$221, $C232,  MRP!$G$2:$G$221, I$1),
    SUMIFS(MRP!$K$2:$K$221, MRP!$B$2:$B$221, $C232,  MRP!$G$2:$G$221, I$1),
    SUMIFS(MRP!$L$2:$L$221, MRP!$B$2:$B$221, $C232,  MRP!$G$2:$G$221, I$1)
)*F232</f>
        <v>0</v>
      </c>
      <c r="J232" s="15">
        <f>SUM(
    SUMIFS(MRP!$H$2:$H$221, MRP!$B$2:$B$221, $C232, MRP!$G$2:$G$221, J$1),
    SUMIFS(MRP!$I$2:$I$221, MRP!$B$2:$B$221, $C232, MRP!$G$2:$G$221, J$1),
    SUMIFS(MRP!$J$2:$J$221, MRP!$B$2:$B$221, $C232,  MRP!$G$2:$G$221, J$1),
    SUMIFS(MRP!$K$2:$K$221, MRP!$B$2:$B$221, $C232,  MRP!$G$2:$G$221, J$1),
    SUMIFS(MRP!$L$2:$L$221, MRP!$B$2:$B$221, $C232,  MRP!$G$2:$G$221, J$1)
)*F232</f>
        <v>0</v>
      </c>
      <c r="K232" s="64">
        <f>SUM(
    SUMIFS(MRP!$H$2:$H$221, MRP!$B$2:$B$221, $C232, MRP!$G$2:$G$221, K$1),
    SUMIFS(MRP!$I$2:$I$221, MRP!$B$2:$B$221, $C232, MRP!$G$2:$G$221, K$1),
    SUMIFS(MRP!$J$2:$J$221, MRP!$B$2:$B$221, $C232,  MRP!$G$2:$G$221, K$1),
    SUMIFS(MRP!$K$2:$K$221, MRP!$B$2:$B$221, $C232,  MRP!$G$2:$G$221, K$1),
    SUMIFS(MRP!$L$2:$L$221, MRP!$B$2:$B$221, $C232,  MRP!$G$2:$G$221, K$1)
)*F232</f>
        <v>0</v>
      </c>
      <c r="L232" s="55" t="str">
        <f>TRIM(Tabla3[[#This Row],[CodInternoArti]])</f>
        <v>7790321020288</v>
      </c>
    </row>
    <row r="233" spans="1:12" hidden="1" x14ac:dyDescent="0.35">
      <c r="A233" s="63" t="str">
        <f>IF(ISNUMBER(_xlfn.XMATCH(Tabla3[[#This Row],[CodInternoArti]],'Tabla Articulos'!B:B)),"OK","NO ESTA")</f>
        <v>OK</v>
      </c>
      <c r="B233" s="19" t="str">
        <f>IF(ISNUMBER(_xlfn.XMATCH('Calcular necesidad'!E:E,'Necesidad por familia'!A:A)),"OK","NO ESTA")</f>
        <v>OK</v>
      </c>
      <c r="C233" s="1" t="s">
        <v>771</v>
      </c>
      <c r="D233" s="1" t="s">
        <v>384</v>
      </c>
      <c r="E233" s="1" t="str">
        <f>_xlfn.XLOOKUP(C233,'Tabla Articulos'!B:B,'Tabla Articulos'!D:D)</f>
        <v>SERVILLETA 18x18 BLUE</v>
      </c>
      <c r="F233" s="1">
        <f>_xlfn.XLOOKUP(C233,'Tabla Articulos'!B:B,'Tabla Articulos'!E:E)</f>
        <v>2000</v>
      </c>
      <c r="G233" s="15">
        <f>SUM(
    SUMIFS(MRP!$H$2:$H$221, MRP!$B$2:$B$221, $C233, MRP!$G$2:$G$221, G$1),
    SUMIFS(MRP!$I$2:$I$221, MRP!$B$2:$B$221, $C233, MRP!$G$2:$G$221, G$1),
    SUMIFS(MRP!$J$2:$J$221, MRP!$B$2:$B$221, $C233,  MRP!$G$2:$G$221, G$1),
    SUMIFS(MRP!$K$2:$K$221, MRP!$B$2:$B$221, $C233,  MRP!$G$2:$G$221, G$1),
    SUMIFS(MRP!$L$2:$L$221, MRP!$B$2:$B$221, $C233,  MRP!$G$2:$G$221, G$1)
)*F233</f>
        <v>0</v>
      </c>
      <c r="H233" s="15">
        <f>SUM(
    SUMIFS(MRP!$H$2:$H$221, MRP!$B$2:$B$221, $C233, MRP!$G$2:$G$221, H$1),
    SUMIFS(MRP!$I$2:$I$221, MRP!$B$2:$B$221, $C233, MRP!$G$2:$G$221, H$1),
    SUMIFS(MRP!$J$2:$J$221, MRP!$B$2:$B$221, $C233,  MRP!$G$2:$G$221, H$1),
    SUMIFS(MRP!$K$2:$K$221, MRP!$B$2:$B$221, $C233,  MRP!$G$2:$G$221, H$1),
    SUMIFS(MRP!$L$2:$L$221, MRP!$B$2:$B$221, $C233,  MRP!$G$2:$G$221, H$1)
)*F233</f>
        <v>162000</v>
      </c>
      <c r="I233" s="15">
        <f>SUM(
    SUMIFS(MRP!$H$2:$H$221, MRP!$B$2:$B$221, $C233, MRP!$G$2:$G$221, I$1),
    SUMIFS(MRP!$I$2:$I$221, MRP!$B$2:$B$221, $C233, MRP!$G$2:$G$221, I$1),
    SUMIFS(MRP!$J$2:$J$221, MRP!$B$2:$B$221, $C233,  MRP!$G$2:$G$221, I$1),
    SUMIFS(MRP!$K$2:$K$221, MRP!$B$2:$B$221, $C233,  MRP!$G$2:$G$221, I$1),
    SUMIFS(MRP!$L$2:$L$221, MRP!$B$2:$B$221, $C233,  MRP!$G$2:$G$221, I$1)
)*F233</f>
        <v>0</v>
      </c>
      <c r="J233" s="15">
        <f>SUM(
    SUMIFS(MRP!$H$2:$H$221, MRP!$B$2:$B$221, $C233, MRP!$G$2:$G$221, J$1),
    SUMIFS(MRP!$I$2:$I$221, MRP!$B$2:$B$221, $C233, MRP!$G$2:$G$221, J$1),
    SUMIFS(MRP!$J$2:$J$221, MRP!$B$2:$B$221, $C233,  MRP!$G$2:$G$221, J$1),
    SUMIFS(MRP!$K$2:$K$221, MRP!$B$2:$B$221, $C233,  MRP!$G$2:$G$221, J$1),
    SUMIFS(MRP!$L$2:$L$221, MRP!$B$2:$B$221, $C233,  MRP!$G$2:$G$221, J$1)
)*F233</f>
        <v>0</v>
      </c>
      <c r="K233" s="64">
        <f>SUM(
    SUMIFS(MRP!$H$2:$H$221, MRP!$B$2:$B$221, $C233, MRP!$G$2:$G$221, K$1),
    SUMIFS(MRP!$I$2:$I$221, MRP!$B$2:$B$221, $C233, MRP!$G$2:$G$221, K$1),
    SUMIFS(MRP!$J$2:$J$221, MRP!$B$2:$B$221, $C233,  MRP!$G$2:$G$221, K$1),
    SUMIFS(MRP!$K$2:$K$221, MRP!$B$2:$B$221, $C233,  MRP!$G$2:$G$221, K$1),
    SUMIFS(MRP!$L$2:$L$221, MRP!$B$2:$B$221, $C233,  MRP!$G$2:$G$221, K$1)
)*F233</f>
        <v>0</v>
      </c>
      <c r="L233" s="55" t="str">
        <f>TRIM(Tabla3[[#This Row],[CodInternoArti]])</f>
        <v>7790321284502</v>
      </c>
    </row>
    <row r="234" spans="1:12" hidden="1" x14ac:dyDescent="0.35">
      <c r="A234" s="63" t="str">
        <f>IF(ISNUMBER(_xlfn.XMATCH(Tabla3[[#This Row],[CodInternoArti]],'Tabla Articulos'!B:B)),"OK","NO ESTA")</f>
        <v>OK</v>
      </c>
      <c r="B234" s="19" t="str">
        <f>IF(ISNUMBER(_xlfn.XMATCH('Calcular necesidad'!E:E,'Necesidad por familia'!A:A)),"OK","NO ESTA")</f>
        <v>OK</v>
      </c>
      <c r="C234" s="1" t="s">
        <v>772</v>
      </c>
      <c r="D234" s="1" t="s">
        <v>425</v>
      </c>
      <c r="E234" s="1" t="str">
        <f>_xlfn.XLOOKUP(C234,'Tabla Articulos'!B:B,'Tabla Articulos'!D:D)</f>
        <v>CANCELADO</v>
      </c>
      <c r="F234" s="1">
        <f>_xlfn.XLOOKUP(C234,'Tabla Articulos'!B:B,'Tabla Articulos'!E:E)</f>
        <v>100</v>
      </c>
      <c r="G234" s="15">
        <f>SUM(
    SUMIFS(MRP!$H$2:$H$221, MRP!$B$2:$B$221, $C234, MRP!$G$2:$G$221, G$1),
    SUMIFS(MRP!$I$2:$I$221, MRP!$B$2:$B$221, $C234, MRP!$G$2:$G$221, G$1),
    SUMIFS(MRP!$J$2:$J$221, MRP!$B$2:$B$221, $C234,  MRP!$G$2:$G$221, G$1),
    SUMIFS(MRP!$K$2:$K$221, MRP!$B$2:$B$221, $C234,  MRP!$G$2:$G$221, G$1),
    SUMIFS(MRP!$L$2:$L$221, MRP!$B$2:$B$221, $C234,  MRP!$G$2:$G$221, G$1)
)*F234</f>
        <v>0</v>
      </c>
      <c r="H234" s="15">
        <f>SUM(
    SUMIFS(MRP!$H$2:$H$221, MRP!$B$2:$B$221, $C234, MRP!$G$2:$G$221, H$1),
    SUMIFS(MRP!$I$2:$I$221, MRP!$B$2:$B$221, $C234, MRP!$G$2:$G$221, H$1),
    SUMIFS(MRP!$J$2:$J$221, MRP!$B$2:$B$221, $C234,  MRP!$G$2:$G$221, H$1),
    SUMIFS(MRP!$K$2:$K$221, MRP!$B$2:$B$221, $C234,  MRP!$G$2:$G$221, H$1),
    SUMIFS(MRP!$L$2:$L$221, MRP!$B$2:$B$221, $C234,  MRP!$G$2:$G$221, H$1)
)*F234</f>
        <v>300</v>
      </c>
      <c r="I234" s="15">
        <f>SUM(
    SUMIFS(MRP!$H$2:$H$221, MRP!$B$2:$B$221, $C234, MRP!$G$2:$G$221, I$1),
    SUMIFS(MRP!$I$2:$I$221, MRP!$B$2:$B$221, $C234, MRP!$G$2:$G$221, I$1),
    SUMIFS(MRP!$J$2:$J$221, MRP!$B$2:$B$221, $C234,  MRP!$G$2:$G$221, I$1),
    SUMIFS(MRP!$K$2:$K$221, MRP!$B$2:$B$221, $C234,  MRP!$G$2:$G$221, I$1),
    SUMIFS(MRP!$L$2:$L$221, MRP!$B$2:$B$221, $C234,  MRP!$G$2:$G$221, I$1)
)*F234</f>
        <v>0</v>
      </c>
      <c r="J234" s="15">
        <f>SUM(
    SUMIFS(MRP!$H$2:$H$221, MRP!$B$2:$B$221, $C234, MRP!$G$2:$G$221, J$1),
    SUMIFS(MRP!$I$2:$I$221, MRP!$B$2:$B$221, $C234, MRP!$G$2:$G$221, J$1),
    SUMIFS(MRP!$J$2:$J$221, MRP!$B$2:$B$221, $C234,  MRP!$G$2:$G$221, J$1),
    SUMIFS(MRP!$K$2:$K$221, MRP!$B$2:$B$221, $C234,  MRP!$G$2:$G$221, J$1),
    SUMIFS(MRP!$L$2:$L$221, MRP!$B$2:$B$221, $C234,  MRP!$G$2:$G$221, J$1)
)*F234</f>
        <v>0</v>
      </c>
      <c r="K234" s="64">
        <f>SUM(
    SUMIFS(MRP!$H$2:$H$221, MRP!$B$2:$B$221, $C234, MRP!$G$2:$G$221, K$1),
    SUMIFS(MRP!$I$2:$I$221, MRP!$B$2:$B$221, $C234, MRP!$G$2:$G$221, K$1),
    SUMIFS(MRP!$J$2:$J$221, MRP!$B$2:$B$221, $C234,  MRP!$G$2:$G$221, K$1),
    SUMIFS(MRP!$K$2:$K$221, MRP!$B$2:$B$221, $C234,  MRP!$G$2:$G$221, K$1),
    SUMIFS(MRP!$L$2:$L$221, MRP!$B$2:$B$221, $C234,  MRP!$G$2:$G$221, K$1)
)*F234</f>
        <v>0</v>
      </c>
      <c r="L234" s="55" t="str">
        <f>TRIM(Tabla3[[#This Row],[CodInternoArti]])</f>
        <v>7790321020302</v>
      </c>
    </row>
    <row r="235" spans="1:12" hidden="1" x14ac:dyDescent="0.35">
      <c r="A235" s="63" t="str">
        <f>IF(ISNUMBER(_xlfn.XMATCH(Tabla3[[#This Row],[CodInternoArti]],'Tabla Articulos'!B:B)),"OK","NO ESTA")</f>
        <v>OK</v>
      </c>
      <c r="B235" s="19" t="str">
        <f>IF(ISNUMBER(_xlfn.XMATCH('Calcular necesidad'!E:E,'Necesidad por familia'!A:A)),"OK","NO ESTA")</f>
        <v>OK</v>
      </c>
      <c r="C235" s="1" t="s">
        <v>773</v>
      </c>
      <c r="D235" s="1" t="s">
        <v>472</v>
      </c>
      <c r="E235" s="1" t="str">
        <f>_xlfn.XLOOKUP(C235,'Tabla Articulos'!B:B,'Tabla Articulos'!D:D)</f>
        <v>GUANTE LATEX L</v>
      </c>
      <c r="F235" s="1">
        <f>_xlfn.XLOOKUP(C235,'Tabla Articulos'!B:B,'Tabla Articulos'!E:E)</f>
        <v>100</v>
      </c>
      <c r="G235" s="15">
        <f>SUM(
    SUMIFS(MRP!$H$2:$H$221, MRP!$B$2:$B$221, $C235, MRP!$G$2:$G$221, G$1),
    SUMIFS(MRP!$I$2:$I$221, MRP!$B$2:$B$221, $C235, MRP!$G$2:$G$221, G$1),
    SUMIFS(MRP!$J$2:$J$221, MRP!$B$2:$B$221, $C235,  MRP!$G$2:$G$221, G$1),
    SUMIFS(MRP!$K$2:$K$221, MRP!$B$2:$B$221, $C235,  MRP!$G$2:$G$221, G$1),
    SUMIFS(MRP!$L$2:$L$221, MRP!$B$2:$B$221, $C235,  MRP!$G$2:$G$221, G$1)
)*F235</f>
        <v>0</v>
      </c>
      <c r="H235" s="15">
        <f>SUM(
    SUMIFS(MRP!$H$2:$H$221, MRP!$B$2:$B$221, $C235, MRP!$G$2:$G$221, H$1),
    SUMIFS(MRP!$I$2:$I$221, MRP!$B$2:$B$221, $C235, MRP!$G$2:$G$221, H$1),
    SUMIFS(MRP!$J$2:$J$221, MRP!$B$2:$B$221, $C235,  MRP!$G$2:$G$221, H$1),
    SUMIFS(MRP!$K$2:$K$221, MRP!$B$2:$B$221, $C235,  MRP!$G$2:$G$221, H$1),
    SUMIFS(MRP!$L$2:$L$221, MRP!$B$2:$B$221, $C235,  MRP!$G$2:$G$221, H$1)
)*F235</f>
        <v>900</v>
      </c>
      <c r="I235" s="15">
        <f>SUM(
    SUMIFS(MRP!$H$2:$H$221, MRP!$B$2:$B$221, $C235, MRP!$G$2:$G$221, I$1),
    SUMIFS(MRP!$I$2:$I$221, MRP!$B$2:$B$221, $C235, MRP!$G$2:$G$221, I$1),
    SUMIFS(MRP!$J$2:$J$221, MRP!$B$2:$B$221, $C235,  MRP!$G$2:$G$221, I$1),
    SUMIFS(MRP!$K$2:$K$221, MRP!$B$2:$B$221, $C235,  MRP!$G$2:$G$221, I$1),
    SUMIFS(MRP!$L$2:$L$221, MRP!$B$2:$B$221, $C235,  MRP!$G$2:$G$221, I$1)
)*F235</f>
        <v>0</v>
      </c>
      <c r="J235" s="15">
        <f>SUM(
    SUMIFS(MRP!$H$2:$H$221, MRP!$B$2:$B$221, $C235, MRP!$G$2:$G$221, J$1),
    SUMIFS(MRP!$I$2:$I$221, MRP!$B$2:$B$221, $C235, MRP!$G$2:$G$221, J$1),
    SUMIFS(MRP!$J$2:$J$221, MRP!$B$2:$B$221, $C235,  MRP!$G$2:$G$221, J$1),
    SUMIFS(MRP!$K$2:$K$221, MRP!$B$2:$B$221, $C235,  MRP!$G$2:$G$221, J$1),
    SUMIFS(MRP!$L$2:$L$221, MRP!$B$2:$B$221, $C235,  MRP!$G$2:$G$221, J$1)
)*F235</f>
        <v>0</v>
      </c>
      <c r="K235" s="64">
        <f>SUM(
    SUMIFS(MRP!$H$2:$H$221, MRP!$B$2:$B$221, $C235, MRP!$G$2:$G$221, K$1),
    SUMIFS(MRP!$I$2:$I$221, MRP!$B$2:$B$221, $C235, MRP!$G$2:$G$221, K$1),
    SUMIFS(MRP!$J$2:$J$221, MRP!$B$2:$B$221, $C235,  MRP!$G$2:$G$221, K$1),
    SUMIFS(MRP!$K$2:$K$221, MRP!$B$2:$B$221, $C235,  MRP!$G$2:$G$221, K$1),
    SUMIFS(MRP!$L$2:$L$221, MRP!$B$2:$B$221, $C235,  MRP!$G$2:$G$221, K$1)
)*F235</f>
        <v>0</v>
      </c>
      <c r="L235" s="55" t="str">
        <f>TRIM(Tabla3[[#This Row],[CodInternoArti]])</f>
        <v>4968420500356</v>
      </c>
    </row>
    <row r="236" spans="1:12" hidden="1" x14ac:dyDescent="0.35">
      <c r="A236" s="63" t="str">
        <f>IF(ISNUMBER(_xlfn.XMATCH(Tabla3[[#This Row],[CodInternoArti]],'Tabla Articulos'!B:B)),"OK","NO ESTA")</f>
        <v>OK</v>
      </c>
      <c r="B236" s="19" t="str">
        <f>IF(ISNUMBER(_xlfn.XMATCH('Calcular necesidad'!E:E,'Necesidad por familia'!A:A)),"OK","NO ESTA")</f>
        <v>OK</v>
      </c>
      <c r="C236" s="1" t="s">
        <v>774</v>
      </c>
      <c r="D236" s="1" t="s">
        <v>508</v>
      </c>
      <c r="E236" s="1" t="str">
        <f>_xlfn.XLOOKUP(C236,'Tabla Articulos'!B:B,'Tabla Articulos'!D:D)</f>
        <v>BANDEJA 105</v>
      </c>
      <c r="F236" s="1">
        <f>_xlfn.XLOOKUP(C236,'Tabla Articulos'!B:B,'Tabla Articulos'!E:E)</f>
        <v>100</v>
      </c>
      <c r="G236" s="15">
        <f>SUM(
    SUMIFS(MRP!$H$2:$H$221, MRP!$B$2:$B$221, $C236, MRP!$G$2:$G$221, G$1),
    SUMIFS(MRP!$I$2:$I$221, MRP!$B$2:$B$221, $C236, MRP!$G$2:$G$221, G$1),
    SUMIFS(MRP!$J$2:$J$221, MRP!$B$2:$B$221, $C236,  MRP!$G$2:$G$221, G$1),
    SUMIFS(MRP!$K$2:$K$221, MRP!$B$2:$B$221, $C236,  MRP!$G$2:$G$221, G$1),
    SUMIFS(MRP!$L$2:$L$221, MRP!$B$2:$B$221, $C236,  MRP!$G$2:$G$221, G$1)
)*F236</f>
        <v>0</v>
      </c>
      <c r="H236" s="15">
        <f>SUM(
    SUMIFS(MRP!$H$2:$H$221, MRP!$B$2:$B$221, $C236, MRP!$G$2:$G$221, H$1),
    SUMIFS(MRP!$I$2:$I$221, MRP!$B$2:$B$221, $C236, MRP!$G$2:$G$221, H$1),
    SUMIFS(MRP!$J$2:$J$221, MRP!$B$2:$B$221, $C236,  MRP!$G$2:$G$221, H$1),
    SUMIFS(MRP!$K$2:$K$221, MRP!$B$2:$B$221, $C236,  MRP!$G$2:$G$221, H$1),
    SUMIFS(MRP!$L$2:$L$221, MRP!$B$2:$B$221, $C236,  MRP!$G$2:$G$221, H$1)
)*F236</f>
        <v>2000</v>
      </c>
      <c r="I236" s="15">
        <f>SUM(
    SUMIFS(MRP!$H$2:$H$221, MRP!$B$2:$B$221, $C236, MRP!$G$2:$G$221, I$1),
    SUMIFS(MRP!$I$2:$I$221, MRP!$B$2:$B$221, $C236, MRP!$G$2:$G$221, I$1),
    SUMIFS(MRP!$J$2:$J$221, MRP!$B$2:$B$221, $C236,  MRP!$G$2:$G$221, I$1),
    SUMIFS(MRP!$K$2:$K$221, MRP!$B$2:$B$221, $C236,  MRP!$G$2:$G$221, I$1),
    SUMIFS(MRP!$L$2:$L$221, MRP!$B$2:$B$221, $C236,  MRP!$G$2:$G$221, I$1)
)*F236</f>
        <v>0</v>
      </c>
      <c r="J236" s="15">
        <f>SUM(
    SUMIFS(MRP!$H$2:$H$221, MRP!$B$2:$B$221, $C236, MRP!$G$2:$G$221, J$1),
    SUMIFS(MRP!$I$2:$I$221, MRP!$B$2:$B$221, $C236, MRP!$G$2:$G$221, J$1),
    SUMIFS(MRP!$J$2:$J$221, MRP!$B$2:$B$221, $C236,  MRP!$G$2:$G$221, J$1),
    SUMIFS(MRP!$K$2:$K$221, MRP!$B$2:$B$221, $C236,  MRP!$G$2:$G$221, J$1),
    SUMIFS(MRP!$L$2:$L$221, MRP!$B$2:$B$221, $C236,  MRP!$G$2:$G$221, J$1)
)*F236</f>
        <v>0</v>
      </c>
      <c r="K236" s="64">
        <f>SUM(
    SUMIFS(MRP!$H$2:$H$221, MRP!$B$2:$B$221, $C236, MRP!$G$2:$G$221, K$1),
    SUMIFS(MRP!$I$2:$I$221, MRP!$B$2:$B$221, $C236, MRP!$G$2:$G$221, K$1),
    SUMIFS(MRP!$J$2:$J$221, MRP!$B$2:$B$221, $C236,  MRP!$G$2:$G$221, K$1),
    SUMIFS(MRP!$K$2:$K$221, MRP!$B$2:$B$221, $C236,  MRP!$G$2:$G$221, K$1),
    SUMIFS(MRP!$L$2:$L$221, MRP!$B$2:$B$221, $C236,  MRP!$G$2:$G$221, K$1)
)*F236</f>
        <v>0</v>
      </c>
      <c r="L236" s="55" t="str">
        <f>TRIM(Tabla3[[#This Row],[CodInternoArti]])</f>
        <v>7798068951862</v>
      </c>
    </row>
    <row r="237" spans="1:12" hidden="1" x14ac:dyDescent="0.35">
      <c r="A237" s="63" t="str">
        <f>IF(ISNUMBER(_xlfn.XMATCH(Tabla3[[#This Row],[CodInternoArti]],'Tabla Articulos'!B:B)),"OK","NO ESTA")</f>
        <v>OK</v>
      </c>
      <c r="B237" s="19" t="str">
        <f>IF(ISNUMBER(_xlfn.XMATCH('Calcular necesidad'!E:E,'Necesidad por familia'!A:A)),"OK","NO ESTA")</f>
        <v>OK</v>
      </c>
      <c r="C237" s="1" t="s">
        <v>775</v>
      </c>
      <c r="D237" s="1" t="s">
        <v>776</v>
      </c>
      <c r="E237" s="1" t="str">
        <f>_xlfn.XLOOKUP(C237,'Tabla Articulos'!B:B,'Tabla Articulos'!D:D)</f>
        <v>BANDEJA TELGOPOR 618</v>
      </c>
      <c r="F237" s="1">
        <f>_xlfn.XLOOKUP(C237,'Tabla Articulos'!B:B,'Tabla Articulos'!E:E)</f>
        <v>600</v>
      </c>
      <c r="G237" s="15">
        <f>SUM(
    SUMIFS(MRP!$H$2:$H$221, MRP!$B$2:$B$221, $C237, MRP!$G$2:$G$221, G$1),
    SUMIFS(MRP!$I$2:$I$221, MRP!$B$2:$B$221, $C237, MRP!$G$2:$G$221, G$1),
    SUMIFS(MRP!$J$2:$J$221, MRP!$B$2:$B$221, $C237,  MRP!$G$2:$G$221, G$1),
    SUMIFS(MRP!$K$2:$K$221, MRP!$B$2:$B$221, $C237,  MRP!$G$2:$G$221, G$1),
    SUMIFS(MRP!$L$2:$L$221, MRP!$B$2:$B$221, $C237,  MRP!$G$2:$G$221, G$1)
)*F237</f>
        <v>0</v>
      </c>
      <c r="H237" s="15">
        <f>SUM(
    SUMIFS(MRP!$H$2:$H$221, MRP!$B$2:$B$221, $C237, MRP!$G$2:$G$221, H$1),
    SUMIFS(MRP!$I$2:$I$221, MRP!$B$2:$B$221, $C237, MRP!$G$2:$G$221, H$1),
    SUMIFS(MRP!$J$2:$J$221, MRP!$B$2:$B$221, $C237,  MRP!$G$2:$G$221, H$1),
    SUMIFS(MRP!$K$2:$K$221, MRP!$B$2:$B$221, $C237,  MRP!$G$2:$G$221, H$1),
    SUMIFS(MRP!$L$2:$L$221, MRP!$B$2:$B$221, $C237,  MRP!$G$2:$G$221, H$1)
)*F237</f>
        <v>0</v>
      </c>
      <c r="I237" s="15">
        <f>SUM(
    SUMIFS(MRP!$H$2:$H$221, MRP!$B$2:$B$221, $C237, MRP!$G$2:$G$221, I$1),
    SUMIFS(MRP!$I$2:$I$221, MRP!$B$2:$B$221, $C237, MRP!$G$2:$G$221, I$1),
    SUMIFS(MRP!$J$2:$J$221, MRP!$B$2:$B$221, $C237,  MRP!$G$2:$G$221, I$1),
    SUMIFS(MRP!$K$2:$K$221, MRP!$B$2:$B$221, $C237,  MRP!$G$2:$G$221, I$1),
    SUMIFS(MRP!$L$2:$L$221, MRP!$B$2:$B$221, $C237,  MRP!$G$2:$G$221, I$1)
)*F237</f>
        <v>0</v>
      </c>
      <c r="J237" s="15">
        <f>SUM(
    SUMIFS(MRP!$H$2:$H$221, MRP!$B$2:$B$221, $C237, MRP!$G$2:$G$221, J$1),
    SUMIFS(MRP!$I$2:$I$221, MRP!$B$2:$B$221, $C237, MRP!$G$2:$G$221, J$1),
    SUMIFS(MRP!$J$2:$J$221, MRP!$B$2:$B$221, $C237,  MRP!$G$2:$G$221, J$1),
    SUMIFS(MRP!$K$2:$K$221, MRP!$B$2:$B$221, $C237,  MRP!$G$2:$G$221, J$1),
    SUMIFS(MRP!$L$2:$L$221, MRP!$B$2:$B$221, $C237,  MRP!$G$2:$G$221, J$1)
)*F237</f>
        <v>0</v>
      </c>
      <c r="K237" s="64">
        <f>SUM(
    SUMIFS(MRP!$H$2:$H$221, MRP!$B$2:$B$221, $C237, MRP!$G$2:$G$221, K$1),
    SUMIFS(MRP!$I$2:$I$221, MRP!$B$2:$B$221, $C237, MRP!$G$2:$G$221, K$1),
    SUMIFS(MRP!$J$2:$J$221, MRP!$B$2:$B$221, $C237,  MRP!$G$2:$G$221, K$1),
    SUMIFS(MRP!$K$2:$K$221, MRP!$B$2:$B$221, $C237,  MRP!$G$2:$G$221, K$1),
    SUMIFS(MRP!$L$2:$L$221, MRP!$B$2:$B$221, $C237,  MRP!$G$2:$G$221, K$1)
)*F237</f>
        <v>0</v>
      </c>
      <c r="L237" s="55" t="str">
        <f>TRIM(Tabla3[[#This Row],[CodInternoArti]])</f>
        <v>17798047390047</v>
      </c>
    </row>
    <row r="238" spans="1:12" hidden="1" x14ac:dyDescent="0.35">
      <c r="A238" s="63" t="str">
        <f>IF(ISNUMBER(_xlfn.XMATCH(Tabla3[[#This Row],[CodInternoArti]],'Tabla Articulos'!B:B)),"OK","NO ESTA")</f>
        <v>OK</v>
      </c>
      <c r="B238" s="19" t="str">
        <f>IF(ISNUMBER(_xlfn.XMATCH('Calcular necesidad'!E:E,'Necesidad por familia'!A:A)),"OK","NO ESTA")</f>
        <v>OK</v>
      </c>
      <c r="C238" s="1" t="s">
        <v>777</v>
      </c>
      <c r="D238" s="1" t="s">
        <v>467</v>
      </c>
      <c r="E238" s="1" t="str">
        <f>_xlfn.XLOOKUP(C238,'Tabla Articulos'!B:B,'Tabla Articulos'!D:D)</f>
        <v>BANDEJA 101</v>
      </c>
      <c r="F238" s="1">
        <f>_xlfn.XLOOKUP(C238,'Tabla Articulos'!B:B,'Tabla Articulos'!E:E)</f>
        <v>100</v>
      </c>
      <c r="G238" s="15">
        <f>SUM(
    SUMIFS(MRP!$H$2:$H$221, MRP!$B$2:$B$221, $C238, MRP!$G$2:$G$221, G$1),
    SUMIFS(MRP!$I$2:$I$221, MRP!$B$2:$B$221, $C238, MRP!$G$2:$G$221, G$1),
    SUMIFS(MRP!$J$2:$J$221, MRP!$B$2:$B$221, $C238,  MRP!$G$2:$G$221, G$1),
    SUMIFS(MRP!$K$2:$K$221, MRP!$B$2:$B$221, $C238,  MRP!$G$2:$G$221, G$1),
    SUMIFS(MRP!$L$2:$L$221, MRP!$B$2:$B$221, $C238,  MRP!$G$2:$G$221, G$1)
)*F238</f>
        <v>0</v>
      </c>
      <c r="H238" s="15">
        <f>SUM(
    SUMIFS(MRP!$H$2:$H$221, MRP!$B$2:$B$221, $C238, MRP!$G$2:$G$221, H$1),
    SUMIFS(MRP!$I$2:$I$221, MRP!$B$2:$B$221, $C238, MRP!$G$2:$G$221, H$1),
    SUMIFS(MRP!$J$2:$J$221, MRP!$B$2:$B$221, $C238,  MRP!$G$2:$G$221, H$1),
    SUMIFS(MRP!$K$2:$K$221, MRP!$B$2:$B$221, $C238,  MRP!$G$2:$G$221, H$1),
    SUMIFS(MRP!$L$2:$L$221, MRP!$B$2:$B$221, $C238,  MRP!$G$2:$G$221, H$1)
)*F238</f>
        <v>20000</v>
      </c>
      <c r="I238" s="15">
        <f>SUM(
    SUMIFS(MRP!$H$2:$H$221, MRP!$B$2:$B$221, $C238, MRP!$G$2:$G$221, I$1),
    SUMIFS(MRP!$I$2:$I$221, MRP!$B$2:$B$221, $C238, MRP!$G$2:$G$221, I$1),
    SUMIFS(MRP!$J$2:$J$221, MRP!$B$2:$B$221, $C238,  MRP!$G$2:$G$221, I$1),
    SUMIFS(MRP!$K$2:$K$221, MRP!$B$2:$B$221, $C238,  MRP!$G$2:$G$221, I$1),
    SUMIFS(MRP!$L$2:$L$221, MRP!$B$2:$B$221, $C238,  MRP!$G$2:$G$221, I$1)
)*F238</f>
        <v>0</v>
      </c>
      <c r="J238" s="15">
        <f>SUM(
    SUMIFS(MRP!$H$2:$H$221, MRP!$B$2:$B$221, $C238, MRP!$G$2:$G$221, J$1),
    SUMIFS(MRP!$I$2:$I$221, MRP!$B$2:$B$221, $C238, MRP!$G$2:$G$221, J$1),
    SUMIFS(MRP!$J$2:$J$221, MRP!$B$2:$B$221, $C238,  MRP!$G$2:$G$221, J$1),
    SUMIFS(MRP!$K$2:$K$221, MRP!$B$2:$B$221, $C238,  MRP!$G$2:$G$221, J$1),
    SUMIFS(MRP!$L$2:$L$221, MRP!$B$2:$B$221, $C238,  MRP!$G$2:$G$221, J$1)
)*F238</f>
        <v>0</v>
      </c>
      <c r="K238" s="64">
        <f>SUM(
    SUMIFS(MRP!$H$2:$H$221, MRP!$B$2:$B$221, $C238, MRP!$G$2:$G$221, K$1),
    SUMIFS(MRP!$I$2:$I$221, MRP!$B$2:$B$221, $C238, MRP!$G$2:$G$221, K$1),
    SUMIFS(MRP!$J$2:$J$221, MRP!$B$2:$B$221, $C238,  MRP!$G$2:$G$221, K$1),
    SUMIFS(MRP!$K$2:$K$221, MRP!$B$2:$B$221, $C238,  MRP!$G$2:$G$221, K$1),
    SUMIFS(MRP!$L$2:$L$221, MRP!$B$2:$B$221, $C238,  MRP!$G$2:$G$221, K$1)
)*F238</f>
        <v>0</v>
      </c>
      <c r="L238" s="55" t="str">
        <f>TRIM(Tabla3[[#This Row],[CodInternoArti]])</f>
        <v>7790000000272</v>
      </c>
    </row>
    <row r="239" spans="1:12" hidden="1" x14ac:dyDescent="0.35">
      <c r="A239" s="63" t="str">
        <f>IF(ISNUMBER(_xlfn.XMATCH(Tabla3[[#This Row],[CodInternoArti]],'Tabla Articulos'!B:B)),"OK","NO ESTA")</f>
        <v>OK</v>
      </c>
      <c r="B239" s="19" t="str">
        <f>IF(ISNUMBER(_xlfn.XMATCH('Calcular necesidad'!E:E,'Necesidad por familia'!A:A)),"OK","NO ESTA")</f>
        <v>OK</v>
      </c>
      <c r="C239" s="1" t="s">
        <v>778</v>
      </c>
      <c r="D239" s="1" t="s">
        <v>436</v>
      </c>
      <c r="E239" s="1" t="str">
        <f>_xlfn.XLOOKUP(C239,'Tabla Articulos'!B:B,'Tabla Articulos'!D:D)</f>
        <v>VASO PLASTICO 180</v>
      </c>
      <c r="F239" s="1">
        <f>_xlfn.XLOOKUP(C239,'Tabla Articulos'!B:B,'Tabla Articulos'!E:E)</f>
        <v>50</v>
      </c>
      <c r="G239" s="15">
        <f>SUM(
    SUMIFS(MRP!$H$2:$H$221, MRP!$B$2:$B$221, $C239, MRP!$G$2:$G$221, G$1),
    SUMIFS(MRP!$I$2:$I$221, MRP!$B$2:$B$221, $C239, MRP!$G$2:$G$221, G$1),
    SUMIFS(MRP!$J$2:$J$221, MRP!$B$2:$B$221, $C239,  MRP!$G$2:$G$221, G$1),
    SUMIFS(MRP!$K$2:$K$221, MRP!$B$2:$B$221, $C239,  MRP!$G$2:$G$221, G$1),
    SUMIFS(MRP!$L$2:$L$221, MRP!$B$2:$B$221, $C239,  MRP!$G$2:$G$221, G$1)
)*F239</f>
        <v>0</v>
      </c>
      <c r="H239" s="15">
        <f>SUM(
    SUMIFS(MRP!$H$2:$H$221, MRP!$B$2:$B$221, $C239, MRP!$G$2:$G$221, H$1),
    SUMIFS(MRP!$I$2:$I$221, MRP!$B$2:$B$221, $C239, MRP!$G$2:$G$221, H$1),
    SUMIFS(MRP!$J$2:$J$221, MRP!$B$2:$B$221, $C239,  MRP!$G$2:$G$221, H$1),
    SUMIFS(MRP!$K$2:$K$221, MRP!$B$2:$B$221, $C239,  MRP!$G$2:$G$221, H$1),
    SUMIFS(MRP!$L$2:$L$221, MRP!$B$2:$B$221, $C239,  MRP!$G$2:$G$221, H$1)
)*F239</f>
        <v>3250</v>
      </c>
      <c r="I239" s="15">
        <f>SUM(
    SUMIFS(MRP!$H$2:$H$221, MRP!$B$2:$B$221, $C239, MRP!$G$2:$G$221, I$1),
    SUMIFS(MRP!$I$2:$I$221, MRP!$B$2:$B$221, $C239, MRP!$G$2:$G$221, I$1),
    SUMIFS(MRP!$J$2:$J$221, MRP!$B$2:$B$221, $C239,  MRP!$G$2:$G$221, I$1),
    SUMIFS(MRP!$K$2:$K$221, MRP!$B$2:$B$221, $C239,  MRP!$G$2:$G$221, I$1),
    SUMIFS(MRP!$L$2:$L$221, MRP!$B$2:$B$221, $C239,  MRP!$G$2:$G$221, I$1)
)*F239</f>
        <v>0</v>
      </c>
      <c r="J239" s="15">
        <f>SUM(
    SUMIFS(MRP!$H$2:$H$221, MRP!$B$2:$B$221, $C239, MRP!$G$2:$G$221, J$1),
    SUMIFS(MRP!$I$2:$I$221, MRP!$B$2:$B$221, $C239, MRP!$G$2:$G$221, J$1),
    SUMIFS(MRP!$J$2:$J$221, MRP!$B$2:$B$221, $C239,  MRP!$G$2:$G$221, J$1),
    SUMIFS(MRP!$K$2:$K$221, MRP!$B$2:$B$221, $C239,  MRP!$G$2:$G$221, J$1),
    SUMIFS(MRP!$L$2:$L$221, MRP!$B$2:$B$221, $C239,  MRP!$G$2:$G$221, J$1)
)*F239</f>
        <v>0</v>
      </c>
      <c r="K239" s="64">
        <f>SUM(
    SUMIFS(MRP!$H$2:$H$221, MRP!$B$2:$B$221, $C239, MRP!$G$2:$G$221, K$1),
    SUMIFS(MRP!$I$2:$I$221, MRP!$B$2:$B$221, $C239, MRP!$G$2:$G$221, K$1),
    SUMIFS(MRP!$J$2:$J$221, MRP!$B$2:$B$221, $C239,  MRP!$G$2:$G$221, K$1),
    SUMIFS(MRP!$K$2:$K$221, MRP!$B$2:$B$221, $C239,  MRP!$G$2:$G$221, K$1),
    SUMIFS(MRP!$L$2:$L$221, MRP!$B$2:$B$221, $C239,  MRP!$G$2:$G$221, K$1)
)*F239</f>
        <v>0</v>
      </c>
      <c r="L239" s="55" t="str">
        <f>TRIM(Tabla3[[#This Row],[CodInternoArti]])</f>
        <v>7790430132765</v>
      </c>
    </row>
    <row r="240" spans="1:12" hidden="1" x14ac:dyDescent="0.35">
      <c r="A240" s="63" t="str">
        <f>IF(ISNUMBER(_xlfn.XMATCH(Tabla3[[#This Row],[CodInternoArti]],'Tabla Articulos'!B:B)),"OK","NO ESTA")</f>
        <v>OK</v>
      </c>
      <c r="B240" s="19" t="str">
        <f>IF(ISNUMBER(_xlfn.XMATCH('Calcular necesidad'!E:E,'Necesidad por familia'!A:A)),"OK","NO ESTA")</f>
        <v>OK</v>
      </c>
      <c r="C240" s="1" t="s">
        <v>779</v>
      </c>
      <c r="D240" s="1" t="s">
        <v>470</v>
      </c>
      <c r="E240" s="1" t="str">
        <f>_xlfn.XLOOKUP(C240,'Tabla Articulos'!B:B,'Tabla Articulos'!D:D)</f>
        <v>INDIVIDUAL HEALTH</v>
      </c>
      <c r="F240" s="1">
        <f>_xlfn.XLOOKUP(C240,'Tabla Articulos'!B:B,'Tabla Articulos'!E:E)</f>
        <v>1000</v>
      </c>
      <c r="G240" s="15">
        <f>SUM(
    SUMIFS(MRP!$H$2:$H$221, MRP!$B$2:$B$221, $C240, MRP!$G$2:$G$221, G$1),
    SUMIFS(MRP!$I$2:$I$221, MRP!$B$2:$B$221, $C240, MRP!$G$2:$G$221, G$1),
    SUMIFS(MRP!$J$2:$J$221, MRP!$B$2:$B$221, $C240,  MRP!$G$2:$G$221, G$1),
    SUMIFS(MRP!$K$2:$K$221, MRP!$B$2:$B$221, $C240,  MRP!$G$2:$G$221, G$1),
    SUMIFS(MRP!$L$2:$L$221, MRP!$B$2:$B$221, $C240,  MRP!$G$2:$G$221, G$1)
)*F240</f>
        <v>0</v>
      </c>
      <c r="H240" s="15">
        <f>SUM(
    SUMIFS(MRP!$H$2:$H$221, MRP!$B$2:$B$221, $C240, MRP!$G$2:$G$221, H$1),
    SUMIFS(MRP!$I$2:$I$221, MRP!$B$2:$B$221, $C240, MRP!$G$2:$G$221, H$1),
    SUMIFS(MRP!$J$2:$J$221, MRP!$B$2:$B$221, $C240,  MRP!$G$2:$G$221, H$1),
    SUMIFS(MRP!$K$2:$K$221, MRP!$B$2:$B$221, $C240,  MRP!$G$2:$G$221, H$1),
    SUMIFS(MRP!$L$2:$L$221, MRP!$B$2:$B$221, $C240,  MRP!$G$2:$G$221, H$1)
)*F240</f>
        <v>43000</v>
      </c>
      <c r="I240" s="15">
        <f>SUM(
    SUMIFS(MRP!$H$2:$H$221, MRP!$B$2:$B$221, $C240, MRP!$G$2:$G$221, I$1),
    SUMIFS(MRP!$I$2:$I$221, MRP!$B$2:$B$221, $C240, MRP!$G$2:$G$221, I$1),
    SUMIFS(MRP!$J$2:$J$221, MRP!$B$2:$B$221, $C240,  MRP!$G$2:$G$221, I$1),
    SUMIFS(MRP!$K$2:$K$221, MRP!$B$2:$B$221, $C240,  MRP!$G$2:$G$221, I$1),
    SUMIFS(MRP!$L$2:$L$221, MRP!$B$2:$B$221, $C240,  MRP!$G$2:$G$221, I$1)
)*F240</f>
        <v>0</v>
      </c>
      <c r="J240" s="15">
        <f>SUM(
    SUMIFS(MRP!$H$2:$H$221, MRP!$B$2:$B$221, $C240, MRP!$G$2:$G$221, J$1),
    SUMIFS(MRP!$I$2:$I$221, MRP!$B$2:$B$221, $C240, MRP!$G$2:$G$221, J$1),
    SUMIFS(MRP!$J$2:$J$221, MRP!$B$2:$B$221, $C240,  MRP!$G$2:$G$221, J$1),
    SUMIFS(MRP!$K$2:$K$221, MRP!$B$2:$B$221, $C240,  MRP!$G$2:$G$221, J$1),
    SUMIFS(MRP!$L$2:$L$221, MRP!$B$2:$B$221, $C240,  MRP!$G$2:$G$221, J$1)
)*F240</f>
        <v>0</v>
      </c>
      <c r="K240" s="64">
        <f>SUM(
    SUMIFS(MRP!$H$2:$H$221, MRP!$B$2:$B$221, $C240, MRP!$G$2:$G$221, K$1),
    SUMIFS(MRP!$I$2:$I$221, MRP!$B$2:$B$221, $C240, MRP!$G$2:$G$221, K$1),
    SUMIFS(MRP!$J$2:$J$221, MRP!$B$2:$B$221, $C240,  MRP!$G$2:$G$221, K$1),
    SUMIFS(MRP!$K$2:$K$221, MRP!$B$2:$B$221, $C240,  MRP!$G$2:$G$221, K$1),
    SUMIFS(MRP!$L$2:$L$221, MRP!$B$2:$B$221, $C240,  MRP!$G$2:$G$221, K$1)
)*F240</f>
        <v>0</v>
      </c>
      <c r="L240" s="55" t="str">
        <f>TRIM(Tabla3[[#This Row],[CodInternoArti]])</f>
        <v>7790000000235</v>
      </c>
    </row>
    <row r="241" spans="1:12" hidden="1" x14ac:dyDescent="0.35">
      <c r="A241" s="41" t="str">
        <f>IF(ISNUMBER(_xlfn.XMATCH(Tabla3[[#This Row],[CodInternoArti]],'Tabla Articulos'!B:B)),"OK","NO ESTA")</f>
        <v>OK</v>
      </c>
      <c r="B241" s="29" t="str">
        <f>IF(ISNUMBER(_xlfn.XMATCH('Calcular necesidad'!E:E,'Necesidad por familia'!A:A)),"OK","NO ESTA")</f>
        <v>OK</v>
      </c>
      <c r="C241" s="36" t="s">
        <v>780</v>
      </c>
      <c r="D241" s="36" t="s">
        <v>496</v>
      </c>
      <c r="E241" s="36" t="str">
        <f>_xlfn.XLOOKUP(C241,'Tabla Articulos'!B:B,'Tabla Articulos'!D:D)</f>
        <v>SERVILLETA SIMIL TELA</v>
      </c>
      <c r="F241" s="36">
        <f>_xlfn.XLOOKUP(C241,'Tabla Articulos'!B:B,'Tabla Articulos'!E:E)</f>
        <v>2000</v>
      </c>
      <c r="G241" s="40">
        <f>SUM(
    SUMIFS(MRP!$H$2:$H$221, MRP!$B$2:$B$221, $C241, MRP!$G$2:$G$221, G$1),
    SUMIFS(MRP!$I$2:$I$221, MRP!$B$2:$B$221, $C241, MRP!$G$2:$G$221, G$1),
    SUMIFS(MRP!$J$2:$J$221, MRP!$B$2:$B$221, $C241,  MRP!$G$2:$G$221, G$1),
    SUMIFS(MRP!$K$2:$K$221, MRP!$B$2:$B$221, $C241,  MRP!$G$2:$G$221, G$1),
    SUMIFS(MRP!$L$2:$L$221, MRP!$B$2:$B$221, $C241,  MRP!$G$2:$G$221, G$1)
)*F241</f>
        <v>0</v>
      </c>
      <c r="H241" s="40">
        <f>SUM(
    SUMIFS(MRP!$H$2:$H$221, MRP!$B$2:$B$221, $C241, MRP!$G$2:$G$221, H$1),
    SUMIFS(MRP!$I$2:$I$221, MRP!$B$2:$B$221, $C241, MRP!$G$2:$G$221, H$1),
    SUMIFS(MRP!$J$2:$J$221, MRP!$B$2:$B$221, $C241,  MRP!$G$2:$G$221, H$1),
    SUMIFS(MRP!$K$2:$K$221, MRP!$B$2:$B$221, $C241,  MRP!$G$2:$G$221, H$1),
    SUMIFS(MRP!$L$2:$L$221, MRP!$B$2:$B$221, $C241,  MRP!$G$2:$G$221, H$1)
)*F241</f>
        <v>34000</v>
      </c>
      <c r="I241" s="40">
        <f>SUM(
    SUMIFS(MRP!$H$2:$H$221, MRP!$B$2:$B$221, $C241, MRP!$G$2:$G$221, I$1),
    SUMIFS(MRP!$I$2:$I$221, MRP!$B$2:$B$221, $C241, MRP!$G$2:$G$221, I$1),
    SUMIFS(MRP!$J$2:$J$221, MRP!$B$2:$B$221, $C241,  MRP!$G$2:$G$221, I$1),
    SUMIFS(MRP!$K$2:$K$221, MRP!$B$2:$B$221, $C241,  MRP!$G$2:$G$221, I$1),
    SUMIFS(MRP!$L$2:$L$221, MRP!$B$2:$B$221, $C241,  MRP!$G$2:$G$221, I$1)
)*F241</f>
        <v>0</v>
      </c>
      <c r="J241" s="40">
        <f>SUM(
    SUMIFS(MRP!$H$2:$H$221, MRP!$B$2:$B$221, $C241, MRP!$G$2:$G$221, J$1),
    SUMIFS(MRP!$I$2:$I$221, MRP!$B$2:$B$221, $C241, MRP!$G$2:$G$221, J$1),
    SUMIFS(MRP!$J$2:$J$221, MRP!$B$2:$B$221, $C241,  MRP!$G$2:$G$221, J$1),
    SUMIFS(MRP!$K$2:$K$221, MRP!$B$2:$B$221, $C241,  MRP!$G$2:$G$221, J$1),
    SUMIFS(MRP!$L$2:$L$221, MRP!$B$2:$B$221, $C241,  MRP!$G$2:$G$221, J$1)
)*F241</f>
        <v>0</v>
      </c>
      <c r="K241" s="56">
        <f>SUM(
    SUMIFS(MRP!$H$2:$H$221, MRP!$B$2:$B$221, $C241, MRP!$G$2:$G$221, K$1),
    SUMIFS(MRP!$I$2:$I$221, MRP!$B$2:$B$221, $C241, MRP!$G$2:$G$221, K$1),
    SUMIFS(MRP!$J$2:$J$221, MRP!$B$2:$B$221, $C241,  MRP!$G$2:$G$221, K$1),
    SUMIFS(MRP!$K$2:$K$221, MRP!$B$2:$B$221, $C241,  MRP!$G$2:$G$221, K$1),
    SUMIFS(MRP!$L$2:$L$221, MRP!$B$2:$B$221, $C241,  MRP!$G$2:$G$221, K$1)
)*F241</f>
        <v>0</v>
      </c>
      <c r="L241" s="55" t="str">
        <f>TRIM(Tabla3[[#This Row],[CodInternoArti]])</f>
        <v>7790000000713</v>
      </c>
    </row>
    <row r="242" spans="1:12" hidden="1" x14ac:dyDescent="0.35">
      <c r="A242" s="41" t="str">
        <f>IF(ISNUMBER(_xlfn.XMATCH(Tabla3[[#This Row],[CodInternoArti]],'Tabla Articulos'!B:B)),"OK","NO ESTA")</f>
        <v>OK</v>
      </c>
      <c r="B242" s="29" t="str">
        <f>IF(ISNUMBER(_xlfn.XMATCH('Calcular necesidad'!E:E,'Necesidad por familia'!A:A)),"OK","NO ESTA")</f>
        <v>OK</v>
      </c>
      <c r="C242" s="36" t="s">
        <v>781</v>
      </c>
      <c r="D242" s="36" t="s">
        <v>473</v>
      </c>
      <c r="E242" s="36" t="str">
        <f>_xlfn.XLOOKUP(C242,'Tabla Articulos'!B:B,'Tabla Articulos'!D:D)</f>
        <v>VASO 12OZ BLUE</v>
      </c>
      <c r="F242" s="36">
        <f>_xlfn.XLOOKUP(C242,'Tabla Articulos'!B:B,'Tabla Articulos'!E:E)</f>
        <v>100</v>
      </c>
      <c r="G242" s="40">
        <f>SUM(
    SUMIFS(MRP!$H$2:$H$221, MRP!$B$2:$B$221, $C242, MRP!$G$2:$G$221, G$1),
    SUMIFS(MRP!$I$2:$I$221, MRP!$B$2:$B$221, $C242, MRP!$G$2:$G$221, G$1),
    SUMIFS(MRP!$J$2:$J$221, MRP!$B$2:$B$221, $C242,  MRP!$G$2:$G$221, G$1),
    SUMIFS(MRP!$K$2:$K$221, MRP!$B$2:$B$221, $C242,  MRP!$G$2:$G$221, G$1),
    SUMIFS(MRP!$L$2:$L$221, MRP!$B$2:$B$221, $C242,  MRP!$G$2:$G$221, G$1)
)*F242</f>
        <v>0</v>
      </c>
      <c r="H242" s="40">
        <f>SUM(
    SUMIFS(MRP!$H$2:$H$221, MRP!$B$2:$B$221, $C242, MRP!$G$2:$G$221, H$1),
    SUMIFS(MRP!$I$2:$I$221, MRP!$B$2:$B$221, $C242, MRP!$G$2:$G$221, H$1),
    SUMIFS(MRP!$J$2:$J$221, MRP!$B$2:$B$221, $C242,  MRP!$G$2:$G$221, H$1),
    SUMIFS(MRP!$K$2:$K$221, MRP!$B$2:$B$221, $C242,  MRP!$G$2:$G$221, H$1),
    SUMIFS(MRP!$L$2:$L$221, MRP!$B$2:$B$221, $C242,  MRP!$G$2:$G$221, H$1)
)*F242</f>
        <v>1300</v>
      </c>
      <c r="I242" s="40">
        <f>SUM(
    SUMIFS(MRP!$H$2:$H$221, MRP!$B$2:$B$221, $C242, MRP!$G$2:$G$221, I$1),
    SUMIFS(MRP!$I$2:$I$221, MRP!$B$2:$B$221, $C242, MRP!$G$2:$G$221, I$1),
    SUMIFS(MRP!$J$2:$J$221, MRP!$B$2:$B$221, $C242,  MRP!$G$2:$G$221, I$1),
    SUMIFS(MRP!$K$2:$K$221, MRP!$B$2:$B$221, $C242,  MRP!$G$2:$G$221, I$1),
    SUMIFS(MRP!$L$2:$L$221, MRP!$B$2:$B$221, $C242,  MRP!$G$2:$G$221, I$1)
)*F242</f>
        <v>0</v>
      </c>
      <c r="J242" s="40">
        <f>SUM(
    SUMIFS(MRP!$H$2:$H$221, MRP!$B$2:$B$221, $C242, MRP!$G$2:$G$221, J$1),
    SUMIFS(MRP!$I$2:$I$221, MRP!$B$2:$B$221, $C242, MRP!$G$2:$G$221, J$1),
    SUMIFS(MRP!$J$2:$J$221, MRP!$B$2:$B$221, $C242,  MRP!$G$2:$G$221, J$1),
    SUMIFS(MRP!$K$2:$K$221, MRP!$B$2:$B$221, $C242,  MRP!$G$2:$G$221, J$1),
    SUMIFS(MRP!$L$2:$L$221, MRP!$B$2:$B$221, $C242,  MRP!$G$2:$G$221, J$1)
)*F242</f>
        <v>0</v>
      </c>
      <c r="K242" s="56">
        <f>SUM(
    SUMIFS(MRP!$H$2:$H$221, MRP!$B$2:$B$221, $C242, MRP!$G$2:$G$221, K$1),
    SUMIFS(MRP!$I$2:$I$221, MRP!$B$2:$B$221, $C242, MRP!$G$2:$G$221, K$1),
    SUMIFS(MRP!$J$2:$J$221, MRP!$B$2:$B$221, $C242,  MRP!$G$2:$G$221, K$1),
    SUMIFS(MRP!$K$2:$K$221, MRP!$B$2:$B$221, $C242,  MRP!$G$2:$G$221, K$1),
    SUMIFS(MRP!$L$2:$L$221, MRP!$B$2:$B$221, $C242,  MRP!$G$2:$G$221, K$1)
)*F242</f>
        <v>0</v>
      </c>
      <c r="L242" s="55" t="str">
        <f>TRIM(Tabla3[[#This Row],[CodInternoArti]])</f>
        <v>7790000000675</v>
      </c>
    </row>
    <row r="243" spans="1:12" hidden="1" x14ac:dyDescent="0.35">
      <c r="A243" s="41" t="str">
        <f>IF(ISNUMBER(_xlfn.XMATCH(Tabla3[[#This Row],[CodInternoArti]],'Tabla Articulos'!B:B)),"OK","NO ESTA")</f>
        <v>OK</v>
      </c>
      <c r="B243" s="29" t="str">
        <f>IF(ISNUMBER(_xlfn.XMATCH('Calcular necesidad'!E:E,'Necesidad por familia'!A:A)),"OK","NO ESTA")</f>
        <v>OK</v>
      </c>
      <c r="C243" s="36" t="s">
        <v>782</v>
      </c>
      <c r="D243" s="36" t="s">
        <v>513</v>
      </c>
      <c r="E243" s="36" t="str">
        <f>_xlfn.XLOOKUP(C243,'Tabla Articulos'!B:B,'Tabla Articulos'!D:D)</f>
        <v>FILM PVC 30</v>
      </c>
      <c r="F243" s="36">
        <f>_xlfn.XLOOKUP(C243,'Tabla Articulos'!B:B,'Tabla Articulos'!E:E)</f>
        <v>1</v>
      </c>
      <c r="G243" s="40">
        <f>SUM(
    SUMIFS(MRP!$H$2:$H$221, MRP!$B$2:$B$221, $C243, MRP!$G$2:$G$221, G$1),
    SUMIFS(MRP!$I$2:$I$221, MRP!$B$2:$B$221, $C243, MRP!$G$2:$G$221, G$1),
    SUMIFS(MRP!$J$2:$J$221, MRP!$B$2:$B$221, $C243,  MRP!$G$2:$G$221, G$1),
    SUMIFS(MRP!$K$2:$K$221, MRP!$B$2:$B$221, $C243,  MRP!$G$2:$G$221, G$1),
    SUMIFS(MRP!$L$2:$L$221, MRP!$B$2:$B$221, $C243,  MRP!$G$2:$G$221, G$1)
)*F243</f>
        <v>0</v>
      </c>
      <c r="H243" s="40">
        <f>SUM(
    SUMIFS(MRP!$H$2:$H$221, MRP!$B$2:$B$221, $C243, MRP!$G$2:$G$221, H$1),
    SUMIFS(MRP!$I$2:$I$221, MRP!$B$2:$B$221, $C243, MRP!$G$2:$G$221, H$1),
    SUMIFS(MRP!$J$2:$J$221, MRP!$B$2:$B$221, $C243,  MRP!$G$2:$G$221, H$1),
    SUMIFS(MRP!$K$2:$K$221, MRP!$B$2:$B$221, $C243,  MRP!$G$2:$G$221, H$1),
    SUMIFS(MRP!$L$2:$L$221, MRP!$B$2:$B$221, $C243,  MRP!$G$2:$G$221, H$1)
)*F243</f>
        <v>101</v>
      </c>
      <c r="I243" s="40">
        <f>SUM(
    SUMIFS(MRP!$H$2:$H$221, MRP!$B$2:$B$221, $C243, MRP!$G$2:$G$221, I$1),
    SUMIFS(MRP!$I$2:$I$221, MRP!$B$2:$B$221, $C243, MRP!$G$2:$G$221, I$1),
    SUMIFS(MRP!$J$2:$J$221, MRP!$B$2:$B$221, $C243,  MRP!$G$2:$G$221, I$1),
    SUMIFS(MRP!$K$2:$K$221, MRP!$B$2:$B$221, $C243,  MRP!$G$2:$G$221, I$1),
    SUMIFS(MRP!$L$2:$L$221, MRP!$B$2:$B$221, $C243,  MRP!$G$2:$G$221, I$1)
)*F243</f>
        <v>0</v>
      </c>
      <c r="J243" s="40">
        <f>SUM(
    SUMIFS(MRP!$H$2:$H$221, MRP!$B$2:$B$221, $C243, MRP!$G$2:$G$221, J$1),
    SUMIFS(MRP!$I$2:$I$221, MRP!$B$2:$B$221, $C243, MRP!$G$2:$G$221, J$1),
    SUMIFS(MRP!$J$2:$J$221, MRP!$B$2:$B$221, $C243,  MRP!$G$2:$G$221, J$1),
    SUMIFS(MRP!$K$2:$K$221, MRP!$B$2:$B$221, $C243,  MRP!$G$2:$G$221, J$1),
    SUMIFS(MRP!$L$2:$L$221, MRP!$B$2:$B$221, $C243,  MRP!$G$2:$G$221, J$1)
)*F243</f>
        <v>0</v>
      </c>
      <c r="K243" s="56">
        <f>SUM(
    SUMIFS(MRP!$H$2:$H$221, MRP!$B$2:$B$221, $C243, MRP!$G$2:$G$221, K$1),
    SUMIFS(MRP!$I$2:$I$221, MRP!$B$2:$B$221, $C243, MRP!$G$2:$G$221, K$1),
    SUMIFS(MRP!$J$2:$J$221, MRP!$B$2:$B$221, $C243,  MRP!$G$2:$G$221, K$1),
    SUMIFS(MRP!$K$2:$K$221, MRP!$B$2:$B$221, $C243,  MRP!$G$2:$G$221, K$1),
    SUMIFS(MRP!$L$2:$L$221, MRP!$B$2:$B$221, $C243,  MRP!$G$2:$G$221, K$1)
)*F243</f>
        <v>0</v>
      </c>
      <c r="L243" s="55" t="str">
        <f>TRIM(Tabla3[[#This Row],[CodInternoArti]])</f>
        <v>7790000000227</v>
      </c>
    </row>
    <row r="244" spans="1:12" hidden="1" x14ac:dyDescent="0.35">
      <c r="A244" s="41" t="str">
        <f>IF(ISNUMBER(_xlfn.XMATCH(Tabla3[[#This Row],[CodInternoArti]],'Tabla Articulos'!B:B)),"OK","NO ESTA")</f>
        <v>OK</v>
      </c>
      <c r="B244" s="29" t="str">
        <f>IF(ISNUMBER(_xlfn.XMATCH('Calcular necesidad'!E:E,'Necesidad por familia'!A:A)),"OK","NO ESTA")</f>
        <v>OK</v>
      </c>
      <c r="C244" s="36" t="s">
        <v>783</v>
      </c>
      <c r="D244" s="36" t="s">
        <v>505</v>
      </c>
      <c r="E244" s="36" t="str">
        <f>_xlfn.XLOOKUP(C244,'Tabla Articulos'!B:B,'Tabla Articulos'!D:D)</f>
        <v>BOWL COMPOSTABLE 960</v>
      </c>
      <c r="F244" s="36">
        <f>_xlfn.XLOOKUP(C244,'Tabla Articulos'!B:B,'Tabla Articulos'!E:E)</f>
        <v>800</v>
      </c>
      <c r="G244" s="40">
        <f>SUM(
    SUMIFS(MRP!$H$2:$H$221, MRP!$B$2:$B$221, $C244, MRP!$G$2:$G$221, G$1),
    SUMIFS(MRP!$I$2:$I$221, MRP!$B$2:$B$221, $C244, MRP!$G$2:$G$221, G$1),
    SUMIFS(MRP!$J$2:$J$221, MRP!$B$2:$B$221, $C244,  MRP!$G$2:$G$221, G$1),
    SUMIFS(MRP!$K$2:$K$221, MRP!$B$2:$B$221, $C244,  MRP!$G$2:$G$221, G$1),
    SUMIFS(MRP!$L$2:$L$221, MRP!$B$2:$B$221, $C244,  MRP!$G$2:$G$221, G$1)
)*F244</f>
        <v>0</v>
      </c>
      <c r="H244" s="40">
        <f>SUM(
    SUMIFS(MRP!$H$2:$H$221, MRP!$B$2:$B$221, $C244, MRP!$G$2:$G$221, H$1),
    SUMIFS(MRP!$I$2:$I$221, MRP!$B$2:$B$221, $C244, MRP!$G$2:$G$221, H$1),
    SUMIFS(MRP!$J$2:$J$221, MRP!$B$2:$B$221, $C244,  MRP!$G$2:$G$221, H$1),
    SUMIFS(MRP!$K$2:$K$221, MRP!$B$2:$B$221, $C244,  MRP!$G$2:$G$221, H$1),
    SUMIFS(MRP!$L$2:$L$221, MRP!$B$2:$B$221, $C244,  MRP!$G$2:$G$221, H$1)
)*F244</f>
        <v>12000</v>
      </c>
      <c r="I244" s="40">
        <f>SUM(
    SUMIFS(MRP!$H$2:$H$221, MRP!$B$2:$B$221, $C244, MRP!$G$2:$G$221, I$1),
    SUMIFS(MRP!$I$2:$I$221, MRP!$B$2:$B$221, $C244, MRP!$G$2:$G$221, I$1),
    SUMIFS(MRP!$J$2:$J$221, MRP!$B$2:$B$221, $C244,  MRP!$G$2:$G$221, I$1),
    SUMIFS(MRP!$K$2:$K$221, MRP!$B$2:$B$221, $C244,  MRP!$G$2:$G$221, I$1),
    SUMIFS(MRP!$L$2:$L$221, MRP!$B$2:$B$221, $C244,  MRP!$G$2:$G$221, I$1)
)*F244</f>
        <v>0</v>
      </c>
      <c r="J244" s="40">
        <f>SUM(
    SUMIFS(MRP!$H$2:$H$221, MRP!$B$2:$B$221, $C244, MRP!$G$2:$G$221, J$1),
    SUMIFS(MRP!$I$2:$I$221, MRP!$B$2:$B$221, $C244, MRP!$G$2:$G$221, J$1),
    SUMIFS(MRP!$J$2:$J$221, MRP!$B$2:$B$221, $C244,  MRP!$G$2:$G$221, J$1),
    SUMIFS(MRP!$K$2:$K$221, MRP!$B$2:$B$221, $C244,  MRP!$G$2:$G$221, J$1),
    SUMIFS(MRP!$L$2:$L$221, MRP!$B$2:$B$221, $C244,  MRP!$G$2:$G$221, J$1)
)*F244</f>
        <v>0</v>
      </c>
      <c r="K244" s="56">
        <f>SUM(
    SUMIFS(MRP!$H$2:$H$221, MRP!$B$2:$B$221, $C244, MRP!$G$2:$G$221, K$1),
    SUMIFS(MRP!$I$2:$I$221, MRP!$B$2:$B$221, $C244, MRP!$G$2:$G$221, K$1),
    SUMIFS(MRP!$J$2:$J$221, MRP!$B$2:$B$221, $C244,  MRP!$G$2:$G$221, K$1),
    SUMIFS(MRP!$K$2:$K$221, MRP!$B$2:$B$221, $C244,  MRP!$G$2:$G$221, K$1),
    SUMIFS(MRP!$L$2:$L$221, MRP!$B$2:$B$221, $C244,  MRP!$G$2:$G$221, K$1)
)*F244</f>
        <v>0</v>
      </c>
      <c r="L244" s="55" t="str">
        <f>TRIM(Tabla3[[#This Row],[CodInternoArti]])</f>
        <v>7790000000833</v>
      </c>
    </row>
    <row r="245" spans="1:12" hidden="1" x14ac:dyDescent="0.35">
      <c r="A245" s="41" t="str">
        <f>IF(ISNUMBER(_xlfn.XMATCH(Tabla3[[#This Row],[CodInternoArti]],'Tabla Articulos'!B:B)),"OK","NO ESTA")</f>
        <v>OK</v>
      </c>
      <c r="B245" s="29" t="str">
        <f>IF(ISNUMBER(_xlfn.XMATCH('Calcular necesidad'!E:E,'Necesidad por familia'!A:A)),"OK","NO ESTA")</f>
        <v>OK</v>
      </c>
      <c r="C245" s="36">
        <v>7790000000676</v>
      </c>
      <c r="D245" s="36" t="s">
        <v>453</v>
      </c>
      <c r="E245" s="36" t="str">
        <f>_xlfn.XLOOKUP(C245,'Tabla Articulos'!B:B,'Tabla Articulos'!D:D)</f>
        <v>VASO 8OZ BLUE</v>
      </c>
      <c r="F245" s="36">
        <f>_xlfn.XLOOKUP(C245,'Tabla Articulos'!B:B,'Tabla Articulos'!E:E)</f>
        <v>100</v>
      </c>
      <c r="G245" s="40">
        <f>SUM(
    SUMIFS(MRP!$H$2:$H$221, MRP!$B$2:$B$221, $C245, MRP!$G$2:$G$221, G$1),
    SUMIFS(MRP!$I$2:$I$221, MRP!$B$2:$B$221, $C245, MRP!$G$2:$G$221, G$1),
    SUMIFS(MRP!$J$2:$J$221, MRP!$B$2:$B$221, $C245,  MRP!$G$2:$G$221, G$1),
    SUMIFS(MRP!$K$2:$K$221, MRP!$B$2:$B$221, $C245,  MRP!$G$2:$G$221, G$1),
    SUMIFS(MRP!$L$2:$L$221, MRP!$B$2:$B$221, $C245,  MRP!$G$2:$G$221, G$1)
)*F245</f>
        <v>0</v>
      </c>
      <c r="H245" s="40">
        <f>SUM(
    SUMIFS(MRP!$H$2:$H$221, MRP!$B$2:$B$221, $C245, MRP!$G$2:$G$221, H$1),
    SUMIFS(MRP!$I$2:$I$221, MRP!$B$2:$B$221, $C245, MRP!$G$2:$G$221, H$1),
    SUMIFS(MRP!$J$2:$J$221, MRP!$B$2:$B$221, $C245,  MRP!$G$2:$G$221, H$1),
    SUMIFS(MRP!$K$2:$K$221, MRP!$B$2:$B$221, $C245,  MRP!$G$2:$G$221, H$1),
    SUMIFS(MRP!$L$2:$L$221, MRP!$B$2:$B$221, $C245,  MRP!$G$2:$G$221, H$1)
)*F245</f>
        <v>1000</v>
      </c>
      <c r="I245" s="40">
        <f>SUM(
    SUMIFS(MRP!$H$2:$H$221, MRP!$B$2:$B$221, $C245, MRP!$G$2:$G$221, I$1),
    SUMIFS(MRP!$I$2:$I$221, MRP!$B$2:$B$221, $C245, MRP!$G$2:$G$221, I$1),
    SUMIFS(MRP!$J$2:$J$221, MRP!$B$2:$B$221, $C245,  MRP!$G$2:$G$221, I$1),
    SUMIFS(MRP!$K$2:$K$221, MRP!$B$2:$B$221, $C245,  MRP!$G$2:$G$221, I$1),
    SUMIFS(MRP!$L$2:$L$221, MRP!$B$2:$B$221, $C245,  MRP!$G$2:$G$221, I$1)
)*F245</f>
        <v>0</v>
      </c>
      <c r="J245" s="40">
        <f>SUM(
    SUMIFS(MRP!$H$2:$H$221, MRP!$B$2:$B$221, $C245, MRP!$G$2:$G$221, J$1),
    SUMIFS(MRP!$I$2:$I$221, MRP!$B$2:$B$221, $C245, MRP!$G$2:$G$221, J$1),
    SUMIFS(MRP!$J$2:$J$221, MRP!$B$2:$B$221, $C245,  MRP!$G$2:$G$221, J$1),
    SUMIFS(MRP!$K$2:$K$221, MRP!$B$2:$B$221, $C245,  MRP!$G$2:$G$221, J$1),
    SUMIFS(MRP!$L$2:$L$221, MRP!$B$2:$B$221, $C245,  MRP!$G$2:$G$221, J$1)
)*F245</f>
        <v>0</v>
      </c>
      <c r="K245" s="56">
        <f>SUM(
    SUMIFS(MRP!$H$2:$H$221, MRP!$B$2:$B$221, $C245, MRP!$G$2:$G$221, K$1),
    SUMIFS(MRP!$I$2:$I$221, MRP!$B$2:$B$221, $C245, MRP!$G$2:$G$221, K$1),
    SUMIFS(MRP!$J$2:$J$221, MRP!$B$2:$B$221, $C245,  MRP!$G$2:$G$221, K$1),
    SUMIFS(MRP!$K$2:$K$221, MRP!$B$2:$B$221, $C245,  MRP!$G$2:$G$221, K$1),
    SUMIFS(MRP!$L$2:$L$221, MRP!$B$2:$B$221, $C245,  MRP!$G$2:$G$221, K$1)
)*F245</f>
        <v>0</v>
      </c>
      <c r="L245" s="55" t="str">
        <f>TRIM(Tabla3[[#This Row],[CodInternoArti]])</f>
        <v>7790000000676</v>
      </c>
    </row>
    <row r="246" spans="1:12" hidden="1" x14ac:dyDescent="0.35">
      <c r="A246" s="63" t="str">
        <f>IF(ISNUMBER(_xlfn.XMATCH(Tabla3[[#This Row],[CodInternoArti]],'Tabla Articulos'!B:B)),"OK","NO ESTA")</f>
        <v>OK</v>
      </c>
      <c r="B246" s="19" t="str">
        <f>IF(ISNUMBER(_xlfn.XMATCH('Calcular necesidad'!E:E,'Necesidad por familia'!A:A)),"OK","NO ESTA")</f>
        <v>OK</v>
      </c>
      <c r="C246" s="1">
        <v>7790000000711</v>
      </c>
      <c r="D246" s="1" t="s">
        <v>475</v>
      </c>
      <c r="E246" s="1" t="str">
        <f>_xlfn.XLOOKUP(C246,'Tabla Articulos'!B:B,'Tabla Articulos'!D:D)</f>
        <v>INDIVIDUAL BLUE ESPECIALIDAD</v>
      </c>
      <c r="F246" s="1">
        <f>_xlfn.XLOOKUP(C246,'Tabla Articulos'!B:B,'Tabla Articulos'!E:E)</f>
        <v>1000</v>
      </c>
      <c r="G246" s="15">
        <f>SUM(
    SUMIFS(MRP!$H$2:$H$221, MRP!$B$2:$B$221, $C246, MRP!$G$2:$G$221, G$1),
    SUMIFS(MRP!$I$2:$I$221, MRP!$B$2:$B$221, $C246, MRP!$G$2:$G$221, G$1),
    SUMIFS(MRP!$J$2:$J$221, MRP!$B$2:$B$221, $C246,  MRP!$G$2:$G$221, G$1),
    SUMIFS(MRP!$K$2:$K$221, MRP!$B$2:$B$221, $C246,  MRP!$G$2:$G$221, G$1),
    SUMIFS(MRP!$L$2:$L$221, MRP!$B$2:$B$221, $C246,  MRP!$G$2:$G$221, G$1)
)*F246</f>
        <v>0</v>
      </c>
      <c r="H246" s="15">
        <f>SUM(
    SUMIFS(MRP!$H$2:$H$221, MRP!$B$2:$B$221, $C246, MRP!$G$2:$G$221, H$1),
    SUMIFS(MRP!$I$2:$I$221, MRP!$B$2:$B$221, $C246, MRP!$G$2:$G$221, H$1),
    SUMIFS(MRP!$J$2:$J$221, MRP!$B$2:$B$221, $C246,  MRP!$G$2:$G$221, H$1),
    SUMIFS(MRP!$K$2:$K$221, MRP!$B$2:$B$221, $C246,  MRP!$G$2:$G$221, H$1),
    SUMIFS(MRP!$L$2:$L$221, MRP!$B$2:$B$221, $C246,  MRP!$G$2:$G$221, H$1)
)*F246</f>
        <v>2000</v>
      </c>
      <c r="I246" s="15">
        <f>SUM(
    SUMIFS(MRP!$H$2:$H$221, MRP!$B$2:$B$221, $C246, MRP!$G$2:$G$221, I$1),
    SUMIFS(MRP!$I$2:$I$221, MRP!$B$2:$B$221, $C246, MRP!$G$2:$G$221, I$1),
    SUMIFS(MRP!$J$2:$J$221, MRP!$B$2:$B$221, $C246,  MRP!$G$2:$G$221, I$1),
    SUMIFS(MRP!$K$2:$K$221, MRP!$B$2:$B$221, $C246,  MRP!$G$2:$G$221, I$1),
    SUMIFS(MRP!$L$2:$L$221, MRP!$B$2:$B$221, $C246,  MRP!$G$2:$G$221, I$1)
)*F246</f>
        <v>0</v>
      </c>
      <c r="J246" s="15">
        <f>SUM(
    SUMIFS(MRP!$H$2:$H$221, MRP!$B$2:$B$221, $C246, MRP!$G$2:$G$221, J$1),
    SUMIFS(MRP!$I$2:$I$221, MRP!$B$2:$B$221, $C246, MRP!$G$2:$G$221, J$1),
    SUMIFS(MRP!$J$2:$J$221, MRP!$B$2:$B$221, $C246,  MRP!$G$2:$G$221, J$1),
    SUMIFS(MRP!$K$2:$K$221, MRP!$B$2:$B$221, $C246,  MRP!$G$2:$G$221, J$1),
    SUMIFS(MRP!$L$2:$L$221, MRP!$B$2:$B$221, $C246,  MRP!$G$2:$G$221, J$1)
)*F246</f>
        <v>0</v>
      </c>
      <c r="K246" s="64">
        <f>SUM(
    SUMIFS(MRP!$H$2:$H$221, MRP!$B$2:$B$221, $C246, MRP!$G$2:$G$221, K$1),
    SUMIFS(MRP!$I$2:$I$221, MRP!$B$2:$B$221, $C246, MRP!$G$2:$G$221, K$1),
    SUMIFS(MRP!$J$2:$J$221, MRP!$B$2:$B$221, $C246,  MRP!$G$2:$G$221, K$1),
    SUMIFS(MRP!$K$2:$K$221, MRP!$B$2:$B$221, $C246,  MRP!$G$2:$G$221, K$1),
    SUMIFS(MRP!$L$2:$L$221, MRP!$B$2:$B$221, $C246,  MRP!$G$2:$G$221, K$1)
)*F246</f>
        <v>0</v>
      </c>
      <c r="L246" s="55" t="str">
        <f>TRIM(Tabla3[[#This Row],[CodInternoArti]])</f>
        <v>7790000000711</v>
      </c>
    </row>
    <row r="247" spans="1:12" hidden="1" x14ac:dyDescent="0.35">
      <c r="A247" s="41" t="str">
        <f>IF(ISNUMBER(_xlfn.XMATCH(Tabla3[[#This Row],[CodInternoArti]],'Tabla Articulos'!B:B)),"OK","NO ESTA")</f>
        <v>OK</v>
      </c>
      <c r="B247" s="29" t="str">
        <f>IF(ISNUMBER(_xlfn.XMATCH('Calcular necesidad'!E:E,'Necesidad por familia'!A:A)),"OK","NO ESTA")</f>
        <v>OK</v>
      </c>
      <c r="C247" s="36">
        <v>714604111788</v>
      </c>
      <c r="D247" s="1" t="s">
        <v>476</v>
      </c>
      <c r="E247" s="36" t="str">
        <f>_xlfn.XLOOKUP(C247,'Tabla Articulos'!B:B,'Tabla Articulos'!D:D)</f>
        <v>CUCHILLO DESCARTABLE</v>
      </c>
      <c r="F247" s="36">
        <f>_xlfn.XLOOKUP(C247,'Tabla Articulos'!B:B,'Tabla Articulos'!E:E)</f>
        <v>1000</v>
      </c>
      <c r="G247" s="40">
        <f>SUM(
    SUMIFS(MRP!$H$2:$H$221, MRP!$B$2:$B$221, $C247, MRP!$G$2:$G$221, G$1),
    SUMIFS(MRP!$I$2:$I$221, MRP!$B$2:$B$221, $C247, MRP!$G$2:$G$221, G$1),
    SUMIFS(MRP!$J$2:$J$221, MRP!$B$2:$B$221, $C247,  MRP!$G$2:$G$221, G$1),
    SUMIFS(MRP!$K$2:$K$221, MRP!$B$2:$B$221, $C247,  MRP!$G$2:$G$221, G$1),
    SUMIFS(MRP!$L$2:$L$221, MRP!$B$2:$B$221, $C247,  MRP!$G$2:$G$221, G$1)
)*F247</f>
        <v>0</v>
      </c>
      <c r="H247" s="40">
        <f>SUM(
    SUMIFS(MRP!$H$2:$H$221, MRP!$B$2:$B$221, $C247, MRP!$G$2:$G$221, H$1),
    SUMIFS(MRP!$I$2:$I$221, MRP!$B$2:$B$221, $C247, MRP!$G$2:$G$221, H$1),
    SUMIFS(MRP!$J$2:$J$221, MRP!$B$2:$B$221, $C247,  MRP!$G$2:$G$221, H$1),
    SUMIFS(MRP!$K$2:$K$221, MRP!$B$2:$B$221, $C247,  MRP!$G$2:$G$221, H$1),
    SUMIFS(MRP!$L$2:$L$221, MRP!$B$2:$B$221, $C247,  MRP!$G$2:$G$221, H$1)
)*F247</f>
        <v>2000</v>
      </c>
      <c r="I247" s="40">
        <f>SUM(
    SUMIFS(MRP!$H$2:$H$221, MRP!$B$2:$B$221, $C247, MRP!$G$2:$G$221, I$1),
    SUMIFS(MRP!$I$2:$I$221, MRP!$B$2:$B$221, $C247, MRP!$G$2:$G$221, I$1),
    SUMIFS(MRP!$J$2:$J$221, MRP!$B$2:$B$221, $C247,  MRP!$G$2:$G$221, I$1),
    SUMIFS(MRP!$K$2:$K$221, MRP!$B$2:$B$221, $C247,  MRP!$G$2:$G$221, I$1),
    SUMIFS(MRP!$L$2:$L$221, MRP!$B$2:$B$221, $C247,  MRP!$G$2:$G$221, I$1)
)*F247</f>
        <v>0</v>
      </c>
      <c r="J247" s="40">
        <f>SUM(
    SUMIFS(MRP!$H$2:$H$221, MRP!$B$2:$B$221, $C247, MRP!$G$2:$G$221, J$1),
    SUMIFS(MRP!$I$2:$I$221, MRP!$B$2:$B$221, $C247, MRP!$G$2:$G$221, J$1),
    SUMIFS(MRP!$J$2:$J$221, MRP!$B$2:$B$221, $C247,  MRP!$G$2:$G$221, J$1),
    SUMIFS(MRP!$K$2:$K$221, MRP!$B$2:$B$221, $C247,  MRP!$G$2:$G$221, J$1),
    SUMIFS(MRP!$L$2:$L$221, MRP!$B$2:$B$221, $C247,  MRP!$G$2:$G$221, J$1)
)*F247</f>
        <v>0</v>
      </c>
      <c r="K247" s="56">
        <f>SUM(
    SUMIFS(MRP!$H$2:$H$221, MRP!$B$2:$B$221, $C247, MRP!$G$2:$G$221, K$1),
    SUMIFS(MRP!$I$2:$I$221, MRP!$B$2:$B$221, $C247, MRP!$G$2:$G$221, K$1),
    SUMIFS(MRP!$J$2:$J$221, MRP!$B$2:$B$221, $C247,  MRP!$G$2:$G$221, K$1),
    SUMIFS(MRP!$K$2:$K$221, MRP!$B$2:$B$221, $C247,  MRP!$G$2:$G$221, K$1),
    SUMIFS(MRP!$L$2:$L$221, MRP!$B$2:$B$221, $C247,  MRP!$G$2:$G$221, K$1)
)*F247</f>
        <v>0</v>
      </c>
      <c r="L247" s="55" t="str">
        <f>TRIM(Tabla3[[#This Row],[CodInternoArti]])</f>
        <v>714604111788</v>
      </c>
    </row>
    <row r="248" spans="1:12" hidden="1" x14ac:dyDescent="0.35">
      <c r="A248" s="41" t="str">
        <f>IF(ISNUMBER(_xlfn.XMATCH(Tabla3[[#This Row],[CodInternoArti]],'Tabla Articulos'!B:B)),"OK","NO ESTA")</f>
        <v>OK</v>
      </c>
      <c r="B248" s="29" t="str">
        <f>IF(ISNUMBER(_xlfn.XMATCH('Calcular necesidad'!E:E,'Necesidad por familia'!A:A)),"OK","NO ESTA")</f>
        <v>OK</v>
      </c>
      <c r="C248" s="36">
        <v>714604111849</v>
      </c>
      <c r="D248" s="1" t="s">
        <v>483</v>
      </c>
      <c r="E248" s="36" t="str">
        <f>_xlfn.XLOOKUP(C248,'Tabla Articulos'!B:B,'Tabla Articulos'!D:D)</f>
        <v>CUCHARA SUNDAE</v>
      </c>
      <c r="F248" s="36">
        <f>_xlfn.XLOOKUP(C248,'Tabla Articulos'!B:B,'Tabla Articulos'!E:E)</f>
        <v>1000</v>
      </c>
      <c r="G248" s="40">
        <f>SUM(
    SUMIFS(MRP!$H$2:$H$221, MRP!$B$2:$B$221, $C248, MRP!$G$2:$G$221, G$1),
    SUMIFS(MRP!$I$2:$I$221, MRP!$B$2:$B$221, $C248, MRP!$G$2:$G$221, G$1),
    SUMIFS(MRP!$J$2:$J$221, MRP!$B$2:$B$221, $C248,  MRP!$G$2:$G$221, G$1),
    SUMIFS(MRP!$K$2:$K$221, MRP!$B$2:$B$221, $C248,  MRP!$G$2:$G$221, G$1),
    SUMIFS(MRP!$L$2:$L$221, MRP!$B$2:$B$221, $C248,  MRP!$G$2:$G$221, G$1)
)*F248</f>
        <v>0</v>
      </c>
      <c r="H248" s="40">
        <f>SUM(
    SUMIFS(MRP!$H$2:$H$221, MRP!$B$2:$B$221, $C248, MRP!$G$2:$G$221, H$1),
    SUMIFS(MRP!$I$2:$I$221, MRP!$B$2:$B$221, $C248, MRP!$G$2:$G$221, H$1),
    SUMIFS(MRP!$J$2:$J$221, MRP!$B$2:$B$221, $C248,  MRP!$G$2:$G$221, H$1),
    SUMIFS(MRP!$K$2:$K$221, MRP!$B$2:$B$221, $C248,  MRP!$G$2:$G$221, H$1),
    SUMIFS(MRP!$L$2:$L$221, MRP!$B$2:$B$221, $C248,  MRP!$G$2:$G$221, H$1)
)*F248</f>
        <v>1000</v>
      </c>
      <c r="I248" s="40">
        <f>SUM(
    SUMIFS(MRP!$H$2:$H$221, MRP!$B$2:$B$221, $C248, MRP!$G$2:$G$221, I$1),
    SUMIFS(MRP!$I$2:$I$221, MRP!$B$2:$B$221, $C248, MRP!$G$2:$G$221, I$1),
    SUMIFS(MRP!$J$2:$J$221, MRP!$B$2:$B$221, $C248,  MRP!$G$2:$G$221, I$1),
    SUMIFS(MRP!$K$2:$K$221, MRP!$B$2:$B$221, $C248,  MRP!$G$2:$G$221, I$1),
    SUMIFS(MRP!$L$2:$L$221, MRP!$B$2:$B$221, $C248,  MRP!$G$2:$G$221, I$1)
)*F248</f>
        <v>0</v>
      </c>
      <c r="J248" s="40">
        <f>SUM(
    SUMIFS(MRP!$H$2:$H$221, MRP!$B$2:$B$221, $C248, MRP!$G$2:$G$221, J$1),
    SUMIFS(MRP!$I$2:$I$221, MRP!$B$2:$B$221, $C248, MRP!$G$2:$G$221, J$1),
    SUMIFS(MRP!$J$2:$J$221, MRP!$B$2:$B$221, $C248,  MRP!$G$2:$G$221, J$1),
    SUMIFS(MRP!$K$2:$K$221, MRP!$B$2:$B$221, $C248,  MRP!$G$2:$G$221, J$1),
    SUMIFS(MRP!$L$2:$L$221, MRP!$B$2:$B$221, $C248,  MRP!$G$2:$G$221, J$1)
)*F248</f>
        <v>0</v>
      </c>
      <c r="K248" s="56">
        <f>SUM(
    SUMIFS(MRP!$H$2:$H$221, MRP!$B$2:$B$221, $C248, MRP!$G$2:$G$221, K$1),
    SUMIFS(MRP!$I$2:$I$221, MRP!$B$2:$B$221, $C248, MRP!$G$2:$G$221, K$1),
    SUMIFS(MRP!$J$2:$J$221, MRP!$B$2:$B$221, $C248,  MRP!$G$2:$G$221, K$1),
    SUMIFS(MRP!$K$2:$K$221, MRP!$B$2:$B$221, $C248,  MRP!$G$2:$G$221, K$1),
    SUMIFS(MRP!$L$2:$L$221, MRP!$B$2:$B$221, $C248,  MRP!$G$2:$G$221, K$1)
)*F248</f>
        <v>0</v>
      </c>
      <c r="L248" s="55" t="str">
        <f>TRIM(Tabla3[[#This Row],[CodInternoArti]])</f>
        <v>714604111849</v>
      </c>
    </row>
    <row r="249" spans="1:12" hidden="1" x14ac:dyDescent="0.35">
      <c r="A249" s="63" t="str">
        <f>IF(ISNUMBER(_xlfn.XMATCH(Tabla3[[#This Row],[CodInternoArti]],'Tabla Articulos'!B:B)),"OK","NO ESTA")</f>
        <v>OK</v>
      </c>
      <c r="B249" s="19" t="str">
        <f>IF(ISNUMBER(_xlfn.XMATCH('Calcular necesidad'!E:E,'Necesidad por familia'!A:A)),"OK","NO ESTA")</f>
        <v>OK</v>
      </c>
      <c r="C249" s="1">
        <v>7790000000904</v>
      </c>
      <c r="D249" s="1" t="s">
        <v>485</v>
      </c>
      <c r="E249" s="1" t="str">
        <f>_xlfn.XLOOKUP(C249,'Tabla Articulos'!B:B,'Tabla Articulos'!D:D)</f>
        <v>MANGA TERMICA BLUE</v>
      </c>
      <c r="F249" s="1">
        <f>_xlfn.XLOOKUP(C249,'Tabla Articulos'!B:B,'Tabla Articulos'!E:E)</f>
        <v>1</v>
      </c>
      <c r="G249" s="15">
        <f>SUM(
    SUMIFS(MRP!$H$2:$H$221, MRP!$B$2:$B$221, $C249, MRP!$G$2:$G$221, G$1),
    SUMIFS(MRP!$I$2:$I$221, MRP!$B$2:$B$221, $C249, MRP!$G$2:$G$221, G$1),
    SUMIFS(MRP!$J$2:$J$221, MRP!$B$2:$B$221, $C249,  MRP!$G$2:$G$221, G$1),
    SUMIFS(MRP!$K$2:$K$221, MRP!$B$2:$B$221, $C249,  MRP!$G$2:$G$221, G$1),
    SUMIFS(MRP!$L$2:$L$221, MRP!$B$2:$B$221, $C249,  MRP!$G$2:$G$221, G$1)
)*F249</f>
        <v>0</v>
      </c>
      <c r="H249" s="15">
        <f>SUM(
    SUMIFS(MRP!$H$2:$H$221, MRP!$B$2:$B$221, $C249, MRP!$G$2:$G$221, H$1),
    SUMIFS(MRP!$I$2:$I$221, MRP!$B$2:$B$221, $C249, MRP!$G$2:$G$221, H$1),
    SUMIFS(MRP!$J$2:$J$221, MRP!$B$2:$B$221, $C249,  MRP!$G$2:$G$221, H$1),
    SUMIFS(MRP!$K$2:$K$221, MRP!$B$2:$B$221, $C249,  MRP!$G$2:$G$221, H$1),
    SUMIFS(MRP!$L$2:$L$221, MRP!$B$2:$B$221, $C249,  MRP!$G$2:$G$221, H$1)
)*F249</f>
        <v>2</v>
      </c>
      <c r="I249" s="15">
        <f>SUM(
    SUMIFS(MRP!$H$2:$H$221, MRP!$B$2:$B$221, $C249, MRP!$G$2:$G$221, I$1),
    SUMIFS(MRP!$I$2:$I$221, MRP!$B$2:$B$221, $C249, MRP!$G$2:$G$221, I$1),
    SUMIFS(MRP!$J$2:$J$221, MRP!$B$2:$B$221, $C249,  MRP!$G$2:$G$221, I$1),
    SUMIFS(MRP!$K$2:$K$221, MRP!$B$2:$B$221, $C249,  MRP!$G$2:$G$221, I$1),
    SUMIFS(MRP!$L$2:$L$221, MRP!$B$2:$B$221, $C249,  MRP!$G$2:$G$221, I$1)
)*F249</f>
        <v>0</v>
      </c>
      <c r="J249" s="15">
        <f>SUM(
    SUMIFS(MRP!$H$2:$H$221, MRP!$B$2:$B$221, $C249, MRP!$G$2:$G$221, J$1),
    SUMIFS(MRP!$I$2:$I$221, MRP!$B$2:$B$221, $C249, MRP!$G$2:$G$221, J$1),
    SUMIFS(MRP!$J$2:$J$221, MRP!$B$2:$B$221, $C249,  MRP!$G$2:$G$221, J$1),
    SUMIFS(MRP!$K$2:$K$221, MRP!$B$2:$B$221, $C249,  MRP!$G$2:$G$221, J$1),
    SUMIFS(MRP!$L$2:$L$221, MRP!$B$2:$B$221, $C249,  MRP!$G$2:$G$221, J$1)
)*F249</f>
        <v>0</v>
      </c>
      <c r="K249" s="64">
        <f>SUM(
    SUMIFS(MRP!$H$2:$H$221, MRP!$B$2:$B$221, $C249, MRP!$G$2:$G$221, K$1),
    SUMIFS(MRP!$I$2:$I$221, MRP!$B$2:$B$221, $C249, MRP!$G$2:$G$221, K$1),
    SUMIFS(MRP!$J$2:$J$221, MRP!$B$2:$B$221, $C249,  MRP!$G$2:$G$221, K$1),
    SUMIFS(MRP!$K$2:$K$221, MRP!$B$2:$B$221, $C249,  MRP!$G$2:$G$221, K$1),
    SUMIFS(MRP!$L$2:$L$221, MRP!$B$2:$B$221, $C249,  MRP!$G$2:$G$221, K$1)
)*F249</f>
        <v>0</v>
      </c>
      <c r="L249" s="55" t="str">
        <f>TRIM(Tabla3[[#This Row],[CodInternoArti]])</f>
        <v>7790000000904</v>
      </c>
    </row>
    <row r="250" spans="1:12" hidden="1" x14ac:dyDescent="0.35">
      <c r="A250" s="41" t="str">
        <f>IF(ISNUMBER(_xlfn.XMATCH(Tabla3[[#This Row],[CodInternoArti]],'Tabla Articulos'!B:B)),"OK","NO ESTA")</f>
        <v>OK</v>
      </c>
      <c r="B250" s="29" t="str">
        <f>IF(ISNUMBER(_xlfn.XMATCH('Calcular necesidad'!E:E,'Necesidad por familia'!A:A)),"OK","NO ESTA")</f>
        <v>OK</v>
      </c>
      <c r="C250" s="36">
        <v>7790000000897</v>
      </c>
      <c r="D250" s="1" t="s">
        <v>486</v>
      </c>
      <c r="E250" s="36" t="str">
        <f>_xlfn.XLOOKUP(C250,'Tabla Articulos'!B:B,'Tabla Articulos'!D:D)</f>
        <v>PORTA VASOS BLUE</v>
      </c>
      <c r="F250" s="36">
        <f>_xlfn.XLOOKUP(C250,'Tabla Articulos'!B:B,'Tabla Articulos'!E:E)</f>
        <v>100</v>
      </c>
      <c r="G250" s="40">
        <f>SUM(
    SUMIFS(MRP!$H$2:$H$221, MRP!$B$2:$B$221, $C250, MRP!$G$2:$G$221, G$1),
    SUMIFS(MRP!$I$2:$I$221, MRP!$B$2:$B$221, $C250, MRP!$G$2:$G$221, G$1),
    SUMIFS(MRP!$J$2:$J$221, MRP!$B$2:$B$221, $C250,  MRP!$G$2:$G$221, G$1),
    SUMIFS(MRP!$K$2:$K$221, MRP!$B$2:$B$221, $C250,  MRP!$G$2:$G$221, G$1),
    SUMIFS(MRP!$L$2:$L$221, MRP!$B$2:$B$221, $C250,  MRP!$G$2:$G$221, G$1)
)*F250</f>
        <v>0</v>
      </c>
      <c r="H250" s="40">
        <f>SUM(
    SUMIFS(MRP!$H$2:$H$221, MRP!$B$2:$B$221, $C250, MRP!$G$2:$G$221, H$1),
    SUMIFS(MRP!$I$2:$I$221, MRP!$B$2:$B$221, $C250, MRP!$G$2:$G$221, H$1),
    SUMIFS(MRP!$J$2:$J$221, MRP!$B$2:$B$221, $C250,  MRP!$G$2:$G$221, H$1),
    SUMIFS(MRP!$K$2:$K$221, MRP!$B$2:$B$221, $C250,  MRP!$G$2:$G$221, H$1),
    SUMIFS(MRP!$L$2:$L$221, MRP!$B$2:$B$221, $C250,  MRP!$G$2:$G$221, H$1)
)*F250</f>
        <v>900</v>
      </c>
      <c r="I250" s="40">
        <f>SUM(
    SUMIFS(MRP!$H$2:$H$221, MRP!$B$2:$B$221, $C250, MRP!$G$2:$G$221, I$1),
    SUMIFS(MRP!$I$2:$I$221, MRP!$B$2:$B$221, $C250, MRP!$G$2:$G$221, I$1),
    SUMIFS(MRP!$J$2:$J$221, MRP!$B$2:$B$221, $C250,  MRP!$G$2:$G$221, I$1),
    SUMIFS(MRP!$K$2:$K$221, MRP!$B$2:$B$221, $C250,  MRP!$G$2:$G$221, I$1),
    SUMIFS(MRP!$L$2:$L$221, MRP!$B$2:$B$221, $C250,  MRP!$G$2:$G$221, I$1)
)*F250</f>
        <v>0</v>
      </c>
      <c r="J250" s="40">
        <f>SUM(
    SUMIFS(MRP!$H$2:$H$221, MRP!$B$2:$B$221, $C250, MRP!$G$2:$G$221, J$1),
    SUMIFS(MRP!$I$2:$I$221, MRP!$B$2:$B$221, $C250, MRP!$G$2:$G$221, J$1),
    SUMIFS(MRP!$J$2:$J$221, MRP!$B$2:$B$221, $C250,  MRP!$G$2:$G$221, J$1),
    SUMIFS(MRP!$K$2:$K$221, MRP!$B$2:$B$221, $C250,  MRP!$G$2:$G$221, J$1),
    SUMIFS(MRP!$L$2:$L$221, MRP!$B$2:$B$221, $C250,  MRP!$G$2:$G$221, J$1)
)*F250</f>
        <v>0</v>
      </c>
      <c r="K250" s="56">
        <f>SUM(
    SUMIFS(MRP!$H$2:$H$221, MRP!$B$2:$B$221, $C250, MRP!$G$2:$G$221, K$1),
    SUMIFS(MRP!$I$2:$I$221, MRP!$B$2:$B$221, $C250, MRP!$G$2:$G$221, K$1),
    SUMIFS(MRP!$J$2:$J$221, MRP!$B$2:$B$221, $C250,  MRP!$G$2:$G$221, K$1),
    SUMIFS(MRP!$K$2:$K$221, MRP!$B$2:$B$221, $C250,  MRP!$G$2:$G$221, K$1),
    SUMIFS(MRP!$L$2:$L$221, MRP!$B$2:$B$221, $C250,  MRP!$G$2:$G$221, K$1)
)*F250</f>
        <v>0</v>
      </c>
      <c r="L250" s="55" t="str">
        <f>TRIM(Tabla3[[#This Row],[CodInternoArti]])</f>
        <v>7790000000897</v>
      </c>
    </row>
    <row r="251" spans="1:12" hidden="1" x14ac:dyDescent="0.35">
      <c r="A251" s="41" t="str">
        <f>IF(ISNUMBER(_xlfn.XMATCH(Tabla3[[#This Row],[CodInternoArti]],'Tabla Articulos'!B:B)),"OK","NO ESTA")</f>
        <v>OK</v>
      </c>
      <c r="B251" s="29" t="str">
        <f>IF(ISNUMBER(_xlfn.XMATCH('Calcular necesidad'!E:E,'Necesidad por familia'!A:A)),"OK","NO ESTA")</f>
        <v>OK</v>
      </c>
      <c r="C251" s="36">
        <v>7790000000710</v>
      </c>
      <c r="D251" s="1" t="s">
        <v>494</v>
      </c>
      <c r="E251" s="36" t="str">
        <f>_xlfn.XLOOKUP(C251,'Tabla Articulos'!B:B,'Tabla Articulos'!D:D)</f>
        <v>INDIVIDUAL BLUE PERFECTO</v>
      </c>
      <c r="F251" s="36">
        <f>_xlfn.XLOOKUP(C251,'Tabla Articulos'!B:B,'Tabla Articulos'!E:E)</f>
        <v>1000</v>
      </c>
      <c r="G251" s="40">
        <f>SUM(
    SUMIFS(MRP!$H$2:$H$221, MRP!$B$2:$B$221, $C251, MRP!$G$2:$G$221, G$1),
    SUMIFS(MRP!$I$2:$I$221, MRP!$B$2:$B$221, $C251, MRP!$G$2:$G$221, G$1),
    SUMIFS(MRP!$J$2:$J$221, MRP!$B$2:$B$221, $C251,  MRP!$G$2:$G$221, G$1),
    SUMIFS(MRP!$K$2:$K$221, MRP!$B$2:$B$221, $C251,  MRP!$G$2:$G$221, G$1),
    SUMIFS(MRP!$L$2:$L$221, MRP!$B$2:$B$221, $C251,  MRP!$G$2:$G$221, G$1)
)*F251</f>
        <v>0</v>
      </c>
      <c r="H251" s="40">
        <f>SUM(
    SUMIFS(MRP!$H$2:$H$221, MRP!$B$2:$B$221, $C251, MRP!$G$2:$G$221, H$1),
    SUMIFS(MRP!$I$2:$I$221, MRP!$B$2:$B$221, $C251, MRP!$G$2:$G$221, H$1),
    SUMIFS(MRP!$J$2:$J$221, MRP!$B$2:$B$221, $C251,  MRP!$G$2:$G$221, H$1),
    SUMIFS(MRP!$K$2:$K$221, MRP!$B$2:$B$221, $C251,  MRP!$G$2:$G$221, H$1),
    SUMIFS(MRP!$L$2:$L$221, MRP!$B$2:$B$221, $C251,  MRP!$G$2:$G$221, H$1)
)*F251</f>
        <v>2000</v>
      </c>
      <c r="I251" s="40">
        <f>SUM(
    SUMIFS(MRP!$H$2:$H$221, MRP!$B$2:$B$221, $C251, MRP!$G$2:$G$221, I$1),
    SUMIFS(MRP!$I$2:$I$221, MRP!$B$2:$B$221, $C251, MRP!$G$2:$G$221, I$1),
    SUMIFS(MRP!$J$2:$J$221, MRP!$B$2:$B$221, $C251,  MRP!$G$2:$G$221, I$1),
    SUMIFS(MRP!$K$2:$K$221, MRP!$B$2:$B$221, $C251,  MRP!$G$2:$G$221, I$1),
    SUMIFS(MRP!$L$2:$L$221, MRP!$B$2:$B$221, $C251,  MRP!$G$2:$G$221, I$1)
)*F251</f>
        <v>0</v>
      </c>
      <c r="J251" s="40">
        <f>SUM(
    SUMIFS(MRP!$H$2:$H$221, MRP!$B$2:$B$221, $C251, MRP!$G$2:$G$221, J$1),
    SUMIFS(MRP!$I$2:$I$221, MRP!$B$2:$B$221, $C251, MRP!$G$2:$G$221, J$1),
    SUMIFS(MRP!$J$2:$J$221, MRP!$B$2:$B$221, $C251,  MRP!$G$2:$G$221, J$1),
    SUMIFS(MRP!$K$2:$K$221, MRP!$B$2:$B$221, $C251,  MRP!$G$2:$G$221, J$1),
    SUMIFS(MRP!$L$2:$L$221, MRP!$B$2:$B$221, $C251,  MRP!$G$2:$G$221, J$1)
)*F251</f>
        <v>0</v>
      </c>
      <c r="K251" s="56">
        <f>SUM(
    SUMIFS(MRP!$H$2:$H$221, MRP!$B$2:$B$221, $C251, MRP!$G$2:$G$221, K$1),
    SUMIFS(MRP!$I$2:$I$221, MRP!$B$2:$B$221, $C251, MRP!$G$2:$G$221, K$1),
    SUMIFS(MRP!$J$2:$J$221, MRP!$B$2:$B$221, $C251,  MRP!$G$2:$G$221, K$1),
    SUMIFS(MRP!$K$2:$K$221, MRP!$B$2:$B$221, $C251,  MRP!$G$2:$G$221, K$1),
    SUMIFS(MRP!$L$2:$L$221, MRP!$B$2:$B$221, $C251,  MRP!$G$2:$G$221, K$1)
)*F251</f>
        <v>0</v>
      </c>
      <c r="L251" s="55" t="str">
        <f>TRIM(Tabla3[[#This Row],[CodInternoArti]])</f>
        <v>7790000000710</v>
      </c>
    </row>
    <row r="252" spans="1:12" hidden="1" x14ac:dyDescent="0.35">
      <c r="A252" s="41" t="str">
        <f>IF(ISNUMBER(_xlfn.XMATCH(Tabla3[[#This Row],[CodInternoArti]],'Tabla Articulos'!B:B)),"OK","NO ESTA")</f>
        <v>OK</v>
      </c>
      <c r="B252" s="29" t="str">
        <f>IF(ISNUMBER(_xlfn.XMATCH('Calcular necesidad'!E:E,'Necesidad por familia'!A:A)),"OK","NO ESTA")</f>
        <v>OK</v>
      </c>
      <c r="C252" s="36">
        <v>7790000000902</v>
      </c>
      <c r="D252" s="1" t="s">
        <v>478</v>
      </c>
      <c r="E252" s="36" t="str">
        <f>_xlfn.XLOOKUP(C252,'Tabla Articulos'!B:B,'Tabla Articulos'!D:D)</f>
        <v>BOLSA KRAFT FM8 BLUE</v>
      </c>
      <c r="F252" s="36">
        <f>_xlfn.XLOOKUP(C252,'Tabla Articulos'!B:B,'Tabla Articulos'!E:E)</f>
        <v>100</v>
      </c>
      <c r="G252" s="40">
        <f>SUM(
    SUMIFS(MRP!$H$2:$H$221, MRP!$B$2:$B$221, $C252, MRP!$G$2:$G$221, G$1),
    SUMIFS(MRP!$I$2:$I$221, MRP!$B$2:$B$221, $C252, MRP!$G$2:$G$221, G$1),
    SUMIFS(MRP!$J$2:$J$221, MRP!$B$2:$B$221, $C252,  MRP!$G$2:$G$221, G$1),
    SUMIFS(MRP!$K$2:$K$221, MRP!$B$2:$B$221, $C252,  MRP!$G$2:$G$221, G$1),
    SUMIFS(MRP!$L$2:$L$221, MRP!$B$2:$B$221, $C252,  MRP!$G$2:$G$221, G$1)
)*F252</f>
        <v>0</v>
      </c>
      <c r="H252" s="40">
        <f>SUM(
    SUMIFS(MRP!$H$2:$H$221, MRP!$B$2:$B$221, $C252, MRP!$G$2:$G$221, H$1),
    SUMIFS(MRP!$I$2:$I$221, MRP!$B$2:$B$221, $C252, MRP!$G$2:$G$221, H$1),
    SUMIFS(MRP!$J$2:$J$221, MRP!$B$2:$B$221, $C252,  MRP!$G$2:$G$221, H$1),
    SUMIFS(MRP!$K$2:$K$221, MRP!$B$2:$B$221, $C252,  MRP!$G$2:$G$221, H$1),
    SUMIFS(MRP!$L$2:$L$221, MRP!$B$2:$B$221, $C252,  MRP!$G$2:$G$221, H$1)
)*F252</f>
        <v>400</v>
      </c>
      <c r="I252" s="40">
        <f>SUM(
    SUMIFS(MRP!$H$2:$H$221, MRP!$B$2:$B$221, $C252, MRP!$G$2:$G$221, I$1),
    SUMIFS(MRP!$I$2:$I$221, MRP!$B$2:$B$221, $C252, MRP!$G$2:$G$221, I$1),
    SUMIFS(MRP!$J$2:$J$221, MRP!$B$2:$B$221, $C252,  MRP!$G$2:$G$221, I$1),
    SUMIFS(MRP!$K$2:$K$221, MRP!$B$2:$B$221, $C252,  MRP!$G$2:$G$221, I$1),
    SUMIFS(MRP!$L$2:$L$221, MRP!$B$2:$B$221, $C252,  MRP!$G$2:$G$221, I$1)
)*F252</f>
        <v>0</v>
      </c>
      <c r="J252" s="40">
        <f>SUM(
    SUMIFS(MRP!$H$2:$H$221, MRP!$B$2:$B$221, $C252, MRP!$G$2:$G$221, J$1),
    SUMIFS(MRP!$I$2:$I$221, MRP!$B$2:$B$221, $C252, MRP!$G$2:$G$221, J$1),
    SUMIFS(MRP!$J$2:$J$221, MRP!$B$2:$B$221, $C252,  MRP!$G$2:$G$221, J$1),
    SUMIFS(MRP!$K$2:$K$221, MRP!$B$2:$B$221, $C252,  MRP!$G$2:$G$221, J$1),
    SUMIFS(MRP!$L$2:$L$221, MRP!$B$2:$B$221, $C252,  MRP!$G$2:$G$221, J$1)
)*F252</f>
        <v>0</v>
      </c>
      <c r="K252" s="56">
        <f>SUM(
    SUMIFS(MRP!$H$2:$H$221, MRP!$B$2:$B$221, $C252, MRP!$G$2:$G$221, K$1),
    SUMIFS(MRP!$I$2:$I$221, MRP!$B$2:$B$221, $C252, MRP!$G$2:$G$221, K$1),
    SUMIFS(MRP!$J$2:$J$221, MRP!$B$2:$B$221, $C252,  MRP!$G$2:$G$221, K$1),
    SUMIFS(MRP!$K$2:$K$221, MRP!$B$2:$B$221, $C252,  MRP!$G$2:$G$221, K$1),
    SUMIFS(MRP!$L$2:$L$221, MRP!$B$2:$B$221, $C252,  MRP!$G$2:$G$221, K$1)
)*F252</f>
        <v>400</v>
      </c>
      <c r="L252" s="55" t="str">
        <f>TRIM(Tabla3[[#This Row],[CodInternoArti]])</f>
        <v>7790000000902</v>
      </c>
    </row>
    <row r="253" spans="1:12" hidden="1" x14ac:dyDescent="0.35">
      <c r="A253" s="63" t="str">
        <f>IF(ISNUMBER(_xlfn.XMATCH(Tabla3[[#This Row],[CodInternoArti]],'Tabla Articulos'!B:B)),"OK","NO ESTA")</f>
        <v>OK</v>
      </c>
      <c r="B253" s="19" t="str">
        <f>IF(ISNUMBER(_xlfn.XMATCH('Calcular necesidad'!E:E,'Necesidad por familia'!A:A)),"OK","NO ESTA")</f>
        <v>OK</v>
      </c>
      <c r="C253" s="1">
        <v>7790000000899</v>
      </c>
      <c r="D253" s="1" t="s">
        <v>502</v>
      </c>
      <c r="E253" s="1" t="str">
        <f>_xlfn.XLOOKUP(C253,'Tabla Articulos'!B:B,'Tabla Articulos'!D:D)</f>
        <v>TAPA 12 OZ BLUE</v>
      </c>
      <c r="F253" s="1">
        <f>_xlfn.XLOOKUP(C253,'Tabla Articulos'!B:B,'Tabla Articulos'!E:E)</f>
        <v>1</v>
      </c>
      <c r="G253" s="15">
        <f>SUM(
    SUMIFS(MRP!$H$2:$H$221, MRP!$B$2:$B$221, $C253, MRP!$G$2:$G$221, G$1),
    SUMIFS(MRP!$I$2:$I$221, MRP!$B$2:$B$221, $C253, MRP!$G$2:$G$221, G$1),
    SUMIFS(MRP!$J$2:$J$221, MRP!$B$2:$B$221, $C253,  MRP!$G$2:$G$221, G$1),
    SUMIFS(MRP!$K$2:$K$221, MRP!$B$2:$B$221, $C253,  MRP!$G$2:$G$221, G$1),
    SUMIFS(MRP!$L$2:$L$221, MRP!$B$2:$B$221, $C253,  MRP!$G$2:$G$221, G$1)
)*F253</f>
        <v>0</v>
      </c>
      <c r="H253" s="15">
        <f>SUM(
    SUMIFS(MRP!$H$2:$H$221, MRP!$B$2:$B$221, $C253, MRP!$G$2:$G$221, H$1),
    SUMIFS(MRP!$I$2:$I$221, MRP!$B$2:$B$221, $C253, MRP!$G$2:$G$221, H$1),
    SUMIFS(MRP!$J$2:$J$221, MRP!$B$2:$B$221, $C253,  MRP!$G$2:$G$221, H$1),
    SUMIFS(MRP!$K$2:$K$221, MRP!$B$2:$B$221, $C253,  MRP!$G$2:$G$221, H$1),
    SUMIFS(MRP!$L$2:$L$221, MRP!$B$2:$B$221, $C253,  MRP!$G$2:$G$221, H$1)
)*F253</f>
        <v>2100</v>
      </c>
      <c r="I253" s="15">
        <f>SUM(
    SUMIFS(MRP!$H$2:$H$221, MRP!$B$2:$B$221, $C253, MRP!$G$2:$G$221, I$1),
    SUMIFS(MRP!$I$2:$I$221, MRP!$B$2:$B$221, $C253, MRP!$G$2:$G$221, I$1),
    SUMIFS(MRP!$J$2:$J$221, MRP!$B$2:$B$221, $C253,  MRP!$G$2:$G$221, I$1),
    SUMIFS(MRP!$K$2:$K$221, MRP!$B$2:$B$221, $C253,  MRP!$G$2:$G$221, I$1),
    SUMIFS(MRP!$L$2:$L$221, MRP!$B$2:$B$221, $C253,  MRP!$G$2:$G$221, I$1)
)*F253</f>
        <v>0</v>
      </c>
      <c r="J253" s="15">
        <f>SUM(
    SUMIFS(MRP!$H$2:$H$221, MRP!$B$2:$B$221, $C253, MRP!$G$2:$G$221, J$1),
    SUMIFS(MRP!$I$2:$I$221, MRP!$B$2:$B$221, $C253, MRP!$G$2:$G$221, J$1),
    SUMIFS(MRP!$J$2:$J$221, MRP!$B$2:$B$221, $C253,  MRP!$G$2:$G$221, J$1),
    SUMIFS(MRP!$K$2:$K$221, MRP!$B$2:$B$221, $C253,  MRP!$G$2:$G$221, J$1),
    SUMIFS(MRP!$L$2:$L$221, MRP!$B$2:$B$221, $C253,  MRP!$G$2:$G$221, J$1)
)*F253</f>
        <v>0</v>
      </c>
      <c r="K253" s="64">
        <f>SUM(
    SUMIFS(MRP!$H$2:$H$221, MRP!$B$2:$B$221, $C253, MRP!$G$2:$G$221, K$1),
    SUMIFS(MRP!$I$2:$I$221, MRP!$B$2:$B$221, $C253, MRP!$G$2:$G$221, K$1),
    SUMIFS(MRP!$J$2:$J$221, MRP!$B$2:$B$221, $C253,  MRP!$G$2:$G$221, K$1),
    SUMIFS(MRP!$K$2:$K$221, MRP!$B$2:$B$221, $C253,  MRP!$G$2:$G$221, K$1),
    SUMIFS(MRP!$L$2:$L$221, MRP!$B$2:$B$221, $C253,  MRP!$G$2:$G$221, K$1)
)*F253</f>
        <v>0</v>
      </c>
      <c r="L253" s="55" t="str">
        <f>TRIM(Tabla3[[#This Row],[CodInternoArti]])</f>
        <v>7790000000899</v>
      </c>
    </row>
    <row r="254" spans="1:12" hidden="1" x14ac:dyDescent="0.35">
      <c r="A254" s="41" t="str">
        <f>IF(ISNUMBER(_xlfn.XMATCH(Tabla3[[#This Row],[CodInternoArti]],'Tabla Articulos'!B:B)),"OK","NO ESTA")</f>
        <v>OK</v>
      </c>
      <c r="B254" s="29" t="str">
        <f>IF(ISNUMBER(_xlfn.XMATCH('Calcular necesidad'!E:E,'Necesidad por familia'!A:A)),"OK","NO ESTA")</f>
        <v>OK</v>
      </c>
      <c r="C254" s="36">
        <v>7790000000905</v>
      </c>
      <c r="D254" s="1" t="s">
        <v>503</v>
      </c>
      <c r="E254" s="36" t="str">
        <f>_xlfn.XLOOKUP(C254,'Tabla Articulos'!B:B,'Tabla Articulos'!D:D)</f>
        <v>FILM PVC 45</v>
      </c>
      <c r="F254" s="36">
        <f>_xlfn.XLOOKUP(C254,'Tabla Articulos'!B:B,'Tabla Articulos'!E:E)</f>
        <v>1</v>
      </c>
      <c r="G254" s="40">
        <f>SUM(
    SUMIFS(MRP!$H$2:$H$221, MRP!$B$2:$B$221, $C254, MRP!$G$2:$G$221, G$1),
    SUMIFS(MRP!$I$2:$I$221, MRP!$B$2:$B$221, $C254, MRP!$G$2:$G$221, G$1),
    SUMIFS(MRP!$J$2:$J$221, MRP!$B$2:$B$221, $C254,  MRP!$G$2:$G$221, G$1),
    SUMIFS(MRP!$K$2:$K$221, MRP!$B$2:$B$221, $C254,  MRP!$G$2:$G$221, G$1),
    SUMIFS(MRP!$L$2:$L$221, MRP!$B$2:$B$221, $C254,  MRP!$G$2:$G$221, G$1)
)*F254</f>
        <v>0</v>
      </c>
      <c r="H254" s="40">
        <f>SUM(
    SUMIFS(MRP!$H$2:$H$221, MRP!$B$2:$B$221, $C254, MRP!$G$2:$G$221, H$1),
    SUMIFS(MRP!$I$2:$I$221, MRP!$B$2:$B$221, $C254, MRP!$G$2:$G$221, H$1),
    SUMIFS(MRP!$J$2:$J$221, MRP!$B$2:$B$221, $C254,  MRP!$G$2:$G$221, H$1),
    SUMIFS(MRP!$K$2:$K$221, MRP!$B$2:$B$221, $C254,  MRP!$G$2:$G$221, H$1),
    SUMIFS(MRP!$L$2:$L$221, MRP!$B$2:$B$221, $C254,  MRP!$G$2:$G$221, H$1)
)*F254</f>
        <v>1</v>
      </c>
      <c r="I254" s="40">
        <f>SUM(
    SUMIFS(MRP!$H$2:$H$221, MRP!$B$2:$B$221, $C254, MRP!$G$2:$G$221, I$1),
    SUMIFS(MRP!$I$2:$I$221, MRP!$B$2:$B$221, $C254, MRP!$G$2:$G$221, I$1),
    SUMIFS(MRP!$J$2:$J$221, MRP!$B$2:$B$221, $C254,  MRP!$G$2:$G$221, I$1),
    SUMIFS(MRP!$K$2:$K$221, MRP!$B$2:$B$221, $C254,  MRP!$G$2:$G$221, I$1),
    SUMIFS(MRP!$L$2:$L$221, MRP!$B$2:$B$221, $C254,  MRP!$G$2:$G$221, I$1)
)*F254</f>
        <v>0</v>
      </c>
      <c r="J254" s="40">
        <f>SUM(
    SUMIFS(MRP!$H$2:$H$221, MRP!$B$2:$B$221, $C254, MRP!$G$2:$G$221, J$1),
    SUMIFS(MRP!$I$2:$I$221, MRP!$B$2:$B$221, $C254, MRP!$G$2:$G$221, J$1),
    SUMIFS(MRP!$J$2:$J$221, MRP!$B$2:$B$221, $C254,  MRP!$G$2:$G$221, J$1),
    SUMIFS(MRP!$K$2:$K$221, MRP!$B$2:$B$221, $C254,  MRP!$G$2:$G$221, J$1),
    SUMIFS(MRP!$L$2:$L$221, MRP!$B$2:$B$221, $C254,  MRP!$G$2:$G$221, J$1)
)*F254</f>
        <v>0</v>
      </c>
      <c r="K254" s="56">
        <f>SUM(
    SUMIFS(MRP!$H$2:$H$221, MRP!$B$2:$B$221, $C254, MRP!$G$2:$G$221, K$1),
    SUMIFS(MRP!$I$2:$I$221, MRP!$B$2:$B$221, $C254, MRP!$G$2:$G$221, K$1),
    SUMIFS(MRP!$J$2:$J$221, MRP!$B$2:$B$221, $C254,  MRP!$G$2:$G$221, K$1),
    SUMIFS(MRP!$K$2:$K$221, MRP!$B$2:$B$221, $C254,  MRP!$G$2:$G$221, K$1),
    SUMIFS(MRP!$L$2:$L$221, MRP!$B$2:$B$221, $C254,  MRP!$G$2:$G$221, K$1)
)*F254</f>
        <v>0</v>
      </c>
      <c r="L254" s="55" t="str">
        <f>TRIM(Tabla3[[#This Row],[CodInternoArti]])</f>
        <v>7790000000905</v>
      </c>
    </row>
    <row r="255" spans="1:12" hidden="1" x14ac:dyDescent="0.35">
      <c r="A255" s="63" t="str">
        <f>IF(ISNUMBER(_xlfn.XMATCH(Tabla3[[#This Row],[CodInternoArti]],'Tabla Articulos'!B:B)),"OK","NO ESTA")</f>
        <v>NO ESTA</v>
      </c>
      <c r="B255" s="19" t="str">
        <f>IF(ISNUMBER(_xlfn.XMATCH('Calcular necesidad'!E:E,'Necesidad por familia'!A:A)),"OK","NO ESTA")</f>
        <v>NO ESTA</v>
      </c>
      <c r="C255" s="1">
        <v>3245424854182</v>
      </c>
      <c r="D255" s="1" t="s">
        <v>506</v>
      </c>
      <c r="E255" s="1" t="e">
        <f>_xlfn.XLOOKUP(C255,'Tabla Articulos'!B:B,'Tabla Articulos'!D:D)</f>
        <v>#N/A</v>
      </c>
      <c r="F255" s="1" t="e">
        <f>_xlfn.XLOOKUP(C255,'Tabla Articulos'!B:B,'Tabla Articulos'!E:E)</f>
        <v>#N/A</v>
      </c>
      <c r="G255" s="15" t="e">
        <f>SUM(
    SUMIFS(MRP!$H$2:$H$221, MRP!$B$2:$B$221, $C255, MRP!$G$2:$G$221, G$1),
    SUMIFS(MRP!$I$2:$I$221, MRP!$B$2:$B$221, $C255, MRP!$G$2:$G$221, G$1),
    SUMIFS(MRP!$J$2:$J$221, MRP!$B$2:$B$221, $C255,  MRP!$G$2:$G$221, G$1),
    SUMIFS(MRP!$K$2:$K$221, MRP!$B$2:$B$221, $C255,  MRP!$G$2:$G$221, G$1),
    SUMIFS(MRP!$L$2:$L$221, MRP!$B$2:$B$221, $C255,  MRP!$G$2:$G$221, G$1)
)*F255</f>
        <v>#N/A</v>
      </c>
      <c r="H255" s="15" t="e">
        <f>SUM(
    SUMIFS(MRP!$H$2:$H$221, MRP!$B$2:$B$221, $C255, MRP!$G$2:$G$221, H$1),
    SUMIFS(MRP!$I$2:$I$221, MRP!$B$2:$B$221, $C255, MRP!$G$2:$G$221, H$1),
    SUMIFS(MRP!$J$2:$J$221, MRP!$B$2:$B$221, $C255,  MRP!$G$2:$G$221, H$1),
    SUMIFS(MRP!$K$2:$K$221, MRP!$B$2:$B$221, $C255,  MRP!$G$2:$G$221, H$1),
    SUMIFS(MRP!$L$2:$L$221, MRP!$B$2:$B$221, $C255,  MRP!$G$2:$G$221, H$1)
)*F255</f>
        <v>#N/A</v>
      </c>
      <c r="I255" s="15" t="e">
        <f>SUM(
    SUMIFS(MRP!$H$2:$H$221, MRP!$B$2:$B$221, $C255, MRP!$G$2:$G$221, I$1),
    SUMIFS(MRP!$I$2:$I$221, MRP!$B$2:$B$221, $C255, MRP!$G$2:$G$221, I$1),
    SUMIFS(MRP!$J$2:$J$221, MRP!$B$2:$B$221, $C255,  MRP!$G$2:$G$221, I$1),
    SUMIFS(MRP!$K$2:$K$221, MRP!$B$2:$B$221, $C255,  MRP!$G$2:$G$221, I$1),
    SUMIFS(MRP!$L$2:$L$221, MRP!$B$2:$B$221, $C255,  MRP!$G$2:$G$221, I$1)
)*F255</f>
        <v>#N/A</v>
      </c>
      <c r="J255" s="15" t="e">
        <f>SUM(
    SUMIFS(MRP!$H$2:$H$221, MRP!$B$2:$B$221, $C255, MRP!$G$2:$G$221, J$1),
    SUMIFS(MRP!$I$2:$I$221, MRP!$B$2:$B$221, $C255, MRP!$G$2:$G$221, J$1),
    SUMIFS(MRP!$J$2:$J$221, MRP!$B$2:$B$221, $C255,  MRP!$G$2:$G$221, J$1),
    SUMIFS(MRP!$K$2:$K$221, MRP!$B$2:$B$221, $C255,  MRP!$G$2:$G$221, J$1),
    SUMIFS(MRP!$L$2:$L$221, MRP!$B$2:$B$221, $C255,  MRP!$G$2:$G$221, J$1)
)*F255</f>
        <v>#N/A</v>
      </c>
      <c r="K255" s="64" t="e">
        <f>SUM(
    SUMIFS(MRP!$H$2:$H$221, MRP!$B$2:$B$221, $C255, MRP!$G$2:$G$221, K$1),
    SUMIFS(MRP!$I$2:$I$221, MRP!$B$2:$B$221, $C255, MRP!$G$2:$G$221, K$1),
    SUMIFS(MRP!$J$2:$J$221, MRP!$B$2:$B$221, $C255,  MRP!$G$2:$G$221, K$1),
    SUMIFS(MRP!$K$2:$K$221, MRP!$B$2:$B$221, $C255,  MRP!$G$2:$G$221, K$1),
    SUMIFS(MRP!$L$2:$L$221, MRP!$B$2:$B$221, $C255,  MRP!$G$2:$G$221, K$1)
)*F255</f>
        <v>#N/A</v>
      </c>
      <c r="L255" s="55" t="str">
        <f>TRIM(Tabla3[[#This Row],[CodInternoArti]])</f>
        <v>3245424854182</v>
      </c>
    </row>
    <row r="256" spans="1:12" hidden="1" x14ac:dyDescent="0.35">
      <c r="A256" s="41" t="str">
        <f>IF(ISNUMBER(_xlfn.XMATCH(Tabla3[[#This Row],[CodInternoArti]],'Tabla Articulos'!B:B)),"OK","NO ESTA")</f>
        <v>OK</v>
      </c>
      <c r="B256" s="29" t="str">
        <f>IF(ISNUMBER(_xlfn.XMATCH('Calcular necesidad'!E:E,'Necesidad por familia'!A:A)),"OK","NO ESTA")</f>
        <v>OK</v>
      </c>
      <c r="C256" s="92">
        <v>7790000000901</v>
      </c>
      <c r="D256" s="1" t="s">
        <v>507</v>
      </c>
      <c r="E256" s="36" t="str">
        <f>_xlfn.XLOOKUP(C256,'Tabla Articulos'!B:B,'Tabla Articulos'!D:D)</f>
        <v>BOLSA KRAFT FM5 BLUE</v>
      </c>
      <c r="F256" s="36">
        <f>_xlfn.XLOOKUP(C256,'Tabla Articulos'!B:B,'Tabla Articulos'!E:E)</f>
        <v>100</v>
      </c>
      <c r="G256" s="40">
        <f>SUM(
    SUMIFS(MRP!$H$2:$H$221, MRP!$B$2:$B$221, $C256, MRP!$G$2:$G$221, G$1),
    SUMIFS(MRP!$I$2:$I$221, MRP!$B$2:$B$221, $C256, MRP!$G$2:$G$221, G$1),
    SUMIFS(MRP!$J$2:$J$221, MRP!$B$2:$B$221, $C256,  MRP!$G$2:$G$221, G$1),
    SUMIFS(MRP!$K$2:$K$221, MRP!$B$2:$B$221, $C256,  MRP!$G$2:$G$221, G$1),
    SUMIFS(MRP!$L$2:$L$221, MRP!$B$2:$B$221, $C256,  MRP!$G$2:$G$221, G$1)
)*F256</f>
        <v>0</v>
      </c>
      <c r="H256" s="40">
        <f>SUM(
    SUMIFS(MRP!$H$2:$H$221, MRP!$B$2:$B$221, $C256, MRP!$G$2:$G$221, H$1),
    SUMIFS(MRP!$I$2:$I$221, MRP!$B$2:$B$221, $C256, MRP!$G$2:$G$221, H$1),
    SUMIFS(MRP!$J$2:$J$221, MRP!$B$2:$B$221, $C256,  MRP!$G$2:$G$221, H$1),
    SUMIFS(MRP!$K$2:$K$221, MRP!$B$2:$B$221, $C256,  MRP!$G$2:$G$221, H$1),
    SUMIFS(MRP!$L$2:$L$221, MRP!$B$2:$B$221, $C256,  MRP!$G$2:$G$221, H$1)
)*F256</f>
        <v>500</v>
      </c>
      <c r="I256" s="40">
        <f>SUM(
    SUMIFS(MRP!$H$2:$H$221, MRP!$B$2:$B$221, $C256, MRP!$G$2:$G$221, I$1),
    SUMIFS(MRP!$I$2:$I$221, MRP!$B$2:$B$221, $C256, MRP!$G$2:$G$221, I$1),
    SUMIFS(MRP!$J$2:$J$221, MRP!$B$2:$B$221, $C256,  MRP!$G$2:$G$221, I$1),
    SUMIFS(MRP!$K$2:$K$221, MRP!$B$2:$B$221, $C256,  MRP!$G$2:$G$221, I$1),
    SUMIFS(MRP!$L$2:$L$221, MRP!$B$2:$B$221, $C256,  MRP!$G$2:$G$221, I$1)
)*F256</f>
        <v>0</v>
      </c>
      <c r="J256" s="40">
        <f>SUM(
    SUMIFS(MRP!$H$2:$H$221, MRP!$B$2:$B$221, $C256, MRP!$G$2:$G$221, J$1),
    SUMIFS(MRP!$I$2:$I$221, MRP!$B$2:$B$221, $C256, MRP!$G$2:$G$221, J$1),
    SUMIFS(MRP!$J$2:$J$221, MRP!$B$2:$B$221, $C256,  MRP!$G$2:$G$221, J$1),
    SUMIFS(MRP!$K$2:$K$221, MRP!$B$2:$B$221, $C256,  MRP!$G$2:$G$221, J$1),
    SUMIFS(MRP!$L$2:$L$221, MRP!$B$2:$B$221, $C256,  MRP!$G$2:$G$221, J$1)
)*F256</f>
        <v>0</v>
      </c>
      <c r="K256" s="56">
        <f>SUM(
    SUMIFS(MRP!$H$2:$H$221, MRP!$B$2:$B$221, $C256, MRP!$G$2:$G$221, K$1),
    SUMIFS(MRP!$I$2:$I$221, MRP!$B$2:$B$221, $C256, MRP!$G$2:$G$221, K$1),
    SUMIFS(MRP!$J$2:$J$221, MRP!$B$2:$B$221, $C256,  MRP!$G$2:$G$221, K$1),
    SUMIFS(MRP!$K$2:$K$221, MRP!$B$2:$B$221, $C256,  MRP!$G$2:$G$221, K$1),
    SUMIFS(MRP!$L$2:$L$221, MRP!$B$2:$B$221, $C256,  MRP!$G$2:$G$221, K$1)
)*F256</f>
        <v>600</v>
      </c>
      <c r="L256" s="55" t="str">
        <f>TRIM(Tabla3[[#This Row],[CodInternoArti]])</f>
        <v>7790000000901</v>
      </c>
    </row>
    <row r="257" spans="1:12" hidden="1" x14ac:dyDescent="0.35">
      <c r="A257" s="41" t="str">
        <f>IF(ISNUMBER(_xlfn.XMATCH(Tabla3[[#This Row],[CodInternoArti]],'Tabla Articulos'!B:B)),"OK","NO ESTA")</f>
        <v>OK</v>
      </c>
      <c r="B257" s="29" t="str">
        <f>IF(ISNUMBER(_xlfn.XMATCH('Calcular necesidad'!E:E,'Necesidad por familia'!A:A)),"OK","NO ESTA")</f>
        <v>OK</v>
      </c>
      <c r="C257" s="36">
        <v>7790000000900</v>
      </c>
      <c r="D257" s="1" t="s">
        <v>512</v>
      </c>
      <c r="E257" s="36" t="str">
        <f>_xlfn.XLOOKUP(C257,'Tabla Articulos'!B:B,'Tabla Articulos'!D:D)</f>
        <v>TAPA 8 OZ BLUE</v>
      </c>
      <c r="F257" s="36">
        <f>_xlfn.XLOOKUP(C257,'Tabla Articulos'!B:B,'Tabla Articulos'!E:E)</f>
        <v>1</v>
      </c>
      <c r="G257" s="40">
        <f>SUM(
    SUMIFS(MRP!$H$2:$H$221, MRP!$B$2:$B$221, $C257, MRP!$G$2:$G$221, G$1),
    SUMIFS(MRP!$I$2:$I$221, MRP!$B$2:$B$221, $C257, MRP!$G$2:$G$221, G$1),
    SUMIFS(MRP!$J$2:$J$221, MRP!$B$2:$B$221, $C257,  MRP!$G$2:$G$221, G$1),
    SUMIFS(MRP!$K$2:$K$221, MRP!$B$2:$B$221, $C257,  MRP!$G$2:$G$221, G$1),
    SUMIFS(MRP!$L$2:$L$221, MRP!$B$2:$B$221, $C257,  MRP!$G$2:$G$221, G$1)
)*F257</f>
        <v>0</v>
      </c>
      <c r="H257" s="40">
        <f>SUM(
    SUMIFS(MRP!$H$2:$H$221, MRP!$B$2:$B$221, $C257, MRP!$G$2:$G$221, H$1),
    SUMIFS(MRP!$I$2:$I$221, MRP!$B$2:$B$221, $C257, MRP!$G$2:$G$221, H$1),
    SUMIFS(MRP!$J$2:$J$221, MRP!$B$2:$B$221, $C257,  MRP!$G$2:$G$221, H$1),
    SUMIFS(MRP!$K$2:$K$221, MRP!$B$2:$B$221, $C257,  MRP!$G$2:$G$221, H$1),
    SUMIFS(MRP!$L$2:$L$221, MRP!$B$2:$B$221, $C257,  MRP!$G$2:$G$221, H$1)
)*F257</f>
        <v>1300</v>
      </c>
      <c r="I257" s="40">
        <f>SUM(
    SUMIFS(MRP!$H$2:$H$221, MRP!$B$2:$B$221, $C257, MRP!$G$2:$G$221, I$1),
    SUMIFS(MRP!$I$2:$I$221, MRP!$B$2:$B$221, $C257, MRP!$G$2:$G$221, I$1),
    SUMIFS(MRP!$J$2:$J$221, MRP!$B$2:$B$221, $C257,  MRP!$G$2:$G$221, I$1),
    SUMIFS(MRP!$K$2:$K$221, MRP!$B$2:$B$221, $C257,  MRP!$G$2:$G$221, I$1),
    SUMIFS(MRP!$L$2:$L$221, MRP!$B$2:$B$221, $C257,  MRP!$G$2:$G$221, I$1)
)*F257</f>
        <v>0</v>
      </c>
      <c r="J257" s="40">
        <f>SUM(
    SUMIFS(MRP!$H$2:$H$221, MRP!$B$2:$B$221, $C257, MRP!$G$2:$G$221, J$1),
    SUMIFS(MRP!$I$2:$I$221, MRP!$B$2:$B$221, $C257, MRP!$G$2:$G$221, J$1),
    SUMIFS(MRP!$J$2:$J$221, MRP!$B$2:$B$221, $C257,  MRP!$G$2:$G$221, J$1),
    SUMIFS(MRP!$K$2:$K$221, MRP!$B$2:$B$221, $C257,  MRP!$G$2:$G$221, J$1),
    SUMIFS(MRP!$L$2:$L$221, MRP!$B$2:$B$221, $C257,  MRP!$G$2:$G$221, J$1)
)*F257</f>
        <v>0</v>
      </c>
      <c r="K257" s="56">
        <f>SUM(
    SUMIFS(MRP!$H$2:$H$221, MRP!$B$2:$B$221, $C257, MRP!$G$2:$G$221, K$1),
    SUMIFS(MRP!$I$2:$I$221, MRP!$B$2:$B$221, $C257, MRP!$G$2:$G$221, K$1),
    SUMIFS(MRP!$J$2:$J$221, MRP!$B$2:$B$221, $C257,  MRP!$G$2:$G$221, K$1),
    SUMIFS(MRP!$K$2:$K$221, MRP!$B$2:$B$221, $C257,  MRP!$G$2:$G$221, K$1),
    SUMIFS(MRP!$L$2:$L$221, MRP!$B$2:$B$221, $C257,  MRP!$G$2:$G$221, K$1)
)*F257</f>
        <v>0</v>
      </c>
      <c r="L257" s="55" t="str">
        <f>TRIM(Tabla3[[#This Row],[CodInternoArti]])</f>
        <v>7790000000900</v>
      </c>
    </row>
    <row r="258" spans="1:12" hidden="1" x14ac:dyDescent="0.35">
      <c r="A258" s="41" t="str">
        <f>IF(ISNUMBER(_xlfn.XMATCH(Tabla3[[#This Row],[CodInternoArti]],'Tabla Articulos'!B:B)),"OK","NO ESTA")</f>
        <v>OK</v>
      </c>
      <c r="B258" s="29" t="str">
        <f>IF(ISNUMBER(_xlfn.XMATCH('Calcular necesidad'!E:E,'Necesidad por familia'!A:A)),"OK","NO ESTA")</f>
        <v>OK</v>
      </c>
      <c r="C258" s="36">
        <v>7790000000898</v>
      </c>
      <c r="D258" s="1" t="s">
        <v>526</v>
      </c>
      <c r="E258" s="36" t="str">
        <f>_xlfn.XLOOKUP(C258,'Tabla Articulos'!B:B,'Tabla Articulos'!D:D)</f>
        <v>PAPEL PARAFINADO BLUE</v>
      </c>
      <c r="F258" s="36">
        <f>_xlfn.XLOOKUP(C258,'Tabla Articulos'!B:B,'Tabla Articulos'!E:E)</f>
        <v>1</v>
      </c>
      <c r="G258" s="40">
        <f>SUM(
    SUMIFS(MRP!$H$2:$H$221, MRP!$B$2:$B$221, $C258, MRP!$G$2:$G$221, G$1),
    SUMIFS(MRP!$I$2:$I$221, MRP!$B$2:$B$221, $C258, MRP!$G$2:$G$221, G$1),
    SUMIFS(MRP!$J$2:$J$221, MRP!$B$2:$B$221, $C258,  MRP!$G$2:$G$221, G$1),
    SUMIFS(MRP!$K$2:$K$221, MRP!$B$2:$B$221, $C258,  MRP!$G$2:$G$221, G$1),
    SUMIFS(MRP!$L$2:$L$221, MRP!$B$2:$B$221, $C258,  MRP!$G$2:$G$221, G$1)
)*F258</f>
        <v>0</v>
      </c>
      <c r="H258" s="40">
        <f>SUM(
    SUMIFS(MRP!$H$2:$H$221, MRP!$B$2:$B$221, $C258, MRP!$G$2:$G$221, H$1),
    SUMIFS(MRP!$I$2:$I$221, MRP!$B$2:$B$221, $C258, MRP!$G$2:$G$221, H$1),
    SUMIFS(MRP!$J$2:$J$221, MRP!$B$2:$B$221, $C258,  MRP!$G$2:$G$221, H$1),
    SUMIFS(MRP!$K$2:$K$221, MRP!$B$2:$B$221, $C258,  MRP!$G$2:$G$221, H$1),
    SUMIFS(MRP!$L$2:$L$221, MRP!$B$2:$B$221, $C258,  MRP!$G$2:$G$221, H$1)
)*F258</f>
        <v>4</v>
      </c>
      <c r="I258" s="40">
        <f>SUM(
    SUMIFS(MRP!$H$2:$H$221, MRP!$B$2:$B$221, $C258, MRP!$G$2:$G$221, I$1),
    SUMIFS(MRP!$I$2:$I$221, MRP!$B$2:$B$221, $C258, MRP!$G$2:$G$221, I$1),
    SUMIFS(MRP!$J$2:$J$221, MRP!$B$2:$B$221, $C258,  MRP!$G$2:$G$221, I$1),
    SUMIFS(MRP!$K$2:$K$221, MRP!$B$2:$B$221, $C258,  MRP!$G$2:$G$221, I$1),
    SUMIFS(MRP!$L$2:$L$221, MRP!$B$2:$B$221, $C258,  MRP!$G$2:$G$221, I$1)
)*F258</f>
        <v>0</v>
      </c>
      <c r="J258" s="40">
        <f>SUM(
    SUMIFS(MRP!$H$2:$H$221, MRP!$B$2:$B$221, $C258, MRP!$G$2:$G$221, J$1),
    SUMIFS(MRP!$I$2:$I$221, MRP!$B$2:$B$221, $C258, MRP!$G$2:$G$221, J$1),
    SUMIFS(MRP!$J$2:$J$221, MRP!$B$2:$B$221, $C258,  MRP!$G$2:$G$221, J$1),
    SUMIFS(MRP!$K$2:$K$221, MRP!$B$2:$B$221, $C258,  MRP!$G$2:$G$221, J$1),
    SUMIFS(MRP!$L$2:$L$221, MRP!$B$2:$B$221, $C258,  MRP!$G$2:$G$221, J$1)
)*F258</f>
        <v>0</v>
      </c>
      <c r="K258" s="56">
        <f>SUM(
    SUMIFS(MRP!$H$2:$H$221, MRP!$B$2:$B$221, $C258, MRP!$G$2:$G$221, K$1),
    SUMIFS(MRP!$I$2:$I$221, MRP!$B$2:$B$221, $C258, MRP!$G$2:$G$221, K$1),
    SUMIFS(MRP!$J$2:$J$221, MRP!$B$2:$B$221, $C258,  MRP!$G$2:$G$221, K$1),
    SUMIFS(MRP!$K$2:$K$221, MRP!$B$2:$B$221, $C258,  MRP!$G$2:$G$221, K$1),
    SUMIFS(MRP!$L$2:$L$221, MRP!$B$2:$B$221, $C258,  MRP!$G$2:$G$221, K$1)
)*F258</f>
        <v>0</v>
      </c>
      <c r="L258" s="55" t="str">
        <f>TRIM(Tabla3[[#This Row],[CodInternoArti]])</f>
        <v>7790000000898</v>
      </c>
    </row>
    <row r="259" spans="1:12" hidden="1" x14ac:dyDescent="0.35">
      <c r="A259" s="41" t="str">
        <f>IF(ISNUMBER(_xlfn.XMATCH(Tabla3[[#This Row],[CodInternoArti]],'Tabla Articulos'!B:B)),"OK","NO ESTA")</f>
        <v>OK</v>
      </c>
      <c r="B259" s="29" t="str">
        <f>IF(ISNUMBER(_xlfn.XMATCH('Calcular necesidad'!E:E,'Necesidad por familia'!A:A)),"OK","NO ESTA")</f>
        <v>OK</v>
      </c>
      <c r="C259" s="36" t="s">
        <v>784</v>
      </c>
      <c r="D259" s="1" t="s">
        <v>431</v>
      </c>
      <c r="E259" s="36" t="str">
        <f>_xlfn.XLOOKUP(C259,'Tabla Articulos'!B:B,'Tabla Articulos'!D:D)</f>
        <v>PAPEL PARAFINADO</v>
      </c>
      <c r="F259" s="36">
        <f>_xlfn.XLOOKUP(C259,'Tabla Articulos'!B:B,'Tabla Articulos'!E:E)</f>
        <v>1</v>
      </c>
      <c r="G259" s="40">
        <f>SUM(
    SUMIFS(MRP!$H$2:$H$221, MRP!$B$2:$B$221, $C259, MRP!$G$2:$G$221, G$1),
    SUMIFS(MRP!$I$2:$I$221, MRP!$B$2:$B$221, $C259, MRP!$G$2:$G$221, G$1),
    SUMIFS(MRP!$J$2:$J$221, MRP!$B$2:$B$221, $C259,  MRP!$G$2:$G$221, G$1),
    SUMIFS(MRP!$K$2:$K$221, MRP!$B$2:$B$221, $C259,  MRP!$G$2:$G$221, G$1),
    SUMIFS(MRP!$L$2:$L$221, MRP!$B$2:$B$221, $C259,  MRP!$G$2:$G$221, G$1)
)*F259</f>
        <v>0</v>
      </c>
      <c r="H259" s="40">
        <f>SUM(
    SUMIFS(MRP!$H$2:$H$221, MRP!$B$2:$B$221, $C259, MRP!$G$2:$G$221, H$1),
    SUMIFS(MRP!$I$2:$I$221, MRP!$B$2:$B$221, $C259, MRP!$G$2:$G$221, H$1),
    SUMIFS(MRP!$J$2:$J$221, MRP!$B$2:$B$221, $C259,  MRP!$G$2:$G$221, H$1),
    SUMIFS(MRP!$K$2:$K$221, MRP!$B$2:$B$221, $C259,  MRP!$G$2:$G$221, H$1),
    SUMIFS(MRP!$L$2:$L$221, MRP!$B$2:$B$221, $C259,  MRP!$G$2:$G$221, H$1)
)*F259</f>
        <v>1</v>
      </c>
      <c r="I259" s="40">
        <f>SUM(
    SUMIFS(MRP!$H$2:$H$221, MRP!$B$2:$B$221, $C259, MRP!$G$2:$G$221, I$1),
    SUMIFS(MRP!$I$2:$I$221, MRP!$B$2:$B$221, $C259, MRP!$G$2:$G$221, I$1),
    SUMIFS(MRP!$J$2:$J$221, MRP!$B$2:$B$221, $C259,  MRP!$G$2:$G$221, I$1),
    SUMIFS(MRP!$K$2:$K$221, MRP!$B$2:$B$221, $C259,  MRP!$G$2:$G$221, I$1),
    SUMIFS(MRP!$L$2:$L$221, MRP!$B$2:$B$221, $C259,  MRP!$G$2:$G$221, I$1)
)*F259</f>
        <v>0</v>
      </c>
      <c r="J259" s="40">
        <f>SUM(
    SUMIFS(MRP!$H$2:$H$221, MRP!$B$2:$B$221, $C259, MRP!$G$2:$G$221, J$1),
    SUMIFS(MRP!$I$2:$I$221, MRP!$B$2:$B$221, $C259, MRP!$G$2:$G$221, J$1),
    SUMIFS(MRP!$J$2:$J$221, MRP!$B$2:$B$221, $C259,  MRP!$G$2:$G$221, J$1),
    SUMIFS(MRP!$K$2:$K$221, MRP!$B$2:$B$221, $C259,  MRP!$G$2:$G$221, J$1),
    SUMIFS(MRP!$L$2:$L$221, MRP!$B$2:$B$221, $C259,  MRP!$G$2:$G$221, J$1)
)*F259</f>
        <v>0</v>
      </c>
      <c r="K259" s="56">
        <f>SUM(
    SUMIFS(MRP!$H$2:$H$221, MRP!$B$2:$B$221, $C259, MRP!$G$2:$G$221, K$1),
    SUMIFS(MRP!$I$2:$I$221, MRP!$B$2:$B$221, $C259, MRP!$G$2:$G$221, K$1),
    SUMIFS(MRP!$J$2:$J$221, MRP!$B$2:$B$221, $C259,  MRP!$G$2:$G$221, K$1),
    SUMIFS(MRP!$K$2:$K$221, MRP!$B$2:$B$221, $C259,  MRP!$G$2:$G$221, K$1),
    SUMIFS(MRP!$L$2:$L$221, MRP!$B$2:$B$221, $C259,  MRP!$G$2:$G$221, K$1)
)*F259</f>
        <v>0</v>
      </c>
      <c r="L259" s="55" t="str">
        <f>TRIM(Tabla3[[#This Row],[CodInternoArti]])</f>
        <v>7798188651182</v>
      </c>
    </row>
  </sheetData>
  <conditionalFormatting sqref="C1:C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7" tint="0.39997558519241921"/>
  </sheetPr>
  <dimension ref="A1:V3676"/>
  <sheetViews>
    <sheetView topLeftCell="G1" zoomScaleNormal="100" workbookViewId="0">
      <selection activeCell="N2550" sqref="N2550"/>
    </sheetView>
  </sheetViews>
  <sheetFormatPr baseColWidth="10" defaultColWidth="0" defaultRowHeight="14.5" x14ac:dyDescent="0.35"/>
  <cols>
    <col min="1" max="1" width="5.453125" style="11" customWidth="1"/>
    <col min="2" max="2" width="12" style="11" customWidth="1"/>
    <col min="3" max="4" width="11.6328125" style="11" customWidth="1"/>
    <col min="5" max="6" width="19.26953125" style="11" customWidth="1"/>
    <col min="7" max="7" width="39" style="11" customWidth="1"/>
    <col min="8" max="8" width="12.54296875" style="11" customWidth="1"/>
    <col min="9" max="9" width="8.81640625" style="11" customWidth="1"/>
    <col min="10" max="10" width="13.81640625" style="11" customWidth="1"/>
    <col min="11" max="11" width="8.81640625" style="11" customWidth="1"/>
    <col min="12" max="12" width="11.1796875" style="11" customWidth="1"/>
    <col min="13" max="13" width="14.1796875" style="11" customWidth="1"/>
    <col min="14" max="14" width="17.26953125" style="11" customWidth="1"/>
    <col min="15" max="15" width="11.54296875" style="11" customWidth="1"/>
    <col min="16" max="16" width="29" style="16" customWidth="1"/>
    <col min="17" max="18" width="10.81640625" style="16" customWidth="1"/>
    <col min="19" max="19" width="16.81640625" style="16" customWidth="1"/>
    <col min="20" max="21" width="10.81640625" customWidth="1"/>
    <col min="22" max="22" width="13" hidden="1" customWidth="1"/>
    <col min="23" max="57" width="10.81640625" hidden="1" customWidth="1"/>
    <col min="58" max="16384" width="10.81640625" hidden="1"/>
  </cols>
  <sheetData>
    <row r="1" spans="1:19" x14ac:dyDescent="0.35">
      <c r="A1" s="22" t="s">
        <v>785</v>
      </c>
      <c r="B1" s="11" t="s">
        <v>786</v>
      </c>
      <c r="C1" s="11" t="s">
        <v>787</v>
      </c>
      <c r="D1" s="11" t="s">
        <v>788</v>
      </c>
      <c r="E1" s="11" t="s">
        <v>789</v>
      </c>
      <c r="F1" s="11" t="s">
        <v>790</v>
      </c>
      <c r="G1" s="11" t="s">
        <v>791</v>
      </c>
      <c r="H1" s="11" t="s">
        <v>531</v>
      </c>
      <c r="I1" s="11" t="s">
        <v>792</v>
      </c>
      <c r="J1" s="11" t="s">
        <v>793</v>
      </c>
      <c r="K1" s="11" t="s">
        <v>794</v>
      </c>
      <c r="L1" s="11" t="s">
        <v>795</v>
      </c>
      <c r="M1" s="11" t="s">
        <v>796</v>
      </c>
      <c r="N1" s="11" t="s">
        <v>797</v>
      </c>
      <c r="O1" s="11" t="s">
        <v>798</v>
      </c>
      <c r="P1" s="43" t="s">
        <v>799</v>
      </c>
      <c r="Q1" s="43" t="s">
        <v>800</v>
      </c>
      <c r="R1" s="43" t="s">
        <v>176</v>
      </c>
      <c r="S1" s="43" t="s">
        <v>185</v>
      </c>
    </row>
    <row r="2" spans="1:19" hidden="1" x14ac:dyDescent="0.35">
      <c r="A2" s="22">
        <v>6</v>
      </c>
      <c r="B2" t="s">
        <v>801</v>
      </c>
      <c r="C2" t="s">
        <v>802</v>
      </c>
      <c r="D2"/>
      <c r="E2" t="s">
        <v>2677</v>
      </c>
      <c r="F2">
        <v>2007493</v>
      </c>
      <c r="G2" t="s">
        <v>2678</v>
      </c>
      <c r="H2" t="s">
        <v>805</v>
      </c>
      <c r="I2">
        <v>58</v>
      </c>
      <c r="J2">
        <v>0</v>
      </c>
      <c r="K2">
        <v>0</v>
      </c>
      <c r="L2">
        <v>0</v>
      </c>
      <c r="M2">
        <v>0</v>
      </c>
      <c r="N2">
        <v>0</v>
      </c>
      <c r="O2">
        <v>58</v>
      </c>
      <c r="P2" s="44" t="e">
        <f>_xlfn.XLOOKUP(Tabla5[[#This Row],[EAN CORREGIDO]],'Tabla Articulos'!B:B,'Tabla Articulos'!D:D)</f>
        <v>#N/A</v>
      </c>
      <c r="Q2" s="44" t="e">
        <f>_xlfn.XLOOKUP(S2,'Tabla Articulos'!B:B,'Tabla Articulos'!E:E)</f>
        <v>#N/A</v>
      </c>
      <c r="R2" s="44" t="e">
        <f t="shared" ref="R2:R64" si="0">O2*Q2</f>
        <v>#N/A</v>
      </c>
      <c r="S2" s="45" t="str">
        <f t="shared" ref="S2:S64" si="1">TRIM(E2)</f>
        <v>7790000000467</v>
      </c>
    </row>
    <row r="3" spans="1:19" hidden="1" x14ac:dyDescent="0.35">
      <c r="A3" s="22">
        <v>6</v>
      </c>
      <c r="B3" t="s">
        <v>801</v>
      </c>
      <c r="C3" t="s">
        <v>802</v>
      </c>
      <c r="E3" t="s">
        <v>2679</v>
      </c>
      <c r="F3">
        <v>9003202</v>
      </c>
      <c r="G3" t="s">
        <v>2680</v>
      </c>
      <c r="H3" t="s">
        <v>805</v>
      </c>
      <c r="I3">
        <v>60</v>
      </c>
      <c r="J3">
        <v>0</v>
      </c>
      <c r="K3">
        <v>0</v>
      </c>
      <c r="L3">
        <v>0</v>
      </c>
      <c r="M3">
        <v>0</v>
      </c>
      <c r="N3">
        <v>0</v>
      </c>
      <c r="O3">
        <v>60</v>
      </c>
      <c r="P3" s="44" t="e">
        <f>_xlfn.XLOOKUP(Tabla5[[#This Row],[EAN CORREGIDO]],'Tabla Articulos'!B:B,'Tabla Articulos'!D:D)</f>
        <v>#N/A</v>
      </c>
      <c r="Q3" s="44" t="e">
        <f>_xlfn.XLOOKUP(S3,'Tabla Articulos'!B:B,'Tabla Articulos'!E:E)</f>
        <v>#N/A</v>
      </c>
      <c r="R3" s="44" t="e">
        <f t="shared" si="0"/>
        <v>#N/A</v>
      </c>
      <c r="S3" s="45" t="str">
        <f t="shared" si="1"/>
        <v>UNIF000328</v>
      </c>
    </row>
    <row r="4" spans="1:19" hidden="1" x14ac:dyDescent="0.35">
      <c r="A4" s="22">
        <v>1</v>
      </c>
      <c r="B4" t="s">
        <v>812</v>
      </c>
      <c r="C4" t="s">
        <v>802</v>
      </c>
      <c r="D4" s="11" t="s">
        <v>838</v>
      </c>
      <c r="E4" t="s">
        <v>2681</v>
      </c>
      <c r="F4">
        <v>4018315</v>
      </c>
      <c r="G4" t="s">
        <v>2682</v>
      </c>
      <c r="H4" t="s">
        <v>805</v>
      </c>
      <c r="I4">
        <v>3860</v>
      </c>
      <c r="J4">
        <v>2700</v>
      </c>
      <c r="K4">
        <v>0</v>
      </c>
      <c r="L4">
        <v>210</v>
      </c>
      <c r="M4">
        <v>210</v>
      </c>
      <c r="N4">
        <v>0</v>
      </c>
      <c r="O4">
        <v>6140</v>
      </c>
      <c r="P4" s="44" t="e">
        <f>_xlfn.XLOOKUP(Tabla5[[#This Row],[EAN CORREGIDO]],'Tabla Articulos'!B:B,'Tabla Articulos'!D:D)</f>
        <v>#N/A</v>
      </c>
      <c r="Q4" s="44" t="e">
        <f>_xlfn.XLOOKUP(S4,'Tabla Articulos'!B:B,'Tabla Articulos'!E:E)</f>
        <v>#N/A</v>
      </c>
      <c r="R4" s="44" t="e">
        <f t="shared" si="0"/>
        <v>#N/A</v>
      </c>
      <c r="S4" s="45" t="str">
        <f t="shared" si="1"/>
        <v>7790742363008</v>
      </c>
    </row>
    <row r="5" spans="1:19" hidden="1" x14ac:dyDescent="0.35">
      <c r="A5" s="22">
        <v>5</v>
      </c>
      <c r="B5" t="s">
        <v>829</v>
      </c>
      <c r="C5" t="s">
        <v>802</v>
      </c>
      <c r="D5" t="s">
        <v>838</v>
      </c>
      <c r="E5" t="s">
        <v>2681</v>
      </c>
      <c r="F5">
        <v>4018315</v>
      </c>
      <c r="G5" t="s">
        <v>2682</v>
      </c>
      <c r="H5" t="s">
        <v>805</v>
      </c>
      <c r="I5">
        <v>44955</v>
      </c>
      <c r="J5">
        <v>0</v>
      </c>
      <c r="K5">
        <v>0</v>
      </c>
      <c r="L5">
        <v>0</v>
      </c>
      <c r="M5">
        <v>50</v>
      </c>
      <c r="N5">
        <v>0</v>
      </c>
      <c r="O5">
        <v>44905</v>
      </c>
      <c r="P5" s="44" t="e">
        <f>_xlfn.XLOOKUP(Tabla5[[#This Row],[EAN CORREGIDO]],'Tabla Articulos'!B:B,'Tabla Articulos'!D:D)</f>
        <v>#N/A</v>
      </c>
      <c r="Q5" s="44" t="e">
        <f>_xlfn.XLOOKUP(S5,'Tabla Articulos'!B:B,'Tabla Articulos'!E:E)</f>
        <v>#N/A</v>
      </c>
      <c r="R5" s="44" t="e">
        <f t="shared" si="0"/>
        <v>#N/A</v>
      </c>
      <c r="S5" s="45" t="str">
        <f t="shared" si="1"/>
        <v>7790742363008</v>
      </c>
    </row>
    <row r="6" spans="1:19" hidden="1" x14ac:dyDescent="0.35">
      <c r="A6" s="22">
        <v>6</v>
      </c>
      <c r="B6" t="s">
        <v>801</v>
      </c>
      <c r="C6" t="s">
        <v>802</v>
      </c>
      <c r="E6" t="s">
        <v>2683</v>
      </c>
      <c r="F6">
        <v>9003238</v>
      </c>
      <c r="G6" t="s">
        <v>2684</v>
      </c>
      <c r="H6" t="s">
        <v>805</v>
      </c>
      <c r="I6">
        <v>28</v>
      </c>
      <c r="J6">
        <v>0</v>
      </c>
      <c r="K6">
        <v>0</v>
      </c>
      <c r="L6">
        <v>0</v>
      </c>
      <c r="M6">
        <v>0</v>
      </c>
      <c r="N6">
        <v>0</v>
      </c>
      <c r="O6">
        <v>28</v>
      </c>
      <c r="P6" s="44" t="e">
        <f>_xlfn.XLOOKUP(Tabla5[[#This Row],[EAN CORREGIDO]],'Tabla Articulos'!B:B,'Tabla Articulos'!D:D)</f>
        <v>#N/A</v>
      </c>
      <c r="Q6" s="44" t="e">
        <f>_xlfn.XLOOKUP(S6,'Tabla Articulos'!B:B,'Tabla Articulos'!E:E)</f>
        <v>#N/A</v>
      </c>
      <c r="R6" s="44" t="e">
        <f t="shared" si="0"/>
        <v>#N/A</v>
      </c>
      <c r="S6" s="45" t="str">
        <f t="shared" si="1"/>
        <v>UNIF000466</v>
      </c>
    </row>
    <row r="7" spans="1:19" hidden="1" x14ac:dyDescent="0.35">
      <c r="A7" s="22">
        <v>5</v>
      </c>
      <c r="B7" t="s">
        <v>829</v>
      </c>
      <c r="C7" t="s">
        <v>802</v>
      </c>
      <c r="D7" t="s">
        <v>1124</v>
      </c>
      <c r="E7" t="s">
        <v>2685</v>
      </c>
      <c r="F7">
        <v>4019840</v>
      </c>
      <c r="G7" t="s">
        <v>2686</v>
      </c>
      <c r="H7" t="s">
        <v>805</v>
      </c>
      <c r="I7">
        <v>50</v>
      </c>
      <c r="J7">
        <v>0</v>
      </c>
      <c r="K7">
        <v>0</v>
      </c>
      <c r="L7">
        <v>0</v>
      </c>
      <c r="M7">
        <v>0</v>
      </c>
      <c r="N7">
        <v>0</v>
      </c>
      <c r="O7">
        <v>50</v>
      </c>
      <c r="P7" s="44" t="e">
        <f>_xlfn.XLOOKUP(Tabla5[[#This Row],[EAN CORREGIDO]],'Tabla Articulos'!B:B,'Tabla Articulos'!D:D)</f>
        <v>#N/A</v>
      </c>
      <c r="Q7" s="44" t="e">
        <f>_xlfn.XLOOKUP(S7,'Tabla Articulos'!B:B,'Tabla Articulos'!E:E)</f>
        <v>#N/A</v>
      </c>
      <c r="R7" s="44" t="e">
        <f t="shared" si="0"/>
        <v>#N/A</v>
      </c>
      <c r="S7" s="45" t="str">
        <f t="shared" si="1"/>
        <v>7790530370409</v>
      </c>
    </row>
    <row r="8" spans="1:19" hidden="1" x14ac:dyDescent="0.35">
      <c r="A8" s="22">
        <v>6</v>
      </c>
      <c r="B8" t="s">
        <v>801</v>
      </c>
      <c r="C8" t="s">
        <v>802</v>
      </c>
      <c r="E8" t="s">
        <v>2687</v>
      </c>
      <c r="F8">
        <v>9004069</v>
      </c>
      <c r="G8" t="s">
        <v>2688</v>
      </c>
      <c r="H8" t="s">
        <v>805</v>
      </c>
      <c r="I8">
        <v>10</v>
      </c>
      <c r="J8">
        <v>0</v>
      </c>
      <c r="K8">
        <v>0</v>
      </c>
      <c r="L8">
        <v>0</v>
      </c>
      <c r="M8">
        <v>0</v>
      </c>
      <c r="N8">
        <v>0</v>
      </c>
      <c r="O8">
        <v>10</v>
      </c>
      <c r="P8" s="44" t="e">
        <f>_xlfn.XLOOKUP(Tabla5[[#This Row],[EAN CORREGIDO]],'Tabla Articulos'!B:B,'Tabla Articulos'!D:D)</f>
        <v>#N/A</v>
      </c>
      <c r="Q8" s="44" t="e">
        <f>_xlfn.XLOOKUP(S8,'Tabla Articulos'!B:B,'Tabla Articulos'!E:E)</f>
        <v>#N/A</v>
      </c>
      <c r="R8" s="44" t="e">
        <f t="shared" si="0"/>
        <v>#N/A</v>
      </c>
      <c r="S8" s="45" t="str">
        <f t="shared" si="1"/>
        <v>UNIF000710</v>
      </c>
    </row>
    <row r="9" spans="1:19" hidden="1" x14ac:dyDescent="0.35">
      <c r="A9" s="22">
        <v>5</v>
      </c>
      <c r="B9" t="s">
        <v>829</v>
      </c>
      <c r="C9" t="s">
        <v>802</v>
      </c>
      <c r="D9" t="s">
        <v>851</v>
      </c>
      <c r="E9" t="s">
        <v>1330</v>
      </c>
      <c r="F9">
        <v>4022237</v>
      </c>
      <c r="G9" t="s">
        <v>1331</v>
      </c>
      <c r="H9" t="s">
        <v>805</v>
      </c>
      <c r="I9">
        <v>46674</v>
      </c>
      <c r="J9">
        <v>0</v>
      </c>
      <c r="K9">
        <v>0</v>
      </c>
      <c r="L9">
        <v>0</v>
      </c>
      <c r="M9">
        <v>0</v>
      </c>
      <c r="N9">
        <v>0</v>
      </c>
      <c r="O9">
        <v>46674</v>
      </c>
      <c r="P9" s="44" t="e">
        <f>_xlfn.XLOOKUP(Tabla5[[#This Row],[EAN CORREGIDO]],'Tabla Articulos'!B:B,'Tabla Articulos'!D:D)</f>
        <v>#N/A</v>
      </c>
      <c r="Q9" s="44" t="e">
        <f>_xlfn.XLOOKUP(S9,'Tabla Articulos'!B:B,'Tabla Articulos'!E:E)</f>
        <v>#N/A</v>
      </c>
      <c r="R9" s="44" t="e">
        <f t="shared" si="0"/>
        <v>#N/A</v>
      </c>
      <c r="S9" s="45" t="str">
        <f t="shared" si="1"/>
        <v>7797470005514</v>
      </c>
    </row>
    <row r="10" spans="1:19" hidden="1" x14ac:dyDescent="0.35">
      <c r="A10" s="22">
        <v>1</v>
      </c>
      <c r="B10" t="s">
        <v>812</v>
      </c>
      <c r="C10" t="s">
        <v>802</v>
      </c>
      <c r="D10" s="11" t="s">
        <v>851</v>
      </c>
      <c r="E10" t="s">
        <v>1330</v>
      </c>
      <c r="F10">
        <v>4022237</v>
      </c>
      <c r="G10" t="s">
        <v>1331</v>
      </c>
      <c r="H10" t="s">
        <v>805</v>
      </c>
      <c r="I10">
        <v>26</v>
      </c>
      <c r="J10">
        <v>0</v>
      </c>
      <c r="K10">
        <v>0</v>
      </c>
      <c r="L10">
        <v>0</v>
      </c>
      <c r="M10">
        <v>0</v>
      </c>
      <c r="N10">
        <v>0</v>
      </c>
      <c r="O10">
        <v>26</v>
      </c>
      <c r="P10" s="44" t="e">
        <f>_xlfn.XLOOKUP(Tabla5[[#This Row],[EAN CORREGIDO]],'Tabla Articulos'!B:B,'Tabla Articulos'!D:D)</f>
        <v>#N/A</v>
      </c>
      <c r="Q10" s="44" t="e">
        <f>_xlfn.XLOOKUP(S10,'Tabla Articulos'!B:B,'Tabla Articulos'!E:E)</f>
        <v>#N/A</v>
      </c>
      <c r="R10" s="44" t="e">
        <f t="shared" si="0"/>
        <v>#N/A</v>
      </c>
      <c r="S10" s="45" t="str">
        <f t="shared" si="1"/>
        <v>7797470005514</v>
      </c>
    </row>
    <row r="11" spans="1:19" hidden="1" x14ac:dyDescent="0.35">
      <c r="A11" s="22">
        <v>6</v>
      </c>
      <c r="B11" t="s">
        <v>801</v>
      </c>
      <c r="C11" t="s">
        <v>802</v>
      </c>
      <c r="D11" t="s">
        <v>1332</v>
      </c>
      <c r="E11" t="s">
        <v>1333</v>
      </c>
      <c r="F11">
        <v>2006562</v>
      </c>
      <c r="G11" t="s">
        <v>1334</v>
      </c>
      <c r="H11" t="s">
        <v>805</v>
      </c>
      <c r="I11">
        <v>601</v>
      </c>
      <c r="J11">
        <v>0</v>
      </c>
      <c r="K11">
        <v>0</v>
      </c>
      <c r="L11">
        <v>0</v>
      </c>
      <c r="M11">
        <v>0</v>
      </c>
      <c r="N11">
        <v>0</v>
      </c>
      <c r="O11">
        <v>601</v>
      </c>
      <c r="P11" s="44" t="e">
        <f>_xlfn.XLOOKUP(Tabla5[[#This Row],[EAN CORREGIDO]],'Tabla Articulos'!B:B,'Tabla Articulos'!D:D)</f>
        <v>#N/A</v>
      </c>
      <c r="Q11" s="44" t="e">
        <f>_xlfn.XLOOKUP(S11,'Tabla Articulos'!B:B,'Tabla Articulos'!E:E)</f>
        <v>#N/A</v>
      </c>
      <c r="R11" s="44" t="e">
        <f t="shared" si="0"/>
        <v>#N/A</v>
      </c>
      <c r="S11" s="45" t="str">
        <f t="shared" si="1"/>
        <v>7798121851047</v>
      </c>
    </row>
    <row r="12" spans="1:19" hidden="1" x14ac:dyDescent="0.35">
      <c r="A12" s="22">
        <v>5</v>
      </c>
      <c r="B12" t="s">
        <v>829</v>
      </c>
      <c r="C12" t="s">
        <v>802</v>
      </c>
      <c r="D12" t="s">
        <v>1335</v>
      </c>
      <c r="E12" t="s">
        <v>1336</v>
      </c>
      <c r="F12">
        <v>4023829</v>
      </c>
      <c r="G12" t="s">
        <v>1337</v>
      </c>
      <c r="H12" t="s">
        <v>805</v>
      </c>
      <c r="I12">
        <v>100</v>
      </c>
      <c r="J12">
        <v>0</v>
      </c>
      <c r="K12">
        <v>0</v>
      </c>
      <c r="L12">
        <v>0</v>
      </c>
      <c r="M12">
        <v>0</v>
      </c>
      <c r="N12">
        <v>0</v>
      </c>
      <c r="O12">
        <v>100</v>
      </c>
      <c r="P12" s="44" t="e">
        <f>_xlfn.XLOOKUP(Tabla5[[#This Row],[EAN CORREGIDO]],'Tabla Articulos'!B:B,'Tabla Articulos'!D:D)</f>
        <v>#N/A</v>
      </c>
      <c r="Q12" s="44" t="e">
        <f>_xlfn.XLOOKUP(S12,'Tabla Articulos'!B:B,'Tabla Articulos'!E:E)</f>
        <v>#N/A</v>
      </c>
      <c r="R12" s="44" t="e">
        <f t="shared" si="0"/>
        <v>#N/A</v>
      </c>
      <c r="S12" s="45" t="str">
        <f t="shared" si="1"/>
        <v>7792260640210</v>
      </c>
    </row>
    <row r="13" spans="1:19" hidden="1" x14ac:dyDescent="0.35">
      <c r="A13" s="22">
        <v>1</v>
      </c>
      <c r="B13" t="s">
        <v>812</v>
      </c>
      <c r="C13" t="s">
        <v>802</v>
      </c>
      <c r="D13" s="11" t="s">
        <v>1335</v>
      </c>
      <c r="E13" t="s">
        <v>1336</v>
      </c>
      <c r="F13">
        <v>4023829</v>
      </c>
      <c r="G13" t="s">
        <v>1337</v>
      </c>
      <c r="H13" t="s">
        <v>805</v>
      </c>
      <c r="I13">
        <v>300</v>
      </c>
      <c r="J13">
        <v>0</v>
      </c>
      <c r="K13">
        <v>0</v>
      </c>
      <c r="L13">
        <v>0</v>
      </c>
      <c r="M13">
        <v>0</v>
      </c>
      <c r="N13">
        <v>0</v>
      </c>
      <c r="O13">
        <v>300</v>
      </c>
      <c r="P13" s="44" t="e">
        <f>_xlfn.XLOOKUP(Tabla5[[#This Row],[EAN CORREGIDO]],'Tabla Articulos'!B:B,'Tabla Articulos'!D:D)</f>
        <v>#N/A</v>
      </c>
      <c r="Q13" s="44" t="e">
        <f>_xlfn.XLOOKUP(S13,'Tabla Articulos'!B:B,'Tabla Articulos'!E:E)</f>
        <v>#N/A</v>
      </c>
      <c r="R13" s="44" t="e">
        <f t="shared" si="0"/>
        <v>#N/A</v>
      </c>
      <c r="S13" s="45" t="str">
        <f t="shared" si="1"/>
        <v>7792260640210</v>
      </c>
    </row>
    <row r="14" spans="1:19" hidden="1" x14ac:dyDescent="0.35">
      <c r="A14" s="22">
        <v>6</v>
      </c>
      <c r="B14" t="s">
        <v>801</v>
      </c>
      <c r="C14" t="s">
        <v>802</v>
      </c>
      <c r="D14"/>
      <c r="E14" t="s">
        <v>1338</v>
      </c>
      <c r="F14">
        <v>9003976</v>
      </c>
      <c r="G14" t="s">
        <v>1339</v>
      </c>
      <c r="H14" t="s">
        <v>805</v>
      </c>
      <c r="I14">
        <v>10</v>
      </c>
      <c r="J14">
        <v>0</v>
      </c>
      <c r="K14">
        <v>0</v>
      </c>
      <c r="L14">
        <v>0</v>
      </c>
      <c r="M14">
        <v>0</v>
      </c>
      <c r="N14">
        <v>0</v>
      </c>
      <c r="O14">
        <v>10</v>
      </c>
      <c r="P14" s="44" t="e">
        <f>_xlfn.XLOOKUP(Tabla5[[#This Row],[EAN CORREGIDO]],'Tabla Articulos'!B:B,'Tabla Articulos'!D:D)</f>
        <v>#N/A</v>
      </c>
      <c r="Q14" s="44" t="e">
        <f>_xlfn.XLOOKUP(S14,'Tabla Articulos'!B:B,'Tabla Articulos'!E:E)</f>
        <v>#N/A</v>
      </c>
      <c r="R14" s="44" t="e">
        <f t="shared" si="0"/>
        <v>#N/A</v>
      </c>
      <c r="S14" s="45" t="str">
        <f t="shared" si="1"/>
        <v>UNIF000646</v>
      </c>
    </row>
    <row r="15" spans="1:19" hidden="1" x14ac:dyDescent="0.35">
      <c r="A15" s="22">
        <v>6</v>
      </c>
      <c r="B15" t="s">
        <v>801</v>
      </c>
      <c r="C15" t="s">
        <v>802</v>
      </c>
      <c r="D15"/>
      <c r="E15" t="s">
        <v>4937</v>
      </c>
      <c r="F15">
        <v>9003242</v>
      </c>
      <c r="G15" t="s">
        <v>4938</v>
      </c>
      <c r="H15" t="s">
        <v>805</v>
      </c>
      <c r="I15">
        <v>12</v>
      </c>
      <c r="J15">
        <v>0</v>
      </c>
      <c r="K15">
        <v>0</v>
      </c>
      <c r="L15">
        <v>0</v>
      </c>
      <c r="M15">
        <v>0</v>
      </c>
      <c r="N15">
        <v>0</v>
      </c>
      <c r="O15">
        <v>12</v>
      </c>
      <c r="P15" s="44" t="e">
        <f>_xlfn.XLOOKUP(Tabla5[[#This Row],[EAN CORREGIDO]],'Tabla Articulos'!B:B,'Tabla Articulos'!D:D)</f>
        <v>#N/A</v>
      </c>
      <c r="Q15" s="44" t="e">
        <f>_xlfn.XLOOKUP(S15,'Tabla Articulos'!B:B,'Tabla Articulos'!E:E)</f>
        <v>#N/A</v>
      </c>
      <c r="R15" s="44" t="e">
        <f t="shared" si="0"/>
        <v>#N/A</v>
      </c>
      <c r="S15" s="45" t="str">
        <f t="shared" si="1"/>
        <v>UNIF000470</v>
      </c>
    </row>
    <row r="16" spans="1:19" hidden="1" x14ac:dyDescent="0.35">
      <c r="A16" s="22">
        <v>6</v>
      </c>
      <c r="B16" t="s">
        <v>801</v>
      </c>
      <c r="C16" t="s">
        <v>802</v>
      </c>
      <c r="E16" t="s">
        <v>4939</v>
      </c>
      <c r="F16">
        <v>9003749</v>
      </c>
      <c r="G16" t="s">
        <v>4940</v>
      </c>
      <c r="H16" t="s">
        <v>805</v>
      </c>
      <c r="I16">
        <v>51</v>
      </c>
      <c r="J16">
        <v>0</v>
      </c>
      <c r="K16">
        <v>0</v>
      </c>
      <c r="L16">
        <v>0</v>
      </c>
      <c r="M16">
        <v>0</v>
      </c>
      <c r="N16">
        <v>0</v>
      </c>
      <c r="O16">
        <v>51</v>
      </c>
      <c r="P16" s="44" t="e">
        <f>_xlfn.XLOOKUP(Tabla5[[#This Row],[EAN CORREGIDO]],'Tabla Articulos'!B:B,'Tabla Articulos'!D:D)</f>
        <v>#N/A</v>
      </c>
      <c r="Q16" s="44" t="e">
        <f>_xlfn.XLOOKUP(S16,'Tabla Articulos'!B:B,'Tabla Articulos'!E:E)</f>
        <v>#N/A</v>
      </c>
      <c r="R16" s="44" t="e">
        <f t="shared" si="0"/>
        <v>#N/A</v>
      </c>
      <c r="S16" s="45" t="str">
        <f t="shared" si="1"/>
        <v>BAZ001252</v>
      </c>
    </row>
    <row r="17" spans="1:19" hidden="1" x14ac:dyDescent="0.35">
      <c r="A17" s="22">
        <v>1</v>
      </c>
      <c r="B17" t="s">
        <v>812</v>
      </c>
      <c r="C17" t="s">
        <v>802</v>
      </c>
      <c r="D17" t="s">
        <v>4941</v>
      </c>
      <c r="E17" t="s">
        <v>4942</v>
      </c>
      <c r="F17">
        <v>4018651</v>
      </c>
      <c r="G17" t="s">
        <v>4943</v>
      </c>
      <c r="H17" t="s">
        <v>805</v>
      </c>
      <c r="I17">
        <v>19</v>
      </c>
      <c r="J17">
        <v>0</v>
      </c>
      <c r="K17">
        <v>0</v>
      </c>
      <c r="L17">
        <v>0</v>
      </c>
      <c r="M17">
        <v>0</v>
      </c>
      <c r="N17">
        <v>0</v>
      </c>
      <c r="O17">
        <v>19</v>
      </c>
      <c r="P17" s="44" t="e">
        <f>_xlfn.XLOOKUP(Tabla5[[#This Row],[EAN CORREGIDO]],'Tabla Articulos'!B:B,'Tabla Articulos'!D:D)</f>
        <v>#N/A</v>
      </c>
      <c r="Q17" s="44" t="e">
        <f>_xlfn.XLOOKUP(S17,'Tabla Articulos'!B:B,'Tabla Articulos'!E:E)</f>
        <v>#N/A</v>
      </c>
      <c r="R17" s="44" t="e">
        <f t="shared" si="0"/>
        <v>#N/A</v>
      </c>
      <c r="S17" s="45" t="str">
        <f t="shared" si="1"/>
        <v>77902113030049</v>
      </c>
    </row>
    <row r="18" spans="1:19" hidden="1" x14ac:dyDescent="0.35">
      <c r="A18" s="22">
        <v>6</v>
      </c>
      <c r="B18" t="s">
        <v>801</v>
      </c>
      <c r="C18" t="s">
        <v>802</v>
      </c>
      <c r="D18" s="11" t="s">
        <v>1198</v>
      </c>
      <c r="E18" t="s">
        <v>3507</v>
      </c>
      <c r="F18">
        <v>2016674</v>
      </c>
      <c r="G18" t="s">
        <v>3508</v>
      </c>
      <c r="H18" t="s">
        <v>805</v>
      </c>
      <c r="I18"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20</v>
      </c>
      <c r="P18" s="44" t="e">
        <f>_xlfn.XLOOKUP(Tabla5[[#This Row],[EAN CORREGIDO]],'Tabla Articulos'!B:B,'Tabla Articulos'!D:D)</f>
        <v>#N/A</v>
      </c>
      <c r="Q18" s="44" t="e">
        <f>_xlfn.XLOOKUP(S18,'Tabla Articulos'!B:B,'Tabla Articulos'!E:E)</f>
        <v>#N/A</v>
      </c>
      <c r="R18" s="44" t="e">
        <f t="shared" si="0"/>
        <v>#N/A</v>
      </c>
      <c r="S18" s="45" t="str">
        <f t="shared" si="1"/>
        <v>7798188570592</v>
      </c>
    </row>
    <row r="19" spans="1:19" hidden="1" x14ac:dyDescent="0.35">
      <c r="A19" s="22">
        <v>1</v>
      </c>
      <c r="B19" t="s">
        <v>812</v>
      </c>
      <c r="C19" t="s">
        <v>802</v>
      </c>
      <c r="D19" t="s">
        <v>3509</v>
      </c>
      <c r="E19" t="s">
        <v>3510</v>
      </c>
      <c r="F19">
        <v>4024816</v>
      </c>
      <c r="G19" t="s">
        <v>3511</v>
      </c>
      <c r="H19" t="s">
        <v>805</v>
      </c>
      <c r="I19">
        <v>190</v>
      </c>
      <c r="J19">
        <v>0</v>
      </c>
      <c r="K19">
        <v>0</v>
      </c>
      <c r="L19">
        <v>0</v>
      </c>
      <c r="M19">
        <v>0</v>
      </c>
      <c r="N19">
        <v>0</v>
      </c>
      <c r="O19">
        <v>190</v>
      </c>
      <c r="P19" s="44" t="e">
        <f>_xlfn.XLOOKUP(Tabla5[[#This Row],[EAN CORREGIDO]],'Tabla Articulos'!B:B,'Tabla Articulos'!D:D)</f>
        <v>#N/A</v>
      </c>
      <c r="Q19" s="44" t="e">
        <f>_xlfn.XLOOKUP(S19,'Tabla Articulos'!B:B,'Tabla Articulos'!E:E)</f>
        <v>#N/A</v>
      </c>
      <c r="R19" s="44" t="e">
        <f t="shared" si="0"/>
        <v>#N/A</v>
      </c>
      <c r="S19" s="45" t="str">
        <f t="shared" si="1"/>
        <v>7790895009211</v>
      </c>
    </row>
    <row r="20" spans="1:19" hidden="1" x14ac:dyDescent="0.35">
      <c r="A20" s="22">
        <v>1</v>
      </c>
      <c r="B20" t="s">
        <v>812</v>
      </c>
      <c r="C20" t="s">
        <v>802</v>
      </c>
      <c r="D20" t="s">
        <v>1252</v>
      </c>
      <c r="E20" t="s">
        <v>3512</v>
      </c>
      <c r="F20">
        <v>4024628</v>
      </c>
      <c r="G20" t="s">
        <v>3513</v>
      </c>
      <c r="H20" t="s">
        <v>805</v>
      </c>
      <c r="I20">
        <v>18</v>
      </c>
      <c r="J20">
        <v>0</v>
      </c>
      <c r="K20">
        <v>0</v>
      </c>
      <c r="L20">
        <v>0</v>
      </c>
      <c r="M20">
        <v>0</v>
      </c>
      <c r="N20">
        <v>0</v>
      </c>
      <c r="O20">
        <v>18</v>
      </c>
      <c r="P20" s="44" t="e">
        <f>_xlfn.XLOOKUP(Tabla5[[#This Row],[EAN CORREGIDO]],'Tabla Articulos'!B:B,'Tabla Articulos'!D:D)</f>
        <v>#N/A</v>
      </c>
      <c r="Q20" s="44" t="e">
        <f>_xlfn.XLOOKUP(S20,'Tabla Articulos'!B:B,'Tabla Articulos'!E:E)</f>
        <v>#N/A</v>
      </c>
      <c r="R20" s="44" t="e">
        <f t="shared" si="0"/>
        <v>#N/A</v>
      </c>
      <c r="S20" s="45" t="str">
        <f t="shared" si="1"/>
        <v>7790000000559</v>
      </c>
    </row>
    <row r="21" spans="1:19" hidden="1" x14ac:dyDescent="0.35">
      <c r="A21" s="22">
        <v>5</v>
      </c>
      <c r="B21" t="s">
        <v>829</v>
      </c>
      <c r="C21" t="s">
        <v>802</v>
      </c>
      <c r="D21" t="s">
        <v>229</v>
      </c>
      <c r="E21" t="s">
        <v>3514</v>
      </c>
      <c r="F21">
        <v>2006804</v>
      </c>
      <c r="G21" t="s">
        <v>3515</v>
      </c>
      <c r="H21" t="s">
        <v>805</v>
      </c>
      <c r="I21">
        <v>11608</v>
      </c>
      <c r="J21">
        <v>0</v>
      </c>
      <c r="K21">
        <v>0</v>
      </c>
      <c r="L21">
        <v>0</v>
      </c>
      <c r="M21">
        <v>0</v>
      </c>
      <c r="N21">
        <v>0</v>
      </c>
      <c r="O21">
        <v>11608</v>
      </c>
      <c r="P21" s="44" t="str">
        <f>_xlfn.XLOOKUP(Tabla5[[#This Row],[EAN CORREGIDO]],'Tabla Articulos'!B:B,'Tabla Articulos'!D:D)</f>
        <v>CAJA BASE DOBLE 40X32X27 HUR</v>
      </c>
      <c r="Q21" s="44">
        <f>_xlfn.XLOOKUP(S21,'Tabla Articulos'!B:B,'Tabla Articulos'!E:E)</f>
        <v>1</v>
      </c>
      <c r="R21" s="44">
        <f t="shared" si="0"/>
        <v>11608</v>
      </c>
      <c r="S21" s="45" t="str">
        <f t="shared" si="1"/>
        <v>7790316030028</v>
      </c>
    </row>
    <row r="22" spans="1:19" hidden="1" x14ac:dyDescent="0.35">
      <c r="A22" s="22">
        <v>6</v>
      </c>
      <c r="B22" t="s">
        <v>801</v>
      </c>
      <c r="C22" t="s">
        <v>802</v>
      </c>
      <c r="D22" t="s">
        <v>1198</v>
      </c>
      <c r="E22" t="s">
        <v>3516</v>
      </c>
      <c r="F22">
        <v>2016689</v>
      </c>
      <c r="G22" t="s">
        <v>3517</v>
      </c>
      <c r="H22" t="s">
        <v>805</v>
      </c>
      <c r="I22">
        <v>998</v>
      </c>
      <c r="J22">
        <v>0</v>
      </c>
      <c r="K22">
        <v>0</v>
      </c>
      <c r="L22">
        <v>0</v>
      </c>
      <c r="M22">
        <v>0</v>
      </c>
      <c r="N22">
        <v>0</v>
      </c>
      <c r="O22">
        <v>998</v>
      </c>
      <c r="P22" s="44" t="e">
        <f>_xlfn.XLOOKUP(Tabla5[[#This Row],[EAN CORREGIDO]],'Tabla Articulos'!B:B,'Tabla Articulos'!D:D)</f>
        <v>#N/A</v>
      </c>
      <c r="Q22" s="44" t="e">
        <f>_xlfn.XLOOKUP(S22,'Tabla Articulos'!B:B,'Tabla Articulos'!E:E)</f>
        <v>#N/A</v>
      </c>
      <c r="R22" s="44" t="e">
        <f t="shared" si="0"/>
        <v>#N/A</v>
      </c>
      <c r="S22" s="45" t="str">
        <f t="shared" si="1"/>
        <v>7798092968720</v>
      </c>
    </row>
    <row r="23" spans="1:19" hidden="1" x14ac:dyDescent="0.35">
      <c r="A23" s="22">
        <v>1</v>
      </c>
      <c r="B23" t="s">
        <v>812</v>
      </c>
      <c r="C23" t="s">
        <v>802</v>
      </c>
      <c r="D23" s="11" t="s">
        <v>1524</v>
      </c>
      <c r="E23" t="s">
        <v>1525</v>
      </c>
      <c r="F23">
        <v>4018418</v>
      </c>
      <c r="G23" t="s">
        <v>1526</v>
      </c>
      <c r="H23" t="s">
        <v>805</v>
      </c>
      <c r="I23">
        <v>57</v>
      </c>
      <c r="J23">
        <v>0</v>
      </c>
      <c r="K23">
        <v>0</v>
      </c>
      <c r="L23">
        <v>0</v>
      </c>
      <c r="M23">
        <v>0</v>
      </c>
      <c r="N23">
        <v>0</v>
      </c>
      <c r="O23">
        <v>57</v>
      </c>
      <c r="P23" s="44" t="e">
        <f>_xlfn.XLOOKUP(Tabla5[[#This Row],[EAN CORREGIDO]],'Tabla Articulos'!B:B,'Tabla Articulos'!D:D)</f>
        <v>#N/A</v>
      </c>
      <c r="Q23" s="44" t="e">
        <f>_xlfn.XLOOKUP(S23,'Tabla Articulos'!B:B,'Tabla Articulos'!E:E)</f>
        <v>#N/A</v>
      </c>
      <c r="R23" s="44" t="e">
        <f t="shared" si="0"/>
        <v>#N/A</v>
      </c>
      <c r="S23" s="45" t="str">
        <f t="shared" si="1"/>
        <v>7790726031084</v>
      </c>
    </row>
    <row r="24" spans="1:19" hidden="1" x14ac:dyDescent="0.35">
      <c r="A24" s="22">
        <v>6</v>
      </c>
      <c r="B24" t="s">
        <v>801</v>
      </c>
      <c r="C24" t="s">
        <v>802</v>
      </c>
      <c r="D24"/>
      <c r="E24" t="s">
        <v>1527</v>
      </c>
      <c r="F24">
        <v>9003427</v>
      </c>
      <c r="G24" t="s">
        <v>1528</v>
      </c>
      <c r="H24" t="s">
        <v>805</v>
      </c>
      <c r="I24">
        <v>7</v>
      </c>
      <c r="J24">
        <v>0</v>
      </c>
      <c r="K24">
        <v>0</v>
      </c>
      <c r="L24">
        <v>0</v>
      </c>
      <c r="M24">
        <v>0</v>
      </c>
      <c r="N24">
        <v>0</v>
      </c>
      <c r="O24">
        <v>7</v>
      </c>
      <c r="P24" s="44" t="e">
        <f>_xlfn.XLOOKUP(Tabla5[[#This Row],[EAN CORREGIDO]],'Tabla Articulos'!B:B,'Tabla Articulos'!D:D)</f>
        <v>#N/A</v>
      </c>
      <c r="Q24" s="44" t="e">
        <f>_xlfn.XLOOKUP(S24,'Tabla Articulos'!B:B,'Tabla Articulos'!E:E)</f>
        <v>#N/A</v>
      </c>
      <c r="R24" s="44" t="e">
        <f t="shared" si="0"/>
        <v>#N/A</v>
      </c>
      <c r="S24" s="45" t="str">
        <f t="shared" si="1"/>
        <v>UNIF000187</v>
      </c>
    </row>
    <row r="25" spans="1:19" hidden="1" x14ac:dyDescent="0.35">
      <c r="A25" s="22">
        <v>1</v>
      </c>
      <c r="B25" t="s">
        <v>812</v>
      </c>
      <c r="C25" t="s">
        <v>802</v>
      </c>
      <c r="D25" t="s">
        <v>1529</v>
      </c>
      <c r="E25" t="s">
        <v>1530</v>
      </c>
      <c r="F25">
        <v>4022590</v>
      </c>
      <c r="G25" t="s">
        <v>1531</v>
      </c>
      <c r="H25" t="s">
        <v>805</v>
      </c>
      <c r="I25">
        <v>1338</v>
      </c>
      <c r="J25">
        <v>0</v>
      </c>
      <c r="K25">
        <v>0</v>
      </c>
      <c r="L25">
        <v>48</v>
      </c>
      <c r="M25">
        <v>48</v>
      </c>
      <c r="N25">
        <v>0</v>
      </c>
      <c r="O25">
        <v>1242</v>
      </c>
      <c r="P25" s="44" t="e">
        <f>_xlfn.XLOOKUP(Tabla5[[#This Row],[EAN CORREGIDO]],'Tabla Articulos'!B:B,'Tabla Articulos'!D:D)</f>
        <v>#N/A</v>
      </c>
      <c r="Q25" s="44" t="e">
        <f>_xlfn.XLOOKUP(S25,'Tabla Articulos'!B:B,'Tabla Articulos'!E:E)</f>
        <v>#N/A</v>
      </c>
      <c r="R25" s="44" t="e">
        <f t="shared" si="0"/>
        <v>#N/A</v>
      </c>
      <c r="S25" s="45" t="str">
        <f t="shared" si="1"/>
        <v>7795711003701</v>
      </c>
    </row>
    <row r="26" spans="1:19" hidden="1" x14ac:dyDescent="0.35">
      <c r="A26" s="22">
        <v>6</v>
      </c>
      <c r="B26" t="s">
        <v>801</v>
      </c>
      <c r="C26" t="s">
        <v>802</v>
      </c>
      <c r="E26" t="s">
        <v>1532</v>
      </c>
      <c r="F26">
        <v>5004252</v>
      </c>
      <c r="G26" t="s">
        <v>1533</v>
      </c>
      <c r="H26" t="s">
        <v>1534</v>
      </c>
      <c r="I26">
        <v>209</v>
      </c>
      <c r="J26">
        <v>0</v>
      </c>
      <c r="K26">
        <v>0</v>
      </c>
      <c r="L26">
        <v>0</v>
      </c>
      <c r="M26">
        <v>0</v>
      </c>
      <c r="N26">
        <v>0</v>
      </c>
      <c r="O26">
        <v>209</v>
      </c>
      <c r="P26" s="44" t="e">
        <f>_xlfn.XLOOKUP(Tabla5[[#This Row],[EAN CORREGIDO]],'Tabla Articulos'!B:B,'Tabla Articulos'!D:D)</f>
        <v>#N/A</v>
      </c>
      <c r="Q26" s="44" t="e">
        <f>_xlfn.XLOOKUP(S26,'Tabla Articulos'!B:B,'Tabla Articulos'!E:E)</f>
        <v>#N/A</v>
      </c>
      <c r="R26" s="44" t="e">
        <f t="shared" si="0"/>
        <v>#N/A</v>
      </c>
      <c r="S26" s="45" t="str">
        <f t="shared" si="1"/>
        <v>7790000000677</v>
      </c>
    </row>
    <row r="27" spans="1:19" hidden="1" x14ac:dyDescent="0.35">
      <c r="A27" s="22">
        <v>6</v>
      </c>
      <c r="B27" t="s">
        <v>801</v>
      </c>
      <c r="C27" t="s">
        <v>802</v>
      </c>
      <c r="D27" t="s">
        <v>1535</v>
      </c>
      <c r="E27" t="s">
        <v>1536</v>
      </c>
      <c r="F27">
        <v>2016694</v>
      </c>
      <c r="G27" t="s">
        <v>1537</v>
      </c>
      <c r="H27" t="s">
        <v>805</v>
      </c>
      <c r="I27">
        <v>0</v>
      </c>
      <c r="J27">
        <v>2200</v>
      </c>
      <c r="K27">
        <v>0</v>
      </c>
      <c r="L27">
        <v>0</v>
      </c>
      <c r="M27">
        <v>0</v>
      </c>
      <c r="N27">
        <v>0</v>
      </c>
      <c r="O27">
        <v>2200</v>
      </c>
      <c r="P27" s="44" t="e">
        <f>_xlfn.XLOOKUP(Tabla5[[#This Row],[EAN CORREGIDO]],'Tabla Articulos'!B:B,'Tabla Articulos'!D:D)</f>
        <v>#N/A</v>
      </c>
      <c r="Q27" s="44" t="e">
        <f>_xlfn.XLOOKUP(S27,'Tabla Articulos'!B:B,'Tabla Articulos'!E:E)</f>
        <v>#N/A</v>
      </c>
      <c r="R27" s="44" t="e">
        <f t="shared" si="0"/>
        <v>#N/A</v>
      </c>
      <c r="S27" s="45" t="str">
        <f t="shared" si="1"/>
        <v>7790000000828</v>
      </c>
    </row>
    <row r="28" spans="1:19" hidden="1" x14ac:dyDescent="0.35">
      <c r="A28" s="22">
        <v>6</v>
      </c>
      <c r="B28" t="s">
        <v>801</v>
      </c>
      <c r="C28" t="s">
        <v>802</v>
      </c>
      <c r="E28" t="s">
        <v>1538</v>
      </c>
      <c r="F28">
        <v>9003416</v>
      </c>
      <c r="G28" t="s">
        <v>1539</v>
      </c>
      <c r="H28" t="s">
        <v>805</v>
      </c>
      <c r="I28">
        <v>5</v>
      </c>
      <c r="J28">
        <v>0</v>
      </c>
      <c r="K28">
        <v>0</v>
      </c>
      <c r="L28">
        <v>0</v>
      </c>
      <c r="M28">
        <v>0</v>
      </c>
      <c r="N28">
        <v>0</v>
      </c>
      <c r="O28">
        <v>5</v>
      </c>
      <c r="P28" s="44" t="e">
        <f>_xlfn.XLOOKUP(Tabla5[[#This Row],[EAN CORREGIDO]],'Tabla Articulos'!B:B,'Tabla Articulos'!D:D)</f>
        <v>#N/A</v>
      </c>
      <c r="Q28" s="44" t="e">
        <f>_xlfn.XLOOKUP(S28,'Tabla Articulos'!B:B,'Tabla Articulos'!E:E)</f>
        <v>#N/A</v>
      </c>
      <c r="R28" s="44" t="e">
        <f t="shared" si="0"/>
        <v>#N/A</v>
      </c>
      <c r="S28" s="45" t="str">
        <f t="shared" si="1"/>
        <v>UNIF000103</v>
      </c>
    </row>
    <row r="29" spans="1:19" hidden="1" x14ac:dyDescent="0.35">
      <c r="A29" s="22">
        <v>6</v>
      </c>
      <c r="B29" t="s">
        <v>801</v>
      </c>
      <c r="C29" t="s">
        <v>802</v>
      </c>
      <c r="D29"/>
      <c r="E29" t="s">
        <v>1540</v>
      </c>
      <c r="F29">
        <v>9003539</v>
      </c>
      <c r="G29" t="s">
        <v>1541</v>
      </c>
      <c r="H29" t="s">
        <v>805</v>
      </c>
      <c r="I29">
        <v>25</v>
      </c>
      <c r="J29">
        <v>25</v>
      </c>
      <c r="K29">
        <v>0</v>
      </c>
      <c r="L29">
        <v>0</v>
      </c>
      <c r="M29">
        <v>0</v>
      </c>
      <c r="N29">
        <v>0</v>
      </c>
      <c r="O29">
        <v>50</v>
      </c>
      <c r="P29" s="44" t="e">
        <f>_xlfn.XLOOKUP(Tabla5[[#This Row],[EAN CORREGIDO]],'Tabla Articulos'!B:B,'Tabla Articulos'!D:D)</f>
        <v>#N/A</v>
      </c>
      <c r="Q29" s="44" t="e">
        <f>_xlfn.XLOOKUP(S29,'Tabla Articulos'!B:B,'Tabla Articulos'!E:E)</f>
        <v>#N/A</v>
      </c>
      <c r="R29" s="44" t="e">
        <f t="shared" si="0"/>
        <v>#N/A</v>
      </c>
      <c r="S29" s="45" t="str">
        <f t="shared" si="1"/>
        <v>UNIF000078</v>
      </c>
    </row>
    <row r="30" spans="1:19" hidden="1" x14ac:dyDescent="0.35">
      <c r="A30" s="22">
        <v>6</v>
      </c>
      <c r="B30" t="s">
        <v>801</v>
      </c>
      <c r="C30" t="s">
        <v>802</v>
      </c>
      <c r="D30" t="s">
        <v>2650</v>
      </c>
      <c r="E30" t="s">
        <v>6814</v>
      </c>
      <c r="F30">
        <v>2016732</v>
      </c>
      <c r="G30" t="s">
        <v>6815</v>
      </c>
      <c r="H30" t="s">
        <v>805</v>
      </c>
      <c r="I30">
        <v>0</v>
      </c>
      <c r="J30">
        <v>1200</v>
      </c>
      <c r="K30">
        <v>1200</v>
      </c>
      <c r="L30">
        <v>0</v>
      </c>
      <c r="M30">
        <v>0</v>
      </c>
      <c r="N30">
        <v>0</v>
      </c>
      <c r="O30">
        <v>0</v>
      </c>
      <c r="P30" s="44" t="e">
        <f>_xlfn.XLOOKUP(Tabla5[[#This Row],[EAN CORREGIDO]],'Tabla Articulos'!B:B,'Tabla Articulos'!D:D)</f>
        <v>#N/A</v>
      </c>
      <c r="Q30" s="44" t="e">
        <f>_xlfn.XLOOKUP(S30,'Tabla Articulos'!B:B,'Tabla Articulos'!E:E)</f>
        <v>#N/A</v>
      </c>
      <c r="R30" s="44" t="e">
        <f t="shared" si="0"/>
        <v>#N/A</v>
      </c>
      <c r="S30" s="45" t="str">
        <f t="shared" si="1"/>
        <v>779090000501</v>
      </c>
    </row>
    <row r="31" spans="1:19" hidden="1" x14ac:dyDescent="0.35">
      <c r="A31" s="22">
        <v>6</v>
      </c>
      <c r="B31" t="s">
        <v>801</v>
      </c>
      <c r="C31" t="s">
        <v>802</v>
      </c>
      <c r="E31" t="s">
        <v>3892</v>
      </c>
      <c r="F31">
        <v>9003842</v>
      </c>
      <c r="G31" t="s">
        <v>3893</v>
      </c>
      <c r="H31" t="s">
        <v>805</v>
      </c>
      <c r="I31">
        <v>447</v>
      </c>
      <c r="J31">
        <v>0</v>
      </c>
      <c r="K31">
        <v>0</v>
      </c>
      <c r="L31">
        <v>0</v>
      </c>
      <c r="M31">
        <v>0</v>
      </c>
      <c r="N31">
        <v>0</v>
      </c>
      <c r="O31">
        <v>447</v>
      </c>
      <c r="P31" s="44" t="e">
        <f>_xlfn.XLOOKUP(Tabla5[[#This Row],[EAN CORREGIDO]],'Tabla Articulos'!B:B,'Tabla Articulos'!D:D)</f>
        <v>#N/A</v>
      </c>
      <c r="Q31" s="44" t="e">
        <f>_xlfn.XLOOKUP(S31,'Tabla Articulos'!B:B,'Tabla Articulos'!E:E)</f>
        <v>#N/A</v>
      </c>
      <c r="R31" s="44" t="e">
        <f t="shared" si="0"/>
        <v>#N/A</v>
      </c>
      <c r="S31" s="45" t="str">
        <f t="shared" si="1"/>
        <v>BAZ001189</v>
      </c>
    </row>
    <row r="32" spans="1:19" hidden="1" x14ac:dyDescent="0.35">
      <c r="A32" s="22">
        <v>5</v>
      </c>
      <c r="B32" t="s">
        <v>829</v>
      </c>
      <c r="C32" t="s">
        <v>802</v>
      </c>
      <c r="D32" t="s">
        <v>2330</v>
      </c>
      <c r="E32" t="s">
        <v>3894</v>
      </c>
      <c r="F32">
        <v>4020499</v>
      </c>
      <c r="G32" t="s">
        <v>3895</v>
      </c>
      <c r="H32" t="s">
        <v>805</v>
      </c>
      <c r="I32">
        <v>130</v>
      </c>
      <c r="J32">
        <v>0</v>
      </c>
      <c r="K32">
        <v>0</v>
      </c>
      <c r="L32">
        <v>0</v>
      </c>
      <c r="M32">
        <v>0</v>
      </c>
      <c r="N32">
        <v>0</v>
      </c>
      <c r="O32">
        <v>130</v>
      </c>
      <c r="P32" s="44" t="e">
        <f>_xlfn.XLOOKUP(Tabla5[[#This Row],[EAN CORREGIDO]],'Tabla Articulos'!B:B,'Tabla Articulos'!D:D)</f>
        <v>#N/A</v>
      </c>
      <c r="Q32" s="44" t="e">
        <f>_xlfn.XLOOKUP(S32,'Tabla Articulos'!B:B,'Tabla Articulos'!E:E)</f>
        <v>#N/A</v>
      </c>
      <c r="R32" s="44" t="e">
        <f t="shared" si="0"/>
        <v>#N/A</v>
      </c>
      <c r="S32" s="45" t="str">
        <f t="shared" si="1"/>
        <v>7798011976591</v>
      </c>
    </row>
    <row r="33" spans="1:19" hidden="1" x14ac:dyDescent="0.35">
      <c r="A33" s="22">
        <v>6</v>
      </c>
      <c r="B33" t="s">
        <v>801</v>
      </c>
      <c r="C33" t="s">
        <v>802</v>
      </c>
      <c r="D33" s="11" t="s">
        <v>1374</v>
      </c>
      <c r="E33" t="s">
        <v>3896</v>
      </c>
      <c r="F33">
        <v>2011523</v>
      </c>
      <c r="G33" t="s">
        <v>3897</v>
      </c>
      <c r="H33" t="s">
        <v>805</v>
      </c>
      <c r="I33">
        <v>2131</v>
      </c>
      <c r="J33">
        <v>0</v>
      </c>
      <c r="K33">
        <v>0</v>
      </c>
      <c r="L33">
        <v>0</v>
      </c>
      <c r="M33">
        <v>0</v>
      </c>
      <c r="N33">
        <v>0</v>
      </c>
      <c r="O33">
        <v>2131</v>
      </c>
      <c r="P33" s="44" t="e">
        <f>_xlfn.XLOOKUP(Tabla5[[#This Row],[EAN CORREGIDO]],'Tabla Articulos'!B:B,'Tabla Articulos'!D:D)</f>
        <v>#N/A</v>
      </c>
      <c r="Q33" s="44" t="e">
        <f>_xlfn.XLOOKUP(S33,'Tabla Articulos'!B:B,'Tabla Articulos'!E:E)</f>
        <v>#N/A</v>
      </c>
      <c r="R33" s="44" t="e">
        <f t="shared" si="0"/>
        <v>#N/A</v>
      </c>
      <c r="S33" s="45" t="str">
        <f t="shared" si="1"/>
        <v>7796322010331</v>
      </c>
    </row>
    <row r="34" spans="1:19" hidden="1" x14ac:dyDescent="0.35">
      <c r="A34" s="22">
        <v>6</v>
      </c>
      <c r="B34" t="s">
        <v>801</v>
      </c>
      <c r="C34" t="s">
        <v>802</v>
      </c>
      <c r="E34" t="s">
        <v>3898</v>
      </c>
      <c r="F34">
        <v>9003389</v>
      </c>
      <c r="G34" t="s">
        <v>3899</v>
      </c>
      <c r="H34" t="s">
        <v>805</v>
      </c>
      <c r="I34">
        <v>26</v>
      </c>
      <c r="J34">
        <v>0</v>
      </c>
      <c r="K34">
        <v>0</v>
      </c>
      <c r="L34">
        <v>0</v>
      </c>
      <c r="M34">
        <v>0</v>
      </c>
      <c r="N34">
        <v>0</v>
      </c>
      <c r="O34">
        <v>26</v>
      </c>
      <c r="P34" s="44" t="e">
        <f>_xlfn.XLOOKUP(Tabla5[[#This Row],[EAN CORREGIDO]],'Tabla Articulos'!B:B,'Tabla Articulos'!D:D)</f>
        <v>#N/A</v>
      </c>
      <c r="Q34" s="44" t="e">
        <f>_xlfn.XLOOKUP(S34,'Tabla Articulos'!B:B,'Tabla Articulos'!E:E)</f>
        <v>#N/A</v>
      </c>
      <c r="R34" s="44" t="e">
        <f t="shared" si="0"/>
        <v>#N/A</v>
      </c>
      <c r="S34" s="45" t="str">
        <f t="shared" si="1"/>
        <v>UNIF000506</v>
      </c>
    </row>
    <row r="35" spans="1:19" hidden="1" x14ac:dyDescent="0.35">
      <c r="A35" s="22">
        <v>1</v>
      </c>
      <c r="B35" t="s">
        <v>812</v>
      </c>
      <c r="C35" t="s">
        <v>802</v>
      </c>
      <c r="D35" s="11" t="s">
        <v>3900</v>
      </c>
      <c r="E35" t="s">
        <v>3901</v>
      </c>
      <c r="F35">
        <v>4017683</v>
      </c>
      <c r="G35" t="s">
        <v>3902</v>
      </c>
      <c r="H35" t="s">
        <v>816</v>
      </c>
      <c r="I35">
        <v>61.4</v>
      </c>
      <c r="J35">
        <v>0</v>
      </c>
      <c r="K35">
        <v>0</v>
      </c>
      <c r="L35">
        <v>0</v>
      </c>
      <c r="M35">
        <v>0</v>
      </c>
      <c r="N35">
        <v>40</v>
      </c>
      <c r="O35">
        <v>21.4</v>
      </c>
      <c r="P35" s="44" t="e">
        <f>_xlfn.XLOOKUP(Tabla5[[#This Row],[EAN CORREGIDO]],'Tabla Articulos'!B:B,'Tabla Articulos'!D:D)</f>
        <v>#N/A</v>
      </c>
      <c r="Q35" s="44" t="e">
        <f>_xlfn.XLOOKUP(S35,'Tabla Articulos'!B:B,'Tabla Articulos'!E:E)</f>
        <v>#N/A</v>
      </c>
      <c r="R35" s="44" t="e">
        <f t="shared" si="0"/>
        <v>#N/A</v>
      </c>
      <c r="S35" s="45" t="str">
        <f t="shared" si="1"/>
        <v>7790212031210</v>
      </c>
    </row>
    <row r="36" spans="1:19" hidden="1" x14ac:dyDescent="0.35">
      <c r="A36" s="22">
        <v>1</v>
      </c>
      <c r="B36" t="s">
        <v>812</v>
      </c>
      <c r="C36" t="s">
        <v>802</v>
      </c>
      <c r="D36" s="11" t="s">
        <v>2519</v>
      </c>
      <c r="E36" t="s">
        <v>3903</v>
      </c>
      <c r="F36">
        <v>4019770</v>
      </c>
      <c r="G36" t="s">
        <v>3904</v>
      </c>
      <c r="H36" t="s">
        <v>805</v>
      </c>
      <c r="I36">
        <v>40</v>
      </c>
      <c r="J36">
        <v>0</v>
      </c>
      <c r="K36">
        <v>0</v>
      </c>
      <c r="L36">
        <v>0</v>
      </c>
      <c r="M36">
        <v>0</v>
      </c>
      <c r="N36">
        <v>0</v>
      </c>
      <c r="O36">
        <v>40</v>
      </c>
      <c r="P36" s="44" t="e">
        <f>_xlfn.XLOOKUP(Tabla5[[#This Row],[EAN CORREGIDO]],'Tabla Articulos'!B:B,'Tabla Articulos'!D:D)</f>
        <v>#N/A</v>
      </c>
      <c r="Q36" s="44" t="e">
        <f>_xlfn.XLOOKUP(S36,'Tabla Articulos'!B:B,'Tabla Articulos'!E:E)</f>
        <v>#N/A</v>
      </c>
      <c r="R36" s="44" t="e">
        <f t="shared" si="0"/>
        <v>#N/A</v>
      </c>
      <c r="S36" s="45" t="str">
        <f t="shared" si="1"/>
        <v>7790566000271</v>
      </c>
    </row>
    <row r="37" spans="1:19" hidden="1" x14ac:dyDescent="0.35">
      <c r="A37" s="22">
        <v>5</v>
      </c>
      <c r="B37" t="s">
        <v>829</v>
      </c>
      <c r="C37" t="s">
        <v>802</v>
      </c>
      <c r="D37" t="s">
        <v>2519</v>
      </c>
      <c r="E37" t="s">
        <v>3903</v>
      </c>
      <c r="F37">
        <v>4019770</v>
      </c>
      <c r="G37" t="s">
        <v>3904</v>
      </c>
      <c r="H37" t="s">
        <v>805</v>
      </c>
      <c r="I37">
        <v>11</v>
      </c>
      <c r="J37">
        <v>0</v>
      </c>
      <c r="K37">
        <v>0</v>
      </c>
      <c r="L37">
        <v>0</v>
      </c>
      <c r="M37">
        <v>0</v>
      </c>
      <c r="N37">
        <v>0</v>
      </c>
      <c r="O37">
        <v>11</v>
      </c>
      <c r="P37" s="44" t="e">
        <f>_xlfn.XLOOKUP(Tabla5[[#This Row],[EAN CORREGIDO]],'Tabla Articulos'!B:B,'Tabla Articulos'!D:D)</f>
        <v>#N/A</v>
      </c>
      <c r="Q37" s="44" t="e">
        <f>_xlfn.XLOOKUP(S37,'Tabla Articulos'!B:B,'Tabla Articulos'!E:E)</f>
        <v>#N/A</v>
      </c>
      <c r="R37" s="44" t="e">
        <f t="shared" si="0"/>
        <v>#N/A</v>
      </c>
      <c r="S37" s="45" t="str">
        <f t="shared" si="1"/>
        <v>7790566000271</v>
      </c>
    </row>
    <row r="38" spans="1:19" hidden="1" x14ac:dyDescent="0.35">
      <c r="A38" s="22">
        <v>5</v>
      </c>
      <c r="B38" t="s">
        <v>829</v>
      </c>
      <c r="C38" t="s">
        <v>802</v>
      </c>
      <c r="D38" s="11" t="s">
        <v>1615</v>
      </c>
      <c r="E38" t="s">
        <v>4618</v>
      </c>
      <c r="F38">
        <v>4022705</v>
      </c>
      <c r="G38" t="s">
        <v>4619</v>
      </c>
      <c r="H38" t="s">
        <v>805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 s="44" t="e">
        <f>_xlfn.XLOOKUP(Tabla5[[#This Row],[EAN CORREGIDO]],'Tabla Articulos'!B:B,'Tabla Articulos'!D:D)</f>
        <v>#N/A</v>
      </c>
      <c r="Q38" s="44" t="e">
        <f>_xlfn.XLOOKUP(S38,'Tabla Articulos'!B:B,'Tabla Articulos'!E:E)</f>
        <v>#N/A</v>
      </c>
      <c r="R38" s="44" t="e">
        <f t="shared" si="0"/>
        <v>#N/A</v>
      </c>
      <c r="S38" s="45" t="str">
        <f t="shared" si="1"/>
        <v>7793360129957</v>
      </c>
    </row>
    <row r="39" spans="1:19" hidden="1" x14ac:dyDescent="0.35">
      <c r="A39" s="22">
        <v>6</v>
      </c>
      <c r="B39" t="s">
        <v>801</v>
      </c>
      <c r="C39" t="s">
        <v>802</v>
      </c>
      <c r="E39" t="s">
        <v>4620</v>
      </c>
      <c r="F39">
        <v>9003115</v>
      </c>
      <c r="G39" t="s">
        <v>4621</v>
      </c>
      <c r="H39" t="s">
        <v>805</v>
      </c>
      <c r="I39">
        <v>11</v>
      </c>
      <c r="J39">
        <v>0</v>
      </c>
      <c r="K39">
        <v>0</v>
      </c>
      <c r="L39">
        <v>0</v>
      </c>
      <c r="M39">
        <v>0</v>
      </c>
      <c r="N39">
        <v>0</v>
      </c>
      <c r="O39">
        <v>11</v>
      </c>
      <c r="P39" s="44" t="e">
        <f>_xlfn.XLOOKUP(Tabla5[[#This Row],[EAN CORREGIDO]],'Tabla Articulos'!B:B,'Tabla Articulos'!D:D)</f>
        <v>#N/A</v>
      </c>
      <c r="Q39" s="44" t="e">
        <f>_xlfn.XLOOKUP(S39,'Tabla Articulos'!B:B,'Tabla Articulos'!E:E)</f>
        <v>#N/A</v>
      </c>
      <c r="R39" s="44" t="e">
        <f t="shared" si="0"/>
        <v>#N/A</v>
      </c>
      <c r="S39" s="45" t="str">
        <f t="shared" si="1"/>
        <v>UNIF000577</v>
      </c>
    </row>
    <row r="40" spans="1:19" hidden="1" x14ac:dyDescent="0.35">
      <c r="A40" s="22">
        <v>1</v>
      </c>
      <c r="B40" t="s">
        <v>812</v>
      </c>
      <c r="C40" t="s">
        <v>802</v>
      </c>
      <c r="D40" t="s">
        <v>1759</v>
      </c>
      <c r="E40" t="s">
        <v>4622</v>
      </c>
      <c r="F40">
        <v>4021620</v>
      </c>
      <c r="G40" t="s">
        <v>4623</v>
      </c>
      <c r="H40" t="s">
        <v>805</v>
      </c>
      <c r="I40">
        <v>3227</v>
      </c>
      <c r="J40">
        <v>0</v>
      </c>
      <c r="K40">
        <v>0</v>
      </c>
      <c r="L40">
        <v>0</v>
      </c>
      <c r="M40">
        <v>0</v>
      </c>
      <c r="N40">
        <v>0</v>
      </c>
      <c r="O40">
        <v>3227</v>
      </c>
      <c r="P40" s="44" t="e">
        <f>_xlfn.XLOOKUP(Tabla5[[#This Row],[EAN CORREGIDO]],'Tabla Articulos'!B:B,'Tabla Articulos'!D:D)</f>
        <v>#N/A</v>
      </c>
      <c r="Q40" s="44" t="e">
        <f>_xlfn.XLOOKUP(S40,'Tabla Articulos'!B:B,'Tabla Articulos'!E:E)</f>
        <v>#N/A</v>
      </c>
      <c r="R40" s="44" t="e">
        <f t="shared" si="0"/>
        <v>#N/A</v>
      </c>
      <c r="S40" s="45" t="str">
        <f t="shared" si="1"/>
        <v>7798096031079</v>
      </c>
    </row>
    <row r="41" spans="1:19" hidden="1" x14ac:dyDescent="0.35">
      <c r="A41" s="22">
        <v>5</v>
      </c>
      <c r="B41" t="s">
        <v>829</v>
      </c>
      <c r="C41" t="s">
        <v>802</v>
      </c>
      <c r="D41" s="11" t="s">
        <v>1759</v>
      </c>
      <c r="E41" t="s">
        <v>4622</v>
      </c>
      <c r="F41">
        <v>4021620</v>
      </c>
      <c r="G41" t="s">
        <v>4623</v>
      </c>
      <c r="H41" t="s">
        <v>805</v>
      </c>
      <c r="I41">
        <v>210</v>
      </c>
      <c r="J41">
        <v>0</v>
      </c>
      <c r="K41">
        <v>0</v>
      </c>
      <c r="L41">
        <v>0</v>
      </c>
      <c r="M41">
        <v>0</v>
      </c>
      <c r="N41">
        <v>0</v>
      </c>
      <c r="O41">
        <v>210</v>
      </c>
      <c r="P41" s="44" t="e">
        <f>_xlfn.XLOOKUP(Tabla5[[#This Row],[EAN CORREGIDO]],'Tabla Articulos'!B:B,'Tabla Articulos'!D:D)</f>
        <v>#N/A</v>
      </c>
      <c r="Q41" s="44" t="e">
        <f>_xlfn.XLOOKUP(S41,'Tabla Articulos'!B:B,'Tabla Articulos'!E:E)</f>
        <v>#N/A</v>
      </c>
      <c r="R41" s="44" t="e">
        <f t="shared" si="0"/>
        <v>#N/A</v>
      </c>
      <c r="S41" s="45" t="str">
        <f t="shared" si="1"/>
        <v>7798096031079</v>
      </c>
    </row>
    <row r="42" spans="1:19" hidden="1" x14ac:dyDescent="0.35">
      <c r="A42" s="22">
        <v>1</v>
      </c>
      <c r="B42" t="s">
        <v>812</v>
      </c>
      <c r="C42" t="s">
        <v>802</v>
      </c>
      <c r="D42" s="11" t="s">
        <v>2136</v>
      </c>
      <c r="E42" t="s">
        <v>4624</v>
      </c>
      <c r="F42">
        <v>4019505</v>
      </c>
      <c r="G42" t="s">
        <v>4625</v>
      </c>
      <c r="H42" t="s">
        <v>805</v>
      </c>
      <c r="I42">
        <v>20</v>
      </c>
      <c r="J42">
        <v>0</v>
      </c>
      <c r="K42">
        <v>0</v>
      </c>
      <c r="L42">
        <v>0</v>
      </c>
      <c r="M42">
        <v>0</v>
      </c>
      <c r="N42">
        <v>0</v>
      </c>
      <c r="O42">
        <v>20</v>
      </c>
      <c r="P42" s="44" t="e">
        <f>_xlfn.XLOOKUP(Tabla5[[#This Row],[EAN CORREGIDO]],'Tabla Articulos'!B:B,'Tabla Articulos'!D:D)</f>
        <v>#N/A</v>
      </c>
      <c r="Q42" s="44" t="e">
        <f>_xlfn.XLOOKUP(S42,'Tabla Articulos'!B:B,'Tabla Articulos'!E:E)</f>
        <v>#N/A</v>
      </c>
      <c r="R42" s="44" t="e">
        <f t="shared" si="0"/>
        <v>#N/A</v>
      </c>
      <c r="S42" s="45" t="str">
        <f t="shared" si="1"/>
        <v>7622201705961</v>
      </c>
    </row>
    <row r="43" spans="1:19" hidden="1" x14ac:dyDescent="0.35">
      <c r="A43" s="22">
        <v>5</v>
      </c>
      <c r="B43" t="s">
        <v>829</v>
      </c>
      <c r="C43" t="s">
        <v>802</v>
      </c>
      <c r="D43" s="11" t="s">
        <v>889</v>
      </c>
      <c r="E43" t="s">
        <v>890</v>
      </c>
      <c r="F43">
        <v>4024731</v>
      </c>
      <c r="G43" t="s">
        <v>891</v>
      </c>
      <c r="H43" t="s">
        <v>805</v>
      </c>
      <c r="I43">
        <v>50</v>
      </c>
      <c r="J43">
        <v>0</v>
      </c>
      <c r="K43">
        <v>0</v>
      </c>
      <c r="L43">
        <v>0</v>
      </c>
      <c r="M43">
        <v>0</v>
      </c>
      <c r="N43">
        <v>0</v>
      </c>
      <c r="O43">
        <v>50</v>
      </c>
      <c r="P43" s="44" t="e">
        <f>_xlfn.XLOOKUP(Tabla5[[#This Row],[EAN CORREGIDO]],'Tabla Articulos'!B:B,'Tabla Articulos'!D:D)</f>
        <v>#N/A</v>
      </c>
      <c r="Q43" s="44" t="e">
        <f>_xlfn.XLOOKUP(S43,'Tabla Articulos'!B:B,'Tabla Articulos'!E:E)</f>
        <v>#N/A</v>
      </c>
      <c r="R43" s="44" t="e">
        <f t="shared" si="0"/>
        <v>#N/A</v>
      </c>
      <c r="S43" s="45" t="str">
        <f t="shared" si="1"/>
        <v>7790500006390</v>
      </c>
    </row>
    <row r="44" spans="1:19" hidden="1" x14ac:dyDescent="0.35">
      <c r="A44" s="22">
        <v>6</v>
      </c>
      <c r="B44" t="s">
        <v>801</v>
      </c>
      <c r="C44" t="s">
        <v>802</v>
      </c>
      <c r="D44"/>
      <c r="E44" t="s">
        <v>892</v>
      </c>
      <c r="F44">
        <v>9003192</v>
      </c>
      <c r="G44" t="s">
        <v>893</v>
      </c>
      <c r="H44" t="s">
        <v>805</v>
      </c>
      <c r="I44">
        <v>36</v>
      </c>
      <c r="J44">
        <v>0</v>
      </c>
      <c r="K44">
        <v>0</v>
      </c>
      <c r="L44">
        <v>0</v>
      </c>
      <c r="M44">
        <v>0</v>
      </c>
      <c r="N44">
        <v>0</v>
      </c>
      <c r="O44">
        <v>36</v>
      </c>
      <c r="P44" s="44" t="e">
        <f>_xlfn.XLOOKUP(Tabla5[[#This Row],[EAN CORREGIDO]],'Tabla Articulos'!B:B,'Tabla Articulos'!D:D)</f>
        <v>#N/A</v>
      </c>
      <c r="Q44" s="44" t="e">
        <f>_xlfn.XLOOKUP(S44,'Tabla Articulos'!B:B,'Tabla Articulos'!E:E)</f>
        <v>#N/A</v>
      </c>
      <c r="R44" s="44" t="e">
        <f t="shared" si="0"/>
        <v>#N/A</v>
      </c>
      <c r="S44" s="45" t="str">
        <f t="shared" si="1"/>
        <v>UNIF000318</v>
      </c>
    </row>
    <row r="45" spans="1:19" hidden="1" x14ac:dyDescent="0.35">
      <c r="A45" s="22">
        <v>6</v>
      </c>
      <c r="B45" t="s">
        <v>801</v>
      </c>
      <c r="C45" t="s">
        <v>802</v>
      </c>
      <c r="D45"/>
      <c r="E45" t="s">
        <v>894</v>
      </c>
      <c r="F45">
        <v>9003587</v>
      </c>
      <c r="G45" t="s">
        <v>895</v>
      </c>
      <c r="H45" t="s">
        <v>805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2</v>
      </c>
      <c r="P45" s="44" t="e">
        <f>_xlfn.XLOOKUP(Tabla5[[#This Row],[EAN CORREGIDO]],'Tabla Articulos'!B:B,'Tabla Articulos'!D:D)</f>
        <v>#N/A</v>
      </c>
      <c r="Q45" s="44" t="e">
        <f>_xlfn.XLOOKUP(S45,'Tabla Articulos'!B:B,'Tabla Articulos'!E:E)</f>
        <v>#N/A</v>
      </c>
      <c r="R45" s="44" t="e">
        <f t="shared" si="0"/>
        <v>#N/A</v>
      </c>
      <c r="S45" s="45" t="str">
        <f t="shared" si="1"/>
        <v>UNIF000499</v>
      </c>
    </row>
    <row r="46" spans="1:19" hidden="1" x14ac:dyDescent="0.35">
      <c r="A46" s="22">
        <v>1</v>
      </c>
      <c r="B46" t="s">
        <v>812</v>
      </c>
      <c r="C46" t="s">
        <v>802</v>
      </c>
      <c r="D46" t="s">
        <v>896</v>
      </c>
      <c r="E46" t="s">
        <v>897</v>
      </c>
      <c r="F46">
        <v>4019603</v>
      </c>
      <c r="G46" t="s">
        <v>898</v>
      </c>
      <c r="H46" t="s">
        <v>805</v>
      </c>
      <c r="I46">
        <v>7859</v>
      </c>
      <c r="J46">
        <v>0</v>
      </c>
      <c r="K46">
        <v>0</v>
      </c>
      <c r="L46">
        <v>0</v>
      </c>
      <c r="M46">
        <v>0</v>
      </c>
      <c r="N46">
        <v>0</v>
      </c>
      <c r="O46">
        <v>7859</v>
      </c>
      <c r="P46" s="44" t="e">
        <f>_xlfn.XLOOKUP(Tabla5[[#This Row],[EAN CORREGIDO]],'Tabla Articulos'!B:B,'Tabla Articulos'!D:D)</f>
        <v>#N/A</v>
      </c>
      <c r="Q46" s="44" t="e">
        <f>_xlfn.XLOOKUP(S46,'Tabla Articulos'!B:B,'Tabla Articulos'!E:E)</f>
        <v>#N/A</v>
      </c>
      <c r="R46" s="44" t="e">
        <f t="shared" si="0"/>
        <v>#N/A</v>
      </c>
      <c r="S46" s="45" t="str">
        <f t="shared" si="1"/>
        <v>7790971002402</v>
      </c>
    </row>
    <row r="47" spans="1:19" hidden="1" x14ac:dyDescent="0.35">
      <c r="A47" s="22">
        <v>6</v>
      </c>
      <c r="B47" t="s">
        <v>801</v>
      </c>
      <c r="C47" t="s">
        <v>802</v>
      </c>
      <c r="D47"/>
      <c r="E47" t="s">
        <v>899</v>
      </c>
      <c r="F47">
        <v>9003887</v>
      </c>
      <c r="G47" t="s">
        <v>900</v>
      </c>
      <c r="H47" t="s">
        <v>805</v>
      </c>
      <c r="I47">
        <v>13</v>
      </c>
      <c r="J47">
        <v>0</v>
      </c>
      <c r="K47">
        <v>0</v>
      </c>
      <c r="L47">
        <v>0</v>
      </c>
      <c r="M47">
        <v>0</v>
      </c>
      <c r="N47">
        <v>0</v>
      </c>
      <c r="O47">
        <v>13</v>
      </c>
      <c r="P47" s="44" t="e">
        <f>_xlfn.XLOOKUP(Tabla5[[#This Row],[EAN CORREGIDO]],'Tabla Articulos'!B:B,'Tabla Articulos'!D:D)</f>
        <v>#N/A</v>
      </c>
      <c r="Q47" s="44" t="e">
        <f>_xlfn.XLOOKUP(S47,'Tabla Articulos'!B:B,'Tabla Articulos'!E:E)</f>
        <v>#N/A</v>
      </c>
      <c r="R47" s="44" t="e">
        <f t="shared" si="0"/>
        <v>#N/A</v>
      </c>
      <c r="S47" s="45" t="str">
        <f t="shared" si="1"/>
        <v>BAZ001363</v>
      </c>
    </row>
    <row r="48" spans="1:19" hidden="1" x14ac:dyDescent="0.35">
      <c r="A48" s="22">
        <v>6</v>
      </c>
      <c r="B48" t="s">
        <v>801</v>
      </c>
      <c r="C48" t="s">
        <v>802</v>
      </c>
      <c r="E48" t="s">
        <v>901</v>
      </c>
      <c r="F48">
        <v>9003102</v>
      </c>
      <c r="G48" t="s">
        <v>902</v>
      </c>
      <c r="H48" t="s">
        <v>805</v>
      </c>
      <c r="I48">
        <v>13</v>
      </c>
      <c r="J48">
        <v>0</v>
      </c>
      <c r="K48">
        <v>0</v>
      </c>
      <c r="L48">
        <v>0</v>
      </c>
      <c r="M48">
        <v>0</v>
      </c>
      <c r="N48">
        <v>0</v>
      </c>
      <c r="O48">
        <v>13</v>
      </c>
      <c r="P48" s="44" t="e">
        <f>_xlfn.XLOOKUP(Tabla5[[#This Row],[EAN CORREGIDO]],'Tabla Articulos'!B:B,'Tabla Articulos'!D:D)</f>
        <v>#N/A</v>
      </c>
      <c r="Q48" s="44" t="e">
        <f>_xlfn.XLOOKUP(S48,'Tabla Articulos'!B:B,'Tabla Articulos'!E:E)</f>
        <v>#N/A</v>
      </c>
      <c r="R48" s="44" t="e">
        <f t="shared" si="0"/>
        <v>#N/A</v>
      </c>
      <c r="S48" s="45" t="str">
        <f t="shared" si="1"/>
        <v>UNIF000564</v>
      </c>
    </row>
    <row r="49" spans="1:19" hidden="1" x14ac:dyDescent="0.35">
      <c r="A49" s="22">
        <v>6</v>
      </c>
      <c r="B49" t="s">
        <v>801</v>
      </c>
      <c r="C49" t="s">
        <v>802</v>
      </c>
      <c r="E49" t="s">
        <v>903</v>
      </c>
      <c r="F49">
        <v>9003462</v>
      </c>
      <c r="G49" t="s">
        <v>904</v>
      </c>
      <c r="H49" t="s">
        <v>805</v>
      </c>
      <c r="I49">
        <v>3</v>
      </c>
      <c r="J49">
        <v>0</v>
      </c>
      <c r="K49">
        <v>0</v>
      </c>
      <c r="L49">
        <v>0</v>
      </c>
      <c r="M49">
        <v>0</v>
      </c>
      <c r="N49">
        <v>0</v>
      </c>
      <c r="O49">
        <v>3</v>
      </c>
      <c r="P49" s="44" t="e">
        <f>_xlfn.XLOOKUP(Tabla5[[#This Row],[EAN CORREGIDO]],'Tabla Articulos'!B:B,'Tabla Articulos'!D:D)</f>
        <v>#N/A</v>
      </c>
      <c r="Q49" s="44" t="e">
        <f>_xlfn.XLOOKUP(S49,'Tabla Articulos'!B:B,'Tabla Articulos'!E:E)</f>
        <v>#N/A</v>
      </c>
      <c r="R49" s="44" t="e">
        <f t="shared" si="0"/>
        <v>#N/A</v>
      </c>
      <c r="S49" s="45" t="str">
        <f t="shared" si="1"/>
        <v>UNIF000182</v>
      </c>
    </row>
    <row r="50" spans="1:19" hidden="1" x14ac:dyDescent="0.35">
      <c r="A50" s="22">
        <v>6</v>
      </c>
      <c r="B50" t="s">
        <v>801</v>
      </c>
      <c r="C50" t="s">
        <v>802</v>
      </c>
      <c r="D50" t="s">
        <v>905</v>
      </c>
      <c r="E50" t="s">
        <v>906</v>
      </c>
      <c r="F50">
        <v>2006668</v>
      </c>
      <c r="G50" t="s">
        <v>907</v>
      </c>
      <c r="H50" t="s">
        <v>805</v>
      </c>
      <c r="I50">
        <v>22</v>
      </c>
      <c r="J50">
        <v>0</v>
      </c>
      <c r="K50">
        <v>0</v>
      </c>
      <c r="L50">
        <v>0</v>
      </c>
      <c r="M50">
        <v>0</v>
      </c>
      <c r="N50">
        <v>0</v>
      </c>
      <c r="O50">
        <v>22</v>
      </c>
      <c r="P50" s="44" t="e">
        <f>_xlfn.XLOOKUP(Tabla5[[#This Row],[EAN CORREGIDO]],'Tabla Articulos'!B:B,'Tabla Articulos'!D:D)</f>
        <v>#N/A</v>
      </c>
      <c r="Q50" s="44" t="e">
        <f>_xlfn.XLOOKUP(S50,'Tabla Articulos'!B:B,'Tabla Articulos'!E:E)</f>
        <v>#N/A</v>
      </c>
      <c r="R50" s="44" t="e">
        <f t="shared" si="0"/>
        <v>#N/A</v>
      </c>
      <c r="S50" s="45" t="str">
        <f t="shared" si="1"/>
        <v>7790321000057</v>
      </c>
    </row>
    <row r="51" spans="1:19" hidden="1" x14ac:dyDescent="0.35">
      <c r="A51" s="22">
        <v>1</v>
      </c>
      <c r="B51" t="s">
        <v>812</v>
      </c>
      <c r="C51" t="s">
        <v>802</v>
      </c>
      <c r="D51" t="s">
        <v>908</v>
      </c>
      <c r="E51" t="s">
        <v>909</v>
      </c>
      <c r="F51">
        <v>4019579</v>
      </c>
      <c r="G51" t="s">
        <v>910</v>
      </c>
      <c r="H51" t="s">
        <v>805</v>
      </c>
      <c r="I51">
        <v>90</v>
      </c>
      <c r="J51">
        <v>0</v>
      </c>
      <c r="K51">
        <v>0</v>
      </c>
      <c r="L51">
        <v>0</v>
      </c>
      <c r="M51">
        <v>0</v>
      </c>
      <c r="N51">
        <v>0</v>
      </c>
      <c r="O51">
        <v>90</v>
      </c>
      <c r="P51" s="44" t="e">
        <f>_xlfn.XLOOKUP(Tabla5[[#This Row],[EAN CORREGIDO]],'Tabla Articulos'!B:B,'Tabla Articulos'!D:D)</f>
        <v>#N/A</v>
      </c>
      <c r="Q51" s="44" t="e">
        <f>_xlfn.XLOOKUP(S51,'Tabla Articulos'!B:B,'Tabla Articulos'!E:E)</f>
        <v>#N/A</v>
      </c>
      <c r="R51" s="44" t="e">
        <f t="shared" si="0"/>
        <v>#N/A</v>
      </c>
      <c r="S51" s="45" t="str">
        <f t="shared" si="1"/>
        <v>7790530900200</v>
      </c>
    </row>
    <row r="52" spans="1:19" hidden="1" x14ac:dyDescent="0.35">
      <c r="A52" s="22">
        <v>5</v>
      </c>
      <c r="B52" t="s">
        <v>829</v>
      </c>
      <c r="C52" t="s">
        <v>802</v>
      </c>
      <c r="D52" t="s">
        <v>908</v>
      </c>
      <c r="E52" t="s">
        <v>909</v>
      </c>
      <c r="F52">
        <v>4019579</v>
      </c>
      <c r="G52" t="s">
        <v>910</v>
      </c>
      <c r="H52" t="s">
        <v>805</v>
      </c>
      <c r="I52">
        <v>11</v>
      </c>
      <c r="J52">
        <v>0</v>
      </c>
      <c r="K52">
        <v>0</v>
      </c>
      <c r="L52">
        <v>0</v>
      </c>
      <c r="M52">
        <v>0</v>
      </c>
      <c r="N52">
        <v>0</v>
      </c>
      <c r="O52">
        <v>11</v>
      </c>
      <c r="P52" s="44" t="e">
        <f>_xlfn.XLOOKUP(Tabla5[[#This Row],[EAN CORREGIDO]],'Tabla Articulos'!B:B,'Tabla Articulos'!D:D)</f>
        <v>#N/A</v>
      </c>
      <c r="Q52" s="44" t="e">
        <f>_xlfn.XLOOKUP(S52,'Tabla Articulos'!B:B,'Tabla Articulos'!E:E)</f>
        <v>#N/A</v>
      </c>
      <c r="R52" s="44" t="e">
        <f t="shared" si="0"/>
        <v>#N/A</v>
      </c>
      <c r="S52" s="45" t="str">
        <f t="shared" si="1"/>
        <v>7790530900200</v>
      </c>
    </row>
    <row r="53" spans="1:19" hidden="1" x14ac:dyDescent="0.35">
      <c r="A53" s="22">
        <v>6</v>
      </c>
      <c r="B53" t="s">
        <v>801</v>
      </c>
      <c r="C53" t="s">
        <v>802</v>
      </c>
      <c r="D53" t="s">
        <v>337</v>
      </c>
      <c r="E53" t="s">
        <v>4681</v>
      </c>
      <c r="F53">
        <v>2006451</v>
      </c>
      <c r="G53" t="s">
        <v>4682</v>
      </c>
      <c r="H53" t="s">
        <v>805</v>
      </c>
      <c r="I53">
        <v>185</v>
      </c>
      <c r="J53">
        <v>0</v>
      </c>
      <c r="K53">
        <v>0</v>
      </c>
      <c r="L53">
        <v>0</v>
      </c>
      <c r="M53">
        <v>0</v>
      </c>
      <c r="N53">
        <v>0</v>
      </c>
      <c r="O53">
        <v>185</v>
      </c>
      <c r="P53" s="44" t="str">
        <f>_xlfn.XLOOKUP(Tabla5[[#This Row],[EAN CORREGIDO]],'Tabla Articulos'!B:B,'Tabla Articulos'!D:D)</f>
        <v>TAPA ENSALADERA CRISTAL</v>
      </c>
      <c r="Q53" s="44">
        <f>_xlfn.XLOOKUP(S53,'Tabla Articulos'!B:B,'Tabla Articulos'!E:E)</f>
        <v>100</v>
      </c>
      <c r="R53" s="44">
        <f t="shared" si="0"/>
        <v>18500</v>
      </c>
      <c r="S53" s="45" t="str">
        <f t="shared" si="1"/>
        <v>7790321000063</v>
      </c>
    </row>
    <row r="54" spans="1:19" hidden="1" x14ac:dyDescent="0.35">
      <c r="A54" s="22">
        <v>1</v>
      </c>
      <c r="B54" t="s">
        <v>812</v>
      </c>
      <c r="C54" t="s">
        <v>802</v>
      </c>
      <c r="D54" t="s">
        <v>3328</v>
      </c>
      <c r="E54" t="s">
        <v>4683</v>
      </c>
      <c r="F54">
        <v>4020154</v>
      </c>
      <c r="G54" t="s">
        <v>4684</v>
      </c>
      <c r="H54" t="s">
        <v>805</v>
      </c>
      <c r="I54">
        <v>3</v>
      </c>
      <c r="J54">
        <v>0</v>
      </c>
      <c r="K54">
        <v>0</v>
      </c>
      <c r="L54">
        <v>0</v>
      </c>
      <c r="M54">
        <v>0</v>
      </c>
      <c r="N54">
        <v>0</v>
      </c>
      <c r="O54">
        <v>3</v>
      </c>
      <c r="P54" s="44" t="e">
        <f>_xlfn.XLOOKUP(Tabla5[[#This Row],[EAN CORREGIDO]],'Tabla Articulos'!B:B,'Tabla Articulos'!D:D)</f>
        <v>#N/A</v>
      </c>
      <c r="Q54" s="44" t="e">
        <f>_xlfn.XLOOKUP(S54,'Tabla Articulos'!B:B,'Tabla Articulos'!E:E)</f>
        <v>#N/A</v>
      </c>
      <c r="R54" s="44" t="e">
        <f t="shared" si="0"/>
        <v>#N/A</v>
      </c>
      <c r="S54" s="45" t="str">
        <f t="shared" si="1"/>
        <v>7791113002588</v>
      </c>
    </row>
    <row r="55" spans="1:19" hidden="1" x14ac:dyDescent="0.35">
      <c r="A55" s="22">
        <v>6</v>
      </c>
      <c r="B55" t="s">
        <v>801</v>
      </c>
      <c r="C55" t="s">
        <v>802</v>
      </c>
      <c r="E55" t="s">
        <v>4685</v>
      </c>
      <c r="F55">
        <v>9003611</v>
      </c>
      <c r="G55" t="s">
        <v>4686</v>
      </c>
      <c r="H55" t="s">
        <v>805</v>
      </c>
      <c r="I55">
        <v>34</v>
      </c>
      <c r="J55">
        <v>0</v>
      </c>
      <c r="K55">
        <v>0</v>
      </c>
      <c r="L55">
        <v>0</v>
      </c>
      <c r="M55">
        <v>0</v>
      </c>
      <c r="N55">
        <v>0</v>
      </c>
      <c r="O55">
        <v>34</v>
      </c>
      <c r="P55" s="44" t="e">
        <f>_xlfn.XLOOKUP(Tabla5[[#This Row],[EAN CORREGIDO]],'Tabla Articulos'!B:B,'Tabla Articulos'!D:D)</f>
        <v>#N/A</v>
      </c>
      <c r="Q55" s="44" t="e">
        <f>_xlfn.XLOOKUP(S55,'Tabla Articulos'!B:B,'Tabla Articulos'!E:E)</f>
        <v>#N/A</v>
      </c>
      <c r="R55" s="44" t="e">
        <f t="shared" si="0"/>
        <v>#N/A</v>
      </c>
      <c r="S55" s="45" t="str">
        <f t="shared" si="1"/>
        <v>UNIF000450</v>
      </c>
    </row>
    <row r="56" spans="1:19" hidden="1" x14ac:dyDescent="0.35">
      <c r="A56" s="22">
        <v>6</v>
      </c>
      <c r="B56" t="s">
        <v>801</v>
      </c>
      <c r="C56" t="s">
        <v>802</v>
      </c>
      <c r="D56"/>
      <c r="E56" t="s">
        <v>2259</v>
      </c>
      <c r="F56">
        <v>9003111</v>
      </c>
      <c r="G56" t="s">
        <v>2260</v>
      </c>
      <c r="H56" t="s">
        <v>805</v>
      </c>
      <c r="I56">
        <v>14</v>
      </c>
      <c r="J56">
        <v>0</v>
      </c>
      <c r="K56">
        <v>0</v>
      </c>
      <c r="L56">
        <v>0</v>
      </c>
      <c r="M56">
        <v>0</v>
      </c>
      <c r="N56">
        <v>0</v>
      </c>
      <c r="O56">
        <v>14</v>
      </c>
      <c r="P56" s="44" t="e">
        <f>_xlfn.XLOOKUP(Tabla5[[#This Row],[EAN CORREGIDO]],'Tabla Articulos'!B:B,'Tabla Articulos'!D:D)</f>
        <v>#N/A</v>
      </c>
      <c r="Q56" s="44" t="e">
        <f>_xlfn.XLOOKUP(S56,'Tabla Articulos'!B:B,'Tabla Articulos'!E:E)</f>
        <v>#N/A</v>
      </c>
      <c r="R56" s="44" t="e">
        <f t="shared" si="0"/>
        <v>#N/A</v>
      </c>
      <c r="S56" s="45" t="str">
        <f t="shared" si="1"/>
        <v>UNIF000573</v>
      </c>
    </row>
    <row r="57" spans="1:19" hidden="1" x14ac:dyDescent="0.35">
      <c r="A57" s="22">
        <v>6</v>
      </c>
      <c r="B57" t="s">
        <v>801</v>
      </c>
      <c r="C57" t="s">
        <v>802</v>
      </c>
      <c r="D57"/>
      <c r="E57" t="s">
        <v>2261</v>
      </c>
      <c r="F57">
        <v>9003048</v>
      </c>
      <c r="G57" t="s">
        <v>2262</v>
      </c>
      <c r="H57" t="s">
        <v>805</v>
      </c>
      <c r="I57">
        <v>68</v>
      </c>
      <c r="J57">
        <v>0</v>
      </c>
      <c r="K57">
        <v>0</v>
      </c>
      <c r="L57">
        <v>0</v>
      </c>
      <c r="M57">
        <v>0</v>
      </c>
      <c r="N57">
        <v>0</v>
      </c>
      <c r="O57">
        <v>68</v>
      </c>
      <c r="P57" s="44" t="e">
        <f>_xlfn.XLOOKUP(Tabla5[[#This Row],[EAN CORREGIDO]],'Tabla Articulos'!B:B,'Tabla Articulos'!D:D)</f>
        <v>#N/A</v>
      </c>
      <c r="Q57" s="44" t="e">
        <f>_xlfn.XLOOKUP(S57,'Tabla Articulos'!B:B,'Tabla Articulos'!E:E)</f>
        <v>#N/A</v>
      </c>
      <c r="R57" s="44" t="e">
        <f t="shared" si="0"/>
        <v>#N/A</v>
      </c>
      <c r="S57" s="45" t="str">
        <f t="shared" si="1"/>
        <v>UNIF000017</v>
      </c>
    </row>
    <row r="58" spans="1:19" hidden="1" x14ac:dyDescent="0.35">
      <c r="A58" s="22">
        <v>5</v>
      </c>
      <c r="B58" t="s">
        <v>829</v>
      </c>
      <c r="C58" t="s">
        <v>802</v>
      </c>
      <c r="D58" t="s">
        <v>2263</v>
      </c>
      <c r="E58" t="s">
        <v>2264</v>
      </c>
      <c r="F58">
        <v>4076539</v>
      </c>
      <c r="G58" t="s">
        <v>2265</v>
      </c>
      <c r="H58" t="s">
        <v>805</v>
      </c>
      <c r="I58">
        <v>20</v>
      </c>
      <c r="J58">
        <v>0</v>
      </c>
      <c r="K58">
        <v>0</v>
      </c>
      <c r="L58">
        <v>0</v>
      </c>
      <c r="M58">
        <v>0</v>
      </c>
      <c r="N58">
        <v>0</v>
      </c>
      <c r="O58">
        <v>20</v>
      </c>
      <c r="P58" s="44" t="e">
        <f>_xlfn.XLOOKUP(Tabla5[[#This Row],[EAN CORREGIDO]],'Tabla Articulos'!B:B,'Tabla Articulos'!D:D)</f>
        <v>#N/A</v>
      </c>
      <c r="Q58" s="44" t="e">
        <f>_xlfn.XLOOKUP(S58,'Tabla Articulos'!B:B,'Tabla Articulos'!E:E)</f>
        <v>#N/A</v>
      </c>
      <c r="R58" s="44" t="e">
        <f t="shared" si="0"/>
        <v>#N/A</v>
      </c>
      <c r="S58" s="45" t="str">
        <f t="shared" si="1"/>
        <v>7798011977727</v>
      </c>
    </row>
    <row r="59" spans="1:19" hidden="1" x14ac:dyDescent="0.35">
      <c r="A59" s="22">
        <v>1</v>
      </c>
      <c r="B59" t="s">
        <v>812</v>
      </c>
      <c r="C59" t="s">
        <v>802</v>
      </c>
      <c r="D59" s="11" t="s">
        <v>2266</v>
      </c>
      <c r="E59" t="s">
        <v>2267</v>
      </c>
      <c r="F59">
        <v>4017469</v>
      </c>
      <c r="G59" t="s">
        <v>2268</v>
      </c>
      <c r="H59" t="s">
        <v>805</v>
      </c>
      <c r="I59">
        <v>245</v>
      </c>
      <c r="J59">
        <v>0</v>
      </c>
      <c r="K59">
        <v>0</v>
      </c>
      <c r="L59">
        <v>0</v>
      </c>
      <c r="M59">
        <v>0</v>
      </c>
      <c r="N59">
        <v>0</v>
      </c>
      <c r="O59">
        <v>245</v>
      </c>
      <c r="P59" s="44" t="e">
        <f>_xlfn.XLOOKUP(Tabla5[[#This Row],[EAN CORREGIDO]],'Tabla Articulos'!B:B,'Tabla Articulos'!D:D)</f>
        <v>#N/A</v>
      </c>
      <c r="Q59" s="44" t="e">
        <f>_xlfn.XLOOKUP(S59,'Tabla Articulos'!B:B,'Tabla Articulos'!E:E)</f>
        <v>#N/A</v>
      </c>
      <c r="R59" s="44" t="e">
        <f t="shared" si="0"/>
        <v>#N/A</v>
      </c>
      <c r="S59" s="45" t="str">
        <f t="shared" si="1"/>
        <v>7790212040026</v>
      </c>
    </row>
    <row r="60" spans="1:19" hidden="1" x14ac:dyDescent="0.35">
      <c r="A60" s="22">
        <v>1</v>
      </c>
      <c r="B60" t="s">
        <v>812</v>
      </c>
      <c r="C60" t="s">
        <v>802</v>
      </c>
      <c r="D60" s="11" t="s">
        <v>2269</v>
      </c>
      <c r="E60" t="s">
        <v>2270</v>
      </c>
      <c r="F60">
        <v>4020455</v>
      </c>
      <c r="G60" t="s">
        <v>2271</v>
      </c>
      <c r="H60" t="s">
        <v>805</v>
      </c>
      <c r="I60">
        <v>424</v>
      </c>
      <c r="J60">
        <v>0</v>
      </c>
      <c r="K60">
        <v>0</v>
      </c>
      <c r="L60">
        <v>0</v>
      </c>
      <c r="M60">
        <v>0</v>
      </c>
      <c r="N60">
        <v>0</v>
      </c>
      <c r="O60">
        <v>424</v>
      </c>
      <c r="P60" s="44" t="e">
        <f>_xlfn.XLOOKUP(Tabla5[[#This Row],[EAN CORREGIDO]],'Tabla Articulos'!B:B,'Tabla Articulos'!D:D)</f>
        <v>#N/A</v>
      </c>
      <c r="Q60" s="44" t="e">
        <f>_xlfn.XLOOKUP(S60,'Tabla Articulos'!B:B,'Tabla Articulos'!E:E)</f>
        <v>#N/A</v>
      </c>
      <c r="R60" s="44" t="e">
        <f t="shared" si="0"/>
        <v>#N/A</v>
      </c>
      <c r="S60" s="45" t="str">
        <f t="shared" si="1"/>
        <v>7798132920435</v>
      </c>
    </row>
    <row r="61" spans="1:19" hidden="1" x14ac:dyDescent="0.35">
      <c r="A61" s="22">
        <v>6</v>
      </c>
      <c r="B61" t="s">
        <v>801</v>
      </c>
      <c r="C61" t="s">
        <v>802</v>
      </c>
      <c r="E61" t="s">
        <v>929</v>
      </c>
      <c r="F61">
        <v>5002940</v>
      </c>
      <c r="G61" t="s">
        <v>930</v>
      </c>
      <c r="H61" t="s">
        <v>805</v>
      </c>
      <c r="I61">
        <v>100</v>
      </c>
      <c r="J61">
        <v>0</v>
      </c>
      <c r="K61">
        <v>0</v>
      </c>
      <c r="L61">
        <v>0</v>
      </c>
      <c r="M61">
        <v>0</v>
      </c>
      <c r="N61">
        <v>0</v>
      </c>
      <c r="O61">
        <v>100</v>
      </c>
      <c r="P61" s="44" t="e">
        <f>_xlfn.XLOOKUP(Tabla5[[#This Row],[EAN CORREGIDO]],'Tabla Articulos'!B:B,'Tabla Articulos'!D:D)</f>
        <v>#N/A</v>
      </c>
      <c r="Q61" s="44" t="e">
        <f>_xlfn.XLOOKUP(S61,'Tabla Articulos'!B:B,'Tabla Articulos'!E:E)</f>
        <v>#N/A</v>
      </c>
      <c r="R61" s="44" t="e">
        <f t="shared" si="0"/>
        <v>#N/A</v>
      </c>
      <c r="S61" s="45" t="str">
        <f t="shared" si="1"/>
        <v>BAZ000870</v>
      </c>
    </row>
    <row r="62" spans="1:19" hidden="1" x14ac:dyDescent="0.35">
      <c r="A62" s="22">
        <v>5</v>
      </c>
      <c r="B62" t="s">
        <v>829</v>
      </c>
      <c r="C62" t="s">
        <v>802</v>
      </c>
      <c r="D62" s="11" t="s">
        <v>931</v>
      </c>
      <c r="E62" t="s">
        <v>932</v>
      </c>
      <c r="F62">
        <v>4024234</v>
      </c>
      <c r="G62" t="s">
        <v>933</v>
      </c>
      <c r="H62" t="s">
        <v>805</v>
      </c>
      <c r="I62">
        <v>14</v>
      </c>
      <c r="J62">
        <v>0</v>
      </c>
      <c r="K62">
        <v>0</v>
      </c>
      <c r="L62">
        <v>0</v>
      </c>
      <c r="M62">
        <v>0</v>
      </c>
      <c r="N62">
        <v>0</v>
      </c>
      <c r="O62">
        <v>14</v>
      </c>
      <c r="P62" s="44" t="e">
        <f>_xlfn.XLOOKUP(Tabla5[[#This Row],[EAN CORREGIDO]],'Tabla Articulos'!B:B,'Tabla Articulos'!D:D)</f>
        <v>#N/A</v>
      </c>
      <c r="Q62" s="44" t="e">
        <f>_xlfn.XLOOKUP(S62,'Tabla Articulos'!B:B,'Tabla Articulos'!E:E)</f>
        <v>#N/A</v>
      </c>
      <c r="R62" s="44" t="e">
        <f t="shared" si="0"/>
        <v>#N/A</v>
      </c>
      <c r="S62" s="45" t="str">
        <f t="shared" si="1"/>
        <v>724751080240</v>
      </c>
    </row>
    <row r="63" spans="1:19" hidden="1" x14ac:dyDescent="0.35">
      <c r="A63" s="22">
        <v>1</v>
      </c>
      <c r="B63" t="s">
        <v>812</v>
      </c>
      <c r="C63" t="s">
        <v>802</v>
      </c>
      <c r="D63" s="11" t="s">
        <v>934</v>
      </c>
      <c r="E63" t="s">
        <v>935</v>
      </c>
      <c r="F63">
        <v>4018055</v>
      </c>
      <c r="G63" t="s">
        <v>936</v>
      </c>
      <c r="H63" t="s">
        <v>805</v>
      </c>
      <c r="I63">
        <v>2111</v>
      </c>
      <c r="J63">
        <v>0</v>
      </c>
      <c r="K63">
        <v>0</v>
      </c>
      <c r="L63">
        <v>0</v>
      </c>
      <c r="M63">
        <v>0</v>
      </c>
      <c r="N63">
        <v>0</v>
      </c>
      <c r="O63">
        <v>2111</v>
      </c>
      <c r="P63" s="44" t="e">
        <f>_xlfn.XLOOKUP(Tabla5[[#This Row],[EAN CORREGIDO]],'Tabla Articulos'!B:B,'Tabla Articulos'!D:D)</f>
        <v>#N/A</v>
      </c>
      <c r="Q63" s="44" t="e">
        <f>_xlfn.XLOOKUP(S63,'Tabla Articulos'!B:B,'Tabla Articulos'!E:E)</f>
        <v>#N/A</v>
      </c>
      <c r="R63" s="44" t="e">
        <f t="shared" si="0"/>
        <v>#N/A</v>
      </c>
      <c r="S63" s="45" t="str">
        <f t="shared" si="1"/>
        <v>7790216020016</v>
      </c>
    </row>
    <row r="64" spans="1:19" hidden="1" x14ac:dyDescent="0.35">
      <c r="A64" s="22">
        <v>5</v>
      </c>
      <c r="B64" t="s">
        <v>829</v>
      </c>
      <c r="C64" t="s">
        <v>802</v>
      </c>
      <c r="D64" t="s">
        <v>934</v>
      </c>
      <c r="E64" t="s">
        <v>935</v>
      </c>
      <c r="F64">
        <v>4018055</v>
      </c>
      <c r="G64" t="s">
        <v>936</v>
      </c>
      <c r="H64" t="s">
        <v>805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 s="44" t="e">
        <f>_xlfn.XLOOKUP(Tabla5[[#This Row],[EAN CORREGIDO]],'Tabla Articulos'!B:B,'Tabla Articulos'!D:D)</f>
        <v>#N/A</v>
      </c>
      <c r="Q64" s="44" t="e">
        <f>_xlfn.XLOOKUP(S64,'Tabla Articulos'!B:B,'Tabla Articulos'!E:E)</f>
        <v>#N/A</v>
      </c>
      <c r="R64" s="44" t="e">
        <f t="shared" si="0"/>
        <v>#N/A</v>
      </c>
      <c r="S64" s="45" t="str">
        <f t="shared" si="1"/>
        <v>7790216020016</v>
      </c>
    </row>
    <row r="65" spans="1:19" hidden="1" x14ac:dyDescent="0.35">
      <c r="A65" s="22">
        <v>6</v>
      </c>
      <c r="B65" t="s">
        <v>801</v>
      </c>
      <c r="C65" t="s">
        <v>802</v>
      </c>
      <c r="D65"/>
      <c r="E65" t="s">
        <v>937</v>
      </c>
      <c r="F65">
        <v>9003594</v>
      </c>
      <c r="G65" t="s">
        <v>938</v>
      </c>
      <c r="H65" t="s">
        <v>805</v>
      </c>
      <c r="I65">
        <v>107</v>
      </c>
      <c r="J65">
        <v>0</v>
      </c>
      <c r="K65">
        <v>0</v>
      </c>
      <c r="L65">
        <v>0</v>
      </c>
      <c r="M65">
        <v>0</v>
      </c>
      <c r="N65">
        <v>0</v>
      </c>
      <c r="O65">
        <v>107</v>
      </c>
      <c r="P65" s="44" t="e">
        <f>_xlfn.XLOOKUP(Tabla5[[#This Row],[EAN CORREGIDO]],'Tabla Articulos'!B:B,'Tabla Articulos'!D:D)</f>
        <v>#N/A</v>
      </c>
      <c r="Q65" s="44" t="e">
        <f>_xlfn.XLOOKUP(S65,'Tabla Articulos'!B:B,'Tabla Articulos'!E:E)</f>
        <v>#N/A</v>
      </c>
      <c r="R65" s="44" t="e">
        <f t="shared" ref="R65:R128" si="2">O65*Q65</f>
        <v>#N/A</v>
      </c>
      <c r="S65" s="45" t="str">
        <f t="shared" ref="S65:S128" si="3">TRIM(E65)</f>
        <v>UNIF000433</v>
      </c>
    </row>
    <row r="66" spans="1:19" hidden="1" x14ac:dyDescent="0.35">
      <c r="A66" s="22">
        <v>6</v>
      </c>
      <c r="B66" t="s">
        <v>801</v>
      </c>
      <c r="C66" t="s">
        <v>802</v>
      </c>
      <c r="D66"/>
      <c r="E66" t="s">
        <v>939</v>
      </c>
      <c r="F66">
        <v>9003224</v>
      </c>
      <c r="G66" t="s">
        <v>940</v>
      </c>
      <c r="H66" t="s">
        <v>805</v>
      </c>
      <c r="I66">
        <v>2</v>
      </c>
      <c r="J66">
        <v>290</v>
      </c>
      <c r="K66">
        <v>0</v>
      </c>
      <c r="L66">
        <v>0</v>
      </c>
      <c r="M66">
        <v>0</v>
      </c>
      <c r="N66">
        <v>0</v>
      </c>
      <c r="O66">
        <v>292</v>
      </c>
      <c r="P66" s="44" t="e">
        <f>_xlfn.XLOOKUP(Tabla5[[#This Row],[EAN CORREGIDO]],'Tabla Articulos'!B:B,'Tabla Articulos'!D:D)</f>
        <v>#N/A</v>
      </c>
      <c r="Q66" s="44" t="e">
        <f>_xlfn.XLOOKUP(S66,'Tabla Articulos'!B:B,'Tabla Articulos'!E:E)</f>
        <v>#N/A</v>
      </c>
      <c r="R66" s="44" t="e">
        <f t="shared" si="2"/>
        <v>#N/A</v>
      </c>
      <c r="S66" s="45" t="str">
        <f t="shared" si="3"/>
        <v>UNIF000124</v>
      </c>
    </row>
    <row r="67" spans="1:19" hidden="1" x14ac:dyDescent="0.35">
      <c r="A67" s="22">
        <v>6</v>
      </c>
      <c r="B67" t="s">
        <v>801</v>
      </c>
      <c r="C67" t="s">
        <v>802</v>
      </c>
      <c r="E67" t="s">
        <v>3955</v>
      </c>
      <c r="F67">
        <v>9003182</v>
      </c>
      <c r="G67" t="s">
        <v>3956</v>
      </c>
      <c r="H67" t="s">
        <v>805</v>
      </c>
      <c r="I67">
        <v>9</v>
      </c>
      <c r="J67">
        <v>0</v>
      </c>
      <c r="K67">
        <v>0</v>
      </c>
      <c r="L67">
        <v>0</v>
      </c>
      <c r="M67">
        <v>0</v>
      </c>
      <c r="N67">
        <v>0</v>
      </c>
      <c r="O67">
        <v>9</v>
      </c>
      <c r="P67" s="44" t="e">
        <f>_xlfn.XLOOKUP(Tabla5[[#This Row],[EAN CORREGIDO]],'Tabla Articulos'!B:B,'Tabla Articulos'!D:D)</f>
        <v>#N/A</v>
      </c>
      <c r="Q67" s="44" t="e">
        <f>_xlfn.XLOOKUP(S67,'Tabla Articulos'!B:B,'Tabla Articulos'!E:E)</f>
        <v>#N/A</v>
      </c>
      <c r="R67" s="44" t="e">
        <f t="shared" si="2"/>
        <v>#N/A</v>
      </c>
      <c r="S67" s="45" t="str">
        <f t="shared" si="3"/>
        <v>UNIF000308</v>
      </c>
    </row>
    <row r="68" spans="1:19" hidden="1" x14ac:dyDescent="0.35">
      <c r="A68" s="22">
        <v>6</v>
      </c>
      <c r="B68" t="s">
        <v>801</v>
      </c>
      <c r="C68" t="s">
        <v>802</v>
      </c>
      <c r="D68" s="11" t="s">
        <v>3252</v>
      </c>
      <c r="E68" t="s">
        <v>3957</v>
      </c>
      <c r="F68">
        <v>2007484</v>
      </c>
      <c r="G68" t="s">
        <v>3958</v>
      </c>
      <c r="H68" t="s">
        <v>805</v>
      </c>
      <c r="I68">
        <v>283</v>
      </c>
      <c r="J68">
        <v>0</v>
      </c>
      <c r="K68">
        <v>0</v>
      </c>
      <c r="L68">
        <v>0</v>
      </c>
      <c r="M68">
        <v>0</v>
      </c>
      <c r="N68">
        <v>0</v>
      </c>
      <c r="O68">
        <v>283</v>
      </c>
      <c r="P68" s="44" t="e">
        <f>_xlfn.XLOOKUP(Tabla5[[#This Row],[EAN CORREGIDO]],'Tabla Articulos'!B:B,'Tabla Articulos'!D:D)</f>
        <v>#N/A</v>
      </c>
      <c r="Q68" s="44" t="e">
        <f>_xlfn.XLOOKUP(S68,'Tabla Articulos'!B:B,'Tabla Articulos'!E:E)</f>
        <v>#N/A</v>
      </c>
      <c r="R68" s="44" t="e">
        <f t="shared" si="2"/>
        <v>#N/A</v>
      </c>
      <c r="S68" s="45" t="str">
        <f t="shared" si="3"/>
        <v>7790000000461</v>
      </c>
    </row>
    <row r="69" spans="1:19" hidden="1" x14ac:dyDescent="0.35">
      <c r="A69" s="22">
        <v>6</v>
      </c>
      <c r="B69" t="s">
        <v>801</v>
      </c>
      <c r="C69" t="s">
        <v>802</v>
      </c>
      <c r="D69"/>
      <c r="E69" t="s">
        <v>3959</v>
      </c>
      <c r="F69">
        <v>9003859</v>
      </c>
      <c r="G69" t="s">
        <v>3960</v>
      </c>
      <c r="H69" t="s">
        <v>805</v>
      </c>
      <c r="I69">
        <v>212</v>
      </c>
      <c r="J69">
        <v>0</v>
      </c>
      <c r="K69">
        <v>0</v>
      </c>
      <c r="L69">
        <v>0</v>
      </c>
      <c r="M69">
        <v>0</v>
      </c>
      <c r="N69">
        <v>0</v>
      </c>
      <c r="O69">
        <v>212</v>
      </c>
      <c r="P69" s="44" t="e">
        <f>_xlfn.XLOOKUP(Tabla5[[#This Row],[EAN CORREGIDO]],'Tabla Articulos'!B:B,'Tabla Articulos'!D:D)</f>
        <v>#N/A</v>
      </c>
      <c r="Q69" s="44" t="e">
        <f>_xlfn.XLOOKUP(S69,'Tabla Articulos'!B:B,'Tabla Articulos'!E:E)</f>
        <v>#N/A</v>
      </c>
      <c r="R69" s="44" t="e">
        <f t="shared" si="2"/>
        <v>#N/A</v>
      </c>
      <c r="S69" s="45" t="str">
        <f t="shared" si="3"/>
        <v>BAZ001256</v>
      </c>
    </row>
    <row r="70" spans="1:19" hidden="1" x14ac:dyDescent="0.35">
      <c r="A70" s="22">
        <v>1</v>
      </c>
      <c r="B70" t="s">
        <v>812</v>
      </c>
      <c r="C70" t="s">
        <v>802</v>
      </c>
      <c r="D70" s="11" t="s">
        <v>1042</v>
      </c>
      <c r="E70" t="s">
        <v>3961</v>
      </c>
      <c r="F70">
        <v>4018109</v>
      </c>
      <c r="G70" t="s">
        <v>3962</v>
      </c>
      <c r="H70" t="s">
        <v>805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 s="44" t="e">
        <f>_xlfn.XLOOKUP(Tabla5[[#This Row],[EAN CORREGIDO]],'Tabla Articulos'!B:B,'Tabla Articulos'!D:D)</f>
        <v>#N/A</v>
      </c>
      <c r="Q70" s="44" t="e">
        <f>_xlfn.XLOOKUP(S70,'Tabla Articulos'!B:B,'Tabla Articulos'!E:E)</f>
        <v>#N/A</v>
      </c>
      <c r="R70" s="44" t="e">
        <f t="shared" si="2"/>
        <v>#N/A</v>
      </c>
      <c r="S70" s="45" t="str">
        <f t="shared" si="3"/>
        <v>7790787251872</v>
      </c>
    </row>
    <row r="71" spans="1:19" hidden="1" x14ac:dyDescent="0.35">
      <c r="A71" s="22">
        <v>6</v>
      </c>
      <c r="B71" t="s">
        <v>801</v>
      </c>
      <c r="C71" t="s">
        <v>802</v>
      </c>
      <c r="E71" t="s">
        <v>3963</v>
      </c>
      <c r="F71">
        <v>9003540</v>
      </c>
      <c r="G71" t="s">
        <v>3964</v>
      </c>
      <c r="H71" t="s">
        <v>805</v>
      </c>
      <c r="I71">
        <v>27</v>
      </c>
      <c r="J71">
        <v>25</v>
      </c>
      <c r="K71">
        <v>0</v>
      </c>
      <c r="L71">
        <v>0</v>
      </c>
      <c r="M71">
        <v>0</v>
      </c>
      <c r="N71">
        <v>0</v>
      </c>
      <c r="O71">
        <v>52</v>
      </c>
      <c r="P71" s="44" t="e">
        <f>_xlfn.XLOOKUP(Tabla5[[#This Row],[EAN CORREGIDO]],'Tabla Articulos'!B:B,'Tabla Articulos'!D:D)</f>
        <v>#N/A</v>
      </c>
      <c r="Q71" s="44" t="e">
        <f>_xlfn.XLOOKUP(S71,'Tabla Articulos'!B:B,'Tabla Articulos'!E:E)</f>
        <v>#N/A</v>
      </c>
      <c r="R71" s="44" t="e">
        <f t="shared" si="2"/>
        <v>#N/A</v>
      </c>
      <c r="S71" s="45" t="str">
        <f t="shared" si="3"/>
        <v>UNIF000079</v>
      </c>
    </row>
    <row r="72" spans="1:19" hidden="1" x14ac:dyDescent="0.35">
      <c r="A72" s="22">
        <v>5</v>
      </c>
      <c r="B72" t="s">
        <v>829</v>
      </c>
      <c r="C72" t="s">
        <v>802</v>
      </c>
      <c r="D72" t="s">
        <v>1850</v>
      </c>
      <c r="E72" t="s">
        <v>1851</v>
      </c>
      <c r="F72">
        <v>4020422</v>
      </c>
      <c r="G72" t="s">
        <v>1852</v>
      </c>
      <c r="H72" t="s">
        <v>805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4</v>
      </c>
      <c r="P72" s="44" t="e">
        <f>_xlfn.XLOOKUP(Tabla5[[#This Row],[EAN CORREGIDO]],'Tabla Articulos'!B:B,'Tabla Articulos'!D:D)</f>
        <v>#N/A</v>
      </c>
      <c r="Q72" s="44" t="e">
        <f>_xlfn.XLOOKUP(S72,'Tabla Articulos'!B:B,'Tabla Articulos'!E:E)</f>
        <v>#N/A</v>
      </c>
      <c r="R72" s="44" t="e">
        <f t="shared" si="2"/>
        <v>#N/A</v>
      </c>
      <c r="S72" s="45" t="str">
        <f t="shared" si="3"/>
        <v>7794000600652</v>
      </c>
    </row>
    <row r="73" spans="1:19" hidden="1" x14ac:dyDescent="0.35">
      <c r="A73" s="22">
        <v>1</v>
      </c>
      <c r="B73" t="s">
        <v>812</v>
      </c>
      <c r="C73" t="s">
        <v>802</v>
      </c>
      <c r="D73" t="s">
        <v>1850</v>
      </c>
      <c r="E73" t="s">
        <v>1851</v>
      </c>
      <c r="F73">
        <v>4020422</v>
      </c>
      <c r="G73" t="s">
        <v>1852</v>
      </c>
      <c r="H73" t="s">
        <v>805</v>
      </c>
      <c r="I73">
        <v>4</v>
      </c>
      <c r="J73">
        <v>0</v>
      </c>
      <c r="K73">
        <v>0</v>
      </c>
      <c r="L73">
        <v>2</v>
      </c>
      <c r="M73">
        <v>2</v>
      </c>
      <c r="N73">
        <v>0</v>
      </c>
      <c r="O73">
        <v>0</v>
      </c>
      <c r="P73" s="44" t="e">
        <f>_xlfn.XLOOKUP(Tabla5[[#This Row],[EAN CORREGIDO]],'Tabla Articulos'!B:B,'Tabla Articulos'!D:D)</f>
        <v>#N/A</v>
      </c>
      <c r="Q73" s="44" t="e">
        <f>_xlfn.XLOOKUP(S73,'Tabla Articulos'!B:B,'Tabla Articulos'!E:E)</f>
        <v>#N/A</v>
      </c>
      <c r="R73" s="44" t="e">
        <f t="shared" si="2"/>
        <v>#N/A</v>
      </c>
      <c r="S73" s="45" t="str">
        <f t="shared" si="3"/>
        <v>7794000600652</v>
      </c>
    </row>
    <row r="74" spans="1:19" hidden="1" x14ac:dyDescent="0.35">
      <c r="A74" s="22">
        <v>6</v>
      </c>
      <c r="B74" t="s">
        <v>801</v>
      </c>
      <c r="C74" t="s">
        <v>802</v>
      </c>
      <c r="D74" s="11" t="s">
        <v>1069</v>
      </c>
      <c r="E74" t="s">
        <v>1853</v>
      </c>
      <c r="F74">
        <v>2006229</v>
      </c>
      <c r="G74" t="s">
        <v>1854</v>
      </c>
      <c r="H74" t="s">
        <v>805</v>
      </c>
      <c r="I74">
        <v>1665</v>
      </c>
      <c r="J74">
        <v>0</v>
      </c>
      <c r="K74">
        <v>0</v>
      </c>
      <c r="L74">
        <v>10</v>
      </c>
      <c r="M74">
        <v>10</v>
      </c>
      <c r="N74">
        <v>0</v>
      </c>
      <c r="O74">
        <v>1645</v>
      </c>
      <c r="P74" s="44" t="e">
        <f>_xlfn.XLOOKUP(Tabla5[[#This Row],[EAN CORREGIDO]],'Tabla Articulos'!B:B,'Tabla Articulos'!D:D)</f>
        <v>#N/A</v>
      </c>
      <c r="Q74" s="44" t="e">
        <f>_xlfn.XLOOKUP(S74,'Tabla Articulos'!B:B,'Tabla Articulos'!E:E)</f>
        <v>#N/A</v>
      </c>
      <c r="R74" s="44" t="e">
        <f t="shared" si="2"/>
        <v>#N/A</v>
      </c>
      <c r="S74" s="45" t="str">
        <f t="shared" si="3"/>
        <v>LIM000212</v>
      </c>
    </row>
    <row r="75" spans="1:19" hidden="1" x14ac:dyDescent="0.35">
      <c r="A75" s="22">
        <v>6</v>
      </c>
      <c r="B75" t="s">
        <v>801</v>
      </c>
      <c r="C75" t="s">
        <v>802</v>
      </c>
      <c r="E75" t="s">
        <v>1855</v>
      </c>
      <c r="F75">
        <v>9003709</v>
      </c>
      <c r="G75" t="s">
        <v>1856</v>
      </c>
      <c r="H75" t="s">
        <v>805</v>
      </c>
      <c r="I75">
        <v>1420</v>
      </c>
      <c r="J75">
        <v>0</v>
      </c>
      <c r="K75">
        <v>0</v>
      </c>
      <c r="L75">
        <v>0</v>
      </c>
      <c r="M75">
        <v>0</v>
      </c>
      <c r="N75">
        <v>0</v>
      </c>
      <c r="O75">
        <v>1420</v>
      </c>
      <c r="P75" s="44" t="e">
        <f>_xlfn.XLOOKUP(Tabla5[[#This Row],[EAN CORREGIDO]],'Tabla Articulos'!B:B,'Tabla Articulos'!D:D)</f>
        <v>#N/A</v>
      </c>
      <c r="Q75" s="44" t="e">
        <f>_xlfn.XLOOKUP(S75,'Tabla Articulos'!B:B,'Tabla Articulos'!E:E)</f>
        <v>#N/A</v>
      </c>
      <c r="R75" s="44" t="e">
        <f t="shared" si="2"/>
        <v>#N/A</v>
      </c>
      <c r="S75" s="45" t="str">
        <f t="shared" si="3"/>
        <v>BAZ001279</v>
      </c>
    </row>
    <row r="76" spans="1:19" hidden="1" x14ac:dyDescent="0.35">
      <c r="A76" s="22">
        <v>5</v>
      </c>
      <c r="B76" t="s">
        <v>829</v>
      </c>
      <c r="C76" t="s">
        <v>802</v>
      </c>
      <c r="D76" s="11" t="s">
        <v>1858</v>
      </c>
      <c r="E76" t="s">
        <v>1859</v>
      </c>
      <c r="F76">
        <v>4018020</v>
      </c>
      <c r="G76" t="s">
        <v>1860</v>
      </c>
      <c r="H76" t="s">
        <v>805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  <c r="P76" s="44" t="e">
        <f>_xlfn.XLOOKUP(Tabla5[[#This Row],[EAN CORREGIDO]],'Tabla Articulos'!B:B,'Tabla Articulos'!D:D)</f>
        <v>#N/A</v>
      </c>
      <c r="Q76" s="44" t="e">
        <f>_xlfn.XLOOKUP(S76,'Tabla Articulos'!B:B,'Tabla Articulos'!E:E)</f>
        <v>#N/A</v>
      </c>
      <c r="R76" s="44" t="e">
        <f t="shared" si="2"/>
        <v>#N/A</v>
      </c>
      <c r="S76" s="45" t="str">
        <f t="shared" si="3"/>
        <v>7790216020106</v>
      </c>
    </row>
    <row r="77" spans="1:19" hidden="1" x14ac:dyDescent="0.35">
      <c r="A77" s="22">
        <v>5</v>
      </c>
      <c r="B77" t="s">
        <v>829</v>
      </c>
      <c r="C77" t="s">
        <v>802</v>
      </c>
      <c r="D77" s="11" t="s">
        <v>1861</v>
      </c>
      <c r="E77" t="s">
        <v>1862</v>
      </c>
      <c r="F77">
        <v>4019736</v>
      </c>
      <c r="G77" t="s">
        <v>1863</v>
      </c>
      <c r="H77" t="s">
        <v>805</v>
      </c>
      <c r="I77">
        <v>118</v>
      </c>
      <c r="J77">
        <v>0</v>
      </c>
      <c r="K77">
        <v>0</v>
      </c>
      <c r="L77">
        <v>0</v>
      </c>
      <c r="M77">
        <v>0</v>
      </c>
      <c r="N77">
        <v>0</v>
      </c>
      <c r="O77">
        <v>118</v>
      </c>
      <c r="P77" s="44" t="e">
        <f>_xlfn.XLOOKUP(Tabla5[[#This Row],[EAN CORREGIDO]],'Tabla Articulos'!B:B,'Tabla Articulos'!D:D)</f>
        <v>#N/A</v>
      </c>
      <c r="Q77" s="44" t="e">
        <f>_xlfn.XLOOKUP(S77,'Tabla Articulos'!B:B,'Tabla Articulos'!E:E)</f>
        <v>#N/A</v>
      </c>
      <c r="R77" s="44" t="e">
        <f t="shared" si="2"/>
        <v>#N/A</v>
      </c>
      <c r="S77" s="45" t="str">
        <f t="shared" si="3"/>
        <v>7790530370218</v>
      </c>
    </row>
    <row r="78" spans="1:19" hidden="1" x14ac:dyDescent="0.35">
      <c r="A78" s="22">
        <v>5</v>
      </c>
      <c r="B78" t="s">
        <v>829</v>
      </c>
      <c r="C78" t="s">
        <v>802</v>
      </c>
      <c r="D78"/>
      <c r="E78" t="s">
        <v>849</v>
      </c>
      <c r="F78">
        <v>4077367</v>
      </c>
      <c r="G78" t="s">
        <v>850</v>
      </c>
      <c r="H78" t="s">
        <v>805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3</v>
      </c>
      <c r="P78" s="44" t="e">
        <f>_xlfn.XLOOKUP(Tabla5[[#This Row],[EAN CORREGIDO]],'Tabla Articulos'!B:B,'Tabla Articulos'!D:D)</f>
        <v>#N/A</v>
      </c>
      <c r="Q78" s="44" t="e">
        <f>_xlfn.XLOOKUP(S78,'Tabla Articulos'!B:B,'Tabla Articulos'!E:E)</f>
        <v>#N/A</v>
      </c>
      <c r="R78" s="44" t="e">
        <f t="shared" si="2"/>
        <v>#N/A</v>
      </c>
      <c r="S78" s="45" t="str">
        <f t="shared" si="3"/>
        <v>MOD21126</v>
      </c>
    </row>
    <row r="79" spans="1:19" hidden="1" x14ac:dyDescent="0.35">
      <c r="A79" s="22">
        <v>5</v>
      </c>
      <c r="B79" t="s">
        <v>829</v>
      </c>
      <c r="C79" t="s">
        <v>802</v>
      </c>
      <c r="D79" s="11" t="s">
        <v>851</v>
      </c>
      <c r="E79" t="s">
        <v>852</v>
      </c>
      <c r="F79">
        <v>4024635</v>
      </c>
      <c r="G79" t="s">
        <v>853</v>
      </c>
      <c r="H79" t="s">
        <v>805</v>
      </c>
      <c r="I79">
        <v>95841</v>
      </c>
      <c r="J79">
        <v>23400</v>
      </c>
      <c r="K79">
        <v>0</v>
      </c>
      <c r="L79">
        <v>0</v>
      </c>
      <c r="M79">
        <v>25</v>
      </c>
      <c r="N79">
        <v>0</v>
      </c>
      <c r="O79">
        <v>119216</v>
      </c>
      <c r="P79" s="44" t="e">
        <f>_xlfn.XLOOKUP(Tabla5[[#This Row],[EAN CORREGIDO]],'Tabla Articulos'!B:B,'Tabla Articulos'!D:D)</f>
        <v>#N/A</v>
      </c>
      <c r="Q79" s="44" t="e">
        <f>_xlfn.XLOOKUP(S79,'Tabla Articulos'!B:B,'Tabla Articulos'!E:E)</f>
        <v>#N/A</v>
      </c>
      <c r="R79" s="44" t="e">
        <f t="shared" si="2"/>
        <v>#N/A</v>
      </c>
      <c r="S79" s="45" t="str">
        <f t="shared" si="3"/>
        <v>7798316700808</v>
      </c>
    </row>
    <row r="80" spans="1:19" hidden="1" x14ac:dyDescent="0.35">
      <c r="A80" s="22">
        <v>1</v>
      </c>
      <c r="B80" t="s">
        <v>812</v>
      </c>
      <c r="C80" t="s">
        <v>802</v>
      </c>
      <c r="D80" s="11" t="s">
        <v>851</v>
      </c>
      <c r="E80" t="s">
        <v>852</v>
      </c>
      <c r="F80">
        <v>4024635</v>
      </c>
      <c r="G80" t="s">
        <v>853</v>
      </c>
      <c r="H80" t="s">
        <v>805</v>
      </c>
      <c r="I80">
        <v>6663</v>
      </c>
      <c r="J80">
        <v>3600</v>
      </c>
      <c r="K80">
        <v>0</v>
      </c>
      <c r="L80">
        <v>0</v>
      </c>
      <c r="M80">
        <v>6</v>
      </c>
      <c r="N80">
        <v>0</v>
      </c>
      <c r="O80">
        <v>10257</v>
      </c>
      <c r="P80" s="44" t="e">
        <f>_xlfn.XLOOKUP(Tabla5[[#This Row],[EAN CORREGIDO]],'Tabla Articulos'!B:B,'Tabla Articulos'!D:D)</f>
        <v>#N/A</v>
      </c>
      <c r="Q80" s="44" t="e">
        <f>_xlfn.XLOOKUP(S80,'Tabla Articulos'!B:B,'Tabla Articulos'!E:E)</f>
        <v>#N/A</v>
      </c>
      <c r="R80" s="44" t="e">
        <f t="shared" si="2"/>
        <v>#N/A</v>
      </c>
      <c r="S80" s="45" t="str">
        <f t="shared" si="3"/>
        <v>7798316700808</v>
      </c>
    </row>
    <row r="81" spans="1:19" hidden="1" x14ac:dyDescent="0.35">
      <c r="A81" s="22">
        <v>6</v>
      </c>
      <c r="B81" t="s">
        <v>801</v>
      </c>
      <c r="C81" t="s">
        <v>802</v>
      </c>
      <c r="D81" s="11" t="s">
        <v>854</v>
      </c>
      <c r="E81" t="s">
        <v>855</v>
      </c>
      <c r="F81">
        <v>2006718</v>
      </c>
      <c r="G81" t="s">
        <v>856</v>
      </c>
      <c r="H81" t="s">
        <v>805</v>
      </c>
      <c r="I81">
        <v>120</v>
      </c>
      <c r="J81">
        <v>0</v>
      </c>
      <c r="K81">
        <v>0</v>
      </c>
      <c r="L81">
        <v>0</v>
      </c>
      <c r="M81">
        <v>4</v>
      </c>
      <c r="N81">
        <v>0</v>
      </c>
      <c r="O81">
        <v>116</v>
      </c>
      <c r="P81" s="44" t="e">
        <f>_xlfn.XLOOKUP(Tabla5[[#This Row],[EAN CORREGIDO]],'Tabla Articulos'!B:B,'Tabla Articulos'!D:D)</f>
        <v>#N/A</v>
      </c>
      <c r="Q81" s="44" t="e">
        <f>_xlfn.XLOOKUP(S81,'Tabla Articulos'!B:B,'Tabla Articulos'!E:E)</f>
        <v>#N/A</v>
      </c>
      <c r="R81" s="44" t="e">
        <f t="shared" si="2"/>
        <v>#N/A</v>
      </c>
      <c r="S81" s="45" t="str">
        <f t="shared" si="3"/>
        <v>7798332280780</v>
      </c>
    </row>
    <row r="82" spans="1:19" hidden="1" x14ac:dyDescent="0.35">
      <c r="A82" s="22">
        <v>1</v>
      </c>
      <c r="B82" t="s">
        <v>812</v>
      </c>
      <c r="C82" t="s">
        <v>802</v>
      </c>
      <c r="D82" s="11" t="s">
        <v>857</v>
      </c>
      <c r="E82" t="s">
        <v>858</v>
      </c>
      <c r="F82">
        <v>4024188</v>
      </c>
      <c r="G82" t="s">
        <v>859</v>
      </c>
      <c r="H82" t="s">
        <v>805</v>
      </c>
      <c r="I82">
        <v>677</v>
      </c>
      <c r="J82">
        <v>0</v>
      </c>
      <c r="K82">
        <v>0</v>
      </c>
      <c r="L82">
        <v>0</v>
      </c>
      <c r="M82">
        <v>0</v>
      </c>
      <c r="N82">
        <v>0</v>
      </c>
      <c r="O82">
        <v>677</v>
      </c>
      <c r="P82" s="44" t="e">
        <f>_xlfn.XLOOKUP(Tabla5[[#This Row],[EAN CORREGIDO]],'Tabla Articulos'!B:B,'Tabla Articulos'!D:D)</f>
        <v>#N/A</v>
      </c>
      <c r="Q82" s="44" t="e">
        <f>_xlfn.XLOOKUP(S82,'Tabla Articulos'!B:B,'Tabla Articulos'!E:E)</f>
        <v>#N/A</v>
      </c>
      <c r="R82" s="44" t="e">
        <f t="shared" si="2"/>
        <v>#N/A</v>
      </c>
      <c r="S82" s="45" t="str">
        <f t="shared" si="3"/>
        <v>7790530110357</v>
      </c>
    </row>
    <row r="83" spans="1:19" hidden="1" x14ac:dyDescent="0.35">
      <c r="A83" s="22">
        <v>6</v>
      </c>
      <c r="B83" t="s">
        <v>801</v>
      </c>
      <c r="C83" t="s">
        <v>802</v>
      </c>
      <c r="D83"/>
      <c r="E83" t="s">
        <v>860</v>
      </c>
      <c r="F83">
        <v>2016642</v>
      </c>
      <c r="G83" t="s">
        <v>861</v>
      </c>
      <c r="H83" t="s">
        <v>805</v>
      </c>
      <c r="I83">
        <v>46</v>
      </c>
      <c r="J83">
        <v>0</v>
      </c>
      <c r="K83">
        <v>0</v>
      </c>
      <c r="L83">
        <v>0</v>
      </c>
      <c r="M83">
        <v>0</v>
      </c>
      <c r="N83">
        <v>0</v>
      </c>
      <c r="O83">
        <v>46</v>
      </c>
      <c r="P83" s="44" t="e">
        <f>_xlfn.XLOOKUP(Tabla5[[#This Row],[EAN CORREGIDO]],'Tabla Articulos'!B:B,'Tabla Articulos'!D:D)</f>
        <v>#N/A</v>
      </c>
      <c r="Q83" s="44" t="e">
        <f>_xlfn.XLOOKUP(S83,'Tabla Articulos'!B:B,'Tabla Articulos'!E:E)</f>
        <v>#N/A</v>
      </c>
      <c r="R83" s="44" t="e">
        <f t="shared" si="2"/>
        <v>#N/A</v>
      </c>
      <c r="S83" s="45" t="str">
        <f t="shared" si="3"/>
        <v>7798287510819</v>
      </c>
    </row>
    <row r="84" spans="1:19" hidden="1" x14ac:dyDescent="0.35">
      <c r="A84" s="22">
        <v>5</v>
      </c>
      <c r="B84" t="s">
        <v>829</v>
      </c>
      <c r="C84" t="s">
        <v>802</v>
      </c>
      <c r="D84" t="s">
        <v>862</v>
      </c>
      <c r="E84" t="s">
        <v>863</v>
      </c>
      <c r="F84">
        <v>4018016</v>
      </c>
      <c r="G84" t="s">
        <v>864</v>
      </c>
      <c r="H84" t="s">
        <v>805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 s="44" t="e">
        <f>_xlfn.XLOOKUP(Tabla5[[#This Row],[EAN CORREGIDO]],'Tabla Articulos'!B:B,'Tabla Articulos'!D:D)</f>
        <v>#N/A</v>
      </c>
      <c r="Q84" s="44" t="e">
        <f>_xlfn.XLOOKUP(S84,'Tabla Articulos'!B:B,'Tabla Articulos'!E:E)</f>
        <v>#N/A</v>
      </c>
      <c r="R84" s="44" t="e">
        <f t="shared" si="2"/>
        <v>#N/A</v>
      </c>
      <c r="S84" s="45" t="str">
        <f t="shared" si="3"/>
        <v>7790216020076</v>
      </c>
    </row>
    <row r="85" spans="1:19" hidden="1" x14ac:dyDescent="0.35">
      <c r="A85" s="22">
        <v>6</v>
      </c>
      <c r="B85" t="s">
        <v>801</v>
      </c>
      <c r="C85" t="s">
        <v>802</v>
      </c>
      <c r="D85"/>
      <c r="E85" t="s">
        <v>2430</v>
      </c>
      <c r="F85">
        <v>9003483</v>
      </c>
      <c r="G85" t="s">
        <v>2431</v>
      </c>
      <c r="H85" t="s">
        <v>805</v>
      </c>
      <c r="I85">
        <v>12</v>
      </c>
      <c r="J85">
        <v>0</v>
      </c>
      <c r="K85">
        <v>0</v>
      </c>
      <c r="L85">
        <v>0</v>
      </c>
      <c r="M85">
        <v>0</v>
      </c>
      <c r="N85">
        <v>0</v>
      </c>
      <c r="O85">
        <v>12</v>
      </c>
      <c r="P85" s="44" t="e">
        <f>_xlfn.XLOOKUP(Tabla5[[#This Row],[EAN CORREGIDO]],'Tabla Articulos'!B:B,'Tabla Articulos'!D:D)</f>
        <v>#N/A</v>
      </c>
      <c r="Q85" s="44" t="e">
        <f>_xlfn.XLOOKUP(S85,'Tabla Articulos'!B:B,'Tabla Articulos'!E:E)</f>
        <v>#N/A</v>
      </c>
      <c r="R85" s="44" t="e">
        <f t="shared" si="2"/>
        <v>#N/A</v>
      </c>
      <c r="S85" s="45" t="str">
        <f t="shared" si="3"/>
        <v>UNIF000215</v>
      </c>
    </row>
    <row r="86" spans="1:19" hidden="1" x14ac:dyDescent="0.35">
      <c r="A86" s="22">
        <v>1</v>
      </c>
      <c r="B86" t="s">
        <v>812</v>
      </c>
      <c r="C86" t="s">
        <v>802</v>
      </c>
      <c r="D86" t="s">
        <v>2432</v>
      </c>
      <c r="E86" t="s">
        <v>2433</v>
      </c>
      <c r="F86">
        <v>4020262</v>
      </c>
      <c r="G86" t="s">
        <v>2434</v>
      </c>
      <c r="H86" t="s">
        <v>1034</v>
      </c>
      <c r="I86">
        <v>3</v>
      </c>
      <c r="J86">
        <v>0</v>
      </c>
      <c r="K86">
        <v>0</v>
      </c>
      <c r="L86">
        <v>0</v>
      </c>
      <c r="M86">
        <v>0</v>
      </c>
      <c r="N86">
        <v>0</v>
      </c>
      <c r="O86">
        <v>3</v>
      </c>
      <c r="P86" s="44" t="e">
        <f>_xlfn.XLOOKUP(Tabla5[[#This Row],[EAN CORREGIDO]],'Tabla Articulos'!B:B,'Tabla Articulos'!D:D)</f>
        <v>#N/A</v>
      </c>
      <c r="Q86" s="44" t="e">
        <f>_xlfn.XLOOKUP(S86,'Tabla Articulos'!B:B,'Tabla Articulos'!E:E)</f>
        <v>#N/A</v>
      </c>
      <c r="R86" s="44" t="e">
        <f t="shared" si="2"/>
        <v>#N/A</v>
      </c>
      <c r="S86" s="45" t="str">
        <f t="shared" si="3"/>
        <v>7797470000076</v>
      </c>
    </row>
    <row r="87" spans="1:19" hidden="1" x14ac:dyDescent="0.35">
      <c r="A87" s="22">
        <v>6</v>
      </c>
      <c r="B87" t="s">
        <v>801</v>
      </c>
      <c r="C87" t="s">
        <v>802</v>
      </c>
      <c r="E87" t="s">
        <v>2435</v>
      </c>
      <c r="F87">
        <v>9003723</v>
      </c>
      <c r="G87" t="s">
        <v>2436</v>
      </c>
      <c r="H87" t="s">
        <v>805</v>
      </c>
      <c r="I87">
        <v>31</v>
      </c>
      <c r="J87">
        <v>0</v>
      </c>
      <c r="K87">
        <v>0</v>
      </c>
      <c r="L87">
        <v>0</v>
      </c>
      <c r="M87">
        <v>0</v>
      </c>
      <c r="N87">
        <v>0</v>
      </c>
      <c r="O87">
        <v>31</v>
      </c>
      <c r="P87" s="44" t="e">
        <f>_xlfn.XLOOKUP(Tabla5[[#This Row],[EAN CORREGIDO]],'Tabla Articulos'!B:B,'Tabla Articulos'!D:D)</f>
        <v>#N/A</v>
      </c>
      <c r="Q87" s="44" t="e">
        <f>_xlfn.XLOOKUP(S87,'Tabla Articulos'!B:B,'Tabla Articulos'!E:E)</f>
        <v>#N/A</v>
      </c>
      <c r="R87" s="44" t="e">
        <f t="shared" si="2"/>
        <v>#N/A</v>
      </c>
      <c r="S87" s="45" t="str">
        <f t="shared" si="3"/>
        <v>BAZ001293</v>
      </c>
    </row>
    <row r="88" spans="1:19" hidden="1" x14ac:dyDescent="0.35">
      <c r="A88" s="22">
        <v>6</v>
      </c>
      <c r="B88" t="s">
        <v>801</v>
      </c>
      <c r="C88" t="s">
        <v>802</v>
      </c>
      <c r="D88"/>
      <c r="E88" t="s">
        <v>2944</v>
      </c>
      <c r="F88">
        <v>9003032</v>
      </c>
      <c r="G88" t="s">
        <v>2945</v>
      </c>
      <c r="H88" t="s">
        <v>805</v>
      </c>
      <c r="I88">
        <v>83</v>
      </c>
      <c r="J88">
        <v>0</v>
      </c>
      <c r="K88">
        <v>0</v>
      </c>
      <c r="L88">
        <v>0</v>
      </c>
      <c r="M88">
        <v>0</v>
      </c>
      <c r="N88">
        <v>0</v>
      </c>
      <c r="O88">
        <v>83</v>
      </c>
      <c r="P88" s="44" t="e">
        <f>_xlfn.XLOOKUP(Tabla5[[#This Row],[EAN CORREGIDO]],'Tabla Articulos'!B:B,'Tabla Articulos'!D:D)</f>
        <v>#N/A</v>
      </c>
      <c r="Q88" s="44" t="e">
        <f>_xlfn.XLOOKUP(S88,'Tabla Articulos'!B:B,'Tabla Articulos'!E:E)</f>
        <v>#N/A</v>
      </c>
      <c r="R88" s="44" t="e">
        <f t="shared" si="2"/>
        <v>#N/A</v>
      </c>
      <c r="S88" s="45" t="str">
        <f t="shared" si="3"/>
        <v>A1607C25T11</v>
      </c>
    </row>
    <row r="89" spans="1:19" hidden="1" x14ac:dyDescent="0.35">
      <c r="A89" s="22">
        <v>6</v>
      </c>
      <c r="B89" t="s">
        <v>801</v>
      </c>
      <c r="C89" t="s">
        <v>802</v>
      </c>
      <c r="D89"/>
      <c r="E89" t="s">
        <v>2946</v>
      </c>
      <c r="F89">
        <v>9003188</v>
      </c>
      <c r="G89" t="s">
        <v>2947</v>
      </c>
      <c r="H89" t="s">
        <v>805</v>
      </c>
      <c r="I89">
        <v>13</v>
      </c>
      <c r="J89">
        <v>0</v>
      </c>
      <c r="K89">
        <v>0</v>
      </c>
      <c r="L89">
        <v>0</v>
      </c>
      <c r="M89">
        <v>0</v>
      </c>
      <c r="N89">
        <v>0</v>
      </c>
      <c r="O89">
        <v>13</v>
      </c>
      <c r="P89" s="44" t="e">
        <f>_xlfn.XLOOKUP(Tabla5[[#This Row],[EAN CORREGIDO]],'Tabla Articulos'!B:B,'Tabla Articulos'!D:D)</f>
        <v>#N/A</v>
      </c>
      <c r="Q89" s="44" t="e">
        <f>_xlfn.XLOOKUP(S89,'Tabla Articulos'!B:B,'Tabla Articulos'!E:E)</f>
        <v>#N/A</v>
      </c>
      <c r="R89" s="44" t="e">
        <f t="shared" si="2"/>
        <v>#N/A</v>
      </c>
      <c r="S89" s="45" t="str">
        <f t="shared" si="3"/>
        <v>UNIF000314</v>
      </c>
    </row>
    <row r="90" spans="1:19" hidden="1" x14ac:dyDescent="0.35">
      <c r="A90" s="22">
        <v>5</v>
      </c>
      <c r="B90" t="s">
        <v>829</v>
      </c>
      <c r="C90" t="s">
        <v>802</v>
      </c>
      <c r="D90" t="s">
        <v>2577</v>
      </c>
      <c r="E90" t="s">
        <v>2948</v>
      </c>
      <c r="F90">
        <v>4021304</v>
      </c>
      <c r="G90" t="s">
        <v>2949</v>
      </c>
      <c r="H90" t="s">
        <v>805</v>
      </c>
      <c r="I90">
        <v>37</v>
      </c>
      <c r="J90">
        <v>0</v>
      </c>
      <c r="K90">
        <v>0</v>
      </c>
      <c r="L90">
        <v>0</v>
      </c>
      <c r="M90">
        <v>0</v>
      </c>
      <c r="N90">
        <v>0</v>
      </c>
      <c r="O90">
        <v>37</v>
      </c>
      <c r="P90" s="44" t="e">
        <f>_xlfn.XLOOKUP(Tabla5[[#This Row],[EAN CORREGIDO]],'Tabla Articulos'!B:B,'Tabla Articulos'!D:D)</f>
        <v>#N/A</v>
      </c>
      <c r="Q90" s="44" t="e">
        <f>_xlfn.XLOOKUP(S90,'Tabla Articulos'!B:B,'Tabla Articulos'!E:E)</f>
        <v>#N/A</v>
      </c>
      <c r="R90" s="44" t="e">
        <f t="shared" si="2"/>
        <v>#N/A</v>
      </c>
      <c r="S90" s="45" t="str">
        <f t="shared" si="3"/>
        <v>7798290581875</v>
      </c>
    </row>
    <row r="91" spans="1:19" hidden="1" x14ac:dyDescent="0.35">
      <c r="A91" s="22">
        <v>1</v>
      </c>
      <c r="B91" t="s">
        <v>812</v>
      </c>
      <c r="C91" t="s">
        <v>802</v>
      </c>
      <c r="D91" t="s">
        <v>2577</v>
      </c>
      <c r="E91" t="s">
        <v>2948</v>
      </c>
      <c r="F91">
        <v>4021304</v>
      </c>
      <c r="G91" t="s">
        <v>2949</v>
      </c>
      <c r="H91" t="s">
        <v>805</v>
      </c>
      <c r="I91">
        <v>14</v>
      </c>
      <c r="J91">
        <v>0</v>
      </c>
      <c r="K91">
        <v>0</v>
      </c>
      <c r="L91">
        <v>0</v>
      </c>
      <c r="M91">
        <v>0</v>
      </c>
      <c r="N91">
        <v>0</v>
      </c>
      <c r="O91">
        <v>14</v>
      </c>
      <c r="P91" s="44" t="e">
        <f>_xlfn.XLOOKUP(Tabla5[[#This Row],[EAN CORREGIDO]],'Tabla Articulos'!B:B,'Tabla Articulos'!D:D)</f>
        <v>#N/A</v>
      </c>
      <c r="Q91" s="44" t="e">
        <f>_xlfn.XLOOKUP(S91,'Tabla Articulos'!B:B,'Tabla Articulos'!E:E)</f>
        <v>#N/A</v>
      </c>
      <c r="R91" s="44" t="e">
        <f t="shared" si="2"/>
        <v>#N/A</v>
      </c>
      <c r="S91" s="45" t="str">
        <f t="shared" si="3"/>
        <v>7798290581875</v>
      </c>
    </row>
    <row r="92" spans="1:19" hidden="1" x14ac:dyDescent="0.35">
      <c r="A92" s="22">
        <v>5</v>
      </c>
      <c r="B92" t="s">
        <v>829</v>
      </c>
      <c r="C92" t="s">
        <v>802</v>
      </c>
      <c r="D92" t="s">
        <v>2950</v>
      </c>
      <c r="E92" t="s">
        <v>2951</v>
      </c>
      <c r="F92">
        <v>4019591</v>
      </c>
      <c r="G92" t="s">
        <v>2952</v>
      </c>
      <c r="H92" t="s">
        <v>805</v>
      </c>
      <c r="I92">
        <v>6</v>
      </c>
      <c r="J92">
        <v>0</v>
      </c>
      <c r="K92">
        <v>0</v>
      </c>
      <c r="L92">
        <v>0</v>
      </c>
      <c r="M92">
        <v>0</v>
      </c>
      <c r="N92">
        <v>0</v>
      </c>
      <c r="O92">
        <v>6</v>
      </c>
      <c r="P92" s="44" t="e">
        <f>_xlfn.XLOOKUP(Tabla5[[#This Row],[EAN CORREGIDO]],'Tabla Articulos'!B:B,'Tabla Articulos'!D:D)</f>
        <v>#N/A</v>
      </c>
      <c r="Q92" s="44" t="e">
        <f>_xlfn.XLOOKUP(S92,'Tabla Articulos'!B:B,'Tabla Articulos'!E:E)</f>
        <v>#N/A</v>
      </c>
      <c r="R92" s="44" t="e">
        <f t="shared" si="2"/>
        <v>#N/A</v>
      </c>
      <c r="S92" s="45" t="str">
        <f t="shared" si="3"/>
        <v>7790641000011</v>
      </c>
    </row>
    <row r="93" spans="1:19" hidden="1" x14ac:dyDescent="0.35">
      <c r="A93" s="22">
        <v>1</v>
      </c>
      <c r="B93" t="s">
        <v>812</v>
      </c>
      <c r="C93" t="s">
        <v>802</v>
      </c>
      <c r="D93" s="11" t="s">
        <v>2950</v>
      </c>
      <c r="E93" t="s">
        <v>2951</v>
      </c>
      <c r="F93">
        <v>4019591</v>
      </c>
      <c r="G93" t="s">
        <v>2952</v>
      </c>
      <c r="H93" t="s">
        <v>805</v>
      </c>
      <c r="I93">
        <v>8885</v>
      </c>
      <c r="J93">
        <v>0</v>
      </c>
      <c r="K93">
        <v>0</v>
      </c>
      <c r="L93">
        <v>16</v>
      </c>
      <c r="M93">
        <v>16</v>
      </c>
      <c r="N93">
        <v>0</v>
      </c>
      <c r="O93">
        <v>8853</v>
      </c>
      <c r="P93" s="44" t="e">
        <f>_xlfn.XLOOKUP(Tabla5[[#This Row],[EAN CORREGIDO]],'Tabla Articulos'!B:B,'Tabla Articulos'!D:D)</f>
        <v>#N/A</v>
      </c>
      <c r="Q93" s="44" t="e">
        <f>_xlfn.XLOOKUP(S93,'Tabla Articulos'!B:B,'Tabla Articulos'!E:E)</f>
        <v>#N/A</v>
      </c>
      <c r="R93" s="44" t="e">
        <f t="shared" si="2"/>
        <v>#N/A</v>
      </c>
      <c r="S93" s="45" t="str">
        <f t="shared" si="3"/>
        <v>7790641000011</v>
      </c>
    </row>
    <row r="94" spans="1:19" hidden="1" x14ac:dyDescent="0.35">
      <c r="A94" s="22">
        <v>1</v>
      </c>
      <c r="B94" t="s">
        <v>812</v>
      </c>
      <c r="C94" t="s">
        <v>802</v>
      </c>
      <c r="D94" s="11" t="s">
        <v>2844</v>
      </c>
      <c r="E94" t="s">
        <v>2953</v>
      </c>
      <c r="F94">
        <v>4022984</v>
      </c>
      <c r="G94" t="s">
        <v>2954</v>
      </c>
      <c r="H94" t="s">
        <v>805</v>
      </c>
      <c r="I94">
        <v>6</v>
      </c>
      <c r="J94">
        <v>0</v>
      </c>
      <c r="K94">
        <v>0</v>
      </c>
      <c r="L94">
        <v>0</v>
      </c>
      <c r="M94">
        <v>0</v>
      </c>
      <c r="N94">
        <v>0</v>
      </c>
      <c r="O94">
        <v>6</v>
      </c>
      <c r="P94" s="44" t="e">
        <f>_xlfn.XLOOKUP(Tabla5[[#This Row],[EAN CORREGIDO]],'Tabla Articulos'!B:B,'Tabla Articulos'!D:D)</f>
        <v>#N/A</v>
      </c>
      <c r="Q94" s="44" t="e">
        <f>_xlfn.XLOOKUP(S94,'Tabla Articulos'!B:B,'Tabla Articulos'!E:E)</f>
        <v>#N/A</v>
      </c>
      <c r="R94" s="44" t="e">
        <f t="shared" si="2"/>
        <v>#N/A</v>
      </c>
      <c r="S94" s="45" t="str">
        <f t="shared" si="3"/>
        <v>7798078450041</v>
      </c>
    </row>
    <row r="95" spans="1:19" hidden="1" x14ac:dyDescent="0.35">
      <c r="A95" s="22">
        <v>6</v>
      </c>
      <c r="B95" t="s">
        <v>801</v>
      </c>
      <c r="C95" t="s">
        <v>802</v>
      </c>
      <c r="D95"/>
      <c r="E95" t="s">
        <v>2955</v>
      </c>
      <c r="F95">
        <v>9003485</v>
      </c>
      <c r="G95" t="s">
        <v>2956</v>
      </c>
      <c r="H95" t="s">
        <v>805</v>
      </c>
      <c r="I95">
        <v>7</v>
      </c>
      <c r="J95">
        <v>0</v>
      </c>
      <c r="K95">
        <v>0</v>
      </c>
      <c r="L95">
        <v>0</v>
      </c>
      <c r="M95">
        <v>0</v>
      </c>
      <c r="N95">
        <v>0</v>
      </c>
      <c r="O95">
        <v>7</v>
      </c>
      <c r="P95" s="44" t="e">
        <f>_xlfn.XLOOKUP(Tabla5[[#This Row],[EAN CORREGIDO]],'Tabla Articulos'!B:B,'Tabla Articulos'!D:D)</f>
        <v>#N/A</v>
      </c>
      <c r="Q95" s="44" t="e">
        <f>_xlfn.XLOOKUP(S95,'Tabla Articulos'!B:B,'Tabla Articulos'!E:E)</f>
        <v>#N/A</v>
      </c>
      <c r="R95" s="44" t="e">
        <f t="shared" si="2"/>
        <v>#N/A</v>
      </c>
      <c r="S95" s="45" t="str">
        <f t="shared" si="3"/>
        <v>UNIF000217</v>
      </c>
    </row>
    <row r="96" spans="1:19" hidden="1" x14ac:dyDescent="0.35">
      <c r="A96" s="22">
        <v>5</v>
      </c>
      <c r="B96" t="s">
        <v>829</v>
      </c>
      <c r="C96" t="s">
        <v>802</v>
      </c>
      <c r="D96" s="11" t="s">
        <v>2957</v>
      </c>
      <c r="E96" t="s">
        <v>2958</v>
      </c>
      <c r="F96">
        <v>4019304</v>
      </c>
      <c r="G96" t="s">
        <v>2959</v>
      </c>
      <c r="H96" t="s">
        <v>805</v>
      </c>
      <c r="I96">
        <v>90</v>
      </c>
      <c r="J96">
        <v>0</v>
      </c>
      <c r="K96">
        <v>0</v>
      </c>
      <c r="L96">
        <v>0</v>
      </c>
      <c r="M96">
        <v>0</v>
      </c>
      <c r="N96">
        <v>0</v>
      </c>
      <c r="O96">
        <v>90</v>
      </c>
      <c r="P96" s="44" t="e">
        <f>_xlfn.XLOOKUP(Tabla5[[#This Row],[EAN CORREGIDO]],'Tabla Articulos'!B:B,'Tabla Articulos'!D:D)</f>
        <v>#N/A</v>
      </c>
      <c r="Q96" s="44" t="e">
        <f>_xlfn.XLOOKUP(S96,'Tabla Articulos'!B:B,'Tabla Articulos'!E:E)</f>
        <v>#N/A</v>
      </c>
      <c r="R96" s="44" t="e">
        <f t="shared" si="2"/>
        <v>#N/A</v>
      </c>
      <c r="S96" s="45" t="str">
        <f t="shared" si="3"/>
        <v>7790072001014</v>
      </c>
    </row>
    <row r="97" spans="1:19" hidden="1" x14ac:dyDescent="0.35">
      <c r="A97" s="22">
        <v>1</v>
      </c>
      <c r="B97" t="s">
        <v>812</v>
      </c>
      <c r="C97" t="s">
        <v>802</v>
      </c>
      <c r="D97" t="s">
        <v>2957</v>
      </c>
      <c r="E97" t="s">
        <v>2958</v>
      </c>
      <c r="F97">
        <v>4019304</v>
      </c>
      <c r="G97" t="s">
        <v>2959</v>
      </c>
      <c r="H97" t="s">
        <v>805</v>
      </c>
      <c r="I97">
        <v>9</v>
      </c>
      <c r="J97">
        <v>0</v>
      </c>
      <c r="K97">
        <v>0</v>
      </c>
      <c r="L97">
        <v>0</v>
      </c>
      <c r="M97">
        <v>0</v>
      </c>
      <c r="N97">
        <v>0</v>
      </c>
      <c r="O97">
        <v>9</v>
      </c>
      <c r="P97" s="44" t="e">
        <f>_xlfn.XLOOKUP(Tabla5[[#This Row],[EAN CORREGIDO]],'Tabla Articulos'!B:B,'Tabla Articulos'!D:D)</f>
        <v>#N/A</v>
      </c>
      <c r="Q97" s="44" t="e">
        <f>_xlfn.XLOOKUP(S97,'Tabla Articulos'!B:B,'Tabla Articulos'!E:E)</f>
        <v>#N/A</v>
      </c>
      <c r="R97" s="44" t="e">
        <f t="shared" si="2"/>
        <v>#N/A</v>
      </c>
      <c r="S97" s="45" t="str">
        <f t="shared" si="3"/>
        <v>7790072001014</v>
      </c>
    </row>
    <row r="98" spans="1:19" hidden="1" x14ac:dyDescent="0.35">
      <c r="A98" s="22">
        <v>6</v>
      </c>
      <c r="B98" t="s">
        <v>801</v>
      </c>
      <c r="C98" t="s">
        <v>802</v>
      </c>
      <c r="D98" t="s">
        <v>1332</v>
      </c>
      <c r="E98" t="s">
        <v>2960</v>
      </c>
      <c r="F98">
        <v>2006891</v>
      </c>
      <c r="G98" t="s">
        <v>2961</v>
      </c>
      <c r="H98" t="s">
        <v>805</v>
      </c>
      <c r="I98">
        <v>30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 s="44" t="e">
        <f>_xlfn.XLOOKUP(Tabla5[[#This Row],[EAN CORREGIDO]],'Tabla Articulos'!B:B,'Tabla Articulos'!D:D)</f>
        <v>#N/A</v>
      </c>
      <c r="Q98" s="44" t="e">
        <f>_xlfn.XLOOKUP(S98,'Tabla Articulos'!B:B,'Tabla Articulos'!E:E)</f>
        <v>#N/A</v>
      </c>
      <c r="R98" s="44" t="e">
        <f t="shared" si="2"/>
        <v>#N/A</v>
      </c>
      <c r="S98" s="45" t="str">
        <f t="shared" si="3"/>
        <v>LIM000373</v>
      </c>
    </row>
    <row r="99" spans="1:19" hidden="1" x14ac:dyDescent="0.35">
      <c r="A99" s="22">
        <v>1</v>
      </c>
      <c r="B99" t="s">
        <v>812</v>
      </c>
      <c r="C99" t="s">
        <v>802</v>
      </c>
      <c r="D99" t="s">
        <v>4380</v>
      </c>
      <c r="E99" t="s">
        <v>4481</v>
      </c>
      <c r="F99">
        <v>4019741</v>
      </c>
      <c r="G99" t="s">
        <v>4482</v>
      </c>
      <c r="H99" t="s">
        <v>805</v>
      </c>
      <c r="I99">
        <v>116</v>
      </c>
      <c r="J99">
        <v>0</v>
      </c>
      <c r="K99">
        <v>0</v>
      </c>
      <c r="L99">
        <v>0</v>
      </c>
      <c r="M99">
        <v>0</v>
      </c>
      <c r="N99">
        <v>0</v>
      </c>
      <c r="O99">
        <v>116</v>
      </c>
      <c r="P99" s="44" t="e">
        <f>_xlfn.XLOOKUP(Tabla5[[#This Row],[EAN CORREGIDO]],'Tabla Articulos'!B:B,'Tabla Articulos'!D:D)</f>
        <v>#N/A</v>
      </c>
      <c r="Q99" s="44" t="e">
        <f>_xlfn.XLOOKUP(S99,'Tabla Articulos'!B:B,'Tabla Articulos'!E:E)</f>
        <v>#N/A</v>
      </c>
      <c r="R99" s="44" t="e">
        <f t="shared" si="2"/>
        <v>#N/A</v>
      </c>
      <c r="S99" s="45" t="str">
        <f t="shared" si="3"/>
        <v>7790580105822</v>
      </c>
    </row>
    <row r="100" spans="1:19" hidden="1" x14ac:dyDescent="0.35">
      <c r="A100" s="22">
        <v>5</v>
      </c>
      <c r="B100" t="s">
        <v>829</v>
      </c>
      <c r="C100" t="s">
        <v>802</v>
      </c>
      <c r="D100" t="s">
        <v>4380</v>
      </c>
      <c r="E100" t="s">
        <v>4481</v>
      </c>
      <c r="F100">
        <v>4019741</v>
      </c>
      <c r="G100" t="s">
        <v>4482</v>
      </c>
      <c r="H100" t="s">
        <v>805</v>
      </c>
      <c r="I100">
        <v>15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15</v>
      </c>
      <c r="P100" s="44" t="e">
        <f>_xlfn.XLOOKUP(Tabla5[[#This Row],[EAN CORREGIDO]],'Tabla Articulos'!B:B,'Tabla Articulos'!D:D)</f>
        <v>#N/A</v>
      </c>
      <c r="Q100" s="44" t="e">
        <f>_xlfn.XLOOKUP(S100,'Tabla Articulos'!B:B,'Tabla Articulos'!E:E)</f>
        <v>#N/A</v>
      </c>
      <c r="R100" s="44" t="e">
        <f t="shared" si="2"/>
        <v>#N/A</v>
      </c>
      <c r="S100" s="45" t="str">
        <f t="shared" si="3"/>
        <v>7790580105822</v>
      </c>
    </row>
    <row r="101" spans="1:19" hidden="1" x14ac:dyDescent="0.35">
      <c r="A101" s="22">
        <v>6</v>
      </c>
      <c r="B101" t="s">
        <v>801</v>
      </c>
      <c r="C101" t="s">
        <v>802</v>
      </c>
      <c r="D101" t="s">
        <v>1198</v>
      </c>
      <c r="E101" t="s">
        <v>4483</v>
      </c>
      <c r="F101">
        <v>2016725</v>
      </c>
      <c r="G101" t="s">
        <v>4484</v>
      </c>
      <c r="H101" t="s">
        <v>805</v>
      </c>
      <c r="I101">
        <v>448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448</v>
      </c>
      <c r="P101" s="44" t="e">
        <f>_xlfn.XLOOKUP(Tabla5[[#This Row],[EAN CORREGIDO]],'Tabla Articulos'!B:B,'Tabla Articulos'!D:D)</f>
        <v>#N/A</v>
      </c>
      <c r="Q101" s="44" t="e">
        <f>_xlfn.XLOOKUP(S101,'Tabla Articulos'!B:B,'Tabla Articulos'!E:E)</f>
        <v>#N/A</v>
      </c>
      <c r="R101" s="44" t="e">
        <f t="shared" si="2"/>
        <v>#N/A</v>
      </c>
      <c r="S101" s="45" t="str">
        <f t="shared" si="3"/>
        <v>7797390401267</v>
      </c>
    </row>
    <row r="102" spans="1:19" hidden="1" x14ac:dyDescent="0.35">
      <c r="A102" s="22">
        <v>1</v>
      </c>
      <c r="B102" t="s">
        <v>812</v>
      </c>
      <c r="C102" t="s">
        <v>802</v>
      </c>
      <c r="D102" s="11" t="s">
        <v>1138</v>
      </c>
      <c r="E102" t="s">
        <v>1139</v>
      </c>
      <c r="F102">
        <v>4019488</v>
      </c>
      <c r="G102" t="s">
        <v>1140</v>
      </c>
      <c r="H102" t="s">
        <v>805</v>
      </c>
      <c r="I102">
        <v>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</v>
      </c>
      <c r="P102" s="44" t="e">
        <f>_xlfn.XLOOKUP(Tabla5[[#This Row],[EAN CORREGIDO]],'Tabla Articulos'!B:B,'Tabla Articulos'!D:D)</f>
        <v>#N/A</v>
      </c>
      <c r="Q102" s="44" t="e">
        <f>_xlfn.XLOOKUP(S102,'Tabla Articulos'!B:B,'Tabla Articulos'!E:E)</f>
        <v>#N/A</v>
      </c>
      <c r="R102" s="44" t="e">
        <f t="shared" si="2"/>
        <v>#N/A</v>
      </c>
      <c r="S102" s="45" t="str">
        <f t="shared" si="3"/>
        <v>7790530900248</v>
      </c>
    </row>
    <row r="103" spans="1:19" hidden="1" x14ac:dyDescent="0.35">
      <c r="A103" s="22">
        <v>5</v>
      </c>
      <c r="B103" t="s">
        <v>829</v>
      </c>
      <c r="C103" t="s">
        <v>802</v>
      </c>
      <c r="D103" s="11" t="s">
        <v>1138</v>
      </c>
      <c r="E103" t="s">
        <v>1139</v>
      </c>
      <c r="F103">
        <v>4019488</v>
      </c>
      <c r="G103" t="s">
        <v>1140</v>
      </c>
      <c r="H103" t="s">
        <v>805</v>
      </c>
      <c r="I103">
        <v>8</v>
      </c>
      <c r="J103">
        <v>6</v>
      </c>
      <c r="K103">
        <v>0</v>
      </c>
      <c r="L103">
        <v>0</v>
      </c>
      <c r="M103">
        <v>0</v>
      </c>
      <c r="N103">
        <v>0</v>
      </c>
      <c r="O103">
        <v>14</v>
      </c>
      <c r="P103" s="44" t="e">
        <f>_xlfn.XLOOKUP(Tabla5[[#This Row],[EAN CORREGIDO]],'Tabla Articulos'!B:B,'Tabla Articulos'!D:D)</f>
        <v>#N/A</v>
      </c>
      <c r="Q103" s="44" t="e">
        <f>_xlfn.XLOOKUP(S103,'Tabla Articulos'!B:B,'Tabla Articulos'!E:E)</f>
        <v>#N/A</v>
      </c>
      <c r="R103" s="44" t="e">
        <f t="shared" si="2"/>
        <v>#N/A</v>
      </c>
      <c r="S103" s="45" t="str">
        <f t="shared" si="3"/>
        <v>7790530900248</v>
      </c>
    </row>
    <row r="104" spans="1:19" hidden="1" x14ac:dyDescent="0.35">
      <c r="A104" s="22">
        <v>1</v>
      </c>
      <c r="B104" t="s">
        <v>812</v>
      </c>
      <c r="C104" t="s">
        <v>802</v>
      </c>
      <c r="D104" t="s">
        <v>189</v>
      </c>
      <c r="E104" t="s">
        <v>1141</v>
      </c>
      <c r="F104">
        <v>2006407</v>
      </c>
      <c r="G104" t="s">
        <v>1142</v>
      </c>
      <c r="H104" t="s">
        <v>805</v>
      </c>
      <c r="I104">
        <v>360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360</v>
      </c>
      <c r="P104" s="44" t="str">
        <f>_xlfn.XLOOKUP(Tabla5[[#This Row],[EAN CORREGIDO]],'Tabla Articulos'!B:B,'Tabla Articulos'!D:D)</f>
        <v>ARRANQUE 60X90</v>
      </c>
      <c r="Q104" s="44">
        <f>_xlfn.XLOOKUP(S104,'Tabla Articulos'!B:B,'Tabla Articulos'!E:E)</f>
        <v>1</v>
      </c>
      <c r="R104" s="44">
        <f t="shared" si="2"/>
        <v>360</v>
      </c>
      <c r="S104" s="45" t="str">
        <f t="shared" si="3"/>
        <v>16204006A</v>
      </c>
    </row>
    <row r="105" spans="1:19" hidden="1" x14ac:dyDescent="0.35">
      <c r="A105" s="22">
        <v>6</v>
      </c>
      <c r="B105" t="s">
        <v>801</v>
      </c>
      <c r="C105" t="s">
        <v>802</v>
      </c>
      <c r="D105" t="s">
        <v>189</v>
      </c>
      <c r="E105" t="s">
        <v>1141</v>
      </c>
      <c r="F105">
        <v>2006407</v>
      </c>
      <c r="G105" t="s">
        <v>1142</v>
      </c>
      <c r="H105" t="s">
        <v>805</v>
      </c>
      <c r="I105">
        <v>1516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1516</v>
      </c>
      <c r="P105" s="44" t="str">
        <f>_xlfn.XLOOKUP(Tabla5[[#This Row],[EAN CORREGIDO]],'Tabla Articulos'!B:B,'Tabla Articulos'!D:D)</f>
        <v>ARRANQUE 60X90</v>
      </c>
      <c r="Q105" s="44">
        <f>_xlfn.XLOOKUP(S105,'Tabla Articulos'!B:B,'Tabla Articulos'!E:E)</f>
        <v>1</v>
      </c>
      <c r="R105" s="44">
        <f t="shared" si="2"/>
        <v>1516</v>
      </c>
      <c r="S105" s="45" t="str">
        <f t="shared" si="3"/>
        <v>16204006A</v>
      </c>
    </row>
    <row r="106" spans="1:19" hidden="1" x14ac:dyDescent="0.35">
      <c r="A106" s="22">
        <v>6</v>
      </c>
      <c r="B106" t="s">
        <v>801</v>
      </c>
      <c r="C106" t="s">
        <v>802</v>
      </c>
      <c r="D106" t="s">
        <v>248</v>
      </c>
      <c r="E106" t="s">
        <v>1143</v>
      </c>
      <c r="F106">
        <v>2006209</v>
      </c>
      <c r="G106" t="s">
        <v>1144</v>
      </c>
      <c r="H106" t="s">
        <v>805</v>
      </c>
      <c r="I106">
        <v>110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110</v>
      </c>
      <c r="P106" s="44" t="str">
        <f>_xlfn.XLOOKUP(Tabla5[[#This Row],[EAN CORREGIDO]],'Tabla Articulos'!B:B,'Tabla Articulos'!D:D)</f>
        <v>ROLLO PAPEL MANTECA</v>
      </c>
      <c r="Q106" s="44">
        <f>_xlfn.XLOOKUP(S106,'Tabla Articulos'!B:B,'Tabla Articulos'!E:E)</f>
        <v>1</v>
      </c>
      <c r="R106" s="44">
        <f t="shared" si="2"/>
        <v>110</v>
      </c>
      <c r="S106" s="45" t="str">
        <f t="shared" si="3"/>
        <v>14044013A</v>
      </c>
    </row>
    <row r="107" spans="1:19" hidden="1" x14ac:dyDescent="0.35">
      <c r="A107" s="22">
        <v>1</v>
      </c>
      <c r="B107" t="s">
        <v>812</v>
      </c>
      <c r="C107" t="s">
        <v>802</v>
      </c>
      <c r="D107" s="11" t="s">
        <v>1163</v>
      </c>
      <c r="E107" t="s">
        <v>2560</v>
      </c>
      <c r="F107">
        <v>4049054</v>
      </c>
      <c r="G107" t="s">
        <v>2561</v>
      </c>
      <c r="H107" t="s">
        <v>805</v>
      </c>
      <c r="I107">
        <v>27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27</v>
      </c>
      <c r="P107" s="44" t="e">
        <f>_xlfn.XLOOKUP(Tabla5[[#This Row],[EAN CORREGIDO]],'Tabla Articulos'!B:B,'Tabla Articulos'!D:D)</f>
        <v>#N/A</v>
      </c>
      <c r="Q107" s="44" t="e">
        <f>_xlfn.XLOOKUP(S107,'Tabla Articulos'!B:B,'Tabla Articulos'!E:E)</f>
        <v>#N/A</v>
      </c>
      <c r="R107" s="44" t="e">
        <f t="shared" si="2"/>
        <v>#N/A</v>
      </c>
      <c r="S107" s="45" t="str">
        <f t="shared" si="3"/>
        <v>7790077000425</v>
      </c>
    </row>
    <row r="108" spans="1:19" hidden="1" x14ac:dyDescent="0.35">
      <c r="A108" s="22">
        <v>6</v>
      </c>
      <c r="B108" t="s">
        <v>801</v>
      </c>
      <c r="C108" t="s">
        <v>802</v>
      </c>
      <c r="D108" t="s">
        <v>1874</v>
      </c>
      <c r="E108" t="s">
        <v>2562</v>
      </c>
      <c r="F108">
        <v>2006582</v>
      </c>
      <c r="G108" t="s">
        <v>2563</v>
      </c>
      <c r="H108" t="s">
        <v>805</v>
      </c>
      <c r="I108">
        <v>10657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10657</v>
      </c>
      <c r="P108" s="44" t="e">
        <f>_xlfn.XLOOKUP(Tabla5[[#This Row],[EAN CORREGIDO]],'Tabla Articulos'!B:B,'Tabla Articulos'!D:D)</f>
        <v>#N/A</v>
      </c>
      <c r="Q108" s="44" t="e">
        <f>_xlfn.XLOOKUP(S108,'Tabla Articulos'!B:B,'Tabla Articulos'!E:E)</f>
        <v>#N/A</v>
      </c>
      <c r="R108" s="44" t="e">
        <f t="shared" si="2"/>
        <v>#N/A</v>
      </c>
      <c r="S108" s="45" t="str">
        <f t="shared" si="3"/>
        <v>7798092962247</v>
      </c>
    </row>
    <row r="109" spans="1:19" hidden="1" x14ac:dyDescent="0.35">
      <c r="A109" s="22">
        <v>1</v>
      </c>
      <c r="B109" t="s">
        <v>812</v>
      </c>
      <c r="C109" t="s">
        <v>802</v>
      </c>
      <c r="D109" t="s">
        <v>1313</v>
      </c>
      <c r="E109" t="s">
        <v>2564</v>
      </c>
      <c r="F109">
        <v>4018776</v>
      </c>
      <c r="G109" t="s">
        <v>2565</v>
      </c>
      <c r="H109" t="s">
        <v>805</v>
      </c>
      <c r="I109">
        <v>92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92</v>
      </c>
      <c r="P109" s="44" t="e">
        <f>_xlfn.XLOOKUP(Tabla5[[#This Row],[EAN CORREGIDO]],'Tabla Articulos'!B:B,'Tabla Articulos'!D:D)</f>
        <v>#N/A</v>
      </c>
      <c r="Q109" s="44" t="e">
        <f>_xlfn.XLOOKUP(S109,'Tabla Articulos'!B:B,'Tabla Articulos'!E:E)</f>
        <v>#N/A</v>
      </c>
      <c r="R109" s="44" t="e">
        <f t="shared" si="2"/>
        <v>#N/A</v>
      </c>
      <c r="S109" s="45" t="str">
        <f t="shared" si="3"/>
        <v>7790040137844</v>
      </c>
    </row>
    <row r="110" spans="1:19" hidden="1" x14ac:dyDescent="0.35">
      <c r="A110" s="22">
        <v>6</v>
      </c>
      <c r="B110" t="s">
        <v>801</v>
      </c>
      <c r="C110" t="s">
        <v>802</v>
      </c>
      <c r="E110" t="s">
        <v>2566</v>
      </c>
      <c r="F110">
        <v>9003109</v>
      </c>
      <c r="G110" t="s">
        <v>2567</v>
      </c>
      <c r="H110" t="s">
        <v>805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</v>
      </c>
      <c r="P110" s="44" t="e">
        <f>_xlfn.XLOOKUP(Tabla5[[#This Row],[EAN CORREGIDO]],'Tabla Articulos'!B:B,'Tabla Articulos'!D:D)</f>
        <v>#N/A</v>
      </c>
      <c r="Q110" s="44" t="e">
        <f>_xlfn.XLOOKUP(S110,'Tabla Articulos'!B:B,'Tabla Articulos'!E:E)</f>
        <v>#N/A</v>
      </c>
      <c r="R110" s="44" t="e">
        <f t="shared" si="2"/>
        <v>#N/A</v>
      </c>
      <c r="S110" s="45" t="str">
        <f t="shared" si="3"/>
        <v>UNIF000571</v>
      </c>
    </row>
    <row r="111" spans="1:19" hidden="1" x14ac:dyDescent="0.35">
      <c r="A111" s="22">
        <v>1</v>
      </c>
      <c r="B111" t="s">
        <v>812</v>
      </c>
      <c r="C111" t="s">
        <v>802</v>
      </c>
      <c r="D111" t="s">
        <v>1764</v>
      </c>
      <c r="E111" t="s">
        <v>2568</v>
      </c>
      <c r="F111">
        <v>4020224</v>
      </c>
      <c r="G111" t="s">
        <v>2569</v>
      </c>
      <c r="H111" t="s">
        <v>805</v>
      </c>
      <c r="I111">
        <v>624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624</v>
      </c>
      <c r="P111" s="44" t="e">
        <f>_xlfn.XLOOKUP(Tabla5[[#This Row],[EAN CORREGIDO]],'Tabla Articulos'!B:B,'Tabla Articulos'!D:D)</f>
        <v>#N/A</v>
      </c>
      <c r="Q111" s="44" t="e">
        <f>_xlfn.XLOOKUP(S111,'Tabla Articulos'!B:B,'Tabla Articulos'!E:E)</f>
        <v>#N/A</v>
      </c>
      <c r="R111" s="44" t="e">
        <f t="shared" si="2"/>
        <v>#N/A</v>
      </c>
      <c r="S111" s="45" t="str">
        <f t="shared" si="3"/>
        <v>7793875360067</v>
      </c>
    </row>
    <row r="112" spans="1:19" hidden="1" x14ac:dyDescent="0.35">
      <c r="A112" s="22">
        <v>1</v>
      </c>
      <c r="B112" t="s">
        <v>812</v>
      </c>
      <c r="C112" t="s">
        <v>802</v>
      </c>
      <c r="D112" t="s">
        <v>2570</v>
      </c>
      <c r="E112" t="s">
        <v>2571</v>
      </c>
      <c r="F112">
        <v>4076655</v>
      </c>
      <c r="G112" t="s">
        <v>2572</v>
      </c>
      <c r="H112" t="s">
        <v>805</v>
      </c>
      <c r="I112">
        <v>458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458</v>
      </c>
      <c r="P112" s="44" t="e">
        <f>_xlfn.XLOOKUP(Tabla5[[#This Row],[EAN CORREGIDO]],'Tabla Articulos'!B:B,'Tabla Articulos'!D:D)</f>
        <v>#N/A</v>
      </c>
      <c r="Q112" s="44" t="e">
        <f>_xlfn.XLOOKUP(S112,'Tabla Articulos'!B:B,'Tabla Articulos'!E:E)</f>
        <v>#N/A</v>
      </c>
      <c r="R112" s="44" t="e">
        <f t="shared" si="2"/>
        <v>#N/A</v>
      </c>
      <c r="S112" s="45" t="str">
        <f t="shared" si="3"/>
        <v>7790499002489</v>
      </c>
    </row>
    <row r="113" spans="1:19" hidden="1" x14ac:dyDescent="0.35">
      <c r="A113" s="22">
        <v>6</v>
      </c>
      <c r="B113" t="s">
        <v>801</v>
      </c>
      <c r="C113" t="s">
        <v>802</v>
      </c>
      <c r="D113" t="s">
        <v>1484</v>
      </c>
      <c r="E113" t="s">
        <v>1485</v>
      </c>
      <c r="F113">
        <v>2007433</v>
      </c>
      <c r="G113" t="s">
        <v>1486</v>
      </c>
      <c r="H113" t="s">
        <v>805</v>
      </c>
      <c r="I113">
        <v>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6</v>
      </c>
      <c r="P113" s="44" t="e">
        <f>_xlfn.XLOOKUP(Tabla5[[#This Row],[EAN CORREGIDO]],'Tabla Articulos'!B:B,'Tabla Articulos'!D:D)</f>
        <v>#N/A</v>
      </c>
      <c r="Q113" s="44" t="e">
        <f>_xlfn.XLOOKUP(S113,'Tabla Articulos'!B:B,'Tabla Articulos'!E:E)</f>
        <v>#N/A</v>
      </c>
      <c r="R113" s="44" t="e">
        <f t="shared" si="2"/>
        <v>#N/A</v>
      </c>
      <c r="S113" s="45" t="str">
        <f t="shared" si="3"/>
        <v>7798012210977</v>
      </c>
    </row>
    <row r="114" spans="1:19" hidden="1" x14ac:dyDescent="0.35">
      <c r="A114" s="22">
        <v>6</v>
      </c>
      <c r="B114" t="s">
        <v>801</v>
      </c>
      <c r="C114" t="s">
        <v>802</v>
      </c>
      <c r="D114"/>
      <c r="E114" t="s">
        <v>1487</v>
      </c>
      <c r="F114">
        <v>2006884</v>
      </c>
      <c r="G114" t="s">
        <v>1488</v>
      </c>
      <c r="H114" t="s">
        <v>805</v>
      </c>
      <c r="I114">
        <v>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74</v>
      </c>
      <c r="P114" s="44" t="e">
        <f>_xlfn.XLOOKUP(Tabla5[[#This Row],[EAN CORREGIDO]],'Tabla Articulos'!B:B,'Tabla Articulos'!D:D)</f>
        <v>#N/A</v>
      </c>
      <c r="Q114" s="44" t="e">
        <f>_xlfn.XLOOKUP(S114,'Tabla Articulos'!B:B,'Tabla Articulos'!E:E)</f>
        <v>#N/A</v>
      </c>
      <c r="R114" s="44" t="e">
        <f t="shared" si="2"/>
        <v>#N/A</v>
      </c>
      <c r="S114" s="45" t="str">
        <f t="shared" si="3"/>
        <v>2006884</v>
      </c>
    </row>
    <row r="115" spans="1:19" hidden="1" x14ac:dyDescent="0.35">
      <c r="A115" s="22">
        <v>1</v>
      </c>
      <c r="B115" t="s">
        <v>812</v>
      </c>
      <c r="C115" t="s">
        <v>802</v>
      </c>
      <c r="D115" t="s">
        <v>1489</v>
      </c>
      <c r="E115" t="s">
        <v>1490</v>
      </c>
      <c r="F115">
        <v>4022373</v>
      </c>
      <c r="G115" t="s">
        <v>1491</v>
      </c>
      <c r="H115" t="s">
        <v>805</v>
      </c>
      <c r="I115">
        <v>37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37</v>
      </c>
      <c r="P115" s="44" t="e">
        <f>_xlfn.XLOOKUP(Tabla5[[#This Row],[EAN CORREGIDO]],'Tabla Articulos'!B:B,'Tabla Articulos'!D:D)</f>
        <v>#N/A</v>
      </c>
      <c r="Q115" s="44" t="e">
        <f>_xlfn.XLOOKUP(S115,'Tabla Articulos'!B:B,'Tabla Articulos'!E:E)</f>
        <v>#N/A</v>
      </c>
      <c r="R115" s="44" t="e">
        <f t="shared" si="2"/>
        <v>#N/A</v>
      </c>
      <c r="S115" s="45" t="str">
        <f t="shared" si="3"/>
        <v>7798110340064</v>
      </c>
    </row>
    <row r="116" spans="1:19" hidden="1" x14ac:dyDescent="0.35">
      <c r="A116" s="22">
        <v>6</v>
      </c>
      <c r="B116" t="s">
        <v>801</v>
      </c>
      <c r="C116" t="s">
        <v>802</v>
      </c>
      <c r="D116"/>
      <c r="E116" t="s">
        <v>1492</v>
      </c>
      <c r="F116">
        <v>9003388</v>
      </c>
      <c r="G116" t="s">
        <v>1493</v>
      </c>
      <c r="H116" t="s">
        <v>805</v>
      </c>
      <c r="I116">
        <v>12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12</v>
      </c>
      <c r="P116" s="44" t="e">
        <f>_xlfn.XLOOKUP(Tabla5[[#This Row],[EAN CORREGIDO]],'Tabla Articulos'!B:B,'Tabla Articulos'!D:D)</f>
        <v>#N/A</v>
      </c>
      <c r="Q116" s="44" t="e">
        <f>_xlfn.XLOOKUP(S116,'Tabla Articulos'!B:B,'Tabla Articulos'!E:E)</f>
        <v>#N/A</v>
      </c>
      <c r="R116" s="44" t="e">
        <f t="shared" si="2"/>
        <v>#N/A</v>
      </c>
      <c r="S116" s="45" t="str">
        <f t="shared" si="3"/>
        <v>UNIF000505</v>
      </c>
    </row>
    <row r="117" spans="1:19" hidden="1" x14ac:dyDescent="0.35">
      <c r="A117" s="22">
        <v>5</v>
      </c>
      <c r="B117" t="s">
        <v>829</v>
      </c>
      <c r="C117" t="s">
        <v>802</v>
      </c>
      <c r="D117" s="11" t="s">
        <v>1494</v>
      </c>
      <c r="E117" t="s">
        <v>1495</v>
      </c>
      <c r="F117">
        <v>4022696</v>
      </c>
      <c r="G117" t="s">
        <v>1496</v>
      </c>
      <c r="H117" t="s">
        <v>805</v>
      </c>
      <c r="I117">
        <v>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</v>
      </c>
      <c r="P117" s="44" t="e">
        <f>_xlfn.XLOOKUP(Tabla5[[#This Row],[EAN CORREGIDO]],'Tabla Articulos'!B:B,'Tabla Articulos'!D:D)</f>
        <v>#N/A</v>
      </c>
      <c r="Q117" s="44" t="e">
        <f>_xlfn.XLOOKUP(S117,'Tabla Articulos'!B:B,'Tabla Articulos'!E:E)</f>
        <v>#N/A</v>
      </c>
      <c r="R117" s="44" t="e">
        <f t="shared" si="2"/>
        <v>#N/A</v>
      </c>
      <c r="S117" s="45" t="str">
        <f t="shared" si="3"/>
        <v>77987853</v>
      </c>
    </row>
    <row r="118" spans="1:19" hidden="1" x14ac:dyDescent="0.35">
      <c r="A118" s="22">
        <v>1</v>
      </c>
      <c r="B118" t="s">
        <v>812</v>
      </c>
      <c r="C118" t="s">
        <v>802</v>
      </c>
      <c r="D118" t="s">
        <v>1494</v>
      </c>
      <c r="E118" t="s">
        <v>1495</v>
      </c>
      <c r="F118">
        <v>4022696</v>
      </c>
      <c r="G118" t="s">
        <v>1496</v>
      </c>
      <c r="H118" t="s">
        <v>805</v>
      </c>
      <c r="I118">
        <v>953</v>
      </c>
      <c r="J118">
        <v>800</v>
      </c>
      <c r="K118">
        <v>0</v>
      </c>
      <c r="L118">
        <v>0</v>
      </c>
      <c r="M118">
        <v>0</v>
      </c>
      <c r="N118">
        <v>0</v>
      </c>
      <c r="O118">
        <v>1753</v>
      </c>
      <c r="P118" s="44" t="e">
        <f>_xlfn.XLOOKUP(Tabla5[[#This Row],[EAN CORREGIDO]],'Tabla Articulos'!B:B,'Tabla Articulos'!D:D)</f>
        <v>#N/A</v>
      </c>
      <c r="Q118" s="44" t="e">
        <f>_xlfn.XLOOKUP(S118,'Tabla Articulos'!B:B,'Tabla Articulos'!E:E)</f>
        <v>#N/A</v>
      </c>
      <c r="R118" s="44" t="e">
        <f t="shared" si="2"/>
        <v>#N/A</v>
      </c>
      <c r="S118" s="45" t="str">
        <f t="shared" si="3"/>
        <v>77987853</v>
      </c>
    </row>
    <row r="119" spans="1:19" hidden="1" x14ac:dyDescent="0.35">
      <c r="A119" s="22">
        <v>5</v>
      </c>
      <c r="B119" t="s">
        <v>829</v>
      </c>
      <c r="C119" t="s">
        <v>802</v>
      </c>
      <c r="D119" t="s">
        <v>1497</v>
      </c>
      <c r="E119" t="s">
        <v>1498</v>
      </c>
      <c r="F119">
        <v>4019684</v>
      </c>
      <c r="G119" t="s">
        <v>1499</v>
      </c>
      <c r="H119" t="s">
        <v>805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3</v>
      </c>
      <c r="P119" s="44" t="e">
        <f>_xlfn.XLOOKUP(Tabla5[[#This Row],[EAN CORREGIDO]],'Tabla Articulos'!B:B,'Tabla Articulos'!D:D)</f>
        <v>#N/A</v>
      </c>
      <c r="Q119" s="44" t="e">
        <f>_xlfn.XLOOKUP(S119,'Tabla Articulos'!B:B,'Tabla Articulos'!E:E)</f>
        <v>#N/A</v>
      </c>
      <c r="R119" s="44" t="e">
        <f t="shared" si="2"/>
        <v>#N/A</v>
      </c>
      <c r="S119" s="45" t="str">
        <f t="shared" si="3"/>
        <v>7791254185423</v>
      </c>
    </row>
    <row r="120" spans="1:19" hidden="1" x14ac:dyDescent="0.35">
      <c r="A120" s="22">
        <v>1</v>
      </c>
      <c r="B120" t="s">
        <v>812</v>
      </c>
      <c r="C120" t="s">
        <v>802</v>
      </c>
      <c r="D120" s="11" t="s">
        <v>1497</v>
      </c>
      <c r="E120" t="s">
        <v>1498</v>
      </c>
      <c r="F120">
        <v>4019684</v>
      </c>
      <c r="G120" t="s">
        <v>1499</v>
      </c>
      <c r="H120" t="s">
        <v>805</v>
      </c>
      <c r="I120">
        <v>10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10</v>
      </c>
      <c r="P120" s="44" t="e">
        <f>_xlfn.XLOOKUP(Tabla5[[#This Row],[EAN CORREGIDO]],'Tabla Articulos'!B:B,'Tabla Articulos'!D:D)</f>
        <v>#N/A</v>
      </c>
      <c r="Q120" s="44" t="e">
        <f>_xlfn.XLOOKUP(S120,'Tabla Articulos'!B:B,'Tabla Articulos'!E:E)</f>
        <v>#N/A</v>
      </c>
      <c r="R120" s="44" t="e">
        <f t="shared" si="2"/>
        <v>#N/A</v>
      </c>
      <c r="S120" s="45" t="str">
        <f t="shared" si="3"/>
        <v>7791254185423</v>
      </c>
    </row>
    <row r="121" spans="1:19" hidden="1" x14ac:dyDescent="0.35">
      <c r="A121" s="22">
        <v>6</v>
      </c>
      <c r="B121" t="s">
        <v>801</v>
      </c>
      <c r="C121" t="s">
        <v>802</v>
      </c>
      <c r="E121" t="s">
        <v>1500</v>
      </c>
      <c r="F121">
        <v>9003493</v>
      </c>
      <c r="G121" t="s">
        <v>1501</v>
      </c>
      <c r="H121" t="s">
        <v>805</v>
      </c>
      <c r="I121">
        <v>13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13</v>
      </c>
      <c r="P121" s="44" t="e">
        <f>_xlfn.XLOOKUP(Tabla5[[#This Row],[EAN CORREGIDO]],'Tabla Articulos'!B:B,'Tabla Articulos'!D:D)</f>
        <v>#N/A</v>
      </c>
      <c r="Q121" s="44" t="e">
        <f>_xlfn.XLOOKUP(S121,'Tabla Articulos'!B:B,'Tabla Articulos'!E:E)</f>
        <v>#N/A</v>
      </c>
      <c r="R121" s="44" t="e">
        <f t="shared" si="2"/>
        <v>#N/A</v>
      </c>
      <c r="S121" s="45" t="str">
        <f t="shared" si="3"/>
        <v>UNIF000225</v>
      </c>
    </row>
    <row r="122" spans="1:19" hidden="1" x14ac:dyDescent="0.35">
      <c r="A122" s="22">
        <v>1</v>
      </c>
      <c r="B122" t="s">
        <v>812</v>
      </c>
      <c r="C122" t="s">
        <v>802</v>
      </c>
      <c r="D122" s="11" t="s">
        <v>1502</v>
      </c>
      <c r="E122" t="s">
        <v>1503</v>
      </c>
      <c r="F122">
        <v>4018002</v>
      </c>
      <c r="G122" t="s">
        <v>1504</v>
      </c>
      <c r="H122" t="s">
        <v>816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 s="44" t="e">
        <f>_xlfn.XLOOKUP(Tabla5[[#This Row],[EAN CORREGIDO]],'Tabla Articulos'!B:B,'Tabla Articulos'!D:D)</f>
        <v>#N/A</v>
      </c>
      <c r="Q122" s="44" t="e">
        <f>_xlfn.XLOOKUP(S122,'Tabla Articulos'!B:B,'Tabla Articulos'!E:E)</f>
        <v>#N/A</v>
      </c>
      <c r="R122" s="44" t="e">
        <f t="shared" si="2"/>
        <v>#N/A</v>
      </c>
      <c r="S122" s="45" t="str">
        <f t="shared" si="3"/>
        <v>7790216012653</v>
      </c>
    </row>
    <row r="123" spans="1:19" hidden="1" x14ac:dyDescent="0.35">
      <c r="A123" s="22">
        <v>1</v>
      </c>
      <c r="B123" t="s">
        <v>812</v>
      </c>
      <c r="C123" t="s">
        <v>802</v>
      </c>
      <c r="D123" t="s">
        <v>2891</v>
      </c>
      <c r="E123" t="s">
        <v>2892</v>
      </c>
      <c r="F123">
        <v>4020057</v>
      </c>
      <c r="G123" t="s">
        <v>2893</v>
      </c>
      <c r="H123" t="s">
        <v>805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</v>
      </c>
      <c r="P123" s="44" t="e">
        <f>_xlfn.XLOOKUP(Tabla5[[#This Row],[EAN CORREGIDO]],'Tabla Articulos'!B:B,'Tabla Articulos'!D:D)</f>
        <v>#N/A</v>
      </c>
      <c r="Q123" s="44" t="e">
        <f>_xlfn.XLOOKUP(S123,'Tabla Articulos'!B:B,'Tabla Articulos'!E:E)</f>
        <v>#N/A</v>
      </c>
      <c r="R123" s="44" t="e">
        <f t="shared" si="2"/>
        <v>#N/A</v>
      </c>
      <c r="S123" s="45" t="str">
        <f t="shared" si="3"/>
        <v>7793875314756</v>
      </c>
    </row>
    <row r="124" spans="1:19" hidden="1" x14ac:dyDescent="0.35">
      <c r="A124" s="22">
        <v>6</v>
      </c>
      <c r="B124" t="s">
        <v>801</v>
      </c>
      <c r="C124" t="s">
        <v>802</v>
      </c>
      <c r="E124" t="s">
        <v>2466</v>
      </c>
      <c r="F124">
        <v>9003157</v>
      </c>
      <c r="G124" t="s">
        <v>2467</v>
      </c>
      <c r="H124" t="s">
        <v>805</v>
      </c>
      <c r="I124">
        <v>123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123</v>
      </c>
      <c r="P124" s="44" t="e">
        <f>_xlfn.XLOOKUP(Tabla5[[#This Row],[EAN CORREGIDO]],'Tabla Articulos'!B:B,'Tabla Articulos'!D:D)</f>
        <v>#N/A</v>
      </c>
      <c r="Q124" s="44" t="e">
        <f>_xlfn.XLOOKUP(S124,'Tabla Articulos'!B:B,'Tabla Articulos'!E:E)</f>
        <v>#N/A</v>
      </c>
      <c r="R124" s="44" t="e">
        <f t="shared" si="2"/>
        <v>#N/A</v>
      </c>
      <c r="S124" s="45" t="str">
        <f t="shared" si="3"/>
        <v>UNIF000619</v>
      </c>
    </row>
    <row r="125" spans="1:19" hidden="1" x14ac:dyDescent="0.35">
      <c r="A125" s="22">
        <v>6</v>
      </c>
      <c r="B125" t="s">
        <v>801</v>
      </c>
      <c r="C125" t="s">
        <v>802</v>
      </c>
      <c r="D125"/>
      <c r="E125" t="s">
        <v>2468</v>
      </c>
      <c r="F125">
        <v>9003647</v>
      </c>
      <c r="G125" t="s">
        <v>2469</v>
      </c>
      <c r="H125" t="s">
        <v>805</v>
      </c>
      <c r="I125">
        <v>20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20</v>
      </c>
      <c r="P125" s="44" t="e">
        <f>_xlfn.XLOOKUP(Tabla5[[#This Row],[EAN CORREGIDO]],'Tabla Articulos'!B:B,'Tabla Articulos'!D:D)</f>
        <v>#N/A</v>
      </c>
      <c r="Q125" s="44" t="e">
        <f>_xlfn.XLOOKUP(S125,'Tabla Articulos'!B:B,'Tabla Articulos'!E:E)</f>
        <v>#N/A</v>
      </c>
      <c r="R125" s="44" t="e">
        <f t="shared" si="2"/>
        <v>#N/A</v>
      </c>
      <c r="S125" s="45" t="str">
        <f t="shared" si="3"/>
        <v>UNIF000383</v>
      </c>
    </row>
    <row r="126" spans="1:19" hidden="1" x14ac:dyDescent="0.35">
      <c r="A126" s="22">
        <v>6</v>
      </c>
      <c r="B126" t="s">
        <v>801</v>
      </c>
      <c r="C126" t="s">
        <v>802</v>
      </c>
      <c r="D126" s="11" t="s">
        <v>1388</v>
      </c>
      <c r="E126" t="s">
        <v>2470</v>
      </c>
      <c r="F126">
        <v>2006691</v>
      </c>
      <c r="G126" t="s">
        <v>2471</v>
      </c>
      <c r="H126" t="s">
        <v>805</v>
      </c>
      <c r="I126">
        <v>4167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4167</v>
      </c>
      <c r="P126" s="44" t="e">
        <f>_xlfn.XLOOKUP(Tabla5[[#This Row],[EAN CORREGIDO]],'Tabla Articulos'!B:B,'Tabla Articulos'!D:D)</f>
        <v>#N/A</v>
      </c>
      <c r="Q126" s="44" t="e">
        <f>_xlfn.XLOOKUP(S126,'Tabla Articulos'!B:B,'Tabla Articulos'!E:E)</f>
        <v>#N/A</v>
      </c>
      <c r="R126" s="44" t="e">
        <f t="shared" si="2"/>
        <v>#N/A</v>
      </c>
      <c r="S126" s="45" t="str">
        <f t="shared" si="3"/>
        <v>16010002A</v>
      </c>
    </row>
    <row r="127" spans="1:19" hidden="1" x14ac:dyDescent="0.35">
      <c r="A127" s="22">
        <v>6</v>
      </c>
      <c r="B127" t="s">
        <v>801</v>
      </c>
      <c r="C127" t="s">
        <v>802</v>
      </c>
      <c r="D127"/>
      <c r="E127" t="s">
        <v>2472</v>
      </c>
      <c r="F127">
        <v>9003995</v>
      </c>
      <c r="G127" t="s">
        <v>2473</v>
      </c>
      <c r="H127" t="s">
        <v>805</v>
      </c>
      <c r="I127">
        <v>90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90</v>
      </c>
      <c r="P127" s="44" t="e">
        <f>_xlfn.XLOOKUP(Tabla5[[#This Row],[EAN CORREGIDO]],'Tabla Articulos'!B:B,'Tabla Articulos'!D:D)</f>
        <v>#N/A</v>
      </c>
      <c r="Q127" s="44" t="e">
        <f>_xlfn.XLOOKUP(S127,'Tabla Articulos'!B:B,'Tabla Articulos'!E:E)</f>
        <v>#N/A</v>
      </c>
      <c r="R127" s="44" t="e">
        <f t="shared" si="2"/>
        <v>#N/A</v>
      </c>
      <c r="S127" s="45" t="str">
        <f t="shared" si="3"/>
        <v>UNIF000659</v>
      </c>
    </row>
    <row r="128" spans="1:19" hidden="1" x14ac:dyDescent="0.35">
      <c r="A128" s="22">
        <v>1</v>
      </c>
      <c r="B128" t="s">
        <v>812</v>
      </c>
      <c r="C128" t="s">
        <v>802</v>
      </c>
      <c r="D128" s="11" t="s">
        <v>1663</v>
      </c>
      <c r="E128" t="s">
        <v>2474</v>
      </c>
      <c r="F128">
        <v>4020073</v>
      </c>
      <c r="G128" t="s">
        <v>2475</v>
      </c>
      <c r="H128" t="s">
        <v>805</v>
      </c>
      <c r="I128">
        <v>62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62</v>
      </c>
      <c r="P128" s="44" t="e">
        <f>_xlfn.XLOOKUP(Tabla5[[#This Row],[EAN CORREGIDO]],'Tabla Articulos'!B:B,'Tabla Articulos'!D:D)</f>
        <v>#N/A</v>
      </c>
      <c r="Q128" s="44" t="e">
        <f>_xlfn.XLOOKUP(S128,'Tabla Articulos'!B:B,'Tabla Articulos'!E:E)</f>
        <v>#N/A</v>
      </c>
      <c r="R128" s="44" t="e">
        <f t="shared" si="2"/>
        <v>#N/A</v>
      </c>
      <c r="S128" s="45" t="str">
        <f t="shared" si="3"/>
        <v>7794080001561</v>
      </c>
    </row>
    <row r="129" spans="1:19" hidden="1" x14ac:dyDescent="0.35">
      <c r="A129" s="22">
        <v>6</v>
      </c>
      <c r="B129" t="s">
        <v>801</v>
      </c>
      <c r="C129" t="s">
        <v>802</v>
      </c>
      <c r="E129" t="s">
        <v>2476</v>
      </c>
      <c r="F129">
        <v>9003310</v>
      </c>
      <c r="G129" t="s">
        <v>2477</v>
      </c>
      <c r="H129" t="s">
        <v>805</v>
      </c>
      <c r="I129">
        <v>10</v>
      </c>
      <c r="J129">
        <v>80</v>
      </c>
      <c r="K129">
        <v>0</v>
      </c>
      <c r="L129">
        <v>0</v>
      </c>
      <c r="M129">
        <v>0</v>
      </c>
      <c r="N129">
        <v>0</v>
      </c>
      <c r="O129">
        <v>90</v>
      </c>
      <c r="P129" s="44" t="e">
        <f>_xlfn.XLOOKUP(Tabla5[[#This Row],[EAN CORREGIDO]],'Tabla Articulos'!B:B,'Tabla Articulos'!D:D)</f>
        <v>#N/A</v>
      </c>
      <c r="Q129" s="44" t="e">
        <f>_xlfn.XLOOKUP(S129,'Tabla Articulos'!B:B,'Tabla Articulos'!E:E)</f>
        <v>#N/A</v>
      </c>
      <c r="R129" s="44" t="e">
        <f t="shared" ref="R129:R192" si="4">O129*Q129</f>
        <v>#N/A</v>
      </c>
      <c r="S129" s="45" t="str">
        <f t="shared" ref="S129:S192" si="5">TRIM(E129)</f>
        <v>UNIF000057</v>
      </c>
    </row>
    <row r="130" spans="1:19" hidden="1" x14ac:dyDescent="0.35">
      <c r="A130" s="22">
        <v>1</v>
      </c>
      <c r="B130" t="s">
        <v>812</v>
      </c>
      <c r="C130" t="s">
        <v>802</v>
      </c>
      <c r="D130" s="11" t="s">
        <v>1173</v>
      </c>
      <c r="E130" t="s">
        <v>1174</v>
      </c>
      <c r="F130">
        <v>4018299</v>
      </c>
      <c r="G130" t="s">
        <v>1175</v>
      </c>
      <c r="H130" t="s">
        <v>816</v>
      </c>
      <c r="I130">
        <v>851.67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851.67</v>
      </c>
      <c r="P130" s="44" t="e">
        <f>_xlfn.XLOOKUP(Tabla5[[#This Row],[EAN CORREGIDO]],'Tabla Articulos'!B:B,'Tabla Articulos'!D:D)</f>
        <v>#N/A</v>
      </c>
      <c r="Q130" s="44" t="e">
        <f>_xlfn.XLOOKUP(S130,'Tabla Articulos'!B:B,'Tabla Articulos'!E:E)</f>
        <v>#N/A</v>
      </c>
      <c r="R130" s="44" t="e">
        <f t="shared" si="4"/>
        <v>#N/A</v>
      </c>
      <c r="S130" s="45" t="str">
        <f t="shared" si="5"/>
        <v>7794990866373</v>
      </c>
    </row>
    <row r="131" spans="1:19" hidden="1" x14ac:dyDescent="0.35">
      <c r="A131" s="22">
        <v>5</v>
      </c>
      <c r="B131" t="s">
        <v>829</v>
      </c>
      <c r="C131" t="s">
        <v>802</v>
      </c>
      <c r="D131" t="s">
        <v>229</v>
      </c>
      <c r="E131" t="s">
        <v>1176</v>
      </c>
      <c r="F131">
        <v>2006492</v>
      </c>
      <c r="G131" t="s">
        <v>706</v>
      </c>
      <c r="H131" t="s">
        <v>805</v>
      </c>
      <c r="I131">
        <v>44547</v>
      </c>
      <c r="J131">
        <v>0</v>
      </c>
      <c r="K131">
        <v>-600</v>
      </c>
      <c r="L131">
        <v>0</v>
      </c>
      <c r="M131">
        <v>0</v>
      </c>
      <c r="N131">
        <v>0</v>
      </c>
      <c r="O131">
        <v>45147</v>
      </c>
      <c r="P131" s="44" t="str">
        <f>_xlfn.XLOOKUP(Tabla5[[#This Row],[EAN CORREGIDO]],'Tabla Articulos'!B:B,'Tabla Articulos'!D:D)</f>
        <v>CAJA MESA LANUS 1</v>
      </c>
      <c r="Q131" s="44">
        <f>_xlfn.XLOOKUP(S131,'Tabla Articulos'!B:B,'Tabla Articulos'!E:E)</f>
        <v>1</v>
      </c>
      <c r="R131" s="44">
        <f t="shared" si="4"/>
        <v>45147</v>
      </c>
      <c r="S131" s="45" t="str">
        <f t="shared" si="5"/>
        <v>7790321626838</v>
      </c>
    </row>
    <row r="132" spans="1:19" hidden="1" x14ac:dyDescent="0.35">
      <c r="A132" s="22">
        <v>6</v>
      </c>
      <c r="B132" t="s">
        <v>801</v>
      </c>
      <c r="C132" t="s">
        <v>802</v>
      </c>
      <c r="D132" s="11" t="s">
        <v>841</v>
      </c>
      <c r="E132" t="s">
        <v>1177</v>
      </c>
      <c r="F132">
        <v>2006403</v>
      </c>
      <c r="G132" t="s">
        <v>1178</v>
      </c>
      <c r="H132" t="s">
        <v>805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</v>
      </c>
      <c r="P132" s="44" t="e">
        <f>_xlfn.XLOOKUP(Tabla5[[#This Row],[EAN CORREGIDO]],'Tabla Articulos'!B:B,'Tabla Articulos'!D:D)</f>
        <v>#N/A</v>
      </c>
      <c r="Q132" s="44" t="e">
        <f>_xlfn.XLOOKUP(S132,'Tabla Articulos'!B:B,'Tabla Articulos'!E:E)</f>
        <v>#N/A</v>
      </c>
      <c r="R132" s="44" t="e">
        <f t="shared" si="4"/>
        <v>#N/A</v>
      </c>
      <c r="S132" s="45" t="str">
        <f t="shared" si="5"/>
        <v>LIM000511</v>
      </c>
    </row>
    <row r="133" spans="1:19" hidden="1" x14ac:dyDescent="0.35">
      <c r="A133" s="22">
        <v>6</v>
      </c>
      <c r="B133" t="s">
        <v>801</v>
      </c>
      <c r="C133" t="s">
        <v>802</v>
      </c>
      <c r="D133" s="11" t="s">
        <v>1179</v>
      </c>
      <c r="E133" t="s">
        <v>1180</v>
      </c>
      <c r="F133">
        <v>2006583</v>
      </c>
      <c r="G133" t="s">
        <v>1181</v>
      </c>
      <c r="H133" t="s">
        <v>805</v>
      </c>
      <c r="I133">
        <v>368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368</v>
      </c>
      <c r="P133" s="44" t="e">
        <f>_xlfn.XLOOKUP(Tabla5[[#This Row],[EAN CORREGIDO]],'Tabla Articulos'!B:B,'Tabla Articulos'!D:D)</f>
        <v>#N/A</v>
      </c>
      <c r="Q133" s="44" t="e">
        <f>_xlfn.XLOOKUP(S133,'Tabla Articulos'!B:B,'Tabla Articulos'!E:E)</f>
        <v>#N/A</v>
      </c>
      <c r="R133" s="44" t="e">
        <f t="shared" si="4"/>
        <v>#N/A</v>
      </c>
      <c r="S133" s="45" t="str">
        <f t="shared" si="5"/>
        <v>LIM000138</v>
      </c>
    </row>
    <row r="134" spans="1:19" hidden="1" x14ac:dyDescent="0.35">
      <c r="A134" s="22">
        <v>6</v>
      </c>
      <c r="B134" t="s">
        <v>801</v>
      </c>
      <c r="C134" t="s">
        <v>802</v>
      </c>
      <c r="D134" t="s">
        <v>1182</v>
      </c>
      <c r="E134" t="s">
        <v>1183</v>
      </c>
      <c r="F134">
        <v>2006958</v>
      </c>
      <c r="G134" t="s">
        <v>1184</v>
      </c>
      <c r="H134" t="s">
        <v>1034</v>
      </c>
      <c r="I134">
        <v>12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12</v>
      </c>
      <c r="P134" s="44" t="e">
        <f>_xlfn.XLOOKUP(Tabla5[[#This Row],[EAN CORREGIDO]],'Tabla Articulos'!B:B,'Tabla Articulos'!D:D)</f>
        <v>#N/A</v>
      </c>
      <c r="Q134" s="44" t="e">
        <f>_xlfn.XLOOKUP(S134,'Tabla Articulos'!B:B,'Tabla Articulos'!E:E)</f>
        <v>#N/A</v>
      </c>
      <c r="R134" s="44" t="e">
        <f t="shared" si="4"/>
        <v>#N/A</v>
      </c>
      <c r="S134" s="45" t="str">
        <f t="shared" si="5"/>
        <v>BUSAT001150</v>
      </c>
    </row>
    <row r="135" spans="1:19" hidden="1" x14ac:dyDescent="0.35">
      <c r="A135" s="22">
        <v>1</v>
      </c>
      <c r="B135" t="s">
        <v>812</v>
      </c>
      <c r="C135" t="s">
        <v>802</v>
      </c>
      <c r="D135" t="s">
        <v>1185</v>
      </c>
      <c r="E135" t="s">
        <v>1186</v>
      </c>
      <c r="F135">
        <v>4019454</v>
      </c>
      <c r="G135" t="s">
        <v>1187</v>
      </c>
      <c r="H135" t="s">
        <v>805</v>
      </c>
      <c r="I135">
        <v>13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13</v>
      </c>
      <c r="P135" s="44" t="e">
        <f>_xlfn.XLOOKUP(Tabla5[[#This Row],[EAN CORREGIDO]],'Tabla Articulos'!B:B,'Tabla Articulos'!D:D)</f>
        <v>#N/A</v>
      </c>
      <c r="Q135" s="44" t="e">
        <f>_xlfn.XLOOKUP(S135,'Tabla Articulos'!B:B,'Tabla Articulos'!E:E)</f>
        <v>#N/A</v>
      </c>
      <c r="R135" s="44" t="e">
        <f t="shared" si="4"/>
        <v>#N/A</v>
      </c>
      <c r="S135" s="45" t="str">
        <f t="shared" si="5"/>
        <v>7790070336002</v>
      </c>
    </row>
    <row r="136" spans="1:19" hidden="1" x14ac:dyDescent="0.35">
      <c r="A136" s="22">
        <v>5</v>
      </c>
      <c r="B136" t="s">
        <v>829</v>
      </c>
      <c r="C136" t="s">
        <v>802</v>
      </c>
      <c r="D136" t="s">
        <v>1185</v>
      </c>
      <c r="E136" t="s">
        <v>1186</v>
      </c>
      <c r="F136">
        <v>4019454</v>
      </c>
      <c r="G136" t="s">
        <v>1187</v>
      </c>
      <c r="H136" t="s">
        <v>805</v>
      </c>
      <c r="I136">
        <v>469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469</v>
      </c>
      <c r="P136" s="44" t="e">
        <f>_xlfn.XLOOKUP(Tabla5[[#This Row],[EAN CORREGIDO]],'Tabla Articulos'!B:B,'Tabla Articulos'!D:D)</f>
        <v>#N/A</v>
      </c>
      <c r="Q136" s="44" t="e">
        <f>_xlfn.XLOOKUP(S136,'Tabla Articulos'!B:B,'Tabla Articulos'!E:E)</f>
        <v>#N/A</v>
      </c>
      <c r="R136" s="44" t="e">
        <f t="shared" si="4"/>
        <v>#N/A</v>
      </c>
      <c r="S136" s="45" t="str">
        <f t="shared" si="5"/>
        <v>7790070336002</v>
      </c>
    </row>
    <row r="137" spans="1:19" hidden="1" x14ac:dyDescent="0.35">
      <c r="A137" s="22">
        <v>6</v>
      </c>
      <c r="B137" t="s">
        <v>801</v>
      </c>
      <c r="C137" t="s">
        <v>802</v>
      </c>
      <c r="D137"/>
      <c r="E137" t="s">
        <v>1188</v>
      </c>
      <c r="F137">
        <v>9003914</v>
      </c>
      <c r="G137" t="s">
        <v>1189</v>
      </c>
      <c r="H137" t="s">
        <v>805</v>
      </c>
      <c r="I137">
        <v>41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41</v>
      </c>
      <c r="P137" s="44" t="e">
        <f>_xlfn.XLOOKUP(Tabla5[[#This Row],[EAN CORREGIDO]],'Tabla Articulos'!B:B,'Tabla Articulos'!D:D)</f>
        <v>#N/A</v>
      </c>
      <c r="Q137" s="44" t="e">
        <f>_xlfn.XLOOKUP(S137,'Tabla Articulos'!B:B,'Tabla Articulos'!E:E)</f>
        <v>#N/A</v>
      </c>
      <c r="R137" s="44" t="e">
        <f t="shared" si="4"/>
        <v>#N/A</v>
      </c>
      <c r="S137" s="45" t="str">
        <f t="shared" si="5"/>
        <v>UNIF000638</v>
      </c>
    </row>
    <row r="138" spans="1:19" hidden="1" x14ac:dyDescent="0.35">
      <c r="A138" s="22">
        <v>6</v>
      </c>
      <c r="B138" t="s">
        <v>801</v>
      </c>
      <c r="C138" t="s">
        <v>802</v>
      </c>
      <c r="D138" s="11" t="s">
        <v>199</v>
      </c>
      <c r="E138" t="s">
        <v>1190</v>
      </c>
      <c r="F138">
        <v>2006638</v>
      </c>
      <c r="G138" t="s">
        <v>1191</v>
      </c>
      <c r="H138" t="s">
        <v>805</v>
      </c>
      <c r="I138">
        <v>527</v>
      </c>
      <c r="J138">
        <v>0</v>
      </c>
      <c r="K138">
        <v>0</v>
      </c>
      <c r="L138">
        <v>120</v>
      </c>
      <c r="M138">
        <v>120</v>
      </c>
      <c r="N138">
        <v>0</v>
      </c>
      <c r="O138">
        <v>287</v>
      </c>
      <c r="P138" s="44" t="str">
        <f>_xlfn.XLOOKUP(Tabla5[[#This Row],[EAN CORREGIDO]],'Tabla Articulos'!B:B,'Tabla Articulos'!D:D)</f>
        <v>BARBIJO QUIRURGICO</v>
      </c>
      <c r="Q138" s="44">
        <f>_xlfn.XLOOKUP(S138,'Tabla Articulos'!B:B,'Tabla Articulos'!E:E)</f>
        <v>50</v>
      </c>
      <c r="R138" s="44">
        <f t="shared" si="4"/>
        <v>14350</v>
      </c>
      <c r="S138" s="45" t="str">
        <f t="shared" si="5"/>
        <v>LIM000462</v>
      </c>
    </row>
    <row r="139" spans="1:19" hidden="1" x14ac:dyDescent="0.35">
      <c r="A139" s="22">
        <v>5</v>
      </c>
      <c r="B139" t="s">
        <v>829</v>
      </c>
      <c r="C139" t="s">
        <v>802</v>
      </c>
      <c r="D139" t="s">
        <v>1192</v>
      </c>
      <c r="E139" t="s">
        <v>1193</v>
      </c>
      <c r="F139">
        <v>4020684</v>
      </c>
      <c r="G139" t="s">
        <v>1194</v>
      </c>
      <c r="H139" t="s">
        <v>805</v>
      </c>
      <c r="I139">
        <v>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</v>
      </c>
      <c r="P139" s="44" t="e">
        <f>_xlfn.XLOOKUP(Tabla5[[#This Row],[EAN CORREGIDO]],'Tabla Articulos'!B:B,'Tabla Articulos'!D:D)</f>
        <v>#N/A</v>
      </c>
      <c r="Q139" s="44" t="e">
        <f>_xlfn.XLOOKUP(S139,'Tabla Articulos'!B:B,'Tabla Articulos'!E:E)</f>
        <v>#N/A</v>
      </c>
      <c r="R139" s="44" t="e">
        <f t="shared" si="4"/>
        <v>#N/A</v>
      </c>
      <c r="S139" s="45" t="str">
        <f t="shared" si="5"/>
        <v>7792180139542</v>
      </c>
    </row>
    <row r="140" spans="1:19" hidden="1" x14ac:dyDescent="0.35">
      <c r="A140" s="22">
        <v>1</v>
      </c>
      <c r="B140" t="s">
        <v>812</v>
      </c>
      <c r="C140" t="s">
        <v>802</v>
      </c>
      <c r="D140" s="11" t="s">
        <v>1195</v>
      </c>
      <c r="E140" t="s">
        <v>1196</v>
      </c>
      <c r="F140">
        <v>4022449</v>
      </c>
      <c r="G140" t="s">
        <v>1197</v>
      </c>
      <c r="H140" t="s">
        <v>805</v>
      </c>
      <c r="I140">
        <v>31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31</v>
      </c>
      <c r="P140" s="44" t="e">
        <f>_xlfn.XLOOKUP(Tabla5[[#This Row],[EAN CORREGIDO]],'Tabla Articulos'!B:B,'Tabla Articulos'!D:D)</f>
        <v>#N/A</v>
      </c>
      <c r="Q140" s="44" t="e">
        <f>_xlfn.XLOOKUP(S140,'Tabla Articulos'!B:B,'Tabla Articulos'!E:E)</f>
        <v>#N/A</v>
      </c>
      <c r="R140" s="44" t="e">
        <f t="shared" si="4"/>
        <v>#N/A</v>
      </c>
      <c r="S140" s="45" t="str">
        <f t="shared" si="5"/>
        <v>7798430450023</v>
      </c>
    </row>
    <row r="141" spans="1:19" hidden="1" x14ac:dyDescent="0.35">
      <c r="A141" s="22">
        <v>1</v>
      </c>
      <c r="B141" t="s">
        <v>812</v>
      </c>
      <c r="C141" t="s">
        <v>802</v>
      </c>
      <c r="D141" s="11" t="s">
        <v>3544</v>
      </c>
      <c r="E141" t="s">
        <v>3545</v>
      </c>
      <c r="F141">
        <v>4020630</v>
      </c>
      <c r="G141" t="s">
        <v>3546</v>
      </c>
      <c r="H141" t="s">
        <v>805</v>
      </c>
      <c r="I141">
        <v>55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55</v>
      </c>
      <c r="P141" s="44" t="e">
        <f>_xlfn.XLOOKUP(Tabla5[[#This Row],[EAN CORREGIDO]],'Tabla Articulos'!B:B,'Tabla Articulos'!D:D)</f>
        <v>#N/A</v>
      </c>
      <c r="Q141" s="44" t="e">
        <f>_xlfn.XLOOKUP(S141,'Tabla Articulos'!B:B,'Tabla Articulos'!E:E)</f>
        <v>#N/A</v>
      </c>
      <c r="R141" s="44" t="e">
        <f t="shared" si="4"/>
        <v>#N/A</v>
      </c>
      <c r="S141" s="45" t="str">
        <f t="shared" si="5"/>
        <v>7794000004047</v>
      </c>
    </row>
    <row r="142" spans="1:19" hidden="1" x14ac:dyDescent="0.35">
      <c r="A142" s="22">
        <v>5</v>
      </c>
      <c r="B142" t="s">
        <v>829</v>
      </c>
      <c r="C142" t="s">
        <v>802</v>
      </c>
      <c r="D142" s="11" t="s">
        <v>3544</v>
      </c>
      <c r="E142" t="s">
        <v>3545</v>
      </c>
      <c r="F142">
        <v>4020630</v>
      </c>
      <c r="G142" t="s">
        <v>3546</v>
      </c>
      <c r="H142" t="s">
        <v>805</v>
      </c>
      <c r="I142">
        <v>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4</v>
      </c>
      <c r="P142" s="44" t="e">
        <f>_xlfn.XLOOKUP(Tabla5[[#This Row],[EAN CORREGIDO]],'Tabla Articulos'!B:B,'Tabla Articulos'!D:D)</f>
        <v>#N/A</v>
      </c>
      <c r="Q142" s="44" t="e">
        <f>_xlfn.XLOOKUP(S142,'Tabla Articulos'!B:B,'Tabla Articulos'!E:E)</f>
        <v>#N/A</v>
      </c>
      <c r="R142" s="44" t="e">
        <f t="shared" si="4"/>
        <v>#N/A</v>
      </c>
      <c r="S142" s="45" t="str">
        <f t="shared" si="5"/>
        <v>7794000004047</v>
      </c>
    </row>
    <row r="143" spans="1:19" hidden="1" x14ac:dyDescent="0.35">
      <c r="A143" s="22">
        <v>6</v>
      </c>
      <c r="B143" t="s">
        <v>801</v>
      </c>
      <c r="C143" t="s">
        <v>802</v>
      </c>
      <c r="D143"/>
      <c r="E143" t="s">
        <v>3547</v>
      </c>
      <c r="F143">
        <v>2006957</v>
      </c>
      <c r="G143" t="s">
        <v>3548</v>
      </c>
      <c r="H143" t="s">
        <v>805</v>
      </c>
      <c r="I143">
        <v>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9</v>
      </c>
      <c r="P143" s="44" t="e">
        <f>_xlfn.XLOOKUP(Tabla5[[#This Row],[EAN CORREGIDO]],'Tabla Articulos'!B:B,'Tabla Articulos'!D:D)</f>
        <v>#N/A</v>
      </c>
      <c r="Q143" s="44" t="e">
        <f>_xlfn.XLOOKUP(S143,'Tabla Articulos'!B:B,'Tabla Articulos'!E:E)</f>
        <v>#N/A</v>
      </c>
      <c r="R143" s="44" t="e">
        <f t="shared" si="4"/>
        <v>#N/A</v>
      </c>
      <c r="S143" s="45" t="str">
        <f t="shared" si="5"/>
        <v>BUSAT0011005</v>
      </c>
    </row>
    <row r="144" spans="1:19" hidden="1" x14ac:dyDescent="0.35">
      <c r="A144" s="22">
        <v>5</v>
      </c>
      <c r="B144" t="s">
        <v>829</v>
      </c>
      <c r="C144" t="s">
        <v>802</v>
      </c>
      <c r="D144" t="s">
        <v>1663</v>
      </c>
      <c r="E144" t="s">
        <v>3549</v>
      </c>
      <c r="F144">
        <v>4020334</v>
      </c>
      <c r="G144" t="s">
        <v>3550</v>
      </c>
      <c r="H144" t="s">
        <v>805</v>
      </c>
      <c r="I144">
        <v>252048</v>
      </c>
      <c r="J144">
        <v>0</v>
      </c>
      <c r="K144">
        <v>0</v>
      </c>
      <c r="L144">
        <v>0</v>
      </c>
      <c r="M144">
        <v>410</v>
      </c>
      <c r="N144">
        <v>0</v>
      </c>
      <c r="O144">
        <v>251638</v>
      </c>
      <c r="P144" s="44" t="e">
        <f>_xlfn.XLOOKUP(Tabla5[[#This Row],[EAN CORREGIDO]],'Tabla Articulos'!B:B,'Tabla Articulos'!D:D)</f>
        <v>#N/A</v>
      </c>
      <c r="Q144" s="44" t="e">
        <f>_xlfn.XLOOKUP(S144,'Tabla Articulos'!B:B,'Tabla Articulos'!E:E)</f>
        <v>#N/A</v>
      </c>
      <c r="R144" s="44" t="e">
        <f t="shared" si="4"/>
        <v>#N/A</v>
      </c>
      <c r="S144" s="45" t="str">
        <f t="shared" si="5"/>
        <v>7798138555532</v>
      </c>
    </row>
    <row r="145" spans="1:19" hidden="1" x14ac:dyDescent="0.35">
      <c r="A145" s="22">
        <v>6</v>
      </c>
      <c r="B145" t="s">
        <v>801</v>
      </c>
      <c r="C145" t="s">
        <v>802</v>
      </c>
      <c r="E145" t="s">
        <v>2099</v>
      </c>
      <c r="F145">
        <v>2006954</v>
      </c>
      <c r="G145" t="s">
        <v>2100</v>
      </c>
      <c r="H145" t="s">
        <v>805</v>
      </c>
      <c r="I145">
        <v>11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11</v>
      </c>
      <c r="P145" s="44" t="e">
        <f>_xlfn.XLOOKUP(Tabla5[[#This Row],[EAN CORREGIDO]],'Tabla Articulos'!B:B,'Tabla Articulos'!D:D)</f>
        <v>#N/A</v>
      </c>
      <c r="Q145" s="44" t="e">
        <f>_xlfn.XLOOKUP(S145,'Tabla Articulos'!B:B,'Tabla Articulos'!E:E)</f>
        <v>#N/A</v>
      </c>
      <c r="R145" s="44" t="e">
        <f t="shared" si="4"/>
        <v>#N/A</v>
      </c>
      <c r="S145" s="45" t="str">
        <f t="shared" si="5"/>
        <v>7796835120060</v>
      </c>
    </row>
    <row r="146" spans="1:19" hidden="1" x14ac:dyDescent="0.35">
      <c r="A146" s="22">
        <v>6</v>
      </c>
      <c r="B146" t="s">
        <v>801</v>
      </c>
      <c r="C146" t="s">
        <v>802</v>
      </c>
      <c r="D146" t="s">
        <v>2101</v>
      </c>
      <c r="E146" t="s">
        <v>2102</v>
      </c>
      <c r="F146">
        <v>2006554</v>
      </c>
      <c r="G146" t="s">
        <v>2103</v>
      </c>
      <c r="H146" t="s">
        <v>805</v>
      </c>
      <c r="I146">
        <v>3685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3685</v>
      </c>
      <c r="P146" s="44" t="e">
        <f>_xlfn.XLOOKUP(Tabla5[[#This Row],[EAN CORREGIDO]],'Tabla Articulos'!B:B,'Tabla Articulos'!D:D)</f>
        <v>#N/A</v>
      </c>
      <c r="Q146" s="44" t="e">
        <f>_xlfn.XLOOKUP(S146,'Tabla Articulos'!B:B,'Tabla Articulos'!E:E)</f>
        <v>#N/A</v>
      </c>
      <c r="R146" s="44" t="e">
        <f t="shared" si="4"/>
        <v>#N/A</v>
      </c>
      <c r="S146" s="45" t="str">
        <f t="shared" si="5"/>
        <v>7797390495396</v>
      </c>
    </row>
    <row r="147" spans="1:19" hidden="1" x14ac:dyDescent="0.35">
      <c r="A147" s="22">
        <v>6</v>
      </c>
      <c r="B147" t="s">
        <v>801</v>
      </c>
      <c r="C147" t="s">
        <v>802</v>
      </c>
      <c r="D147"/>
      <c r="E147" t="s">
        <v>2104</v>
      </c>
      <c r="F147">
        <v>9003576</v>
      </c>
      <c r="G147" t="s">
        <v>2105</v>
      </c>
      <c r="H147" t="s">
        <v>805</v>
      </c>
      <c r="I147">
        <v>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23</v>
      </c>
      <c r="P147" s="44" t="e">
        <f>_xlfn.XLOOKUP(Tabla5[[#This Row],[EAN CORREGIDO]],'Tabla Articulos'!B:B,'Tabla Articulos'!D:D)</f>
        <v>#N/A</v>
      </c>
      <c r="Q147" s="44" t="e">
        <f>_xlfn.XLOOKUP(S147,'Tabla Articulos'!B:B,'Tabla Articulos'!E:E)</f>
        <v>#N/A</v>
      </c>
      <c r="R147" s="44" t="e">
        <f t="shared" si="4"/>
        <v>#N/A</v>
      </c>
      <c r="S147" s="45" t="str">
        <f t="shared" si="5"/>
        <v>UNIF000159</v>
      </c>
    </row>
    <row r="148" spans="1:19" hidden="1" x14ac:dyDescent="0.35">
      <c r="A148" s="22">
        <v>6</v>
      </c>
      <c r="B148" t="s">
        <v>801</v>
      </c>
      <c r="C148" t="s">
        <v>802</v>
      </c>
      <c r="D148"/>
      <c r="E148" t="s">
        <v>2106</v>
      </c>
      <c r="F148">
        <v>9003640</v>
      </c>
      <c r="G148" t="s">
        <v>2107</v>
      </c>
      <c r="H148" t="s">
        <v>805</v>
      </c>
      <c r="I148">
        <v>12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12</v>
      </c>
      <c r="P148" s="44" t="e">
        <f>_xlfn.XLOOKUP(Tabla5[[#This Row],[EAN CORREGIDO]],'Tabla Articulos'!B:B,'Tabla Articulos'!D:D)</f>
        <v>#N/A</v>
      </c>
      <c r="Q148" s="44" t="e">
        <f>_xlfn.XLOOKUP(S148,'Tabla Articulos'!B:B,'Tabla Articulos'!E:E)</f>
        <v>#N/A</v>
      </c>
      <c r="R148" s="44" t="e">
        <f t="shared" si="4"/>
        <v>#N/A</v>
      </c>
      <c r="S148" s="45" t="str">
        <f t="shared" si="5"/>
        <v>UNIF000376</v>
      </c>
    </row>
    <row r="149" spans="1:19" hidden="1" x14ac:dyDescent="0.35">
      <c r="A149" s="22">
        <v>6</v>
      </c>
      <c r="B149" t="s">
        <v>801</v>
      </c>
      <c r="C149" t="s">
        <v>802</v>
      </c>
      <c r="D149"/>
      <c r="E149" t="s">
        <v>973</v>
      </c>
      <c r="F149">
        <v>9003772</v>
      </c>
      <c r="G149" t="s">
        <v>974</v>
      </c>
      <c r="H149" t="s">
        <v>805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 s="44" t="e">
        <f>_xlfn.XLOOKUP(Tabla5[[#This Row],[EAN CORREGIDO]],'Tabla Articulos'!B:B,'Tabla Articulos'!D:D)</f>
        <v>#N/A</v>
      </c>
      <c r="Q149" s="44" t="e">
        <f>_xlfn.XLOOKUP(S149,'Tabla Articulos'!B:B,'Tabla Articulos'!E:E)</f>
        <v>#N/A</v>
      </c>
      <c r="R149" s="44" t="e">
        <f t="shared" si="4"/>
        <v>#N/A</v>
      </c>
      <c r="S149" s="45" t="str">
        <f t="shared" si="5"/>
        <v>BAZ001191</v>
      </c>
    </row>
    <row r="150" spans="1:19" hidden="1" x14ac:dyDescent="0.35">
      <c r="A150" s="22">
        <v>6</v>
      </c>
      <c r="B150" t="s">
        <v>801</v>
      </c>
      <c r="C150" t="s">
        <v>802</v>
      </c>
      <c r="D150"/>
      <c r="E150" t="s">
        <v>975</v>
      </c>
      <c r="F150">
        <v>2006768</v>
      </c>
      <c r="G150" t="s">
        <v>976</v>
      </c>
      <c r="H150" t="s">
        <v>805</v>
      </c>
      <c r="I150">
        <v>992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992</v>
      </c>
      <c r="P150" s="44" t="e">
        <f>_xlfn.XLOOKUP(Tabla5[[#This Row],[EAN CORREGIDO]],'Tabla Articulos'!B:B,'Tabla Articulos'!D:D)</f>
        <v>#N/A</v>
      </c>
      <c r="Q150" s="44" t="e">
        <f>_xlfn.XLOOKUP(S150,'Tabla Articulos'!B:B,'Tabla Articulos'!E:E)</f>
        <v>#N/A</v>
      </c>
      <c r="R150" s="44" t="e">
        <f t="shared" si="4"/>
        <v>#N/A</v>
      </c>
      <c r="S150" s="45" t="str">
        <f t="shared" si="5"/>
        <v>LIM000465</v>
      </c>
    </row>
    <row r="151" spans="1:19" hidden="1" x14ac:dyDescent="0.35">
      <c r="A151" s="22">
        <v>1</v>
      </c>
      <c r="B151" t="s">
        <v>812</v>
      </c>
      <c r="C151" t="s">
        <v>802</v>
      </c>
      <c r="D151" s="11" t="s">
        <v>977</v>
      </c>
      <c r="E151" t="s">
        <v>978</v>
      </c>
      <c r="F151">
        <v>4017763</v>
      </c>
      <c r="G151" t="s">
        <v>979</v>
      </c>
      <c r="H151" t="s">
        <v>816</v>
      </c>
      <c r="I151">
        <v>86.94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86.94</v>
      </c>
      <c r="P151" s="44" t="e">
        <f>_xlfn.XLOOKUP(Tabla5[[#This Row],[EAN CORREGIDO]],'Tabla Articulos'!B:B,'Tabla Articulos'!D:D)</f>
        <v>#N/A</v>
      </c>
      <c r="Q151" s="44" t="e">
        <f>_xlfn.XLOOKUP(S151,'Tabla Articulos'!B:B,'Tabla Articulos'!E:E)</f>
        <v>#N/A</v>
      </c>
      <c r="R151" s="44" t="e">
        <f t="shared" si="4"/>
        <v>#N/A</v>
      </c>
      <c r="S151" s="45" t="str">
        <f t="shared" si="5"/>
        <v>7790212050098</v>
      </c>
    </row>
    <row r="152" spans="1:19" hidden="1" x14ac:dyDescent="0.35">
      <c r="A152" s="22">
        <v>1</v>
      </c>
      <c r="B152" t="s">
        <v>812</v>
      </c>
      <c r="C152" t="s">
        <v>802</v>
      </c>
      <c r="D152" t="s">
        <v>1601</v>
      </c>
      <c r="E152" t="s">
        <v>2648</v>
      </c>
      <c r="F152">
        <v>4019673</v>
      </c>
      <c r="G152" t="s">
        <v>2649</v>
      </c>
      <c r="H152" t="s">
        <v>805</v>
      </c>
      <c r="I152">
        <v>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5</v>
      </c>
      <c r="P152" s="44" t="e">
        <f>_xlfn.XLOOKUP(Tabla5[[#This Row],[EAN CORREGIDO]],'Tabla Articulos'!B:B,'Tabla Articulos'!D:D)</f>
        <v>#N/A</v>
      </c>
      <c r="Q152" s="44" t="e">
        <f>_xlfn.XLOOKUP(S152,'Tabla Articulos'!B:B,'Tabla Articulos'!E:E)</f>
        <v>#N/A</v>
      </c>
      <c r="R152" s="44" t="e">
        <f t="shared" si="4"/>
        <v>#N/A</v>
      </c>
      <c r="S152" s="45" t="str">
        <f t="shared" si="5"/>
        <v>7790971002501</v>
      </c>
    </row>
    <row r="153" spans="1:19" hidden="1" x14ac:dyDescent="0.35">
      <c r="A153" s="22">
        <v>6</v>
      </c>
      <c r="B153" t="s">
        <v>801</v>
      </c>
      <c r="C153" t="s">
        <v>802</v>
      </c>
      <c r="D153" t="s">
        <v>2650</v>
      </c>
      <c r="E153" t="s">
        <v>2651</v>
      </c>
      <c r="F153">
        <v>2016587</v>
      </c>
      <c r="G153" t="s">
        <v>2652</v>
      </c>
      <c r="H153" t="s">
        <v>805</v>
      </c>
      <c r="I153">
        <v>545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545</v>
      </c>
      <c r="P153" s="44" t="e">
        <f>_xlfn.XLOOKUP(Tabla5[[#This Row],[EAN CORREGIDO]],'Tabla Articulos'!B:B,'Tabla Articulos'!D:D)</f>
        <v>#N/A</v>
      </c>
      <c r="Q153" s="44" t="e">
        <f>_xlfn.XLOOKUP(S153,'Tabla Articulos'!B:B,'Tabla Articulos'!E:E)</f>
        <v>#N/A</v>
      </c>
      <c r="R153" s="44" t="e">
        <f t="shared" si="4"/>
        <v>#N/A</v>
      </c>
      <c r="S153" s="45" t="str">
        <f t="shared" si="5"/>
        <v>7790000000745</v>
      </c>
    </row>
    <row r="154" spans="1:19" hidden="1" x14ac:dyDescent="0.35">
      <c r="A154" s="22">
        <v>6</v>
      </c>
      <c r="B154" t="s">
        <v>801</v>
      </c>
      <c r="C154" t="s">
        <v>802</v>
      </c>
      <c r="D154"/>
      <c r="E154" t="s">
        <v>2853</v>
      </c>
      <c r="F154">
        <v>2007165</v>
      </c>
      <c r="G154" t="s">
        <v>2854</v>
      </c>
      <c r="H154" t="s">
        <v>805</v>
      </c>
      <c r="I154">
        <v>1340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1340</v>
      </c>
      <c r="P154" s="44" t="e">
        <f>_xlfn.XLOOKUP(Tabla5[[#This Row],[EAN CORREGIDO]],'Tabla Articulos'!B:B,'Tabla Articulos'!D:D)</f>
        <v>#N/A</v>
      </c>
      <c r="Q154" s="44" t="e">
        <f>_xlfn.XLOOKUP(S154,'Tabla Articulos'!B:B,'Tabla Articulos'!E:E)</f>
        <v>#N/A</v>
      </c>
      <c r="R154" s="44" t="e">
        <f t="shared" si="4"/>
        <v>#N/A</v>
      </c>
      <c r="S154" s="45" t="str">
        <f t="shared" si="5"/>
        <v>7790000000205</v>
      </c>
    </row>
    <row r="155" spans="1:19" hidden="1" x14ac:dyDescent="0.35">
      <c r="A155" s="22">
        <v>6</v>
      </c>
      <c r="B155" t="s">
        <v>801</v>
      </c>
      <c r="C155" t="s">
        <v>802</v>
      </c>
      <c r="D155" t="s">
        <v>291</v>
      </c>
      <c r="E155" t="s">
        <v>2855</v>
      </c>
      <c r="F155">
        <v>2006646</v>
      </c>
      <c r="G155" t="s">
        <v>2856</v>
      </c>
      <c r="H155" t="s">
        <v>805</v>
      </c>
      <c r="I155">
        <v>2296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2296</v>
      </c>
      <c r="P155" s="44" t="str">
        <f>_xlfn.XLOOKUP(Tabla5[[#This Row],[EAN CORREGIDO]],'Tabla Articulos'!B:B,'Tabla Articulos'!D:D)</f>
        <v>BANDEJA 101</v>
      </c>
      <c r="Q155" s="44">
        <f>_xlfn.XLOOKUP(S155,'Tabla Articulos'!B:B,'Tabla Articulos'!E:E)</f>
        <v>100</v>
      </c>
      <c r="R155" s="44">
        <f t="shared" si="4"/>
        <v>229600</v>
      </c>
      <c r="S155" s="45" t="str">
        <f t="shared" si="5"/>
        <v>7790321020283</v>
      </c>
    </row>
    <row r="156" spans="1:19" hidden="1" x14ac:dyDescent="0.35">
      <c r="A156" s="22">
        <v>6</v>
      </c>
      <c r="B156" t="s">
        <v>801</v>
      </c>
      <c r="C156" t="s">
        <v>802</v>
      </c>
      <c r="E156" t="s">
        <v>2857</v>
      </c>
      <c r="F156">
        <v>2006819</v>
      </c>
      <c r="G156" t="s">
        <v>2858</v>
      </c>
      <c r="H156" t="s">
        <v>805</v>
      </c>
      <c r="I156">
        <v>900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900</v>
      </c>
      <c r="P156" s="44" t="e">
        <f>_xlfn.XLOOKUP(Tabla5[[#This Row],[EAN CORREGIDO]],'Tabla Articulos'!B:B,'Tabla Articulos'!D:D)</f>
        <v>#N/A</v>
      </c>
      <c r="Q156" s="44" t="e">
        <f>_xlfn.XLOOKUP(S156,'Tabla Articulos'!B:B,'Tabla Articulos'!E:E)</f>
        <v>#N/A</v>
      </c>
      <c r="R156" s="44" t="e">
        <f t="shared" si="4"/>
        <v>#N/A</v>
      </c>
      <c r="S156" s="45" t="str">
        <f t="shared" si="5"/>
        <v>7791199003028</v>
      </c>
    </row>
    <row r="157" spans="1:19" hidden="1" x14ac:dyDescent="0.35">
      <c r="A157" s="22">
        <v>1</v>
      </c>
      <c r="B157" t="s">
        <v>812</v>
      </c>
      <c r="C157" t="s">
        <v>802</v>
      </c>
      <c r="D157" s="11" t="s">
        <v>2859</v>
      </c>
      <c r="E157" t="s">
        <v>2860</v>
      </c>
      <c r="F157">
        <v>4012062</v>
      </c>
      <c r="G157" t="s">
        <v>2861</v>
      </c>
      <c r="H157" t="s">
        <v>805</v>
      </c>
      <c r="I157">
        <v>3312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3312</v>
      </c>
      <c r="P157" s="44" t="e">
        <f>_xlfn.XLOOKUP(Tabla5[[#This Row],[EAN CORREGIDO]],'Tabla Articulos'!B:B,'Tabla Articulos'!D:D)</f>
        <v>#N/A</v>
      </c>
      <c r="Q157" s="44" t="e">
        <f>_xlfn.XLOOKUP(S157,'Tabla Articulos'!B:B,'Tabla Articulos'!E:E)</f>
        <v>#N/A</v>
      </c>
      <c r="R157" s="44" t="e">
        <f t="shared" si="4"/>
        <v>#N/A</v>
      </c>
      <c r="S157" s="45" t="str">
        <f t="shared" si="5"/>
        <v>7793123160012</v>
      </c>
    </row>
    <row r="158" spans="1:19" hidden="1" x14ac:dyDescent="0.35">
      <c r="A158" s="22">
        <v>1</v>
      </c>
      <c r="B158" t="s">
        <v>812</v>
      </c>
      <c r="C158" t="s">
        <v>802</v>
      </c>
      <c r="D158" s="11" t="s">
        <v>2862</v>
      </c>
      <c r="E158" t="s">
        <v>2863</v>
      </c>
      <c r="F158">
        <v>4019585</v>
      </c>
      <c r="G158" t="s">
        <v>2864</v>
      </c>
      <c r="H158" t="s">
        <v>805</v>
      </c>
      <c r="I158">
        <v>210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210</v>
      </c>
      <c r="P158" s="44" t="e">
        <f>_xlfn.XLOOKUP(Tabla5[[#This Row],[EAN CORREGIDO]],'Tabla Articulos'!B:B,'Tabla Articulos'!D:D)</f>
        <v>#N/A</v>
      </c>
      <c r="Q158" s="44" t="e">
        <f>_xlfn.XLOOKUP(S158,'Tabla Articulos'!B:B,'Tabla Articulos'!E:E)</f>
        <v>#N/A</v>
      </c>
      <c r="R158" s="44" t="e">
        <f t="shared" si="4"/>
        <v>#N/A</v>
      </c>
      <c r="S158" s="45" t="str">
        <f t="shared" si="5"/>
        <v>7790580131487</v>
      </c>
    </row>
    <row r="159" spans="1:19" hidden="1" x14ac:dyDescent="0.35">
      <c r="A159" s="22">
        <v>6</v>
      </c>
      <c r="B159" t="s">
        <v>801</v>
      </c>
      <c r="C159" t="s">
        <v>802</v>
      </c>
      <c r="D159"/>
      <c r="E159" t="s">
        <v>2865</v>
      </c>
      <c r="F159">
        <v>9003328</v>
      </c>
      <c r="G159" t="s">
        <v>2866</v>
      </c>
      <c r="H159" t="s">
        <v>805</v>
      </c>
      <c r="I159">
        <v>84</v>
      </c>
      <c r="J159">
        <v>60</v>
      </c>
      <c r="K159">
        <v>0</v>
      </c>
      <c r="L159">
        <v>0</v>
      </c>
      <c r="M159">
        <v>0</v>
      </c>
      <c r="N159">
        <v>0</v>
      </c>
      <c r="O159">
        <v>144</v>
      </c>
      <c r="P159" s="44" t="e">
        <f>_xlfn.XLOOKUP(Tabla5[[#This Row],[EAN CORREGIDO]],'Tabla Articulos'!B:B,'Tabla Articulos'!D:D)</f>
        <v>#N/A</v>
      </c>
      <c r="Q159" s="44" t="e">
        <f>_xlfn.XLOOKUP(S159,'Tabla Articulos'!B:B,'Tabla Articulos'!E:E)</f>
        <v>#N/A</v>
      </c>
      <c r="R159" s="44" t="e">
        <f t="shared" si="4"/>
        <v>#N/A</v>
      </c>
      <c r="S159" s="45" t="str">
        <f t="shared" si="5"/>
        <v>UNIF000136</v>
      </c>
    </row>
    <row r="160" spans="1:19" hidden="1" x14ac:dyDescent="0.35">
      <c r="A160" s="22">
        <v>1</v>
      </c>
      <c r="B160" t="s">
        <v>812</v>
      </c>
      <c r="C160" t="s">
        <v>802</v>
      </c>
      <c r="D160" s="11" t="s">
        <v>2867</v>
      </c>
      <c r="E160" t="s">
        <v>2868</v>
      </c>
      <c r="F160">
        <v>4018485</v>
      </c>
      <c r="G160" t="s">
        <v>2869</v>
      </c>
      <c r="H160" t="s">
        <v>816</v>
      </c>
      <c r="I160">
        <v>2935.24</v>
      </c>
      <c r="J160">
        <v>0</v>
      </c>
      <c r="K160">
        <v>0</v>
      </c>
      <c r="L160">
        <v>0</v>
      </c>
      <c r="M160">
        <v>5</v>
      </c>
      <c r="N160">
        <v>0</v>
      </c>
      <c r="O160">
        <v>2930.24</v>
      </c>
      <c r="P160" s="44" t="e">
        <f>_xlfn.XLOOKUP(Tabla5[[#This Row],[EAN CORREGIDO]],'Tabla Articulos'!B:B,'Tabla Articulos'!D:D)</f>
        <v>#N/A</v>
      </c>
      <c r="Q160" s="44" t="e">
        <f>_xlfn.XLOOKUP(S160,'Tabla Articulos'!B:B,'Tabla Articulos'!E:E)</f>
        <v>#N/A</v>
      </c>
      <c r="R160" s="44" t="e">
        <f t="shared" si="4"/>
        <v>#N/A</v>
      </c>
      <c r="S160" s="45" t="str">
        <f t="shared" si="5"/>
        <v>7790213010022</v>
      </c>
    </row>
    <row r="161" spans="1:19" hidden="1" x14ac:dyDescent="0.35">
      <c r="A161" s="22">
        <v>5</v>
      </c>
      <c r="B161" t="s">
        <v>829</v>
      </c>
      <c r="C161" t="s">
        <v>802</v>
      </c>
      <c r="D161" t="s">
        <v>838</v>
      </c>
      <c r="E161" t="s">
        <v>2870</v>
      </c>
      <c r="F161">
        <v>4077099</v>
      </c>
      <c r="G161" t="s">
        <v>2871</v>
      </c>
      <c r="H161" t="s">
        <v>805</v>
      </c>
      <c r="I161">
        <v>2911</v>
      </c>
      <c r="J161">
        <v>0</v>
      </c>
      <c r="K161">
        <v>2413</v>
      </c>
      <c r="L161">
        <v>0</v>
      </c>
      <c r="M161">
        <v>0</v>
      </c>
      <c r="N161">
        <v>0</v>
      </c>
      <c r="O161">
        <v>498</v>
      </c>
      <c r="P161" s="44" t="e">
        <f>_xlfn.XLOOKUP(Tabla5[[#This Row],[EAN CORREGIDO]],'Tabla Articulos'!B:B,'Tabla Articulos'!D:D)</f>
        <v>#N/A</v>
      </c>
      <c r="Q161" s="44" t="e">
        <f>_xlfn.XLOOKUP(S161,'Tabla Articulos'!B:B,'Tabla Articulos'!E:E)</f>
        <v>#N/A</v>
      </c>
      <c r="R161" s="44" t="e">
        <f t="shared" si="4"/>
        <v>#N/A</v>
      </c>
      <c r="S161" s="45" t="str">
        <f t="shared" si="5"/>
        <v>7798338290479</v>
      </c>
    </row>
    <row r="162" spans="1:19" hidden="1" x14ac:dyDescent="0.35">
      <c r="A162" s="22">
        <v>1</v>
      </c>
      <c r="B162" t="s">
        <v>812</v>
      </c>
      <c r="C162" t="s">
        <v>802</v>
      </c>
      <c r="D162" t="s">
        <v>838</v>
      </c>
      <c r="E162" t="s">
        <v>2870</v>
      </c>
      <c r="F162">
        <v>4077099</v>
      </c>
      <c r="G162" t="s">
        <v>2871</v>
      </c>
      <c r="H162" t="s">
        <v>805</v>
      </c>
      <c r="I162">
        <v>117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117</v>
      </c>
      <c r="P162" s="44" t="e">
        <f>_xlfn.XLOOKUP(Tabla5[[#This Row],[EAN CORREGIDO]],'Tabla Articulos'!B:B,'Tabla Articulos'!D:D)</f>
        <v>#N/A</v>
      </c>
      <c r="Q162" s="44" t="e">
        <f>_xlfn.XLOOKUP(S162,'Tabla Articulos'!B:B,'Tabla Articulos'!E:E)</f>
        <v>#N/A</v>
      </c>
      <c r="R162" s="44" t="e">
        <f t="shared" si="4"/>
        <v>#N/A</v>
      </c>
      <c r="S162" s="45" t="str">
        <f t="shared" si="5"/>
        <v>7798338290479</v>
      </c>
    </row>
    <row r="163" spans="1:19" hidden="1" x14ac:dyDescent="0.35">
      <c r="A163" s="22">
        <v>1</v>
      </c>
      <c r="B163" t="s">
        <v>812</v>
      </c>
      <c r="C163" t="s">
        <v>802</v>
      </c>
      <c r="D163" t="s">
        <v>1559</v>
      </c>
      <c r="E163" t="s">
        <v>4944</v>
      </c>
      <c r="F163">
        <v>4019940</v>
      </c>
      <c r="G163" t="s">
        <v>4945</v>
      </c>
      <c r="H163" t="s">
        <v>805</v>
      </c>
      <c r="I163">
        <v>1008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1008</v>
      </c>
      <c r="P163" s="44" t="e">
        <f>_xlfn.XLOOKUP(Tabla5[[#This Row],[EAN CORREGIDO]],'Tabla Articulos'!B:B,'Tabla Articulos'!D:D)</f>
        <v>#N/A</v>
      </c>
      <c r="Q163" s="44" t="e">
        <f>_xlfn.XLOOKUP(S163,'Tabla Articulos'!B:B,'Tabla Articulos'!E:E)</f>
        <v>#N/A</v>
      </c>
      <c r="R163" s="44" t="e">
        <f t="shared" si="4"/>
        <v>#N/A</v>
      </c>
      <c r="S163" s="45" t="str">
        <f t="shared" si="5"/>
        <v>7791113001888</v>
      </c>
    </row>
    <row r="164" spans="1:19" hidden="1" x14ac:dyDescent="0.35">
      <c r="A164" s="22">
        <v>6</v>
      </c>
      <c r="B164" t="s">
        <v>801</v>
      </c>
      <c r="C164" t="s">
        <v>802</v>
      </c>
      <c r="D164"/>
      <c r="E164" t="s">
        <v>4946</v>
      </c>
      <c r="F164">
        <v>9003261</v>
      </c>
      <c r="G164" t="s">
        <v>4947</v>
      </c>
      <c r="H164" t="s">
        <v>805</v>
      </c>
      <c r="I164">
        <v>44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44</v>
      </c>
      <c r="P164" s="44" t="e">
        <f>_xlfn.XLOOKUP(Tabla5[[#This Row],[EAN CORREGIDO]],'Tabla Articulos'!B:B,'Tabla Articulos'!D:D)</f>
        <v>#N/A</v>
      </c>
      <c r="Q164" s="44" t="e">
        <f>_xlfn.XLOOKUP(S164,'Tabla Articulos'!B:B,'Tabla Articulos'!E:E)</f>
        <v>#N/A</v>
      </c>
      <c r="R164" s="44" t="e">
        <f t="shared" si="4"/>
        <v>#N/A</v>
      </c>
      <c r="S164" s="45" t="str">
        <f t="shared" si="5"/>
        <v>UNIF000489</v>
      </c>
    </row>
    <row r="165" spans="1:19" hidden="1" x14ac:dyDescent="0.35">
      <c r="A165" s="22">
        <v>1</v>
      </c>
      <c r="B165" t="s">
        <v>812</v>
      </c>
      <c r="C165" t="s">
        <v>802</v>
      </c>
      <c r="D165" t="s">
        <v>3189</v>
      </c>
      <c r="E165" t="s">
        <v>4950</v>
      </c>
      <c r="F165">
        <v>4019538</v>
      </c>
      <c r="G165" t="s">
        <v>4951</v>
      </c>
      <c r="H165" t="s">
        <v>805</v>
      </c>
      <c r="I165">
        <v>118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118</v>
      </c>
      <c r="P165" s="44" t="e">
        <f>_xlfn.XLOOKUP(Tabla5[[#This Row],[EAN CORREGIDO]],'Tabla Articulos'!B:B,'Tabla Articulos'!D:D)</f>
        <v>#N/A</v>
      </c>
      <c r="Q165" s="44" t="e">
        <f>_xlfn.XLOOKUP(S165,'Tabla Articulos'!B:B,'Tabla Articulos'!E:E)</f>
        <v>#N/A</v>
      </c>
      <c r="R165" s="44" t="e">
        <f t="shared" si="4"/>
        <v>#N/A</v>
      </c>
      <c r="S165" s="45" t="str">
        <f t="shared" si="5"/>
        <v>7790199603757</v>
      </c>
    </row>
    <row r="166" spans="1:19" hidden="1" x14ac:dyDescent="0.35">
      <c r="A166" s="22">
        <v>5</v>
      </c>
      <c r="B166" t="s">
        <v>829</v>
      </c>
      <c r="C166" t="s">
        <v>802</v>
      </c>
      <c r="D166" t="s">
        <v>3189</v>
      </c>
      <c r="E166" t="s">
        <v>4950</v>
      </c>
      <c r="F166">
        <v>4019538</v>
      </c>
      <c r="G166" t="s">
        <v>4951</v>
      </c>
      <c r="H166" t="s">
        <v>805</v>
      </c>
      <c r="I166">
        <v>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7</v>
      </c>
      <c r="P166" s="44" t="e">
        <f>_xlfn.XLOOKUP(Tabla5[[#This Row],[EAN CORREGIDO]],'Tabla Articulos'!B:B,'Tabla Articulos'!D:D)</f>
        <v>#N/A</v>
      </c>
      <c r="Q166" s="44" t="e">
        <f>_xlfn.XLOOKUP(S166,'Tabla Articulos'!B:B,'Tabla Articulos'!E:E)</f>
        <v>#N/A</v>
      </c>
      <c r="R166" s="44" t="e">
        <f t="shared" si="4"/>
        <v>#N/A</v>
      </c>
      <c r="S166" s="45" t="str">
        <f t="shared" si="5"/>
        <v>7790199603757</v>
      </c>
    </row>
    <row r="167" spans="1:19" hidden="1" x14ac:dyDescent="0.35">
      <c r="A167" s="22">
        <v>5</v>
      </c>
      <c r="B167" t="s">
        <v>829</v>
      </c>
      <c r="C167" t="s">
        <v>802</v>
      </c>
      <c r="D167" t="s">
        <v>229</v>
      </c>
      <c r="E167" t="s">
        <v>4948</v>
      </c>
      <c r="F167">
        <v>2006805</v>
      </c>
      <c r="G167" t="s">
        <v>4949</v>
      </c>
      <c r="H167" t="s">
        <v>805</v>
      </c>
      <c r="I167">
        <v>2000</v>
      </c>
      <c r="J167">
        <v>0</v>
      </c>
      <c r="K167">
        <v>2000</v>
      </c>
      <c r="L167">
        <v>0</v>
      </c>
      <c r="M167">
        <v>0</v>
      </c>
      <c r="N167">
        <v>0</v>
      </c>
      <c r="O167">
        <v>0</v>
      </c>
      <c r="P167" s="44" t="e">
        <f>_xlfn.XLOOKUP(Tabla5[[#This Row],[EAN CORREGIDO]],'Tabla Articulos'!B:B,'Tabla Articulos'!D:D)</f>
        <v>#N/A</v>
      </c>
      <c r="Q167" s="44" t="e">
        <f>_xlfn.XLOOKUP(S167,'Tabla Articulos'!B:B,'Tabla Articulos'!E:E)</f>
        <v>#N/A</v>
      </c>
      <c r="R167" s="44" t="e">
        <f t="shared" si="4"/>
        <v>#N/A</v>
      </c>
      <c r="S167" s="45" t="str">
        <f t="shared" si="5"/>
        <v>7790321719169</v>
      </c>
    </row>
    <row r="168" spans="1:19" hidden="1" x14ac:dyDescent="0.35">
      <c r="A168" s="22">
        <v>6</v>
      </c>
      <c r="B168" t="s">
        <v>801</v>
      </c>
      <c r="C168" t="s">
        <v>802</v>
      </c>
      <c r="D168"/>
      <c r="E168" t="s">
        <v>4952</v>
      </c>
      <c r="F168">
        <v>9003348</v>
      </c>
      <c r="G168" t="s">
        <v>4953</v>
      </c>
      <c r="H168" t="s">
        <v>805</v>
      </c>
      <c r="I168">
        <v>22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22</v>
      </c>
      <c r="P168" s="44" t="e">
        <f>_xlfn.XLOOKUP(Tabla5[[#This Row],[EAN CORREGIDO]],'Tabla Articulos'!B:B,'Tabla Articulos'!D:D)</f>
        <v>#N/A</v>
      </c>
      <c r="Q168" s="44" t="e">
        <f>_xlfn.XLOOKUP(S168,'Tabla Articulos'!B:B,'Tabla Articulos'!E:E)</f>
        <v>#N/A</v>
      </c>
      <c r="R168" s="44" t="e">
        <f t="shared" si="4"/>
        <v>#N/A</v>
      </c>
      <c r="S168" s="45" t="str">
        <f t="shared" si="5"/>
        <v>UNIF000298</v>
      </c>
    </row>
    <row r="169" spans="1:19" hidden="1" x14ac:dyDescent="0.35">
      <c r="A169" s="22">
        <v>5</v>
      </c>
      <c r="B169" t="s">
        <v>829</v>
      </c>
      <c r="C169" t="s">
        <v>802</v>
      </c>
      <c r="D169" t="s">
        <v>4954</v>
      </c>
      <c r="E169" t="s">
        <v>4955</v>
      </c>
      <c r="F169">
        <v>4024648</v>
      </c>
      <c r="G169" t="s">
        <v>4956</v>
      </c>
      <c r="H169" t="s">
        <v>805</v>
      </c>
      <c r="I169">
        <v>9850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9850</v>
      </c>
      <c r="P169" s="44" t="e">
        <f>_xlfn.XLOOKUP(Tabla5[[#This Row],[EAN CORREGIDO]],'Tabla Articulos'!B:B,'Tabla Articulos'!D:D)</f>
        <v>#N/A</v>
      </c>
      <c r="Q169" s="44" t="e">
        <f>_xlfn.XLOOKUP(S169,'Tabla Articulos'!B:B,'Tabla Articulos'!E:E)</f>
        <v>#N/A</v>
      </c>
      <c r="R169" s="44" t="e">
        <f t="shared" si="4"/>
        <v>#N/A</v>
      </c>
      <c r="S169" s="45" t="str">
        <f t="shared" si="5"/>
        <v>7790580567903</v>
      </c>
    </row>
    <row r="170" spans="1:19" hidden="1" x14ac:dyDescent="0.35">
      <c r="A170" s="22">
        <v>1</v>
      </c>
      <c r="B170" t="s">
        <v>812</v>
      </c>
      <c r="C170" t="s">
        <v>802</v>
      </c>
      <c r="D170" s="11" t="s">
        <v>4954</v>
      </c>
      <c r="E170" t="s">
        <v>4955</v>
      </c>
      <c r="F170">
        <v>4024648</v>
      </c>
      <c r="G170" t="s">
        <v>4956</v>
      </c>
      <c r="H170" t="s">
        <v>805</v>
      </c>
      <c r="I170">
        <v>90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90</v>
      </c>
      <c r="P170" s="44" t="e">
        <f>_xlfn.XLOOKUP(Tabla5[[#This Row],[EAN CORREGIDO]],'Tabla Articulos'!B:B,'Tabla Articulos'!D:D)</f>
        <v>#N/A</v>
      </c>
      <c r="Q170" s="44" t="e">
        <f>_xlfn.XLOOKUP(S170,'Tabla Articulos'!B:B,'Tabla Articulos'!E:E)</f>
        <v>#N/A</v>
      </c>
      <c r="R170" s="44" t="e">
        <f t="shared" si="4"/>
        <v>#N/A</v>
      </c>
      <c r="S170" s="45" t="str">
        <f t="shared" si="5"/>
        <v>7790580567903</v>
      </c>
    </row>
    <row r="171" spans="1:19" hidden="1" x14ac:dyDescent="0.35">
      <c r="A171" s="22">
        <v>6</v>
      </c>
      <c r="B171" t="s">
        <v>801</v>
      </c>
      <c r="C171" t="s">
        <v>802</v>
      </c>
      <c r="D171"/>
      <c r="E171" t="s">
        <v>1892</v>
      </c>
      <c r="F171">
        <v>9003516</v>
      </c>
      <c r="G171" t="s">
        <v>1893</v>
      </c>
      <c r="H171" t="s">
        <v>805</v>
      </c>
      <c r="I171">
        <v>27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 s="44" t="e">
        <f>_xlfn.XLOOKUP(Tabla5[[#This Row],[EAN CORREGIDO]],'Tabla Articulos'!B:B,'Tabla Articulos'!D:D)</f>
        <v>#N/A</v>
      </c>
      <c r="Q171" s="44" t="e">
        <f>_xlfn.XLOOKUP(S171,'Tabla Articulos'!B:B,'Tabla Articulos'!E:E)</f>
        <v>#N/A</v>
      </c>
      <c r="R171" s="44" t="e">
        <f t="shared" si="4"/>
        <v>#N/A</v>
      </c>
      <c r="S171" s="45" t="str">
        <f t="shared" si="5"/>
        <v>UNIF000343</v>
      </c>
    </row>
    <row r="172" spans="1:19" hidden="1" x14ac:dyDescent="0.35">
      <c r="A172" s="22">
        <v>6</v>
      </c>
      <c r="B172" t="s">
        <v>801</v>
      </c>
      <c r="C172" t="s">
        <v>802</v>
      </c>
      <c r="D172" t="s">
        <v>1535</v>
      </c>
      <c r="E172" t="s">
        <v>1894</v>
      </c>
      <c r="F172">
        <v>2016696</v>
      </c>
      <c r="G172" t="s">
        <v>1895</v>
      </c>
      <c r="H172" t="s">
        <v>805</v>
      </c>
      <c r="I172">
        <v>3380</v>
      </c>
      <c r="J172">
        <v>2200</v>
      </c>
      <c r="K172">
        <v>0</v>
      </c>
      <c r="L172">
        <v>0</v>
      </c>
      <c r="M172">
        <v>0</v>
      </c>
      <c r="N172">
        <v>0</v>
      </c>
      <c r="O172">
        <v>5580</v>
      </c>
      <c r="P172" s="44" t="e">
        <f>_xlfn.XLOOKUP(Tabla5[[#This Row],[EAN CORREGIDO]],'Tabla Articulos'!B:B,'Tabla Articulos'!D:D)</f>
        <v>#N/A</v>
      </c>
      <c r="Q172" s="44" t="e">
        <f>_xlfn.XLOOKUP(S172,'Tabla Articulos'!B:B,'Tabla Articulos'!E:E)</f>
        <v>#N/A</v>
      </c>
      <c r="R172" s="44" t="e">
        <f t="shared" si="4"/>
        <v>#N/A</v>
      </c>
      <c r="S172" s="45" t="str">
        <f t="shared" si="5"/>
        <v>7790000000830</v>
      </c>
    </row>
    <row r="173" spans="1:19" hidden="1" x14ac:dyDescent="0.35">
      <c r="A173" s="22">
        <v>1</v>
      </c>
      <c r="B173" t="s">
        <v>812</v>
      </c>
      <c r="C173" t="s">
        <v>802</v>
      </c>
      <c r="D173" t="s">
        <v>1896</v>
      </c>
      <c r="E173" t="s">
        <v>1897</v>
      </c>
      <c r="F173">
        <v>4019817</v>
      </c>
      <c r="G173" t="s">
        <v>1898</v>
      </c>
      <c r="H173" t="s">
        <v>805</v>
      </c>
      <c r="I173">
        <v>942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942</v>
      </c>
      <c r="P173" s="44" t="e">
        <f>_xlfn.XLOOKUP(Tabla5[[#This Row],[EAN CORREGIDO]],'Tabla Articulos'!B:B,'Tabla Articulos'!D:D)</f>
        <v>#N/A</v>
      </c>
      <c r="Q173" s="44" t="e">
        <f>_xlfn.XLOOKUP(S173,'Tabla Articulos'!B:B,'Tabla Articulos'!E:E)</f>
        <v>#N/A</v>
      </c>
      <c r="R173" s="44" t="e">
        <f t="shared" si="4"/>
        <v>#N/A</v>
      </c>
      <c r="S173" s="45" t="str">
        <f t="shared" si="5"/>
        <v>7791254186727</v>
      </c>
    </row>
    <row r="174" spans="1:19" hidden="1" x14ac:dyDescent="0.35">
      <c r="A174" s="22">
        <v>6</v>
      </c>
      <c r="B174" t="s">
        <v>801</v>
      </c>
      <c r="C174" t="s">
        <v>802</v>
      </c>
      <c r="D174"/>
      <c r="E174" t="s">
        <v>1899</v>
      </c>
      <c r="F174">
        <v>9003403</v>
      </c>
      <c r="G174" t="s">
        <v>1900</v>
      </c>
      <c r="H174" t="s">
        <v>805</v>
      </c>
      <c r="I174">
        <v>99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99</v>
      </c>
      <c r="P174" s="44" t="e">
        <f>_xlfn.XLOOKUP(Tabla5[[#This Row],[EAN CORREGIDO]],'Tabla Articulos'!B:B,'Tabla Articulos'!D:D)</f>
        <v>#N/A</v>
      </c>
      <c r="Q174" s="44" t="e">
        <f>_xlfn.XLOOKUP(S174,'Tabla Articulos'!B:B,'Tabla Articulos'!E:E)</f>
        <v>#N/A</v>
      </c>
      <c r="R174" s="44" t="e">
        <f t="shared" si="4"/>
        <v>#N/A</v>
      </c>
      <c r="S174" s="45" t="str">
        <f t="shared" si="5"/>
        <v>UNIF000524</v>
      </c>
    </row>
    <row r="175" spans="1:19" hidden="1" x14ac:dyDescent="0.35">
      <c r="A175" s="22">
        <v>1</v>
      </c>
      <c r="B175" t="s">
        <v>812</v>
      </c>
      <c r="C175" t="s">
        <v>802</v>
      </c>
      <c r="D175" t="s">
        <v>1901</v>
      </c>
      <c r="E175" t="s">
        <v>1902</v>
      </c>
      <c r="F175">
        <v>4021279</v>
      </c>
      <c r="G175" t="s">
        <v>1903</v>
      </c>
      <c r="H175" t="s">
        <v>805</v>
      </c>
      <c r="I175">
        <v>160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160</v>
      </c>
      <c r="P175" s="44" t="e">
        <f>_xlfn.XLOOKUP(Tabla5[[#This Row],[EAN CORREGIDO]],'Tabla Articulos'!B:B,'Tabla Articulos'!D:D)</f>
        <v>#N/A</v>
      </c>
      <c r="Q175" s="44" t="e">
        <f>_xlfn.XLOOKUP(S175,'Tabla Articulos'!B:B,'Tabla Articulos'!E:E)</f>
        <v>#N/A</v>
      </c>
      <c r="R175" s="44" t="e">
        <f t="shared" si="4"/>
        <v>#N/A</v>
      </c>
      <c r="S175" s="45" t="str">
        <f t="shared" si="5"/>
        <v>7792180145352</v>
      </c>
    </row>
    <row r="176" spans="1:19" hidden="1" x14ac:dyDescent="0.35">
      <c r="A176" s="22">
        <v>6</v>
      </c>
      <c r="B176" t="s">
        <v>801</v>
      </c>
      <c r="C176" t="s">
        <v>802</v>
      </c>
      <c r="D176"/>
      <c r="E176" t="s">
        <v>2653</v>
      </c>
      <c r="F176">
        <v>9001930</v>
      </c>
      <c r="G176" t="s">
        <v>2654</v>
      </c>
      <c r="H176" t="s">
        <v>805</v>
      </c>
      <c r="I176">
        <v>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5</v>
      </c>
      <c r="P176" s="44" t="e">
        <f>_xlfn.XLOOKUP(Tabla5[[#This Row],[EAN CORREGIDO]],'Tabla Articulos'!B:B,'Tabla Articulos'!D:D)</f>
        <v>#N/A</v>
      </c>
      <c r="Q176" s="44" t="e">
        <f>_xlfn.XLOOKUP(S176,'Tabla Articulos'!B:B,'Tabla Articulos'!E:E)</f>
        <v>#N/A</v>
      </c>
      <c r="R176" s="44" t="e">
        <f t="shared" si="4"/>
        <v>#N/A</v>
      </c>
      <c r="S176" s="45" t="str">
        <f t="shared" si="5"/>
        <v>9001930</v>
      </c>
    </row>
    <row r="177" spans="1:19" hidden="1" x14ac:dyDescent="0.35">
      <c r="A177" s="22">
        <v>6</v>
      </c>
      <c r="B177" t="s">
        <v>801</v>
      </c>
      <c r="C177" t="s">
        <v>802</v>
      </c>
      <c r="D177" t="s">
        <v>1198</v>
      </c>
      <c r="E177" t="s">
        <v>2655</v>
      </c>
      <c r="F177">
        <v>2006776</v>
      </c>
      <c r="G177" t="s">
        <v>2656</v>
      </c>
      <c r="H177" t="s">
        <v>805</v>
      </c>
      <c r="I177">
        <v>983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983</v>
      </c>
      <c r="P177" s="44" t="e">
        <f>_xlfn.XLOOKUP(Tabla5[[#This Row],[EAN CORREGIDO]],'Tabla Articulos'!B:B,'Tabla Articulos'!D:D)</f>
        <v>#N/A</v>
      </c>
      <c r="Q177" s="44" t="e">
        <f>_xlfn.XLOOKUP(S177,'Tabla Articulos'!B:B,'Tabla Articulos'!E:E)</f>
        <v>#N/A</v>
      </c>
      <c r="R177" s="44" t="e">
        <f t="shared" si="4"/>
        <v>#N/A</v>
      </c>
      <c r="S177" s="45" t="str">
        <f t="shared" si="5"/>
        <v>7798092968737</v>
      </c>
    </row>
    <row r="178" spans="1:19" hidden="1" x14ac:dyDescent="0.35">
      <c r="A178" s="22">
        <v>5</v>
      </c>
      <c r="B178" t="s">
        <v>829</v>
      </c>
      <c r="C178" t="s">
        <v>802</v>
      </c>
      <c r="D178" t="s">
        <v>6816</v>
      </c>
      <c r="E178" t="s">
        <v>6817</v>
      </c>
      <c r="F178">
        <v>4021345</v>
      </c>
      <c r="G178" t="s">
        <v>6818</v>
      </c>
      <c r="H178" t="s">
        <v>816</v>
      </c>
      <c r="I178">
        <v>3</v>
      </c>
      <c r="J178">
        <v>0</v>
      </c>
      <c r="K178">
        <v>0</v>
      </c>
      <c r="L178">
        <v>0</v>
      </c>
      <c r="M178">
        <v>2</v>
      </c>
      <c r="N178">
        <v>0</v>
      </c>
      <c r="O178">
        <v>1</v>
      </c>
      <c r="P178" s="44" t="e">
        <f>_xlfn.XLOOKUP(Tabla5[[#This Row],[EAN CORREGIDO]],'Tabla Articulos'!B:B,'Tabla Articulos'!D:D)</f>
        <v>#N/A</v>
      </c>
      <c r="Q178" s="44" t="e">
        <f>_xlfn.XLOOKUP(S178,'Tabla Articulos'!B:B,'Tabla Articulos'!E:E)</f>
        <v>#N/A</v>
      </c>
      <c r="R178" s="44" t="e">
        <f t="shared" si="4"/>
        <v>#N/A</v>
      </c>
      <c r="S178" s="45" t="str">
        <f t="shared" si="5"/>
        <v>7790216020085</v>
      </c>
    </row>
    <row r="179" spans="1:19" hidden="1" x14ac:dyDescent="0.35">
      <c r="A179" s="22">
        <v>6</v>
      </c>
      <c r="B179" t="s">
        <v>801</v>
      </c>
      <c r="C179" t="s">
        <v>802</v>
      </c>
      <c r="D179"/>
      <c r="E179" t="s">
        <v>3905</v>
      </c>
      <c r="F179">
        <v>9003219</v>
      </c>
      <c r="G179" t="s">
        <v>3906</v>
      </c>
      <c r="H179" t="s">
        <v>805</v>
      </c>
      <c r="I179">
        <v>56</v>
      </c>
      <c r="J179">
        <v>100</v>
      </c>
      <c r="K179">
        <v>0</v>
      </c>
      <c r="L179">
        <v>0</v>
      </c>
      <c r="M179">
        <v>0</v>
      </c>
      <c r="N179">
        <v>0</v>
      </c>
      <c r="O179">
        <v>156</v>
      </c>
      <c r="P179" s="44" t="e">
        <f>_xlfn.XLOOKUP(Tabla5[[#This Row],[EAN CORREGIDO]],'Tabla Articulos'!B:B,'Tabla Articulos'!D:D)</f>
        <v>#N/A</v>
      </c>
      <c r="Q179" s="44" t="e">
        <f>_xlfn.XLOOKUP(S179,'Tabla Articulos'!B:B,'Tabla Articulos'!E:E)</f>
        <v>#N/A</v>
      </c>
      <c r="R179" s="44" t="e">
        <f t="shared" si="4"/>
        <v>#N/A</v>
      </c>
      <c r="S179" s="45" t="str">
        <f t="shared" si="5"/>
        <v>UNIF000119</v>
      </c>
    </row>
    <row r="180" spans="1:19" hidden="1" x14ac:dyDescent="0.35">
      <c r="A180" s="22">
        <v>6</v>
      </c>
      <c r="B180" t="s">
        <v>801</v>
      </c>
      <c r="C180" t="s">
        <v>802</v>
      </c>
      <c r="D180" s="11" t="s">
        <v>1168</v>
      </c>
      <c r="E180" t="s">
        <v>3907</v>
      </c>
      <c r="F180">
        <v>2006282</v>
      </c>
      <c r="G180" t="s">
        <v>3908</v>
      </c>
      <c r="H180" t="s">
        <v>805</v>
      </c>
      <c r="I180">
        <v>174</v>
      </c>
      <c r="J180">
        <v>0</v>
      </c>
      <c r="K180">
        <v>0</v>
      </c>
      <c r="L180">
        <v>4</v>
      </c>
      <c r="M180">
        <v>4</v>
      </c>
      <c r="N180">
        <v>0</v>
      </c>
      <c r="O180">
        <v>166</v>
      </c>
      <c r="P180" s="44" t="e">
        <f>_xlfn.XLOOKUP(Tabla5[[#This Row],[EAN CORREGIDO]],'Tabla Articulos'!B:B,'Tabla Articulos'!D:D)</f>
        <v>#N/A</v>
      </c>
      <c r="Q180" s="44" t="e">
        <f>_xlfn.XLOOKUP(S180,'Tabla Articulos'!B:B,'Tabla Articulos'!E:E)</f>
        <v>#N/A</v>
      </c>
      <c r="R180" s="44" t="e">
        <f t="shared" si="4"/>
        <v>#N/A</v>
      </c>
      <c r="S180" s="45" t="str">
        <f t="shared" si="5"/>
        <v>7791290794221</v>
      </c>
    </row>
    <row r="181" spans="1:19" hidden="1" x14ac:dyDescent="0.35">
      <c r="A181" s="22">
        <v>1</v>
      </c>
      <c r="B181" t="s">
        <v>812</v>
      </c>
      <c r="C181" t="s">
        <v>802</v>
      </c>
      <c r="D181" t="s">
        <v>1138</v>
      </c>
      <c r="E181" t="s">
        <v>3909</v>
      </c>
      <c r="F181">
        <v>4019975</v>
      </c>
      <c r="G181" t="s">
        <v>3910</v>
      </c>
      <c r="H181" t="s">
        <v>805</v>
      </c>
      <c r="I181">
        <v>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5</v>
      </c>
      <c r="P181" s="44" t="e">
        <f>_xlfn.XLOOKUP(Tabla5[[#This Row],[EAN CORREGIDO]],'Tabla Articulos'!B:B,'Tabla Articulos'!D:D)</f>
        <v>#N/A</v>
      </c>
      <c r="Q181" s="44" t="e">
        <f>_xlfn.XLOOKUP(S181,'Tabla Articulos'!B:B,'Tabla Articulos'!E:E)</f>
        <v>#N/A</v>
      </c>
      <c r="R181" s="44" t="e">
        <f t="shared" si="4"/>
        <v>#N/A</v>
      </c>
      <c r="S181" s="45" t="str">
        <f t="shared" si="5"/>
        <v>7791885409301</v>
      </c>
    </row>
    <row r="182" spans="1:19" hidden="1" x14ac:dyDescent="0.35">
      <c r="A182" s="22">
        <v>5</v>
      </c>
      <c r="B182" t="s">
        <v>829</v>
      </c>
      <c r="C182" t="s">
        <v>802</v>
      </c>
      <c r="D182" t="s">
        <v>2121</v>
      </c>
      <c r="E182" t="s">
        <v>3911</v>
      </c>
      <c r="F182">
        <v>4019694</v>
      </c>
      <c r="G182" t="s">
        <v>3912</v>
      </c>
      <c r="H182" t="s">
        <v>805</v>
      </c>
      <c r="I182">
        <v>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5</v>
      </c>
      <c r="P182" s="44" t="e">
        <f>_xlfn.XLOOKUP(Tabla5[[#This Row],[EAN CORREGIDO]],'Tabla Articulos'!B:B,'Tabla Articulos'!D:D)</f>
        <v>#N/A</v>
      </c>
      <c r="Q182" s="44" t="e">
        <f>_xlfn.XLOOKUP(S182,'Tabla Articulos'!B:B,'Tabla Articulos'!E:E)</f>
        <v>#N/A</v>
      </c>
      <c r="R182" s="44" t="e">
        <f t="shared" si="4"/>
        <v>#N/A</v>
      </c>
      <c r="S182" s="45" t="str">
        <f t="shared" si="5"/>
        <v>7791113002656</v>
      </c>
    </row>
    <row r="183" spans="1:19" hidden="1" x14ac:dyDescent="0.35">
      <c r="A183" s="22">
        <v>1</v>
      </c>
      <c r="B183" t="s">
        <v>812</v>
      </c>
      <c r="C183" t="s">
        <v>802</v>
      </c>
      <c r="D183" s="11" t="s">
        <v>2121</v>
      </c>
      <c r="E183" t="s">
        <v>3911</v>
      </c>
      <c r="F183">
        <v>4019694</v>
      </c>
      <c r="G183" t="s">
        <v>3912</v>
      </c>
      <c r="H183" t="s">
        <v>805</v>
      </c>
      <c r="I183">
        <v>107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107</v>
      </c>
      <c r="P183" s="44" t="e">
        <f>_xlfn.XLOOKUP(Tabla5[[#This Row],[EAN CORREGIDO]],'Tabla Articulos'!B:B,'Tabla Articulos'!D:D)</f>
        <v>#N/A</v>
      </c>
      <c r="Q183" s="44" t="e">
        <f>_xlfn.XLOOKUP(S183,'Tabla Articulos'!B:B,'Tabla Articulos'!E:E)</f>
        <v>#N/A</v>
      </c>
      <c r="R183" s="44" t="e">
        <f t="shared" si="4"/>
        <v>#N/A</v>
      </c>
      <c r="S183" s="45" t="str">
        <f t="shared" si="5"/>
        <v>7791113002656</v>
      </c>
    </row>
    <row r="184" spans="1:19" hidden="1" x14ac:dyDescent="0.35">
      <c r="A184" s="22">
        <v>6</v>
      </c>
      <c r="B184" t="s">
        <v>801</v>
      </c>
      <c r="C184" t="s">
        <v>802</v>
      </c>
      <c r="E184" t="s">
        <v>3913</v>
      </c>
      <c r="F184">
        <v>9003637</v>
      </c>
      <c r="G184" t="s">
        <v>3914</v>
      </c>
      <c r="H184" t="s">
        <v>805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 s="44" t="e">
        <f>_xlfn.XLOOKUP(Tabla5[[#This Row],[EAN CORREGIDO]],'Tabla Articulos'!B:B,'Tabla Articulos'!D:D)</f>
        <v>#N/A</v>
      </c>
      <c r="Q184" s="44" t="e">
        <f>_xlfn.XLOOKUP(S184,'Tabla Articulos'!B:B,'Tabla Articulos'!E:E)</f>
        <v>#N/A</v>
      </c>
      <c r="R184" s="44" t="e">
        <f t="shared" si="4"/>
        <v>#N/A</v>
      </c>
      <c r="S184" s="45" t="str">
        <f t="shared" si="5"/>
        <v>UNIF000373</v>
      </c>
    </row>
    <row r="185" spans="1:19" hidden="1" x14ac:dyDescent="0.35">
      <c r="A185" s="22">
        <v>6</v>
      </c>
      <c r="B185" t="s">
        <v>801</v>
      </c>
      <c r="C185" t="s">
        <v>802</v>
      </c>
      <c r="D185" s="11" t="s">
        <v>841</v>
      </c>
      <c r="E185" t="s">
        <v>3915</v>
      </c>
      <c r="F185">
        <v>2006402</v>
      </c>
      <c r="G185" t="s">
        <v>3916</v>
      </c>
      <c r="H185" t="s">
        <v>805</v>
      </c>
      <c r="I185">
        <v>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</v>
      </c>
      <c r="P185" s="44" t="e">
        <f>_xlfn.XLOOKUP(Tabla5[[#This Row],[EAN CORREGIDO]],'Tabla Articulos'!B:B,'Tabla Articulos'!D:D)</f>
        <v>#N/A</v>
      </c>
      <c r="Q185" s="44" t="e">
        <f>_xlfn.XLOOKUP(S185,'Tabla Articulos'!B:B,'Tabla Articulos'!E:E)</f>
        <v>#N/A</v>
      </c>
      <c r="R185" s="44" t="e">
        <f t="shared" si="4"/>
        <v>#N/A</v>
      </c>
      <c r="S185" s="45" t="str">
        <f t="shared" si="5"/>
        <v>7798430440109</v>
      </c>
    </row>
    <row r="186" spans="1:19" hidden="1" x14ac:dyDescent="0.35">
      <c r="A186" s="22">
        <v>6</v>
      </c>
      <c r="B186" t="s">
        <v>801</v>
      </c>
      <c r="C186" t="s">
        <v>802</v>
      </c>
      <c r="E186" t="s">
        <v>3917</v>
      </c>
      <c r="F186">
        <v>9003154</v>
      </c>
      <c r="G186" t="s">
        <v>3918</v>
      </c>
      <c r="H186" t="s">
        <v>805</v>
      </c>
      <c r="I186">
        <v>17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17</v>
      </c>
      <c r="P186" s="44" t="e">
        <f>_xlfn.XLOOKUP(Tabla5[[#This Row],[EAN CORREGIDO]],'Tabla Articulos'!B:B,'Tabla Articulos'!D:D)</f>
        <v>#N/A</v>
      </c>
      <c r="Q186" s="44" t="e">
        <f>_xlfn.XLOOKUP(S186,'Tabla Articulos'!B:B,'Tabla Articulos'!E:E)</f>
        <v>#N/A</v>
      </c>
      <c r="R186" s="44" t="e">
        <f t="shared" si="4"/>
        <v>#N/A</v>
      </c>
      <c r="S186" s="45" t="str">
        <f t="shared" si="5"/>
        <v>UNIF000616</v>
      </c>
    </row>
    <row r="187" spans="1:19" hidden="1" x14ac:dyDescent="0.35">
      <c r="A187" s="22">
        <v>6</v>
      </c>
      <c r="B187" t="s">
        <v>801</v>
      </c>
      <c r="C187" t="s">
        <v>802</v>
      </c>
      <c r="E187" t="s">
        <v>3919</v>
      </c>
      <c r="F187">
        <v>9003549</v>
      </c>
      <c r="G187" t="s">
        <v>3920</v>
      </c>
      <c r="H187" t="s">
        <v>805</v>
      </c>
      <c r="I187">
        <v>19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19</v>
      </c>
      <c r="P187" s="44" t="e">
        <f>_xlfn.XLOOKUP(Tabla5[[#This Row],[EAN CORREGIDO]],'Tabla Articulos'!B:B,'Tabla Articulos'!D:D)</f>
        <v>#N/A</v>
      </c>
      <c r="Q187" s="44" t="e">
        <f>_xlfn.XLOOKUP(S187,'Tabla Articulos'!B:B,'Tabla Articulos'!E:E)</f>
        <v>#N/A</v>
      </c>
      <c r="R187" s="44" t="e">
        <f t="shared" si="4"/>
        <v>#N/A</v>
      </c>
      <c r="S187" s="45" t="str">
        <f t="shared" si="5"/>
        <v>UNIF000088</v>
      </c>
    </row>
    <row r="188" spans="1:19" hidden="1" x14ac:dyDescent="0.35">
      <c r="A188" s="22">
        <v>1</v>
      </c>
      <c r="B188" t="s">
        <v>812</v>
      </c>
      <c r="C188" t="s">
        <v>802</v>
      </c>
      <c r="D188" t="s">
        <v>3921</v>
      </c>
      <c r="E188" t="s">
        <v>3922</v>
      </c>
      <c r="F188">
        <v>4049046</v>
      </c>
      <c r="G188" t="s">
        <v>3923</v>
      </c>
      <c r="H188" t="s">
        <v>805</v>
      </c>
      <c r="I188">
        <v>35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35</v>
      </c>
      <c r="P188" s="44" t="e">
        <f>_xlfn.XLOOKUP(Tabla5[[#This Row],[EAN CORREGIDO]],'Tabla Articulos'!B:B,'Tabla Articulos'!D:D)</f>
        <v>#N/A</v>
      </c>
      <c r="Q188" s="44" t="e">
        <f>_xlfn.XLOOKUP(S188,'Tabla Articulos'!B:B,'Tabla Articulos'!E:E)</f>
        <v>#N/A</v>
      </c>
      <c r="R188" s="44" t="e">
        <f t="shared" si="4"/>
        <v>#N/A</v>
      </c>
      <c r="S188" s="45" t="str">
        <f t="shared" si="5"/>
        <v>7790726120191</v>
      </c>
    </row>
    <row r="189" spans="1:19" hidden="1" x14ac:dyDescent="0.35">
      <c r="A189" s="22">
        <v>5</v>
      </c>
      <c r="B189" t="s">
        <v>829</v>
      </c>
      <c r="C189" t="s">
        <v>802</v>
      </c>
      <c r="D189" t="s">
        <v>2637</v>
      </c>
      <c r="E189" t="s">
        <v>3924</v>
      </c>
      <c r="F189">
        <v>4024185</v>
      </c>
      <c r="G189" t="s">
        <v>3925</v>
      </c>
      <c r="H189" t="s">
        <v>805</v>
      </c>
      <c r="I189">
        <v>675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675</v>
      </c>
      <c r="P189" s="44" t="e">
        <f>_xlfn.XLOOKUP(Tabla5[[#This Row],[EAN CORREGIDO]],'Tabla Articulos'!B:B,'Tabla Articulos'!D:D)</f>
        <v>#N/A</v>
      </c>
      <c r="Q189" s="44" t="e">
        <f>_xlfn.XLOOKUP(S189,'Tabla Articulos'!B:B,'Tabla Articulos'!E:E)</f>
        <v>#N/A</v>
      </c>
      <c r="R189" s="44" t="e">
        <f t="shared" si="4"/>
        <v>#N/A</v>
      </c>
      <c r="S189" s="45" t="str">
        <f t="shared" si="5"/>
        <v>7795311833326</v>
      </c>
    </row>
    <row r="190" spans="1:19" hidden="1" x14ac:dyDescent="0.35">
      <c r="A190" s="22">
        <v>1</v>
      </c>
      <c r="B190" t="s">
        <v>812</v>
      </c>
      <c r="C190" t="s">
        <v>802</v>
      </c>
      <c r="D190" s="11" t="s">
        <v>2637</v>
      </c>
      <c r="E190" t="s">
        <v>3924</v>
      </c>
      <c r="F190">
        <v>4024185</v>
      </c>
      <c r="G190" t="s">
        <v>3925</v>
      </c>
      <c r="H190" t="s">
        <v>805</v>
      </c>
      <c r="I190">
        <v>23668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23668</v>
      </c>
      <c r="P190" s="44" t="e">
        <f>_xlfn.XLOOKUP(Tabla5[[#This Row],[EAN CORREGIDO]],'Tabla Articulos'!B:B,'Tabla Articulos'!D:D)</f>
        <v>#N/A</v>
      </c>
      <c r="Q190" s="44" t="e">
        <f>_xlfn.XLOOKUP(S190,'Tabla Articulos'!B:B,'Tabla Articulos'!E:E)</f>
        <v>#N/A</v>
      </c>
      <c r="R190" s="44" t="e">
        <f t="shared" si="4"/>
        <v>#N/A</v>
      </c>
      <c r="S190" s="45" t="str">
        <f t="shared" si="5"/>
        <v>7795311833326</v>
      </c>
    </row>
    <row r="191" spans="1:19" hidden="1" x14ac:dyDescent="0.35">
      <c r="A191" s="22">
        <v>6</v>
      </c>
      <c r="B191" t="s">
        <v>801</v>
      </c>
      <c r="C191" t="s">
        <v>802</v>
      </c>
      <c r="D191"/>
      <c r="E191" t="s">
        <v>4321</v>
      </c>
      <c r="F191">
        <v>9003325</v>
      </c>
      <c r="G191" t="s">
        <v>4322</v>
      </c>
      <c r="H191" t="s">
        <v>805</v>
      </c>
      <c r="I191">
        <v>143</v>
      </c>
      <c r="J191">
        <v>50</v>
      </c>
      <c r="K191">
        <v>0</v>
      </c>
      <c r="L191">
        <v>0</v>
      </c>
      <c r="M191">
        <v>0</v>
      </c>
      <c r="N191">
        <v>0</v>
      </c>
      <c r="O191">
        <v>193</v>
      </c>
      <c r="P191" s="44" t="e">
        <f>_xlfn.XLOOKUP(Tabla5[[#This Row],[EAN CORREGIDO]],'Tabla Articulos'!B:B,'Tabla Articulos'!D:D)</f>
        <v>#N/A</v>
      </c>
      <c r="Q191" s="44" t="e">
        <f>_xlfn.XLOOKUP(S191,'Tabla Articulos'!B:B,'Tabla Articulos'!E:E)</f>
        <v>#N/A</v>
      </c>
      <c r="R191" s="44" t="e">
        <f t="shared" si="4"/>
        <v>#N/A</v>
      </c>
      <c r="S191" s="45" t="str">
        <f t="shared" si="5"/>
        <v>UNIF000133</v>
      </c>
    </row>
    <row r="192" spans="1:19" hidden="1" x14ac:dyDescent="0.35">
      <c r="A192" s="22">
        <v>1</v>
      </c>
      <c r="B192" t="s">
        <v>812</v>
      </c>
      <c r="C192" t="s">
        <v>802</v>
      </c>
      <c r="D192" t="s">
        <v>4323</v>
      </c>
      <c r="E192" t="s">
        <v>4324</v>
      </c>
      <c r="F192">
        <v>4017624</v>
      </c>
      <c r="G192" t="s">
        <v>4325</v>
      </c>
      <c r="H192" t="s">
        <v>805</v>
      </c>
      <c r="I192">
        <v>212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212</v>
      </c>
      <c r="P192" s="44" t="e">
        <f>_xlfn.XLOOKUP(Tabla5[[#This Row],[EAN CORREGIDO]],'Tabla Articulos'!B:B,'Tabla Articulos'!D:D)</f>
        <v>#N/A</v>
      </c>
      <c r="Q192" s="44" t="e">
        <f>_xlfn.XLOOKUP(S192,'Tabla Articulos'!B:B,'Tabla Articulos'!E:E)</f>
        <v>#N/A</v>
      </c>
      <c r="R192" s="44" t="e">
        <f t="shared" si="4"/>
        <v>#N/A</v>
      </c>
      <c r="S192" s="45" t="str">
        <f t="shared" si="5"/>
        <v>7790212030076</v>
      </c>
    </row>
    <row r="193" spans="1:19" hidden="1" x14ac:dyDescent="0.35">
      <c r="A193" s="22">
        <v>6</v>
      </c>
      <c r="B193" t="s">
        <v>801</v>
      </c>
      <c r="C193" t="s">
        <v>802</v>
      </c>
      <c r="D193" s="11" t="s">
        <v>1388</v>
      </c>
      <c r="E193" t="s">
        <v>4326</v>
      </c>
      <c r="F193">
        <v>2006271</v>
      </c>
      <c r="G193" t="s">
        <v>4327</v>
      </c>
      <c r="H193" t="s">
        <v>805</v>
      </c>
      <c r="I193">
        <v>945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945</v>
      </c>
      <c r="P193" s="44" t="e">
        <f>_xlfn.XLOOKUP(Tabla5[[#This Row],[EAN CORREGIDO]],'Tabla Articulos'!B:B,'Tabla Articulos'!D:D)</f>
        <v>#N/A</v>
      </c>
      <c r="Q193" s="44" t="e">
        <f>_xlfn.XLOOKUP(S193,'Tabla Articulos'!B:B,'Tabla Articulos'!E:E)</f>
        <v>#N/A</v>
      </c>
      <c r="R193" s="44" t="e">
        <f t="shared" ref="R193:R256" si="6">O193*Q193</f>
        <v>#N/A</v>
      </c>
      <c r="S193" s="45" t="str">
        <f t="shared" ref="S193:S256" si="7">TRIM(E193)</f>
        <v>7798432966343</v>
      </c>
    </row>
    <row r="194" spans="1:19" hidden="1" x14ac:dyDescent="0.35">
      <c r="A194" s="22">
        <v>1</v>
      </c>
      <c r="B194" t="s">
        <v>812</v>
      </c>
      <c r="C194" t="s">
        <v>802</v>
      </c>
      <c r="D194" t="s">
        <v>2553</v>
      </c>
      <c r="E194" t="s">
        <v>4328</v>
      </c>
      <c r="F194">
        <v>4019216</v>
      </c>
      <c r="G194" t="s">
        <v>4329</v>
      </c>
      <c r="H194" t="s">
        <v>805</v>
      </c>
      <c r="I194">
        <v>2120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2120</v>
      </c>
      <c r="P194" s="44" t="e">
        <f>_xlfn.XLOOKUP(Tabla5[[#This Row],[EAN CORREGIDO]],'Tabla Articulos'!B:B,'Tabla Articulos'!D:D)</f>
        <v>#N/A</v>
      </c>
      <c r="Q194" s="44" t="e">
        <f>_xlfn.XLOOKUP(S194,'Tabla Articulos'!B:B,'Tabla Articulos'!E:E)</f>
        <v>#N/A</v>
      </c>
      <c r="R194" s="44" t="e">
        <f t="shared" si="6"/>
        <v>#N/A</v>
      </c>
      <c r="S194" s="45" t="str">
        <f t="shared" si="7"/>
        <v>77925626</v>
      </c>
    </row>
    <row r="195" spans="1:19" hidden="1" x14ac:dyDescent="0.35">
      <c r="A195" s="22">
        <v>1</v>
      </c>
      <c r="B195" t="s">
        <v>812</v>
      </c>
      <c r="C195" t="s">
        <v>802</v>
      </c>
      <c r="D195" t="s">
        <v>4330</v>
      </c>
      <c r="E195" t="s">
        <v>4331</v>
      </c>
      <c r="F195">
        <v>4018620</v>
      </c>
      <c r="G195" t="s">
        <v>4332</v>
      </c>
      <c r="H195" t="s">
        <v>816</v>
      </c>
      <c r="I195">
        <v>2734.8</v>
      </c>
      <c r="J195">
        <v>0</v>
      </c>
      <c r="K195">
        <v>175.72</v>
      </c>
      <c r="L195">
        <v>0</v>
      </c>
      <c r="M195">
        <v>0</v>
      </c>
      <c r="N195">
        <v>0</v>
      </c>
      <c r="O195">
        <v>2559.08</v>
      </c>
      <c r="P195" s="44" t="e">
        <f>_xlfn.XLOOKUP(Tabla5[[#This Row],[EAN CORREGIDO]],'Tabla Articulos'!B:B,'Tabla Articulos'!D:D)</f>
        <v>#N/A</v>
      </c>
      <c r="Q195" s="44" t="e">
        <f>_xlfn.XLOOKUP(S195,'Tabla Articulos'!B:B,'Tabla Articulos'!E:E)</f>
        <v>#N/A</v>
      </c>
      <c r="R195" s="44" t="e">
        <f t="shared" si="6"/>
        <v>#N/A</v>
      </c>
      <c r="S195" s="45" t="str">
        <f t="shared" si="7"/>
        <v>7790213010012</v>
      </c>
    </row>
    <row r="196" spans="1:19" hidden="1" x14ac:dyDescent="0.35">
      <c r="A196" s="22">
        <v>1</v>
      </c>
      <c r="B196" t="s">
        <v>812</v>
      </c>
      <c r="C196" t="s">
        <v>802</v>
      </c>
      <c r="D196" t="s">
        <v>4333</v>
      </c>
      <c r="E196" t="s">
        <v>4334</v>
      </c>
      <c r="F196">
        <v>4020085</v>
      </c>
      <c r="G196" t="s">
        <v>4335</v>
      </c>
      <c r="H196" t="s">
        <v>805</v>
      </c>
      <c r="I196">
        <v>19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19</v>
      </c>
      <c r="P196" s="44" t="e">
        <f>_xlfn.XLOOKUP(Tabla5[[#This Row],[EAN CORREGIDO]],'Tabla Articulos'!B:B,'Tabla Articulos'!D:D)</f>
        <v>#N/A</v>
      </c>
      <c r="Q196" s="44" t="e">
        <f>_xlfn.XLOOKUP(S196,'Tabla Articulos'!B:B,'Tabla Articulos'!E:E)</f>
        <v>#N/A</v>
      </c>
      <c r="R196" s="44" t="e">
        <f t="shared" si="6"/>
        <v>#N/A</v>
      </c>
      <c r="S196" s="45" t="str">
        <f t="shared" si="7"/>
        <v>7792350067088</v>
      </c>
    </row>
    <row r="197" spans="1:19" hidden="1" x14ac:dyDescent="0.35">
      <c r="A197" s="22">
        <v>5</v>
      </c>
      <c r="B197" t="s">
        <v>829</v>
      </c>
      <c r="C197" t="s">
        <v>802</v>
      </c>
      <c r="D197" s="11" t="s">
        <v>4333</v>
      </c>
      <c r="E197" t="s">
        <v>4334</v>
      </c>
      <c r="F197">
        <v>4020085</v>
      </c>
      <c r="G197" t="s">
        <v>4335</v>
      </c>
      <c r="H197" t="s">
        <v>805</v>
      </c>
      <c r="I197">
        <v>2657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2657</v>
      </c>
      <c r="P197" s="44" t="e">
        <f>_xlfn.XLOOKUP(Tabla5[[#This Row],[EAN CORREGIDO]],'Tabla Articulos'!B:B,'Tabla Articulos'!D:D)</f>
        <v>#N/A</v>
      </c>
      <c r="Q197" s="44" t="e">
        <f>_xlfn.XLOOKUP(S197,'Tabla Articulos'!B:B,'Tabla Articulos'!E:E)</f>
        <v>#N/A</v>
      </c>
      <c r="R197" s="44" t="e">
        <f t="shared" si="6"/>
        <v>#N/A</v>
      </c>
      <c r="S197" s="45" t="str">
        <f t="shared" si="7"/>
        <v>7792350067088</v>
      </c>
    </row>
    <row r="198" spans="1:19" hidden="1" x14ac:dyDescent="0.35">
      <c r="A198" s="22">
        <v>6</v>
      </c>
      <c r="B198" t="s">
        <v>801</v>
      </c>
      <c r="C198" t="s">
        <v>802</v>
      </c>
      <c r="D198"/>
      <c r="E198" t="s">
        <v>4336</v>
      </c>
      <c r="F198">
        <v>9003136</v>
      </c>
      <c r="G198" t="s">
        <v>4337</v>
      </c>
      <c r="H198" t="s">
        <v>805</v>
      </c>
      <c r="I198">
        <v>103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103</v>
      </c>
      <c r="P198" s="44" t="e">
        <f>_xlfn.XLOOKUP(Tabla5[[#This Row],[EAN CORREGIDO]],'Tabla Articulos'!B:B,'Tabla Articulos'!D:D)</f>
        <v>#N/A</v>
      </c>
      <c r="Q198" s="44" t="e">
        <f>_xlfn.XLOOKUP(S198,'Tabla Articulos'!B:B,'Tabla Articulos'!E:E)</f>
        <v>#N/A</v>
      </c>
      <c r="R198" s="44" t="e">
        <f t="shared" si="6"/>
        <v>#N/A</v>
      </c>
      <c r="S198" s="45" t="str">
        <f t="shared" si="7"/>
        <v>UNIF000598</v>
      </c>
    </row>
    <row r="199" spans="1:19" hidden="1" x14ac:dyDescent="0.35">
      <c r="A199" s="22">
        <v>6</v>
      </c>
      <c r="B199" t="s">
        <v>801</v>
      </c>
      <c r="C199" t="s">
        <v>802</v>
      </c>
      <c r="D199"/>
      <c r="E199" t="s">
        <v>4687</v>
      </c>
      <c r="F199">
        <v>9003572</v>
      </c>
      <c r="G199" t="s">
        <v>4688</v>
      </c>
      <c r="H199" t="s">
        <v>805</v>
      </c>
      <c r="I199">
        <v>30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30</v>
      </c>
      <c r="P199" s="44" t="e">
        <f>_xlfn.XLOOKUP(Tabla5[[#This Row],[EAN CORREGIDO]],'Tabla Articulos'!B:B,'Tabla Articulos'!D:D)</f>
        <v>#N/A</v>
      </c>
      <c r="Q199" s="44" t="e">
        <f>_xlfn.XLOOKUP(S199,'Tabla Articulos'!B:B,'Tabla Articulos'!E:E)</f>
        <v>#N/A</v>
      </c>
      <c r="R199" s="44" t="e">
        <f t="shared" si="6"/>
        <v>#N/A</v>
      </c>
      <c r="S199" s="45" t="str">
        <f t="shared" si="7"/>
        <v>UNIF000155</v>
      </c>
    </row>
    <row r="200" spans="1:19" hidden="1" x14ac:dyDescent="0.35">
      <c r="A200" s="22">
        <v>6</v>
      </c>
      <c r="B200" t="s">
        <v>801</v>
      </c>
      <c r="C200" t="s">
        <v>802</v>
      </c>
      <c r="D200" t="s">
        <v>1168</v>
      </c>
      <c r="E200" t="s">
        <v>4689</v>
      </c>
      <c r="F200">
        <v>2006703</v>
      </c>
      <c r="G200" t="s">
        <v>4690</v>
      </c>
      <c r="H200" t="s">
        <v>805</v>
      </c>
      <c r="I200">
        <v>6419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6419</v>
      </c>
      <c r="P200" s="44" t="e">
        <f>_xlfn.XLOOKUP(Tabla5[[#This Row],[EAN CORREGIDO]],'Tabla Articulos'!B:B,'Tabla Articulos'!D:D)</f>
        <v>#N/A</v>
      </c>
      <c r="Q200" s="44" t="e">
        <f>_xlfn.XLOOKUP(S200,'Tabla Articulos'!B:B,'Tabla Articulos'!E:E)</f>
        <v>#N/A</v>
      </c>
      <c r="R200" s="44" t="e">
        <f t="shared" si="6"/>
        <v>#N/A</v>
      </c>
      <c r="S200" s="45" t="str">
        <f t="shared" si="7"/>
        <v>7798188650072</v>
      </c>
    </row>
    <row r="201" spans="1:19" hidden="1" x14ac:dyDescent="0.35">
      <c r="A201" s="22">
        <v>1</v>
      </c>
      <c r="B201" t="s">
        <v>812</v>
      </c>
      <c r="C201" t="s">
        <v>802</v>
      </c>
      <c r="D201" t="s">
        <v>4691</v>
      </c>
      <c r="E201" t="s">
        <v>4692</v>
      </c>
      <c r="F201">
        <v>4018875</v>
      </c>
      <c r="G201" t="s">
        <v>4693</v>
      </c>
      <c r="H201" t="s">
        <v>805</v>
      </c>
      <c r="I201">
        <v>5055</v>
      </c>
      <c r="J201">
        <v>960</v>
      </c>
      <c r="K201">
        <v>0</v>
      </c>
      <c r="L201">
        <v>0</v>
      </c>
      <c r="M201">
        <v>22</v>
      </c>
      <c r="N201">
        <v>0</v>
      </c>
      <c r="O201">
        <v>5993</v>
      </c>
      <c r="P201" s="44" t="e">
        <f>_xlfn.XLOOKUP(Tabla5[[#This Row],[EAN CORREGIDO]],'Tabla Articulos'!B:B,'Tabla Articulos'!D:D)</f>
        <v>#N/A</v>
      </c>
      <c r="Q201" s="44" t="e">
        <f>_xlfn.XLOOKUP(S201,'Tabla Articulos'!B:B,'Tabla Articulos'!E:E)</f>
        <v>#N/A</v>
      </c>
      <c r="R201" s="44" t="e">
        <f t="shared" si="6"/>
        <v>#N/A</v>
      </c>
      <c r="S201" s="45" t="str">
        <f t="shared" si="7"/>
        <v>7798024290752</v>
      </c>
    </row>
    <row r="202" spans="1:19" hidden="1" x14ac:dyDescent="0.35">
      <c r="A202" s="22">
        <v>1</v>
      </c>
      <c r="B202" t="s">
        <v>812</v>
      </c>
      <c r="C202" t="s">
        <v>802</v>
      </c>
      <c r="D202" s="11" t="s">
        <v>2170</v>
      </c>
      <c r="E202" t="s">
        <v>4694</v>
      </c>
      <c r="F202">
        <v>4022319</v>
      </c>
      <c r="G202" t="s">
        <v>4695</v>
      </c>
      <c r="H202" t="s">
        <v>805</v>
      </c>
      <c r="I202">
        <v>15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15</v>
      </c>
      <c r="P202" s="44" t="e">
        <f>_xlfn.XLOOKUP(Tabla5[[#This Row],[EAN CORREGIDO]],'Tabla Articulos'!B:B,'Tabla Articulos'!D:D)</f>
        <v>#N/A</v>
      </c>
      <c r="Q202" s="44" t="e">
        <f>_xlfn.XLOOKUP(S202,'Tabla Articulos'!B:B,'Tabla Articulos'!E:E)</f>
        <v>#N/A</v>
      </c>
      <c r="R202" s="44" t="e">
        <f t="shared" si="6"/>
        <v>#N/A</v>
      </c>
      <c r="S202" s="45" t="str">
        <f t="shared" si="7"/>
        <v>7797906001950</v>
      </c>
    </row>
    <row r="203" spans="1:19" hidden="1" x14ac:dyDescent="0.35">
      <c r="A203" s="22">
        <v>1</v>
      </c>
      <c r="B203" t="s">
        <v>812</v>
      </c>
      <c r="C203" t="s">
        <v>802</v>
      </c>
      <c r="D203" s="11" t="s">
        <v>6684</v>
      </c>
      <c r="E203" t="s">
        <v>6685</v>
      </c>
      <c r="F203">
        <v>4018246</v>
      </c>
      <c r="G203" t="s">
        <v>6686</v>
      </c>
      <c r="H203" t="s">
        <v>816</v>
      </c>
      <c r="I203">
        <v>21.23</v>
      </c>
      <c r="J203">
        <v>0</v>
      </c>
      <c r="K203">
        <v>0</v>
      </c>
      <c r="L203">
        <v>0</v>
      </c>
      <c r="M203">
        <v>21.23</v>
      </c>
      <c r="N203">
        <v>0</v>
      </c>
      <c r="O203">
        <v>0</v>
      </c>
      <c r="P203" s="44" t="e">
        <f>_xlfn.XLOOKUP(Tabla5[[#This Row],[EAN CORREGIDO]],'Tabla Articulos'!B:B,'Tabla Articulos'!D:D)</f>
        <v>#N/A</v>
      </c>
      <c r="Q203" s="44" t="e">
        <f>_xlfn.XLOOKUP(S203,'Tabla Articulos'!B:B,'Tabla Articulos'!E:E)</f>
        <v>#N/A</v>
      </c>
      <c r="R203" s="44" t="e">
        <f t="shared" si="6"/>
        <v>#N/A</v>
      </c>
      <c r="S203" s="45" t="str">
        <f t="shared" si="7"/>
        <v>7790212060881</v>
      </c>
    </row>
    <row r="204" spans="1:19" hidden="1" x14ac:dyDescent="0.35">
      <c r="A204" s="22">
        <v>6</v>
      </c>
      <c r="B204" t="s">
        <v>801</v>
      </c>
      <c r="C204" t="s">
        <v>802</v>
      </c>
      <c r="D204" s="11" t="s">
        <v>2495</v>
      </c>
      <c r="E204" t="s">
        <v>5298</v>
      </c>
      <c r="F204">
        <v>2006565</v>
      </c>
      <c r="G204" t="s">
        <v>5299</v>
      </c>
      <c r="H204" t="s">
        <v>805</v>
      </c>
      <c r="I204">
        <v>2129</v>
      </c>
      <c r="J204">
        <v>1120</v>
      </c>
      <c r="K204">
        <v>0</v>
      </c>
      <c r="L204">
        <v>0</v>
      </c>
      <c r="M204">
        <v>0</v>
      </c>
      <c r="N204">
        <v>0</v>
      </c>
      <c r="O204">
        <v>3249</v>
      </c>
      <c r="P204" s="44" t="e">
        <f>_xlfn.XLOOKUP(Tabla5[[#This Row],[EAN CORREGIDO]],'Tabla Articulos'!B:B,'Tabla Articulos'!D:D)</f>
        <v>#N/A</v>
      </c>
      <c r="Q204" s="44" t="e">
        <f>_xlfn.XLOOKUP(S204,'Tabla Articulos'!B:B,'Tabla Articulos'!E:E)</f>
        <v>#N/A</v>
      </c>
      <c r="R204" s="44" t="e">
        <f t="shared" si="6"/>
        <v>#N/A</v>
      </c>
      <c r="S204" s="45" t="str">
        <f t="shared" si="7"/>
        <v>7798188650393</v>
      </c>
    </row>
    <row r="205" spans="1:19" hidden="1" x14ac:dyDescent="0.35">
      <c r="A205" s="22">
        <v>6</v>
      </c>
      <c r="B205" t="s">
        <v>801</v>
      </c>
      <c r="C205" t="s">
        <v>802</v>
      </c>
      <c r="D205"/>
      <c r="E205" t="s">
        <v>5300</v>
      </c>
      <c r="F205">
        <v>9003886</v>
      </c>
      <c r="G205" t="s">
        <v>5301</v>
      </c>
      <c r="H205" t="s">
        <v>805</v>
      </c>
      <c r="I205">
        <v>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8</v>
      </c>
      <c r="P205" s="44" t="e">
        <f>_xlfn.XLOOKUP(Tabla5[[#This Row],[EAN CORREGIDO]],'Tabla Articulos'!B:B,'Tabla Articulos'!D:D)</f>
        <v>#N/A</v>
      </c>
      <c r="Q205" s="44" t="e">
        <f>_xlfn.XLOOKUP(S205,'Tabla Articulos'!B:B,'Tabla Articulos'!E:E)</f>
        <v>#N/A</v>
      </c>
      <c r="R205" s="44" t="e">
        <f t="shared" si="6"/>
        <v>#N/A</v>
      </c>
      <c r="S205" s="45" t="str">
        <f t="shared" si="7"/>
        <v>BAZ001356</v>
      </c>
    </row>
    <row r="206" spans="1:19" hidden="1" x14ac:dyDescent="0.35">
      <c r="A206" s="22">
        <v>6</v>
      </c>
      <c r="B206" t="s">
        <v>801</v>
      </c>
      <c r="C206" t="s">
        <v>802</v>
      </c>
      <c r="E206" t="s">
        <v>5302</v>
      </c>
      <c r="F206">
        <v>9003082</v>
      </c>
      <c r="G206" t="s">
        <v>5303</v>
      </c>
      <c r="H206" t="s">
        <v>805</v>
      </c>
      <c r="I206">
        <v>10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10</v>
      </c>
      <c r="P206" s="44" t="e">
        <f>_xlfn.XLOOKUP(Tabla5[[#This Row],[EAN CORREGIDO]],'Tabla Articulos'!B:B,'Tabla Articulos'!D:D)</f>
        <v>#N/A</v>
      </c>
      <c r="Q206" s="44" t="e">
        <f>_xlfn.XLOOKUP(S206,'Tabla Articulos'!B:B,'Tabla Articulos'!E:E)</f>
        <v>#N/A</v>
      </c>
      <c r="R206" s="44" t="e">
        <f t="shared" si="6"/>
        <v>#N/A</v>
      </c>
      <c r="S206" s="45" t="str">
        <f t="shared" si="7"/>
        <v>UNIF000544</v>
      </c>
    </row>
    <row r="207" spans="1:19" hidden="1" x14ac:dyDescent="0.35">
      <c r="A207" s="22">
        <v>6</v>
      </c>
      <c r="B207" t="s">
        <v>801</v>
      </c>
      <c r="C207" t="s">
        <v>802</v>
      </c>
      <c r="D207"/>
      <c r="E207" t="s">
        <v>5304</v>
      </c>
      <c r="F207">
        <v>9003506</v>
      </c>
      <c r="G207" t="s">
        <v>1763</v>
      </c>
      <c r="H207" t="s">
        <v>805</v>
      </c>
      <c r="I207">
        <v>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5</v>
      </c>
      <c r="P207" s="44" t="e">
        <f>_xlfn.XLOOKUP(Tabla5[[#This Row],[EAN CORREGIDO]],'Tabla Articulos'!B:B,'Tabla Articulos'!D:D)</f>
        <v>#N/A</v>
      </c>
      <c r="Q207" s="44" t="e">
        <f>_xlfn.XLOOKUP(S207,'Tabla Articulos'!B:B,'Tabla Articulos'!E:E)</f>
        <v>#N/A</v>
      </c>
      <c r="R207" s="44" t="e">
        <f t="shared" si="6"/>
        <v>#N/A</v>
      </c>
      <c r="S207" s="45" t="str">
        <f t="shared" si="7"/>
        <v>UNIF000238</v>
      </c>
    </row>
    <row r="208" spans="1:19" hidden="1" x14ac:dyDescent="0.35">
      <c r="A208" s="22">
        <v>1</v>
      </c>
      <c r="B208" t="s">
        <v>812</v>
      </c>
      <c r="C208" t="s">
        <v>802</v>
      </c>
      <c r="D208" t="s">
        <v>1363</v>
      </c>
      <c r="E208" t="s">
        <v>2031</v>
      </c>
      <c r="F208">
        <v>4024426</v>
      </c>
      <c r="G208" t="s">
        <v>2032</v>
      </c>
      <c r="H208" t="s">
        <v>805</v>
      </c>
      <c r="I208">
        <v>37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37</v>
      </c>
      <c r="P208" s="44" t="e">
        <f>_xlfn.XLOOKUP(Tabla5[[#This Row],[EAN CORREGIDO]],'Tabla Articulos'!B:B,'Tabla Articulos'!D:D)</f>
        <v>#N/A</v>
      </c>
      <c r="Q208" s="44" t="e">
        <f>_xlfn.XLOOKUP(S208,'Tabla Articulos'!B:B,'Tabla Articulos'!E:E)</f>
        <v>#N/A</v>
      </c>
      <c r="R208" s="44" t="e">
        <f t="shared" si="6"/>
        <v>#N/A</v>
      </c>
      <c r="S208" s="45" t="str">
        <f t="shared" si="7"/>
        <v>7790150411391</v>
      </c>
    </row>
    <row r="209" spans="1:19" hidden="1" x14ac:dyDescent="0.35">
      <c r="A209" s="22">
        <v>6</v>
      </c>
      <c r="B209" t="s">
        <v>801</v>
      </c>
      <c r="C209" t="s">
        <v>802</v>
      </c>
      <c r="D209"/>
      <c r="E209" t="s">
        <v>2033</v>
      </c>
      <c r="F209">
        <v>9003850</v>
      </c>
      <c r="G209" t="s">
        <v>2034</v>
      </c>
      <c r="H209" t="s">
        <v>805</v>
      </c>
      <c r="I209">
        <v>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</v>
      </c>
      <c r="P209" s="44" t="e">
        <f>_xlfn.XLOOKUP(Tabla5[[#This Row],[EAN CORREGIDO]],'Tabla Articulos'!B:B,'Tabla Articulos'!D:D)</f>
        <v>#N/A</v>
      </c>
      <c r="Q209" s="44" t="e">
        <f>_xlfn.XLOOKUP(S209,'Tabla Articulos'!B:B,'Tabla Articulos'!E:E)</f>
        <v>#N/A</v>
      </c>
      <c r="R209" s="44" t="e">
        <f t="shared" si="6"/>
        <v>#N/A</v>
      </c>
      <c r="S209" s="45" t="str">
        <f t="shared" si="7"/>
        <v>BAZ001224</v>
      </c>
    </row>
    <row r="210" spans="1:19" hidden="1" x14ac:dyDescent="0.35">
      <c r="A210" s="22">
        <v>5</v>
      </c>
      <c r="B210" t="s">
        <v>829</v>
      </c>
      <c r="C210" t="s">
        <v>802</v>
      </c>
      <c r="D210" s="11" t="s">
        <v>2035</v>
      </c>
      <c r="E210" t="s">
        <v>2036</v>
      </c>
      <c r="F210">
        <v>4020755</v>
      </c>
      <c r="G210" t="s">
        <v>2037</v>
      </c>
      <c r="H210" t="s">
        <v>805</v>
      </c>
      <c r="I210">
        <v>34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34</v>
      </c>
      <c r="P210" s="44" t="e">
        <f>_xlfn.XLOOKUP(Tabla5[[#This Row],[EAN CORREGIDO]],'Tabla Articulos'!B:B,'Tabla Articulos'!D:D)</f>
        <v>#N/A</v>
      </c>
      <c r="Q210" s="44" t="e">
        <f>_xlfn.XLOOKUP(S210,'Tabla Articulos'!B:B,'Tabla Articulos'!E:E)</f>
        <v>#N/A</v>
      </c>
      <c r="R210" s="44" t="e">
        <f t="shared" si="6"/>
        <v>#N/A</v>
      </c>
      <c r="S210" s="45" t="str">
        <f t="shared" si="7"/>
        <v>7793875313032</v>
      </c>
    </row>
    <row r="211" spans="1:19" hidden="1" x14ac:dyDescent="0.35">
      <c r="A211" s="22">
        <v>1</v>
      </c>
      <c r="B211" t="s">
        <v>812</v>
      </c>
      <c r="C211" t="s">
        <v>802</v>
      </c>
      <c r="D211" s="11" t="s">
        <v>2035</v>
      </c>
      <c r="E211" t="s">
        <v>2036</v>
      </c>
      <c r="F211">
        <v>4020755</v>
      </c>
      <c r="G211" t="s">
        <v>2037</v>
      </c>
      <c r="H211" t="s">
        <v>805</v>
      </c>
      <c r="I211">
        <v>142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142</v>
      </c>
      <c r="P211" s="44" t="e">
        <f>_xlfn.XLOOKUP(Tabla5[[#This Row],[EAN CORREGIDO]],'Tabla Articulos'!B:B,'Tabla Articulos'!D:D)</f>
        <v>#N/A</v>
      </c>
      <c r="Q211" s="44" t="e">
        <f>_xlfn.XLOOKUP(S211,'Tabla Articulos'!B:B,'Tabla Articulos'!E:E)</f>
        <v>#N/A</v>
      </c>
      <c r="R211" s="44" t="e">
        <f t="shared" si="6"/>
        <v>#N/A</v>
      </c>
      <c r="S211" s="45" t="str">
        <f t="shared" si="7"/>
        <v>7793875313032</v>
      </c>
    </row>
    <row r="212" spans="1:19" hidden="1" x14ac:dyDescent="0.35">
      <c r="A212" s="22">
        <v>6</v>
      </c>
      <c r="B212" t="s">
        <v>801</v>
      </c>
      <c r="C212" t="s">
        <v>802</v>
      </c>
      <c r="E212" t="s">
        <v>2038</v>
      </c>
      <c r="F212">
        <v>9003634</v>
      </c>
      <c r="G212" t="s">
        <v>1788</v>
      </c>
      <c r="H212" t="s">
        <v>805</v>
      </c>
      <c r="I212">
        <v>16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16</v>
      </c>
      <c r="P212" s="44" t="e">
        <f>_xlfn.XLOOKUP(Tabla5[[#This Row],[EAN CORREGIDO]],'Tabla Articulos'!B:B,'Tabla Articulos'!D:D)</f>
        <v>#N/A</v>
      </c>
      <c r="Q212" s="44" t="e">
        <f>_xlfn.XLOOKUP(S212,'Tabla Articulos'!B:B,'Tabla Articulos'!E:E)</f>
        <v>#N/A</v>
      </c>
      <c r="R212" s="44" t="e">
        <f t="shared" si="6"/>
        <v>#N/A</v>
      </c>
      <c r="S212" s="45" t="str">
        <f t="shared" si="7"/>
        <v>UNIF000370</v>
      </c>
    </row>
    <row r="213" spans="1:19" hidden="1" x14ac:dyDescent="0.35">
      <c r="A213" s="22">
        <v>1</v>
      </c>
      <c r="B213" t="s">
        <v>812</v>
      </c>
      <c r="C213" t="s">
        <v>802</v>
      </c>
      <c r="D213" s="11" t="s">
        <v>1252</v>
      </c>
      <c r="E213" t="s">
        <v>2039</v>
      </c>
      <c r="F213">
        <v>4018524</v>
      </c>
      <c r="G213" t="s">
        <v>2040</v>
      </c>
      <c r="H213" t="s">
        <v>805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 s="44" t="e">
        <f>_xlfn.XLOOKUP(Tabla5[[#This Row],[EAN CORREGIDO]],'Tabla Articulos'!B:B,'Tabla Articulos'!D:D)</f>
        <v>#N/A</v>
      </c>
      <c r="Q213" s="44" t="e">
        <f>_xlfn.XLOOKUP(S213,'Tabla Articulos'!B:B,'Tabla Articulos'!E:E)</f>
        <v>#N/A</v>
      </c>
      <c r="R213" s="44" t="e">
        <f t="shared" si="6"/>
        <v>#N/A</v>
      </c>
      <c r="S213" s="45" t="str">
        <f t="shared" si="7"/>
        <v>7798041132483</v>
      </c>
    </row>
    <row r="214" spans="1:19" hidden="1" x14ac:dyDescent="0.35">
      <c r="A214" s="22">
        <v>6</v>
      </c>
      <c r="B214" t="s">
        <v>801</v>
      </c>
      <c r="C214" t="s">
        <v>802</v>
      </c>
      <c r="D214"/>
      <c r="E214" t="s">
        <v>2041</v>
      </c>
      <c r="F214">
        <v>9003632</v>
      </c>
      <c r="G214" t="s">
        <v>2042</v>
      </c>
      <c r="H214" t="s">
        <v>805</v>
      </c>
      <c r="I214">
        <v>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</v>
      </c>
      <c r="P214" s="44" t="e">
        <f>_xlfn.XLOOKUP(Tabla5[[#This Row],[EAN CORREGIDO]],'Tabla Articulos'!B:B,'Tabla Articulos'!D:D)</f>
        <v>#N/A</v>
      </c>
      <c r="Q214" s="44" t="e">
        <f>_xlfn.XLOOKUP(S214,'Tabla Articulos'!B:B,'Tabla Articulos'!E:E)</f>
        <v>#N/A</v>
      </c>
      <c r="R214" s="44" t="e">
        <f t="shared" si="6"/>
        <v>#N/A</v>
      </c>
      <c r="S214" s="45" t="str">
        <f t="shared" si="7"/>
        <v>UNIF000368</v>
      </c>
    </row>
    <row r="215" spans="1:19" hidden="1" x14ac:dyDescent="0.35">
      <c r="A215" s="22">
        <v>5</v>
      </c>
      <c r="B215" t="s">
        <v>829</v>
      </c>
      <c r="C215" t="s">
        <v>802</v>
      </c>
      <c r="D215" t="s">
        <v>1663</v>
      </c>
      <c r="E215" t="s">
        <v>2043</v>
      </c>
      <c r="F215">
        <v>4019420</v>
      </c>
      <c r="G215" t="s">
        <v>2044</v>
      </c>
      <c r="H215" t="s">
        <v>805</v>
      </c>
      <c r="I215">
        <v>245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245</v>
      </c>
      <c r="P215" s="44" t="e">
        <f>_xlfn.XLOOKUP(Tabla5[[#This Row],[EAN CORREGIDO]],'Tabla Articulos'!B:B,'Tabla Articulos'!D:D)</f>
        <v>#N/A</v>
      </c>
      <c r="Q215" s="44" t="e">
        <f>_xlfn.XLOOKUP(S215,'Tabla Articulos'!B:B,'Tabla Articulos'!E:E)</f>
        <v>#N/A</v>
      </c>
      <c r="R215" s="44" t="e">
        <f t="shared" si="6"/>
        <v>#N/A</v>
      </c>
      <c r="S215" s="45" t="str">
        <f t="shared" si="7"/>
        <v>7790070336149</v>
      </c>
    </row>
    <row r="216" spans="1:19" hidden="1" x14ac:dyDescent="0.35">
      <c r="A216" s="22">
        <v>6</v>
      </c>
      <c r="B216" t="s">
        <v>801</v>
      </c>
      <c r="C216" t="s">
        <v>802</v>
      </c>
      <c r="D216"/>
      <c r="E216" t="s">
        <v>4658</v>
      </c>
      <c r="F216">
        <v>9003773</v>
      </c>
      <c r="G216" t="s">
        <v>4659</v>
      </c>
      <c r="H216" t="s">
        <v>805</v>
      </c>
      <c r="I216">
        <v>136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136</v>
      </c>
      <c r="P216" s="44" t="e">
        <f>_xlfn.XLOOKUP(Tabla5[[#This Row],[EAN CORREGIDO]],'Tabla Articulos'!B:B,'Tabla Articulos'!D:D)</f>
        <v>#N/A</v>
      </c>
      <c r="Q216" s="44" t="e">
        <f>_xlfn.XLOOKUP(S216,'Tabla Articulos'!B:B,'Tabla Articulos'!E:E)</f>
        <v>#N/A</v>
      </c>
      <c r="R216" s="44" t="e">
        <f t="shared" si="6"/>
        <v>#N/A</v>
      </c>
      <c r="S216" s="45" t="str">
        <f t="shared" si="7"/>
        <v>BAZ001164</v>
      </c>
    </row>
    <row r="217" spans="1:19" hidden="1" x14ac:dyDescent="0.35">
      <c r="A217" s="22">
        <v>6</v>
      </c>
      <c r="B217" t="s">
        <v>801</v>
      </c>
      <c r="C217" t="s">
        <v>802</v>
      </c>
      <c r="E217" t="s">
        <v>4660</v>
      </c>
      <c r="F217">
        <v>9003398</v>
      </c>
      <c r="G217" t="s">
        <v>4661</v>
      </c>
      <c r="H217" t="s">
        <v>805</v>
      </c>
      <c r="I217">
        <v>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38</v>
      </c>
      <c r="P217" s="44" t="e">
        <f>_xlfn.XLOOKUP(Tabla5[[#This Row],[EAN CORREGIDO]],'Tabla Articulos'!B:B,'Tabla Articulos'!D:D)</f>
        <v>#N/A</v>
      </c>
      <c r="Q217" s="44" t="e">
        <f>_xlfn.XLOOKUP(S217,'Tabla Articulos'!B:B,'Tabla Articulos'!E:E)</f>
        <v>#N/A</v>
      </c>
      <c r="R217" s="44" t="e">
        <f t="shared" si="6"/>
        <v>#N/A</v>
      </c>
      <c r="S217" s="45" t="str">
        <f t="shared" si="7"/>
        <v>UNIF000515</v>
      </c>
    </row>
    <row r="218" spans="1:19" hidden="1" x14ac:dyDescent="0.35">
      <c r="A218" s="22">
        <v>1</v>
      </c>
      <c r="B218" t="s">
        <v>812</v>
      </c>
      <c r="C218" t="s">
        <v>802</v>
      </c>
      <c r="D218" s="11" t="s">
        <v>1025</v>
      </c>
      <c r="E218" t="s">
        <v>4662</v>
      </c>
      <c r="F218">
        <v>4024755</v>
      </c>
      <c r="G218" t="s">
        <v>4663</v>
      </c>
      <c r="H218" t="s">
        <v>805</v>
      </c>
      <c r="I218">
        <v>10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10</v>
      </c>
      <c r="P218" s="44" t="e">
        <f>_xlfn.XLOOKUP(Tabla5[[#This Row],[EAN CORREGIDO]],'Tabla Articulos'!B:B,'Tabla Articulos'!D:D)</f>
        <v>#N/A</v>
      </c>
      <c r="Q218" s="44" t="e">
        <f>_xlfn.XLOOKUP(S218,'Tabla Articulos'!B:B,'Tabla Articulos'!E:E)</f>
        <v>#N/A</v>
      </c>
      <c r="R218" s="44" t="e">
        <f t="shared" si="6"/>
        <v>#N/A</v>
      </c>
      <c r="S218" s="45" t="str">
        <f t="shared" si="7"/>
        <v>17792180005738</v>
      </c>
    </row>
    <row r="219" spans="1:19" hidden="1" x14ac:dyDescent="0.35">
      <c r="A219" s="22">
        <v>1</v>
      </c>
      <c r="B219" t="s">
        <v>812</v>
      </c>
      <c r="C219" t="s">
        <v>802</v>
      </c>
      <c r="D219" s="11" t="s">
        <v>3965</v>
      </c>
      <c r="E219" t="s">
        <v>3966</v>
      </c>
      <c r="F219">
        <v>4076548</v>
      </c>
      <c r="G219" t="s">
        <v>3967</v>
      </c>
      <c r="H219" t="s">
        <v>805</v>
      </c>
      <c r="I219">
        <v>37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37</v>
      </c>
      <c r="P219" s="44" t="e">
        <f>_xlfn.XLOOKUP(Tabla5[[#This Row],[EAN CORREGIDO]],'Tabla Articulos'!B:B,'Tabla Articulos'!D:D)</f>
        <v>#N/A</v>
      </c>
      <c r="Q219" s="44" t="e">
        <f>_xlfn.XLOOKUP(S219,'Tabla Articulos'!B:B,'Tabla Articulos'!E:E)</f>
        <v>#N/A</v>
      </c>
      <c r="R219" s="44" t="e">
        <f t="shared" si="6"/>
        <v>#N/A</v>
      </c>
      <c r="S219" s="45" t="str">
        <f t="shared" si="7"/>
        <v>7798184272681</v>
      </c>
    </row>
    <row r="220" spans="1:19" hidden="1" x14ac:dyDescent="0.35">
      <c r="A220" s="22">
        <v>1</v>
      </c>
      <c r="B220" t="s">
        <v>812</v>
      </c>
      <c r="C220" t="s">
        <v>802</v>
      </c>
      <c r="D220" s="11" t="s">
        <v>2891</v>
      </c>
      <c r="E220" t="s">
        <v>3968</v>
      </c>
      <c r="F220">
        <v>4020220</v>
      </c>
      <c r="G220" t="s">
        <v>3969</v>
      </c>
      <c r="H220" t="s">
        <v>805</v>
      </c>
      <c r="I220">
        <v>19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19</v>
      </c>
      <c r="P220" s="44" t="e">
        <f>_xlfn.XLOOKUP(Tabla5[[#This Row],[EAN CORREGIDO]],'Tabla Articulos'!B:B,'Tabla Articulos'!D:D)</f>
        <v>#N/A</v>
      </c>
      <c r="Q220" s="44" t="e">
        <f>_xlfn.XLOOKUP(S220,'Tabla Articulos'!B:B,'Tabla Articulos'!E:E)</f>
        <v>#N/A</v>
      </c>
      <c r="R220" s="44" t="e">
        <f t="shared" si="6"/>
        <v>#N/A</v>
      </c>
      <c r="S220" s="45" t="str">
        <f t="shared" si="7"/>
        <v>7793875314732</v>
      </c>
    </row>
    <row r="221" spans="1:19" hidden="1" x14ac:dyDescent="0.35">
      <c r="A221" s="22">
        <v>1</v>
      </c>
      <c r="B221" t="s">
        <v>812</v>
      </c>
      <c r="C221" t="s">
        <v>802</v>
      </c>
      <c r="D221" t="s">
        <v>3970</v>
      </c>
      <c r="E221" t="s">
        <v>3971</v>
      </c>
      <c r="F221">
        <v>4018381</v>
      </c>
      <c r="G221" t="s">
        <v>3972</v>
      </c>
      <c r="H221" t="s">
        <v>805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3</v>
      </c>
      <c r="P221" s="44" t="e">
        <f>_xlfn.XLOOKUP(Tabla5[[#This Row],[EAN CORREGIDO]],'Tabla Articulos'!B:B,'Tabla Articulos'!D:D)</f>
        <v>#N/A</v>
      </c>
      <c r="Q221" s="44" t="e">
        <f>_xlfn.XLOOKUP(S221,'Tabla Articulos'!B:B,'Tabla Articulos'!E:E)</f>
        <v>#N/A</v>
      </c>
      <c r="R221" s="44" t="e">
        <f t="shared" si="6"/>
        <v>#N/A</v>
      </c>
      <c r="S221" s="45" t="str">
        <f t="shared" si="7"/>
        <v>7790742335807</v>
      </c>
    </row>
    <row r="222" spans="1:19" hidden="1" x14ac:dyDescent="0.35">
      <c r="A222" s="22">
        <v>1</v>
      </c>
      <c r="B222" t="s">
        <v>812</v>
      </c>
      <c r="C222" t="s">
        <v>802</v>
      </c>
      <c r="D222" s="11" t="s">
        <v>1473</v>
      </c>
      <c r="E222" t="s">
        <v>1474</v>
      </c>
      <c r="F222">
        <v>4018714</v>
      </c>
      <c r="G222" t="s">
        <v>1475</v>
      </c>
      <c r="H222" t="s">
        <v>805</v>
      </c>
      <c r="I222">
        <v>48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48</v>
      </c>
      <c r="P222" s="44" t="e">
        <f>_xlfn.XLOOKUP(Tabla5[[#This Row],[EAN CORREGIDO]],'Tabla Articulos'!B:B,'Tabla Articulos'!D:D)</f>
        <v>#N/A</v>
      </c>
      <c r="Q222" s="44" t="e">
        <f>_xlfn.XLOOKUP(S222,'Tabla Articulos'!B:B,'Tabla Articulos'!E:E)</f>
        <v>#N/A</v>
      </c>
      <c r="R222" s="44" t="e">
        <f t="shared" si="6"/>
        <v>#N/A</v>
      </c>
      <c r="S222" s="45" t="str">
        <f t="shared" si="7"/>
        <v>7795711003596</v>
      </c>
    </row>
    <row r="223" spans="1:19" hidden="1" x14ac:dyDescent="0.35">
      <c r="A223" s="22">
        <v>1</v>
      </c>
      <c r="B223" t="s">
        <v>812</v>
      </c>
      <c r="C223" t="s">
        <v>802</v>
      </c>
      <c r="D223" s="11" t="s">
        <v>1476</v>
      </c>
      <c r="E223" t="s">
        <v>1477</v>
      </c>
      <c r="F223">
        <v>4017478</v>
      </c>
      <c r="G223" t="s">
        <v>1478</v>
      </c>
      <c r="H223" t="s">
        <v>805</v>
      </c>
      <c r="I223">
        <v>311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311</v>
      </c>
      <c r="P223" s="44" t="e">
        <f>_xlfn.XLOOKUP(Tabla5[[#This Row],[EAN CORREGIDO]],'Tabla Articulos'!B:B,'Tabla Articulos'!D:D)</f>
        <v>#N/A</v>
      </c>
      <c r="Q223" s="44" t="e">
        <f>_xlfn.XLOOKUP(S223,'Tabla Articulos'!B:B,'Tabla Articulos'!E:E)</f>
        <v>#N/A</v>
      </c>
      <c r="R223" s="44" t="e">
        <f t="shared" si="6"/>
        <v>#N/A</v>
      </c>
      <c r="S223" s="45" t="str">
        <f t="shared" si="7"/>
        <v>7790174001349</v>
      </c>
    </row>
    <row r="224" spans="1:19" hidden="1" x14ac:dyDescent="0.35">
      <c r="A224" s="22">
        <v>1</v>
      </c>
      <c r="B224" t="s">
        <v>812</v>
      </c>
      <c r="C224" t="s">
        <v>802</v>
      </c>
      <c r="D224" t="s">
        <v>1479</v>
      </c>
      <c r="E224" t="s">
        <v>1480</v>
      </c>
      <c r="F224">
        <v>4023141</v>
      </c>
      <c r="G224" t="s">
        <v>1481</v>
      </c>
      <c r="H224" t="s">
        <v>805</v>
      </c>
      <c r="I224">
        <v>10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10</v>
      </c>
      <c r="P224" s="44" t="e">
        <f>_xlfn.XLOOKUP(Tabla5[[#This Row],[EAN CORREGIDO]],'Tabla Articulos'!B:B,'Tabla Articulos'!D:D)</f>
        <v>#N/A</v>
      </c>
      <c r="Q224" s="44" t="e">
        <f>_xlfn.XLOOKUP(S224,'Tabla Articulos'!B:B,'Tabla Articulos'!E:E)</f>
        <v>#N/A</v>
      </c>
      <c r="R224" s="44" t="e">
        <f t="shared" si="6"/>
        <v>#N/A</v>
      </c>
      <c r="S224" s="45" t="str">
        <f t="shared" si="7"/>
        <v>7790580129644</v>
      </c>
    </row>
    <row r="225" spans="1:19" hidden="1" x14ac:dyDescent="0.35">
      <c r="A225" s="22">
        <v>6</v>
      </c>
      <c r="B225" t="s">
        <v>801</v>
      </c>
      <c r="C225" t="s">
        <v>802</v>
      </c>
      <c r="D225" t="s">
        <v>293</v>
      </c>
      <c r="E225" t="s">
        <v>1482</v>
      </c>
      <c r="F225">
        <v>2006953</v>
      </c>
      <c r="G225" t="s">
        <v>1483</v>
      </c>
      <c r="H225" t="s">
        <v>805</v>
      </c>
      <c r="I225">
        <v>928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928</v>
      </c>
      <c r="P225" s="44" t="str">
        <f>_xlfn.XLOOKUP(Tabla5[[#This Row],[EAN CORREGIDO]],'Tabla Articulos'!B:B,'Tabla Articulos'!D:D)</f>
        <v>CAMISETA BLANCA 40X50</v>
      </c>
      <c r="Q225" s="44">
        <f>_xlfn.XLOOKUP(S225,'Tabla Articulos'!B:B,'Tabla Articulos'!E:E)</f>
        <v>50</v>
      </c>
      <c r="R225" s="44">
        <f t="shared" si="6"/>
        <v>46400</v>
      </c>
      <c r="S225" s="45" t="str">
        <f t="shared" si="7"/>
        <v>7795618001244</v>
      </c>
    </row>
    <row r="226" spans="1:19" hidden="1" x14ac:dyDescent="0.35">
      <c r="A226" s="22">
        <v>6</v>
      </c>
      <c r="B226" t="s">
        <v>801</v>
      </c>
      <c r="C226" t="s">
        <v>802</v>
      </c>
      <c r="D226"/>
      <c r="E226" t="s">
        <v>1989</v>
      </c>
      <c r="F226">
        <v>9003754</v>
      </c>
      <c r="G226" t="s">
        <v>1990</v>
      </c>
      <c r="H226" t="s">
        <v>805</v>
      </c>
      <c r="I226">
        <v>951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951</v>
      </c>
      <c r="P226" s="44" t="e">
        <f>_xlfn.XLOOKUP(Tabla5[[#This Row],[EAN CORREGIDO]],'Tabla Articulos'!B:B,'Tabla Articulos'!D:D)</f>
        <v>#N/A</v>
      </c>
      <c r="Q226" s="44" t="e">
        <f>_xlfn.XLOOKUP(S226,'Tabla Articulos'!B:B,'Tabla Articulos'!E:E)</f>
        <v>#N/A</v>
      </c>
      <c r="R226" s="44" t="e">
        <f t="shared" si="6"/>
        <v>#N/A</v>
      </c>
      <c r="S226" s="45" t="str">
        <f t="shared" si="7"/>
        <v>BAZ001338</v>
      </c>
    </row>
    <row r="227" spans="1:19" hidden="1" x14ac:dyDescent="0.35">
      <c r="A227" s="22">
        <v>6</v>
      </c>
      <c r="B227" t="s">
        <v>801</v>
      </c>
      <c r="C227" t="s">
        <v>802</v>
      </c>
      <c r="E227" t="s">
        <v>1991</v>
      </c>
      <c r="F227">
        <v>9003195</v>
      </c>
      <c r="G227" t="s">
        <v>1992</v>
      </c>
      <c r="H227" t="s">
        <v>805</v>
      </c>
      <c r="I227">
        <v>13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13</v>
      </c>
      <c r="P227" s="44" t="e">
        <f>_xlfn.XLOOKUP(Tabla5[[#This Row],[EAN CORREGIDO]],'Tabla Articulos'!B:B,'Tabla Articulos'!D:D)</f>
        <v>#N/A</v>
      </c>
      <c r="Q227" s="44" t="e">
        <f>_xlfn.XLOOKUP(S227,'Tabla Articulos'!B:B,'Tabla Articulos'!E:E)</f>
        <v>#N/A</v>
      </c>
      <c r="R227" s="44" t="e">
        <f t="shared" si="6"/>
        <v>#N/A</v>
      </c>
      <c r="S227" s="45" t="str">
        <f t="shared" si="7"/>
        <v>UNIF000321</v>
      </c>
    </row>
    <row r="228" spans="1:19" hidden="1" x14ac:dyDescent="0.35">
      <c r="A228" s="22">
        <v>6</v>
      </c>
      <c r="B228" t="s">
        <v>801</v>
      </c>
      <c r="C228" t="s">
        <v>802</v>
      </c>
      <c r="D228" t="s">
        <v>1198</v>
      </c>
      <c r="E228" t="s">
        <v>1993</v>
      </c>
      <c r="F228">
        <v>2016726</v>
      </c>
      <c r="G228" t="s">
        <v>1994</v>
      </c>
      <c r="H228" t="s">
        <v>805</v>
      </c>
      <c r="I228">
        <v>164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164</v>
      </c>
      <c r="P228" s="44" t="e">
        <f>_xlfn.XLOOKUP(Tabla5[[#This Row],[EAN CORREGIDO]],'Tabla Articulos'!B:B,'Tabla Articulos'!D:D)</f>
        <v>#N/A</v>
      </c>
      <c r="Q228" s="44" t="e">
        <f>_xlfn.XLOOKUP(S228,'Tabla Articulos'!B:B,'Tabla Articulos'!E:E)</f>
        <v>#N/A</v>
      </c>
      <c r="R228" s="44" t="e">
        <f t="shared" si="6"/>
        <v>#N/A</v>
      </c>
      <c r="S228" s="45" t="str">
        <f t="shared" si="7"/>
        <v>7797390401274</v>
      </c>
    </row>
    <row r="229" spans="1:19" hidden="1" x14ac:dyDescent="0.35">
      <c r="A229" s="22">
        <v>6</v>
      </c>
      <c r="B229" t="s">
        <v>801</v>
      </c>
      <c r="C229" t="s">
        <v>802</v>
      </c>
      <c r="D229"/>
      <c r="E229" t="s">
        <v>3938</v>
      </c>
      <c r="F229">
        <v>9003301</v>
      </c>
      <c r="G229" t="s">
        <v>3939</v>
      </c>
      <c r="H229" t="s">
        <v>805</v>
      </c>
      <c r="I229">
        <v>389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389</v>
      </c>
      <c r="P229" s="44" t="e">
        <f>_xlfn.XLOOKUP(Tabla5[[#This Row],[EAN CORREGIDO]],'Tabla Articulos'!B:B,'Tabla Articulos'!D:D)</f>
        <v>#N/A</v>
      </c>
      <c r="Q229" s="44" t="e">
        <f>_xlfn.XLOOKUP(S229,'Tabla Articulos'!B:B,'Tabla Articulos'!E:E)</f>
        <v>#N/A</v>
      </c>
      <c r="R229" s="44" t="e">
        <f t="shared" si="6"/>
        <v>#N/A</v>
      </c>
      <c r="S229" s="45" t="str">
        <f t="shared" si="7"/>
        <v>UNIF000048</v>
      </c>
    </row>
    <row r="230" spans="1:19" hidden="1" x14ac:dyDescent="0.35">
      <c r="A230" s="22">
        <v>6</v>
      </c>
      <c r="B230" t="s">
        <v>801</v>
      </c>
      <c r="C230" t="s">
        <v>802</v>
      </c>
      <c r="E230" t="s">
        <v>3940</v>
      </c>
      <c r="F230">
        <v>9003175</v>
      </c>
      <c r="G230" t="s">
        <v>3941</v>
      </c>
      <c r="H230" t="s">
        <v>805</v>
      </c>
      <c r="I230">
        <v>16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16</v>
      </c>
      <c r="P230" s="44" t="e">
        <f>_xlfn.XLOOKUP(Tabla5[[#This Row],[EAN CORREGIDO]],'Tabla Articulos'!B:B,'Tabla Articulos'!D:D)</f>
        <v>#N/A</v>
      </c>
      <c r="Q230" s="44" t="e">
        <f>_xlfn.XLOOKUP(S230,'Tabla Articulos'!B:B,'Tabla Articulos'!E:E)</f>
        <v>#N/A</v>
      </c>
      <c r="R230" s="44" t="e">
        <f t="shared" si="6"/>
        <v>#N/A</v>
      </c>
      <c r="S230" s="45" t="str">
        <f t="shared" si="7"/>
        <v>UNIF000301</v>
      </c>
    </row>
    <row r="231" spans="1:19" hidden="1" x14ac:dyDescent="0.35">
      <c r="A231" s="22">
        <v>6</v>
      </c>
      <c r="B231" t="s">
        <v>801</v>
      </c>
      <c r="C231" t="s">
        <v>802</v>
      </c>
      <c r="E231" t="s">
        <v>3942</v>
      </c>
      <c r="F231">
        <v>9003699</v>
      </c>
      <c r="G231" t="s">
        <v>3943</v>
      </c>
      <c r="H231" t="s">
        <v>805</v>
      </c>
      <c r="I231">
        <v>260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260</v>
      </c>
      <c r="P231" s="44" t="e">
        <f>_xlfn.XLOOKUP(Tabla5[[#This Row],[EAN CORREGIDO]],'Tabla Articulos'!B:B,'Tabla Articulos'!D:D)</f>
        <v>#N/A</v>
      </c>
      <c r="Q231" s="44" t="e">
        <f>_xlfn.XLOOKUP(S231,'Tabla Articulos'!B:B,'Tabla Articulos'!E:E)</f>
        <v>#N/A</v>
      </c>
      <c r="R231" s="44" t="e">
        <f t="shared" si="6"/>
        <v>#N/A</v>
      </c>
      <c r="S231" s="45" t="str">
        <f t="shared" si="7"/>
        <v>BAZ001232</v>
      </c>
    </row>
    <row r="232" spans="1:19" hidden="1" x14ac:dyDescent="0.35">
      <c r="A232" s="22">
        <v>1</v>
      </c>
      <c r="B232" t="s">
        <v>812</v>
      </c>
      <c r="C232" t="s">
        <v>802</v>
      </c>
      <c r="D232" t="s">
        <v>2284</v>
      </c>
      <c r="E232" t="s">
        <v>3944</v>
      </c>
      <c r="F232">
        <v>4018743</v>
      </c>
      <c r="G232" t="s">
        <v>3945</v>
      </c>
      <c r="H232" t="s">
        <v>805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 s="44" t="e">
        <f>_xlfn.XLOOKUP(Tabla5[[#This Row],[EAN CORREGIDO]],'Tabla Articulos'!B:B,'Tabla Articulos'!D:D)</f>
        <v>#N/A</v>
      </c>
      <c r="Q232" s="44" t="e">
        <f>_xlfn.XLOOKUP(S232,'Tabla Articulos'!B:B,'Tabla Articulos'!E:E)</f>
        <v>#N/A</v>
      </c>
      <c r="R232" s="44" t="e">
        <f t="shared" si="6"/>
        <v>#N/A</v>
      </c>
      <c r="S232" s="45" t="str">
        <f t="shared" si="7"/>
        <v>7791218000281</v>
      </c>
    </row>
    <row r="233" spans="1:19" hidden="1" x14ac:dyDescent="0.35">
      <c r="A233" s="22">
        <v>6</v>
      </c>
      <c r="B233" t="s">
        <v>801</v>
      </c>
      <c r="C233" t="s">
        <v>802</v>
      </c>
      <c r="D233"/>
      <c r="E233" t="s">
        <v>3946</v>
      </c>
      <c r="F233">
        <v>9003561</v>
      </c>
      <c r="G233" t="s">
        <v>3947</v>
      </c>
      <c r="H233" t="s">
        <v>805</v>
      </c>
      <c r="I233">
        <v>25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25</v>
      </c>
      <c r="P233" s="44" t="e">
        <f>_xlfn.XLOOKUP(Tabla5[[#This Row],[EAN CORREGIDO]],'Tabla Articulos'!B:B,'Tabla Articulos'!D:D)</f>
        <v>#N/A</v>
      </c>
      <c r="Q233" s="44" t="e">
        <f>_xlfn.XLOOKUP(S233,'Tabla Articulos'!B:B,'Tabla Articulos'!E:E)</f>
        <v>#N/A</v>
      </c>
      <c r="R233" s="44" t="e">
        <f t="shared" si="6"/>
        <v>#N/A</v>
      </c>
      <c r="S233" s="45" t="str">
        <f t="shared" si="7"/>
        <v>UNIF000144</v>
      </c>
    </row>
    <row r="234" spans="1:19" hidden="1" x14ac:dyDescent="0.35">
      <c r="A234" s="22">
        <v>1</v>
      </c>
      <c r="B234" t="s">
        <v>812</v>
      </c>
      <c r="C234" t="s">
        <v>802</v>
      </c>
      <c r="D234" s="11" t="s">
        <v>2437</v>
      </c>
      <c r="E234" t="s">
        <v>2438</v>
      </c>
      <c r="F234">
        <v>4018878</v>
      </c>
      <c r="G234" t="s">
        <v>2439</v>
      </c>
      <c r="H234" t="s">
        <v>805</v>
      </c>
      <c r="I234">
        <v>72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71</v>
      </c>
      <c r="P234" s="44" t="e">
        <f>_xlfn.XLOOKUP(Tabla5[[#This Row],[EAN CORREGIDO]],'Tabla Articulos'!B:B,'Tabla Articulos'!D:D)</f>
        <v>#N/A</v>
      </c>
      <c r="Q234" s="44" t="e">
        <f>_xlfn.XLOOKUP(S234,'Tabla Articulos'!B:B,'Tabla Articulos'!E:E)</f>
        <v>#N/A</v>
      </c>
      <c r="R234" s="44" t="e">
        <f t="shared" si="6"/>
        <v>#N/A</v>
      </c>
      <c r="S234" s="45" t="str">
        <f t="shared" si="7"/>
        <v>7798082000126</v>
      </c>
    </row>
    <row r="235" spans="1:19" hidden="1" x14ac:dyDescent="0.35">
      <c r="A235" s="22">
        <v>1</v>
      </c>
      <c r="B235" t="s">
        <v>812</v>
      </c>
      <c r="C235" t="s">
        <v>802</v>
      </c>
      <c r="D235" t="s">
        <v>1116</v>
      </c>
      <c r="E235" t="s">
        <v>2440</v>
      </c>
      <c r="F235">
        <v>4023303</v>
      </c>
      <c r="G235" t="s">
        <v>2441</v>
      </c>
      <c r="H235" t="s">
        <v>805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 s="44" t="e">
        <f>_xlfn.XLOOKUP(Tabla5[[#This Row],[EAN CORREGIDO]],'Tabla Articulos'!B:B,'Tabla Articulos'!D:D)</f>
        <v>#N/A</v>
      </c>
      <c r="Q235" s="44" t="e">
        <f>_xlfn.XLOOKUP(S235,'Tabla Articulos'!B:B,'Tabla Articulos'!E:E)</f>
        <v>#N/A</v>
      </c>
      <c r="R235" s="44" t="e">
        <f t="shared" si="6"/>
        <v>#N/A</v>
      </c>
      <c r="S235" s="45" t="str">
        <f t="shared" si="7"/>
        <v>7792280000407</v>
      </c>
    </row>
    <row r="236" spans="1:19" hidden="1" x14ac:dyDescent="0.35">
      <c r="A236" s="22">
        <v>6</v>
      </c>
      <c r="B236" t="s">
        <v>801</v>
      </c>
      <c r="C236" t="s">
        <v>802</v>
      </c>
      <c r="D236"/>
      <c r="E236" t="s">
        <v>2442</v>
      </c>
      <c r="F236">
        <v>1000139</v>
      </c>
      <c r="G236" t="s">
        <v>2443</v>
      </c>
      <c r="H236" t="s">
        <v>805</v>
      </c>
      <c r="I236">
        <v>92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92</v>
      </c>
      <c r="P236" s="44" t="e">
        <f>_xlfn.XLOOKUP(Tabla5[[#This Row],[EAN CORREGIDO]],'Tabla Articulos'!B:B,'Tabla Articulos'!D:D)</f>
        <v>#N/A</v>
      </c>
      <c r="Q236" s="44" t="e">
        <f>_xlfn.XLOOKUP(S236,'Tabla Articulos'!B:B,'Tabla Articulos'!E:E)</f>
        <v>#N/A</v>
      </c>
      <c r="R236" s="44" t="e">
        <f t="shared" si="6"/>
        <v>#N/A</v>
      </c>
      <c r="S236" s="45" t="str">
        <f t="shared" si="7"/>
        <v>BUM306</v>
      </c>
    </row>
    <row r="237" spans="1:19" hidden="1" x14ac:dyDescent="0.35">
      <c r="A237" s="22">
        <v>6</v>
      </c>
      <c r="B237" t="s">
        <v>801</v>
      </c>
      <c r="C237" t="s">
        <v>802</v>
      </c>
      <c r="D237"/>
      <c r="E237" t="s">
        <v>3354</v>
      </c>
      <c r="F237">
        <v>9004193</v>
      </c>
      <c r="G237" t="s">
        <v>3355</v>
      </c>
      <c r="H237" t="s">
        <v>805</v>
      </c>
      <c r="I237">
        <v>24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24</v>
      </c>
      <c r="P237" s="44" t="e">
        <f>_xlfn.XLOOKUP(Tabla5[[#This Row],[EAN CORREGIDO]],'Tabla Articulos'!B:B,'Tabla Articulos'!D:D)</f>
        <v>#N/A</v>
      </c>
      <c r="Q237" s="44" t="e">
        <f>_xlfn.XLOOKUP(S237,'Tabla Articulos'!B:B,'Tabla Articulos'!E:E)</f>
        <v>#N/A</v>
      </c>
      <c r="R237" s="44" t="e">
        <f t="shared" si="6"/>
        <v>#N/A</v>
      </c>
      <c r="S237" s="45" t="str">
        <f t="shared" si="7"/>
        <v>UNIF000739</v>
      </c>
    </row>
    <row r="238" spans="1:19" hidden="1" x14ac:dyDescent="0.35">
      <c r="A238" s="22">
        <v>6</v>
      </c>
      <c r="B238" t="s">
        <v>801</v>
      </c>
      <c r="C238" t="s">
        <v>802</v>
      </c>
      <c r="D238"/>
      <c r="E238" t="s">
        <v>3356</v>
      </c>
      <c r="F238">
        <v>9003974</v>
      </c>
      <c r="G238" t="s">
        <v>3357</v>
      </c>
      <c r="H238" t="s">
        <v>805</v>
      </c>
      <c r="I238">
        <v>15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15</v>
      </c>
      <c r="P238" s="44" t="e">
        <f>_xlfn.XLOOKUP(Tabla5[[#This Row],[EAN CORREGIDO]],'Tabla Articulos'!B:B,'Tabla Articulos'!D:D)</f>
        <v>#N/A</v>
      </c>
      <c r="Q238" s="44" t="e">
        <f>_xlfn.XLOOKUP(S238,'Tabla Articulos'!B:B,'Tabla Articulos'!E:E)</f>
        <v>#N/A</v>
      </c>
      <c r="R238" s="44" t="e">
        <f t="shared" si="6"/>
        <v>#N/A</v>
      </c>
      <c r="S238" s="45" t="str">
        <f t="shared" si="7"/>
        <v>UNIF000644</v>
      </c>
    </row>
    <row r="239" spans="1:19" hidden="1" x14ac:dyDescent="0.35">
      <c r="A239" s="22">
        <v>6</v>
      </c>
      <c r="B239" t="s">
        <v>801</v>
      </c>
      <c r="C239" t="s">
        <v>802</v>
      </c>
      <c r="D239"/>
      <c r="E239" t="s">
        <v>3358</v>
      </c>
      <c r="F239">
        <v>9003196</v>
      </c>
      <c r="G239" t="s">
        <v>3359</v>
      </c>
      <c r="H239" t="s">
        <v>805</v>
      </c>
      <c r="I239">
        <v>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38</v>
      </c>
      <c r="P239" s="44" t="e">
        <f>_xlfn.XLOOKUP(Tabla5[[#This Row],[EAN CORREGIDO]],'Tabla Articulos'!B:B,'Tabla Articulos'!D:D)</f>
        <v>#N/A</v>
      </c>
      <c r="Q239" s="44" t="e">
        <f>_xlfn.XLOOKUP(S239,'Tabla Articulos'!B:B,'Tabla Articulos'!E:E)</f>
        <v>#N/A</v>
      </c>
      <c r="R239" s="44" t="e">
        <f t="shared" si="6"/>
        <v>#N/A</v>
      </c>
      <c r="S239" s="45" t="str">
        <f t="shared" si="7"/>
        <v>UNIF000322</v>
      </c>
    </row>
    <row r="240" spans="1:19" hidden="1" x14ac:dyDescent="0.35">
      <c r="A240" s="22">
        <v>6</v>
      </c>
      <c r="B240" t="s">
        <v>801</v>
      </c>
      <c r="C240" t="s">
        <v>802</v>
      </c>
      <c r="E240" t="s">
        <v>3360</v>
      </c>
      <c r="F240">
        <v>9003990</v>
      </c>
      <c r="G240" t="s">
        <v>3361</v>
      </c>
      <c r="H240" t="s">
        <v>805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  <c r="P240" s="44" t="e">
        <f>_xlfn.XLOOKUP(Tabla5[[#This Row],[EAN CORREGIDO]],'Tabla Articulos'!B:B,'Tabla Articulos'!D:D)</f>
        <v>#N/A</v>
      </c>
      <c r="Q240" s="44" t="e">
        <f>_xlfn.XLOOKUP(S240,'Tabla Articulos'!B:B,'Tabla Articulos'!E:E)</f>
        <v>#N/A</v>
      </c>
      <c r="R240" s="44" t="e">
        <f t="shared" si="6"/>
        <v>#N/A</v>
      </c>
      <c r="S240" s="45" t="str">
        <f t="shared" si="7"/>
        <v>UNIF000654</v>
      </c>
    </row>
    <row r="241" spans="1:19" hidden="1" x14ac:dyDescent="0.35">
      <c r="A241" s="22">
        <v>6</v>
      </c>
      <c r="B241" t="s">
        <v>801</v>
      </c>
      <c r="C241" t="s">
        <v>802</v>
      </c>
      <c r="E241" t="s">
        <v>3362</v>
      </c>
      <c r="F241">
        <v>9003265</v>
      </c>
      <c r="G241" t="s">
        <v>3363</v>
      </c>
      <c r="H241" t="s">
        <v>805</v>
      </c>
      <c r="I241">
        <v>46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46</v>
      </c>
      <c r="P241" s="44" t="e">
        <f>_xlfn.XLOOKUP(Tabla5[[#This Row],[EAN CORREGIDO]],'Tabla Articulos'!B:B,'Tabla Articulos'!D:D)</f>
        <v>#N/A</v>
      </c>
      <c r="Q241" s="44" t="e">
        <f>_xlfn.XLOOKUP(S241,'Tabla Articulos'!B:B,'Tabla Articulos'!E:E)</f>
        <v>#N/A</v>
      </c>
      <c r="R241" s="44" t="e">
        <f t="shared" si="6"/>
        <v>#N/A</v>
      </c>
      <c r="S241" s="45" t="str">
        <f t="shared" si="7"/>
        <v>UNIF000422</v>
      </c>
    </row>
    <row r="242" spans="1:19" hidden="1" x14ac:dyDescent="0.35">
      <c r="A242" s="22">
        <v>6</v>
      </c>
      <c r="B242" t="s">
        <v>801</v>
      </c>
      <c r="C242" t="s">
        <v>802</v>
      </c>
      <c r="D242" s="11" t="s">
        <v>1077</v>
      </c>
      <c r="E242" t="s">
        <v>3364</v>
      </c>
      <c r="F242">
        <v>4049055</v>
      </c>
      <c r="G242" t="s">
        <v>3365</v>
      </c>
      <c r="H242" t="s">
        <v>805</v>
      </c>
      <c r="I242">
        <v>22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22</v>
      </c>
      <c r="P242" s="44" t="e">
        <f>_xlfn.XLOOKUP(Tabla5[[#This Row],[EAN CORREGIDO]],'Tabla Articulos'!B:B,'Tabla Articulos'!D:D)</f>
        <v>#N/A</v>
      </c>
      <c r="Q242" s="44" t="e">
        <f>_xlfn.XLOOKUP(S242,'Tabla Articulos'!B:B,'Tabla Articulos'!E:E)</f>
        <v>#N/A</v>
      </c>
      <c r="R242" s="44" t="e">
        <f t="shared" si="6"/>
        <v>#N/A</v>
      </c>
      <c r="S242" s="45" t="str">
        <f t="shared" si="7"/>
        <v>8925200000006</v>
      </c>
    </row>
    <row r="243" spans="1:19" hidden="1" x14ac:dyDescent="0.35">
      <c r="A243" s="22">
        <v>6</v>
      </c>
      <c r="B243" t="s">
        <v>801</v>
      </c>
      <c r="C243" t="s">
        <v>802</v>
      </c>
      <c r="E243" t="s">
        <v>3366</v>
      </c>
      <c r="F243">
        <v>9003591</v>
      </c>
      <c r="G243" t="s">
        <v>3367</v>
      </c>
      <c r="H243" t="s">
        <v>805</v>
      </c>
      <c r="I243">
        <v>236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236</v>
      </c>
      <c r="P243" s="44" t="e">
        <f>_xlfn.XLOOKUP(Tabla5[[#This Row],[EAN CORREGIDO]],'Tabla Articulos'!B:B,'Tabla Articulos'!D:D)</f>
        <v>#N/A</v>
      </c>
      <c r="Q243" s="44" t="e">
        <f>_xlfn.XLOOKUP(S243,'Tabla Articulos'!B:B,'Tabla Articulos'!E:E)</f>
        <v>#N/A</v>
      </c>
      <c r="R243" s="44" t="e">
        <f t="shared" si="6"/>
        <v>#N/A</v>
      </c>
      <c r="S243" s="45" t="str">
        <f t="shared" si="7"/>
        <v>UNIF000430</v>
      </c>
    </row>
    <row r="244" spans="1:19" hidden="1" x14ac:dyDescent="0.35">
      <c r="A244" s="22">
        <v>6</v>
      </c>
      <c r="B244" t="s">
        <v>801</v>
      </c>
      <c r="C244" t="s">
        <v>802</v>
      </c>
      <c r="D244" s="11" t="s">
        <v>3252</v>
      </c>
      <c r="E244" t="s">
        <v>3368</v>
      </c>
      <c r="F244">
        <v>2007483</v>
      </c>
      <c r="G244" t="s">
        <v>3369</v>
      </c>
      <c r="H244" t="s">
        <v>837</v>
      </c>
      <c r="I244">
        <v>143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143</v>
      </c>
      <c r="P244" s="44" t="e">
        <f>_xlfn.XLOOKUP(Tabla5[[#This Row],[EAN CORREGIDO]],'Tabla Articulos'!B:B,'Tabla Articulos'!D:D)</f>
        <v>#N/A</v>
      </c>
      <c r="Q244" s="44" t="e">
        <f>_xlfn.XLOOKUP(S244,'Tabla Articulos'!B:B,'Tabla Articulos'!E:E)</f>
        <v>#N/A</v>
      </c>
      <c r="R244" s="44" t="e">
        <f t="shared" si="6"/>
        <v>#N/A</v>
      </c>
      <c r="S244" s="45" t="str">
        <f t="shared" si="7"/>
        <v>7790000000460</v>
      </c>
    </row>
    <row r="245" spans="1:19" hidden="1" x14ac:dyDescent="0.35">
      <c r="A245" s="22">
        <v>6</v>
      </c>
      <c r="B245" t="s">
        <v>801</v>
      </c>
      <c r="C245" t="s">
        <v>802</v>
      </c>
      <c r="D245"/>
      <c r="E245" t="s">
        <v>3370</v>
      </c>
      <c r="F245">
        <v>2011528</v>
      </c>
      <c r="G245" t="s">
        <v>3371</v>
      </c>
      <c r="H245" t="s">
        <v>805</v>
      </c>
      <c r="I245">
        <v>743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743</v>
      </c>
      <c r="P245" s="44" t="e">
        <f>_xlfn.XLOOKUP(Tabla5[[#This Row],[EAN CORREGIDO]],'Tabla Articulos'!B:B,'Tabla Articulos'!D:D)</f>
        <v>#N/A</v>
      </c>
      <c r="Q245" s="44" t="e">
        <f>_xlfn.XLOOKUP(S245,'Tabla Articulos'!B:B,'Tabla Articulos'!E:E)</f>
        <v>#N/A</v>
      </c>
      <c r="R245" s="44" t="e">
        <f t="shared" si="6"/>
        <v>#N/A</v>
      </c>
      <c r="S245" s="45" t="str">
        <f t="shared" si="7"/>
        <v>7793253004231</v>
      </c>
    </row>
    <row r="246" spans="1:19" hidden="1" x14ac:dyDescent="0.35">
      <c r="A246" s="22">
        <v>6</v>
      </c>
      <c r="B246" t="s">
        <v>801</v>
      </c>
      <c r="C246" t="s">
        <v>802</v>
      </c>
      <c r="D246"/>
      <c r="E246" t="s">
        <v>3372</v>
      </c>
      <c r="F246">
        <v>9003303</v>
      </c>
      <c r="G246" t="s">
        <v>3373</v>
      </c>
      <c r="H246" t="s">
        <v>805</v>
      </c>
      <c r="I246">
        <v>237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237</v>
      </c>
      <c r="P246" s="44" t="e">
        <f>_xlfn.XLOOKUP(Tabla5[[#This Row],[EAN CORREGIDO]],'Tabla Articulos'!B:B,'Tabla Articulos'!D:D)</f>
        <v>#N/A</v>
      </c>
      <c r="Q246" s="44" t="e">
        <f>_xlfn.XLOOKUP(S246,'Tabla Articulos'!B:B,'Tabla Articulos'!E:E)</f>
        <v>#N/A</v>
      </c>
      <c r="R246" s="44" t="e">
        <f t="shared" si="6"/>
        <v>#N/A</v>
      </c>
      <c r="S246" s="45" t="str">
        <f t="shared" si="7"/>
        <v>UNIF000050</v>
      </c>
    </row>
    <row r="247" spans="1:19" hidden="1" x14ac:dyDescent="0.35">
      <c r="A247" s="22">
        <v>5</v>
      </c>
      <c r="B247" t="s">
        <v>829</v>
      </c>
      <c r="C247" t="s">
        <v>802</v>
      </c>
      <c r="D247" t="s">
        <v>1316</v>
      </c>
      <c r="E247" t="s">
        <v>1317</v>
      </c>
      <c r="F247">
        <v>4018064</v>
      </c>
      <c r="G247" t="s">
        <v>1318</v>
      </c>
      <c r="H247" t="s">
        <v>805</v>
      </c>
      <c r="I247">
        <v>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</v>
      </c>
      <c r="P247" s="44" t="e">
        <f>_xlfn.XLOOKUP(Tabla5[[#This Row],[EAN CORREGIDO]],'Tabla Articulos'!B:B,'Tabla Articulos'!D:D)</f>
        <v>#N/A</v>
      </c>
      <c r="Q247" s="44" t="e">
        <f>_xlfn.XLOOKUP(S247,'Tabla Articulos'!B:B,'Tabla Articulos'!E:E)</f>
        <v>#N/A</v>
      </c>
      <c r="R247" s="44" t="e">
        <f t="shared" si="6"/>
        <v>#N/A</v>
      </c>
      <c r="S247" s="45" t="str">
        <f t="shared" si="7"/>
        <v>7790216020109</v>
      </c>
    </row>
    <row r="248" spans="1:19" hidden="1" x14ac:dyDescent="0.35">
      <c r="A248" s="22">
        <v>6</v>
      </c>
      <c r="B248" t="s">
        <v>801</v>
      </c>
      <c r="C248" t="s">
        <v>802</v>
      </c>
      <c r="D248"/>
      <c r="E248" t="s">
        <v>1319</v>
      </c>
      <c r="F248">
        <v>9003347</v>
      </c>
      <c r="G248" t="s">
        <v>1320</v>
      </c>
      <c r="H248" t="s">
        <v>805</v>
      </c>
      <c r="I248">
        <v>12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12</v>
      </c>
      <c r="P248" s="44" t="e">
        <f>_xlfn.XLOOKUP(Tabla5[[#This Row],[EAN CORREGIDO]],'Tabla Articulos'!B:B,'Tabla Articulos'!D:D)</f>
        <v>#N/A</v>
      </c>
      <c r="Q248" s="44" t="e">
        <f>_xlfn.XLOOKUP(S248,'Tabla Articulos'!B:B,'Tabla Articulos'!E:E)</f>
        <v>#N/A</v>
      </c>
      <c r="R248" s="44" t="e">
        <f t="shared" si="6"/>
        <v>#N/A</v>
      </c>
      <c r="S248" s="45" t="str">
        <f t="shared" si="7"/>
        <v>UNIF000297</v>
      </c>
    </row>
    <row r="249" spans="1:19" hidden="1" x14ac:dyDescent="0.35">
      <c r="A249" s="22">
        <v>6</v>
      </c>
      <c r="B249" t="s">
        <v>801</v>
      </c>
      <c r="C249" t="s">
        <v>802</v>
      </c>
      <c r="D249"/>
      <c r="E249" t="s">
        <v>1321</v>
      </c>
      <c r="F249">
        <v>9003875</v>
      </c>
      <c r="G249" t="s">
        <v>1322</v>
      </c>
      <c r="H249" t="s">
        <v>805</v>
      </c>
      <c r="I249">
        <v>765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765</v>
      </c>
      <c r="P249" s="44" t="e">
        <f>_xlfn.XLOOKUP(Tabla5[[#This Row],[EAN CORREGIDO]],'Tabla Articulos'!B:B,'Tabla Articulos'!D:D)</f>
        <v>#N/A</v>
      </c>
      <c r="Q249" s="44" t="e">
        <f>_xlfn.XLOOKUP(S249,'Tabla Articulos'!B:B,'Tabla Articulos'!E:E)</f>
        <v>#N/A</v>
      </c>
      <c r="R249" s="44" t="e">
        <f t="shared" si="6"/>
        <v>#N/A</v>
      </c>
      <c r="S249" s="45" t="str">
        <f t="shared" si="7"/>
        <v>BAZ001308</v>
      </c>
    </row>
    <row r="250" spans="1:19" hidden="1" x14ac:dyDescent="0.35">
      <c r="A250" s="22">
        <v>6</v>
      </c>
      <c r="B250" t="s">
        <v>801</v>
      </c>
      <c r="C250" t="s">
        <v>802</v>
      </c>
      <c r="D250" t="s">
        <v>1323</v>
      </c>
      <c r="E250" t="s">
        <v>1324</v>
      </c>
      <c r="F250">
        <v>2006575</v>
      </c>
      <c r="G250" t="s">
        <v>1325</v>
      </c>
      <c r="H250" t="s">
        <v>805</v>
      </c>
      <c r="I250">
        <v>177</v>
      </c>
      <c r="J250">
        <v>0</v>
      </c>
      <c r="K250">
        <v>0</v>
      </c>
      <c r="L250">
        <v>0</v>
      </c>
      <c r="M250">
        <v>19</v>
      </c>
      <c r="N250">
        <v>0</v>
      </c>
      <c r="O250">
        <v>158</v>
      </c>
      <c r="P250" s="44" t="e">
        <f>_xlfn.XLOOKUP(Tabla5[[#This Row],[EAN CORREGIDO]],'Tabla Articulos'!B:B,'Tabla Articulos'!D:D)</f>
        <v>#N/A</v>
      </c>
      <c r="Q250" s="44" t="e">
        <f>_xlfn.XLOOKUP(S250,'Tabla Articulos'!B:B,'Tabla Articulos'!E:E)</f>
        <v>#N/A</v>
      </c>
      <c r="R250" s="44" t="e">
        <f t="shared" si="6"/>
        <v>#N/A</v>
      </c>
      <c r="S250" s="45" t="str">
        <f t="shared" si="7"/>
        <v>7798188651017</v>
      </c>
    </row>
    <row r="251" spans="1:19" hidden="1" x14ac:dyDescent="0.35">
      <c r="A251" s="22">
        <v>6</v>
      </c>
      <c r="B251" t="s">
        <v>801</v>
      </c>
      <c r="C251" t="s">
        <v>802</v>
      </c>
      <c r="D251" s="11" t="s">
        <v>920</v>
      </c>
      <c r="E251" t="s">
        <v>1326</v>
      </c>
      <c r="F251">
        <v>2006699</v>
      </c>
      <c r="G251" t="s">
        <v>1327</v>
      </c>
      <c r="H251" t="s">
        <v>805</v>
      </c>
      <c r="I251">
        <v>243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243</v>
      </c>
      <c r="P251" s="44" t="e">
        <f>_xlfn.XLOOKUP(Tabla5[[#This Row],[EAN CORREGIDO]],'Tabla Articulos'!B:B,'Tabla Articulos'!D:D)</f>
        <v>#N/A</v>
      </c>
      <c r="Q251" s="44" t="e">
        <f>_xlfn.XLOOKUP(S251,'Tabla Articulos'!B:B,'Tabla Articulos'!E:E)</f>
        <v>#N/A</v>
      </c>
      <c r="R251" s="44" t="e">
        <f t="shared" si="6"/>
        <v>#N/A</v>
      </c>
      <c r="S251" s="45" t="str">
        <f t="shared" si="7"/>
        <v>7791625008122</v>
      </c>
    </row>
    <row r="252" spans="1:19" hidden="1" x14ac:dyDescent="0.35">
      <c r="A252" s="22">
        <v>6</v>
      </c>
      <c r="B252" t="s">
        <v>801</v>
      </c>
      <c r="C252" t="s">
        <v>802</v>
      </c>
      <c r="D252"/>
      <c r="E252" t="s">
        <v>1145</v>
      </c>
      <c r="F252">
        <v>2007229</v>
      </c>
      <c r="G252" t="s">
        <v>1146</v>
      </c>
      <c r="H252" t="s">
        <v>1034</v>
      </c>
      <c r="I252">
        <v>3670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3670</v>
      </c>
      <c r="P252" s="44" t="e">
        <f>_xlfn.XLOOKUP(Tabla5[[#This Row],[EAN CORREGIDO]],'Tabla Articulos'!B:B,'Tabla Articulos'!D:D)</f>
        <v>#N/A</v>
      </c>
      <c r="Q252" s="44" t="e">
        <f>_xlfn.XLOOKUP(S252,'Tabla Articulos'!B:B,'Tabla Articulos'!E:E)</f>
        <v>#N/A</v>
      </c>
      <c r="R252" s="44" t="e">
        <f t="shared" si="6"/>
        <v>#N/A</v>
      </c>
      <c r="S252" s="45" t="str">
        <f t="shared" si="7"/>
        <v>7790000000275</v>
      </c>
    </row>
    <row r="253" spans="1:19" hidden="1" x14ac:dyDescent="0.35">
      <c r="A253" s="22">
        <v>5</v>
      </c>
      <c r="B253" t="s">
        <v>829</v>
      </c>
      <c r="C253" t="s">
        <v>802</v>
      </c>
      <c r="D253" t="s">
        <v>1045</v>
      </c>
      <c r="E253" t="s">
        <v>1147</v>
      </c>
      <c r="F253">
        <v>4020381</v>
      </c>
      <c r="G253" t="s">
        <v>1148</v>
      </c>
      <c r="H253" t="s">
        <v>805</v>
      </c>
      <c r="I253">
        <v>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9</v>
      </c>
      <c r="P253" s="44" t="e">
        <f>_xlfn.XLOOKUP(Tabla5[[#This Row],[EAN CORREGIDO]],'Tabla Articulos'!B:B,'Tabla Articulos'!D:D)</f>
        <v>#N/A</v>
      </c>
      <c r="Q253" s="44" t="e">
        <f>_xlfn.XLOOKUP(S253,'Tabla Articulos'!B:B,'Tabla Articulos'!E:E)</f>
        <v>#N/A</v>
      </c>
      <c r="R253" s="44" t="e">
        <f t="shared" si="6"/>
        <v>#N/A</v>
      </c>
      <c r="S253" s="45" t="str">
        <f t="shared" si="7"/>
        <v>7798011977017</v>
      </c>
    </row>
    <row r="254" spans="1:19" hidden="1" x14ac:dyDescent="0.35">
      <c r="A254" s="22">
        <v>1</v>
      </c>
      <c r="B254" t="s">
        <v>812</v>
      </c>
      <c r="C254" t="s">
        <v>802</v>
      </c>
      <c r="D254" t="s">
        <v>318</v>
      </c>
      <c r="E254" t="s">
        <v>1149</v>
      </c>
      <c r="F254">
        <v>2007329</v>
      </c>
      <c r="G254" t="s">
        <v>1150</v>
      </c>
      <c r="H254" t="s">
        <v>805</v>
      </c>
      <c r="I254">
        <v>595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595</v>
      </c>
      <c r="P254" s="44" t="str">
        <f>_xlfn.XLOOKUP(Tabla5[[#This Row],[EAN CORREGIDO]],'Tabla Articulos'!B:B,'Tabla Articulos'!D:D)</f>
        <v>CAMISETA 50X60 REF</v>
      </c>
      <c r="Q254" s="44">
        <f>_xlfn.XLOOKUP(S254,'Tabla Articulos'!B:B,'Tabla Articulos'!E:E)</f>
        <v>100</v>
      </c>
      <c r="R254" s="44">
        <f t="shared" si="6"/>
        <v>59500</v>
      </c>
      <c r="S254" s="45" t="str">
        <f t="shared" si="7"/>
        <v>7790000000386</v>
      </c>
    </row>
    <row r="255" spans="1:19" hidden="1" x14ac:dyDescent="0.35">
      <c r="A255" s="22">
        <v>1</v>
      </c>
      <c r="B255" t="s">
        <v>812</v>
      </c>
      <c r="C255" t="s">
        <v>802</v>
      </c>
      <c r="D255" t="s">
        <v>1151</v>
      </c>
      <c r="E255" t="s">
        <v>1152</v>
      </c>
      <c r="F255">
        <v>4019917</v>
      </c>
      <c r="G255" t="s">
        <v>1153</v>
      </c>
      <c r="H255" t="s">
        <v>805</v>
      </c>
      <c r="I255">
        <v>53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53</v>
      </c>
      <c r="P255" s="44" t="e">
        <f>_xlfn.XLOOKUP(Tabla5[[#This Row],[EAN CORREGIDO]],'Tabla Articulos'!B:B,'Tabla Articulos'!D:D)</f>
        <v>#N/A</v>
      </c>
      <c r="Q255" s="44" t="e">
        <f>_xlfn.XLOOKUP(S255,'Tabla Articulos'!B:B,'Tabla Articulos'!E:E)</f>
        <v>#N/A</v>
      </c>
      <c r="R255" s="44" t="e">
        <f t="shared" si="6"/>
        <v>#N/A</v>
      </c>
      <c r="S255" s="45" t="str">
        <f t="shared" si="7"/>
        <v>7792378001477</v>
      </c>
    </row>
    <row r="256" spans="1:19" hidden="1" x14ac:dyDescent="0.35">
      <c r="A256" s="22">
        <v>5</v>
      </c>
      <c r="B256" t="s">
        <v>829</v>
      </c>
      <c r="C256" t="s">
        <v>802</v>
      </c>
      <c r="D256" t="s">
        <v>1154</v>
      </c>
      <c r="E256" t="s">
        <v>1155</v>
      </c>
      <c r="F256">
        <v>4018027</v>
      </c>
      <c r="G256" t="s">
        <v>1156</v>
      </c>
      <c r="H256" t="s">
        <v>816</v>
      </c>
      <c r="I256">
        <v>3.75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3.75</v>
      </c>
      <c r="P256" s="44" t="e">
        <f>_xlfn.XLOOKUP(Tabla5[[#This Row],[EAN CORREGIDO]],'Tabla Articulos'!B:B,'Tabla Articulos'!D:D)</f>
        <v>#N/A</v>
      </c>
      <c r="Q256" s="44" t="e">
        <f>_xlfn.XLOOKUP(S256,'Tabla Articulos'!B:B,'Tabla Articulos'!E:E)</f>
        <v>#N/A</v>
      </c>
      <c r="R256" s="44" t="e">
        <f t="shared" si="6"/>
        <v>#N/A</v>
      </c>
      <c r="S256" s="45" t="str">
        <f t="shared" si="7"/>
        <v>7790216010052</v>
      </c>
    </row>
    <row r="257" spans="1:19" hidden="1" x14ac:dyDescent="0.35">
      <c r="A257" s="22">
        <v>1</v>
      </c>
      <c r="B257" t="s">
        <v>812</v>
      </c>
      <c r="C257" t="s">
        <v>802</v>
      </c>
      <c r="D257" t="s">
        <v>1154</v>
      </c>
      <c r="E257" t="s">
        <v>1155</v>
      </c>
      <c r="F257">
        <v>4018027</v>
      </c>
      <c r="G257" t="s">
        <v>1156</v>
      </c>
      <c r="H257" t="s">
        <v>816</v>
      </c>
      <c r="I257">
        <v>500.91500000000002</v>
      </c>
      <c r="J257">
        <v>0</v>
      </c>
      <c r="K257">
        <v>0</v>
      </c>
      <c r="L257">
        <v>0</v>
      </c>
      <c r="M257">
        <v>5</v>
      </c>
      <c r="N257">
        <v>0</v>
      </c>
      <c r="O257">
        <v>495.91500000000002</v>
      </c>
      <c r="P257" s="44" t="e">
        <f>_xlfn.XLOOKUP(Tabla5[[#This Row],[EAN CORREGIDO]],'Tabla Articulos'!B:B,'Tabla Articulos'!D:D)</f>
        <v>#N/A</v>
      </c>
      <c r="Q257" s="44" t="e">
        <f>_xlfn.XLOOKUP(S257,'Tabla Articulos'!B:B,'Tabla Articulos'!E:E)</f>
        <v>#N/A</v>
      </c>
      <c r="R257" s="44" t="e">
        <f t="shared" ref="R257:R320" si="8">O257*Q257</f>
        <v>#N/A</v>
      </c>
      <c r="S257" s="45" t="str">
        <f t="shared" ref="S257:S320" si="9">TRIM(E257)</f>
        <v>7790216010052</v>
      </c>
    </row>
    <row r="258" spans="1:19" hidden="1" x14ac:dyDescent="0.35">
      <c r="A258" s="22">
        <v>6</v>
      </c>
      <c r="B258" t="s">
        <v>801</v>
      </c>
      <c r="C258" t="s">
        <v>802</v>
      </c>
      <c r="D258"/>
      <c r="E258" t="s">
        <v>1157</v>
      </c>
      <c r="F258">
        <v>9003992</v>
      </c>
      <c r="G258" t="s">
        <v>1158</v>
      </c>
      <c r="H258" t="s">
        <v>805</v>
      </c>
      <c r="I258">
        <v>20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20</v>
      </c>
      <c r="P258" s="44" t="e">
        <f>_xlfn.XLOOKUP(Tabla5[[#This Row],[EAN CORREGIDO]],'Tabla Articulos'!B:B,'Tabla Articulos'!D:D)</f>
        <v>#N/A</v>
      </c>
      <c r="Q258" s="44" t="e">
        <f>_xlfn.XLOOKUP(S258,'Tabla Articulos'!B:B,'Tabla Articulos'!E:E)</f>
        <v>#N/A</v>
      </c>
      <c r="R258" s="44" t="e">
        <f t="shared" si="8"/>
        <v>#N/A</v>
      </c>
      <c r="S258" s="45" t="str">
        <f t="shared" si="9"/>
        <v>UNIF000656</v>
      </c>
    </row>
    <row r="259" spans="1:19" hidden="1" x14ac:dyDescent="0.35">
      <c r="A259" s="22">
        <v>6</v>
      </c>
      <c r="B259" t="s">
        <v>801</v>
      </c>
      <c r="C259" t="s">
        <v>802</v>
      </c>
      <c r="E259" t="s">
        <v>5039</v>
      </c>
      <c r="F259">
        <v>9003174</v>
      </c>
      <c r="G259" t="s">
        <v>5040</v>
      </c>
      <c r="H259" t="s">
        <v>805</v>
      </c>
      <c r="I259">
        <v>17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17</v>
      </c>
      <c r="P259" s="44" t="e">
        <f>_xlfn.XLOOKUP(Tabla5[[#This Row],[EAN CORREGIDO]],'Tabla Articulos'!B:B,'Tabla Articulos'!D:D)</f>
        <v>#N/A</v>
      </c>
      <c r="Q259" s="44" t="e">
        <f>_xlfn.XLOOKUP(S259,'Tabla Articulos'!B:B,'Tabla Articulos'!E:E)</f>
        <v>#N/A</v>
      </c>
      <c r="R259" s="44" t="e">
        <f t="shared" si="8"/>
        <v>#N/A</v>
      </c>
      <c r="S259" s="45" t="str">
        <f t="shared" si="9"/>
        <v>UNIF000300</v>
      </c>
    </row>
    <row r="260" spans="1:19" hidden="1" x14ac:dyDescent="0.35">
      <c r="A260" s="22">
        <v>1</v>
      </c>
      <c r="B260" t="s">
        <v>812</v>
      </c>
      <c r="C260" t="s">
        <v>802</v>
      </c>
      <c r="D260" t="s">
        <v>5041</v>
      </c>
      <c r="E260" t="s">
        <v>5042</v>
      </c>
      <c r="F260">
        <v>4017738</v>
      </c>
      <c r="G260" t="s">
        <v>5043</v>
      </c>
      <c r="H260" t="s">
        <v>816</v>
      </c>
      <c r="I260">
        <v>135.74</v>
      </c>
      <c r="J260">
        <v>180.65</v>
      </c>
      <c r="K260">
        <v>180.65</v>
      </c>
      <c r="L260">
        <v>0</v>
      </c>
      <c r="M260">
        <v>50</v>
      </c>
      <c r="N260">
        <v>0</v>
      </c>
      <c r="O260">
        <v>85.74</v>
      </c>
      <c r="P260" s="44" t="e">
        <f>_xlfn.XLOOKUP(Tabla5[[#This Row],[EAN CORREGIDO]],'Tabla Articulos'!B:B,'Tabla Articulos'!D:D)</f>
        <v>#N/A</v>
      </c>
      <c r="Q260" s="44" t="e">
        <f>_xlfn.XLOOKUP(S260,'Tabla Articulos'!B:B,'Tabla Articulos'!E:E)</f>
        <v>#N/A</v>
      </c>
      <c r="R260" s="44" t="e">
        <f t="shared" si="8"/>
        <v>#N/A</v>
      </c>
      <c r="S260" s="45" t="str">
        <f t="shared" si="9"/>
        <v>7790212031240</v>
      </c>
    </row>
    <row r="261" spans="1:19" hidden="1" x14ac:dyDescent="0.35">
      <c r="A261" s="22">
        <v>6</v>
      </c>
      <c r="B261" t="s">
        <v>801</v>
      </c>
      <c r="C261" t="s">
        <v>802</v>
      </c>
      <c r="D261"/>
      <c r="E261" t="s">
        <v>5044</v>
      </c>
      <c r="F261">
        <v>9003245</v>
      </c>
      <c r="G261" t="s">
        <v>5045</v>
      </c>
      <c r="H261" t="s">
        <v>805</v>
      </c>
      <c r="I261">
        <v>22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22</v>
      </c>
      <c r="P261" s="44" t="e">
        <f>_xlfn.XLOOKUP(Tabla5[[#This Row],[EAN CORREGIDO]],'Tabla Articulos'!B:B,'Tabla Articulos'!D:D)</f>
        <v>#N/A</v>
      </c>
      <c r="Q261" s="44" t="e">
        <f>_xlfn.XLOOKUP(S261,'Tabla Articulos'!B:B,'Tabla Articulos'!E:E)</f>
        <v>#N/A</v>
      </c>
      <c r="R261" s="44" t="e">
        <f t="shared" si="8"/>
        <v>#N/A</v>
      </c>
      <c r="S261" s="45" t="str">
        <f t="shared" si="9"/>
        <v>UNIF000473</v>
      </c>
    </row>
    <row r="262" spans="1:19" hidden="1" x14ac:dyDescent="0.35">
      <c r="A262" s="22">
        <v>6</v>
      </c>
      <c r="B262" t="s">
        <v>801</v>
      </c>
      <c r="C262" t="s">
        <v>802</v>
      </c>
      <c r="D262" t="s">
        <v>841</v>
      </c>
      <c r="E262" t="s">
        <v>5046</v>
      </c>
      <c r="F262">
        <v>2007408</v>
      </c>
      <c r="G262" t="s">
        <v>5047</v>
      </c>
      <c r="H262" t="s">
        <v>805</v>
      </c>
      <c r="I262">
        <v>292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292</v>
      </c>
      <c r="P262" s="44" t="e">
        <f>_xlfn.XLOOKUP(Tabla5[[#This Row],[EAN CORREGIDO]],'Tabla Articulos'!B:B,'Tabla Articulos'!D:D)</f>
        <v>#N/A</v>
      </c>
      <c r="Q262" s="44" t="e">
        <f>_xlfn.XLOOKUP(S262,'Tabla Articulos'!B:B,'Tabla Articulos'!E:E)</f>
        <v>#N/A</v>
      </c>
      <c r="R262" s="44" t="e">
        <f t="shared" si="8"/>
        <v>#N/A</v>
      </c>
      <c r="S262" s="45" t="str">
        <f t="shared" si="9"/>
        <v>7790250066163</v>
      </c>
    </row>
    <row r="263" spans="1:19" hidden="1" x14ac:dyDescent="0.35">
      <c r="A263" s="22">
        <v>5</v>
      </c>
      <c r="B263" t="s">
        <v>829</v>
      </c>
      <c r="C263" t="s">
        <v>802</v>
      </c>
      <c r="D263" s="11" t="s">
        <v>851</v>
      </c>
      <c r="E263" t="s">
        <v>5048</v>
      </c>
      <c r="F263">
        <v>4020598</v>
      </c>
      <c r="G263" t="s">
        <v>5049</v>
      </c>
      <c r="H263" t="s">
        <v>805</v>
      </c>
      <c r="I263">
        <v>254355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254355</v>
      </c>
      <c r="P263" s="44" t="e">
        <f>_xlfn.XLOOKUP(Tabla5[[#This Row],[EAN CORREGIDO]],'Tabla Articulos'!B:B,'Tabla Articulos'!D:D)</f>
        <v>#N/A</v>
      </c>
      <c r="Q263" s="44" t="e">
        <f>_xlfn.XLOOKUP(S263,'Tabla Articulos'!B:B,'Tabla Articulos'!E:E)</f>
        <v>#N/A</v>
      </c>
      <c r="R263" s="44" t="e">
        <f t="shared" si="8"/>
        <v>#N/A</v>
      </c>
      <c r="S263" s="45" t="str">
        <f t="shared" si="9"/>
        <v>7798366740298</v>
      </c>
    </row>
    <row r="264" spans="1:19" hidden="1" x14ac:dyDescent="0.35">
      <c r="A264" s="22">
        <v>6</v>
      </c>
      <c r="B264" t="s">
        <v>801</v>
      </c>
      <c r="C264" t="s">
        <v>802</v>
      </c>
      <c r="D264" t="s">
        <v>4220</v>
      </c>
      <c r="E264" t="s">
        <v>5050</v>
      </c>
      <c r="F264">
        <v>2006529</v>
      </c>
      <c r="G264" t="s">
        <v>5051</v>
      </c>
      <c r="H264" t="s">
        <v>805</v>
      </c>
      <c r="I264">
        <v>1362</v>
      </c>
      <c r="J264">
        <v>0</v>
      </c>
      <c r="K264">
        <v>0</v>
      </c>
      <c r="L264">
        <v>0</v>
      </c>
      <c r="M264">
        <v>10</v>
      </c>
      <c r="N264">
        <v>0</v>
      </c>
      <c r="O264">
        <v>1352</v>
      </c>
      <c r="P264" s="44" t="e">
        <f>_xlfn.XLOOKUP(Tabla5[[#This Row],[EAN CORREGIDO]],'Tabla Articulos'!B:B,'Tabla Articulos'!D:D)</f>
        <v>#N/A</v>
      </c>
      <c r="Q264" s="44" t="e">
        <f>_xlfn.XLOOKUP(S264,'Tabla Articulos'!B:B,'Tabla Articulos'!E:E)</f>
        <v>#N/A</v>
      </c>
      <c r="R264" s="44" t="e">
        <f t="shared" si="8"/>
        <v>#N/A</v>
      </c>
      <c r="S264" s="45" t="str">
        <f t="shared" si="9"/>
        <v>7798188650508</v>
      </c>
    </row>
    <row r="265" spans="1:19" hidden="1" x14ac:dyDescent="0.35">
      <c r="A265" s="22">
        <v>5</v>
      </c>
      <c r="B265" t="s">
        <v>829</v>
      </c>
      <c r="C265" t="s">
        <v>802</v>
      </c>
      <c r="D265" t="s">
        <v>5052</v>
      </c>
      <c r="E265" t="s">
        <v>5053</v>
      </c>
      <c r="F265">
        <v>4018836</v>
      </c>
      <c r="G265" t="s">
        <v>5054</v>
      </c>
      <c r="H265" t="s">
        <v>805</v>
      </c>
      <c r="I265">
        <v>64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64</v>
      </c>
      <c r="P265" s="44" t="e">
        <f>_xlfn.XLOOKUP(Tabla5[[#This Row],[EAN CORREGIDO]],'Tabla Articulos'!B:B,'Tabla Articulos'!D:D)</f>
        <v>#N/A</v>
      </c>
      <c r="Q265" s="44" t="e">
        <f>_xlfn.XLOOKUP(S265,'Tabla Articulos'!B:B,'Tabla Articulos'!E:E)</f>
        <v>#N/A</v>
      </c>
      <c r="R265" s="44" t="e">
        <f t="shared" si="8"/>
        <v>#N/A</v>
      </c>
      <c r="S265" s="45" t="str">
        <f t="shared" si="9"/>
        <v>7790412000417</v>
      </c>
    </row>
    <row r="266" spans="1:19" hidden="1" x14ac:dyDescent="0.35">
      <c r="A266" s="22">
        <v>1</v>
      </c>
      <c r="B266" t="s">
        <v>812</v>
      </c>
      <c r="C266" t="s">
        <v>802</v>
      </c>
      <c r="D266" s="11" t="s">
        <v>5052</v>
      </c>
      <c r="E266" t="s">
        <v>5053</v>
      </c>
      <c r="F266">
        <v>4018836</v>
      </c>
      <c r="G266" t="s">
        <v>5054</v>
      </c>
      <c r="H266" t="s">
        <v>805</v>
      </c>
      <c r="I266">
        <v>156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156</v>
      </c>
      <c r="P266" s="44" t="e">
        <f>_xlfn.XLOOKUP(Tabla5[[#This Row],[EAN CORREGIDO]],'Tabla Articulos'!B:B,'Tabla Articulos'!D:D)</f>
        <v>#N/A</v>
      </c>
      <c r="Q266" s="44" t="e">
        <f>_xlfn.XLOOKUP(S266,'Tabla Articulos'!B:B,'Tabla Articulos'!E:E)</f>
        <v>#N/A</v>
      </c>
      <c r="R266" s="44" t="e">
        <f t="shared" si="8"/>
        <v>#N/A</v>
      </c>
      <c r="S266" s="45" t="str">
        <f t="shared" si="9"/>
        <v>7790412000417</v>
      </c>
    </row>
    <row r="267" spans="1:19" hidden="1" x14ac:dyDescent="0.35">
      <c r="A267" s="22">
        <v>6</v>
      </c>
      <c r="B267" t="s">
        <v>801</v>
      </c>
      <c r="C267" t="s">
        <v>802</v>
      </c>
      <c r="D267"/>
      <c r="E267" t="s">
        <v>5055</v>
      </c>
      <c r="F267">
        <v>9003034</v>
      </c>
      <c r="G267" t="s">
        <v>5056</v>
      </c>
      <c r="H267" t="s">
        <v>805</v>
      </c>
      <c r="I267">
        <v>48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48</v>
      </c>
      <c r="P267" s="44" t="e">
        <f>_xlfn.XLOOKUP(Tabla5[[#This Row],[EAN CORREGIDO]],'Tabla Articulos'!B:B,'Tabla Articulos'!D:D)</f>
        <v>#N/A</v>
      </c>
      <c r="Q267" s="44" t="e">
        <f>_xlfn.XLOOKUP(S267,'Tabla Articulos'!B:B,'Tabla Articulos'!E:E)</f>
        <v>#N/A</v>
      </c>
      <c r="R267" s="44" t="e">
        <f t="shared" si="8"/>
        <v>#N/A</v>
      </c>
      <c r="S267" s="45" t="str">
        <f t="shared" si="9"/>
        <v>A1607C25T13</v>
      </c>
    </row>
    <row r="268" spans="1:19" hidden="1" x14ac:dyDescent="0.35">
      <c r="A268" s="22">
        <v>6</v>
      </c>
      <c r="B268" t="s">
        <v>801</v>
      </c>
      <c r="C268" t="s">
        <v>802</v>
      </c>
      <c r="D268"/>
      <c r="E268" t="s">
        <v>5057</v>
      </c>
      <c r="F268">
        <v>9003912</v>
      </c>
      <c r="G268" t="s">
        <v>5058</v>
      </c>
      <c r="H268" t="s">
        <v>805</v>
      </c>
      <c r="I268">
        <v>128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128</v>
      </c>
      <c r="P268" s="44" t="e">
        <f>_xlfn.XLOOKUP(Tabla5[[#This Row],[EAN CORREGIDO]],'Tabla Articulos'!B:B,'Tabla Articulos'!D:D)</f>
        <v>#N/A</v>
      </c>
      <c r="Q268" s="44" t="e">
        <f>_xlfn.XLOOKUP(S268,'Tabla Articulos'!B:B,'Tabla Articulos'!E:E)</f>
        <v>#N/A</v>
      </c>
      <c r="R268" s="44" t="e">
        <f t="shared" si="8"/>
        <v>#N/A</v>
      </c>
      <c r="S268" s="45" t="str">
        <f t="shared" si="9"/>
        <v>UNIF000636</v>
      </c>
    </row>
    <row r="269" spans="1:19" hidden="1" x14ac:dyDescent="0.35">
      <c r="A269" s="22">
        <v>6</v>
      </c>
      <c r="B269" t="s">
        <v>801</v>
      </c>
      <c r="C269" t="s">
        <v>802</v>
      </c>
      <c r="D269" t="s">
        <v>947</v>
      </c>
      <c r="E269" t="s">
        <v>5059</v>
      </c>
      <c r="F269">
        <v>2006867</v>
      </c>
      <c r="G269" t="s">
        <v>5060</v>
      </c>
      <c r="H269" t="s">
        <v>837</v>
      </c>
      <c r="I269">
        <v>640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640</v>
      </c>
      <c r="P269" s="44" t="e">
        <f>_xlfn.XLOOKUP(Tabla5[[#This Row],[EAN CORREGIDO]],'Tabla Articulos'!B:B,'Tabla Articulos'!D:D)</f>
        <v>#N/A</v>
      </c>
      <c r="Q269" s="44" t="e">
        <f>_xlfn.XLOOKUP(S269,'Tabla Articulos'!B:B,'Tabla Articulos'!E:E)</f>
        <v>#N/A</v>
      </c>
      <c r="R269" s="44" t="e">
        <f t="shared" si="8"/>
        <v>#N/A</v>
      </c>
      <c r="S269" s="45" t="str">
        <f t="shared" si="9"/>
        <v>LIM000311</v>
      </c>
    </row>
    <row r="270" spans="1:19" hidden="1" x14ac:dyDescent="0.35">
      <c r="A270" s="22">
        <v>6</v>
      </c>
      <c r="B270" t="s">
        <v>801</v>
      </c>
      <c r="C270" t="s">
        <v>802</v>
      </c>
      <c r="D270"/>
      <c r="E270" t="s">
        <v>5061</v>
      </c>
      <c r="F270">
        <v>9003564</v>
      </c>
      <c r="G270" t="s">
        <v>5062</v>
      </c>
      <c r="H270" t="s">
        <v>805</v>
      </c>
      <c r="I270">
        <v>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7</v>
      </c>
      <c r="P270" s="44" t="e">
        <f>_xlfn.XLOOKUP(Tabla5[[#This Row],[EAN CORREGIDO]],'Tabla Articulos'!B:B,'Tabla Articulos'!D:D)</f>
        <v>#N/A</v>
      </c>
      <c r="Q270" s="44" t="e">
        <f>_xlfn.XLOOKUP(S270,'Tabla Articulos'!B:B,'Tabla Articulos'!E:E)</f>
        <v>#N/A</v>
      </c>
      <c r="R270" s="44" t="e">
        <f t="shared" si="8"/>
        <v>#N/A</v>
      </c>
      <c r="S270" s="45" t="str">
        <f t="shared" si="9"/>
        <v>UNIF000147</v>
      </c>
    </row>
    <row r="271" spans="1:19" hidden="1" x14ac:dyDescent="0.35">
      <c r="A271" s="22">
        <v>1</v>
      </c>
      <c r="B271" t="s">
        <v>812</v>
      </c>
      <c r="C271" t="s">
        <v>802</v>
      </c>
      <c r="D271" s="11" t="s">
        <v>3635</v>
      </c>
      <c r="E271" t="s">
        <v>5063</v>
      </c>
      <c r="F271">
        <v>4020706</v>
      </c>
      <c r="G271" t="s">
        <v>5064</v>
      </c>
      <c r="H271" t="s">
        <v>805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 s="44" t="e">
        <f>_xlfn.XLOOKUP(Tabla5[[#This Row],[EAN CORREGIDO]],'Tabla Articulos'!B:B,'Tabla Articulos'!D:D)</f>
        <v>#N/A</v>
      </c>
      <c r="Q271" s="44" t="e">
        <f>_xlfn.XLOOKUP(S271,'Tabla Articulos'!B:B,'Tabla Articulos'!E:E)</f>
        <v>#N/A</v>
      </c>
      <c r="R271" s="44" t="e">
        <f t="shared" si="8"/>
        <v>#N/A</v>
      </c>
      <c r="S271" s="45" t="str">
        <f t="shared" si="9"/>
        <v>7797470006986</v>
      </c>
    </row>
    <row r="272" spans="1:19" hidden="1" x14ac:dyDescent="0.35">
      <c r="A272" s="22">
        <v>1</v>
      </c>
      <c r="B272" t="s">
        <v>812</v>
      </c>
      <c r="C272" t="s">
        <v>802</v>
      </c>
      <c r="D272" t="s">
        <v>2894</v>
      </c>
      <c r="E272" t="s">
        <v>2895</v>
      </c>
      <c r="F272">
        <v>4022723</v>
      </c>
      <c r="G272" t="s">
        <v>2896</v>
      </c>
      <c r="H272" t="s">
        <v>805</v>
      </c>
      <c r="I272">
        <v>23</v>
      </c>
      <c r="J272">
        <v>0</v>
      </c>
      <c r="K272">
        <v>0</v>
      </c>
      <c r="L272">
        <v>6</v>
      </c>
      <c r="M272">
        <v>6</v>
      </c>
      <c r="N272">
        <v>0</v>
      </c>
      <c r="O272">
        <v>11</v>
      </c>
      <c r="P272" s="44" t="e">
        <f>_xlfn.XLOOKUP(Tabla5[[#This Row],[EAN CORREGIDO]],'Tabla Articulos'!B:B,'Tabla Articulos'!D:D)</f>
        <v>#N/A</v>
      </c>
      <c r="Q272" s="44" t="e">
        <f>_xlfn.XLOOKUP(S272,'Tabla Articulos'!B:B,'Tabla Articulos'!E:E)</f>
        <v>#N/A</v>
      </c>
      <c r="R272" s="44" t="e">
        <f t="shared" si="8"/>
        <v>#N/A</v>
      </c>
      <c r="S272" s="45" t="str">
        <f t="shared" si="9"/>
        <v>7793275000662</v>
      </c>
    </row>
    <row r="273" spans="1:19" hidden="1" x14ac:dyDescent="0.35">
      <c r="A273" s="22">
        <v>5</v>
      </c>
      <c r="B273" t="s">
        <v>829</v>
      </c>
      <c r="C273" t="s">
        <v>802</v>
      </c>
      <c r="D273" t="s">
        <v>2897</v>
      </c>
      <c r="E273" t="s">
        <v>2898</v>
      </c>
      <c r="F273">
        <v>4022289</v>
      </c>
      <c r="G273" t="s">
        <v>2899</v>
      </c>
      <c r="H273" t="s">
        <v>805</v>
      </c>
      <c r="I273">
        <v>60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60</v>
      </c>
      <c r="P273" s="44" t="e">
        <f>_xlfn.XLOOKUP(Tabla5[[#This Row],[EAN CORREGIDO]],'Tabla Articulos'!B:B,'Tabla Articulos'!D:D)</f>
        <v>#N/A</v>
      </c>
      <c r="Q273" s="44" t="e">
        <f>_xlfn.XLOOKUP(S273,'Tabla Articulos'!B:B,'Tabla Articulos'!E:E)</f>
        <v>#N/A</v>
      </c>
      <c r="R273" s="44" t="e">
        <f t="shared" si="8"/>
        <v>#N/A</v>
      </c>
      <c r="S273" s="45" t="str">
        <f t="shared" si="9"/>
        <v>7792198006638</v>
      </c>
    </row>
    <row r="274" spans="1:19" hidden="1" x14ac:dyDescent="0.35">
      <c r="A274" s="22">
        <v>1</v>
      </c>
      <c r="B274" t="s">
        <v>812</v>
      </c>
      <c r="C274" t="s">
        <v>802</v>
      </c>
      <c r="D274" s="11" t="s">
        <v>2897</v>
      </c>
      <c r="E274" t="s">
        <v>2898</v>
      </c>
      <c r="F274">
        <v>4022289</v>
      </c>
      <c r="G274" t="s">
        <v>2899</v>
      </c>
      <c r="H274" t="s">
        <v>805</v>
      </c>
      <c r="I274">
        <v>7776</v>
      </c>
      <c r="J274">
        <v>0</v>
      </c>
      <c r="K274">
        <v>0</v>
      </c>
      <c r="L274">
        <v>0</v>
      </c>
      <c r="M274">
        <v>0</v>
      </c>
      <c r="N274">
        <v>100</v>
      </c>
      <c r="O274">
        <v>7676</v>
      </c>
      <c r="P274" s="44" t="e">
        <f>_xlfn.XLOOKUP(Tabla5[[#This Row],[EAN CORREGIDO]],'Tabla Articulos'!B:B,'Tabla Articulos'!D:D)</f>
        <v>#N/A</v>
      </c>
      <c r="Q274" s="44" t="e">
        <f>_xlfn.XLOOKUP(S274,'Tabla Articulos'!B:B,'Tabla Articulos'!E:E)</f>
        <v>#N/A</v>
      </c>
      <c r="R274" s="44" t="e">
        <f t="shared" si="8"/>
        <v>#N/A</v>
      </c>
      <c r="S274" s="45" t="str">
        <f t="shared" si="9"/>
        <v>7792198006638</v>
      </c>
    </row>
    <row r="275" spans="1:19" hidden="1" x14ac:dyDescent="0.35">
      <c r="A275" s="22">
        <v>6</v>
      </c>
      <c r="B275" t="s">
        <v>801</v>
      </c>
      <c r="C275" t="s">
        <v>802</v>
      </c>
      <c r="D275" t="s">
        <v>1002</v>
      </c>
      <c r="E275" t="s">
        <v>2900</v>
      </c>
      <c r="F275">
        <v>2006559</v>
      </c>
      <c r="G275" t="s">
        <v>2901</v>
      </c>
      <c r="H275" t="s">
        <v>805</v>
      </c>
      <c r="I275">
        <v>3392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3392</v>
      </c>
      <c r="P275" s="44" t="e">
        <f>_xlfn.XLOOKUP(Tabla5[[#This Row],[EAN CORREGIDO]],'Tabla Articulos'!B:B,'Tabla Articulos'!D:D)</f>
        <v>#N/A</v>
      </c>
      <c r="Q275" s="44" t="e">
        <f>_xlfn.XLOOKUP(S275,'Tabla Articulos'!B:B,'Tabla Articulos'!E:E)</f>
        <v>#N/A</v>
      </c>
      <c r="R275" s="44" t="e">
        <f t="shared" si="8"/>
        <v>#N/A</v>
      </c>
      <c r="S275" s="45" t="str">
        <f t="shared" si="9"/>
        <v>LIM000239</v>
      </c>
    </row>
    <row r="276" spans="1:19" hidden="1" x14ac:dyDescent="0.35">
      <c r="A276" s="22">
        <v>5</v>
      </c>
      <c r="B276" t="s">
        <v>829</v>
      </c>
      <c r="C276" t="s">
        <v>802</v>
      </c>
      <c r="D276" t="s">
        <v>1119</v>
      </c>
      <c r="E276" t="s">
        <v>2902</v>
      </c>
      <c r="F276">
        <v>4020236</v>
      </c>
      <c r="G276" t="s">
        <v>2903</v>
      </c>
      <c r="H276" t="s">
        <v>805</v>
      </c>
      <c r="I276">
        <v>72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72</v>
      </c>
      <c r="P276" s="44" t="e">
        <f>_xlfn.XLOOKUP(Tabla5[[#This Row],[EAN CORREGIDO]],'Tabla Articulos'!B:B,'Tabla Articulos'!D:D)</f>
        <v>#N/A</v>
      </c>
      <c r="Q276" s="44" t="e">
        <f>_xlfn.XLOOKUP(S276,'Tabla Articulos'!B:B,'Tabla Articulos'!E:E)</f>
        <v>#N/A</v>
      </c>
      <c r="R276" s="44" t="e">
        <f t="shared" si="8"/>
        <v>#N/A</v>
      </c>
      <c r="S276" s="45" t="str">
        <f t="shared" si="9"/>
        <v>7796244000052</v>
      </c>
    </row>
    <row r="277" spans="1:19" hidden="1" x14ac:dyDescent="0.35">
      <c r="A277" s="22">
        <v>6</v>
      </c>
      <c r="B277" t="s">
        <v>801</v>
      </c>
      <c r="C277" t="s">
        <v>802</v>
      </c>
      <c r="D277"/>
      <c r="E277" t="s">
        <v>2904</v>
      </c>
      <c r="F277">
        <v>9004195</v>
      </c>
      <c r="G277" t="s">
        <v>2905</v>
      </c>
      <c r="H277" t="s">
        <v>805</v>
      </c>
      <c r="I277">
        <v>10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10</v>
      </c>
      <c r="P277" s="44" t="e">
        <f>_xlfn.XLOOKUP(Tabla5[[#This Row],[EAN CORREGIDO]],'Tabla Articulos'!B:B,'Tabla Articulos'!D:D)</f>
        <v>#N/A</v>
      </c>
      <c r="Q277" s="44" t="e">
        <f>_xlfn.XLOOKUP(S277,'Tabla Articulos'!B:B,'Tabla Articulos'!E:E)</f>
        <v>#N/A</v>
      </c>
      <c r="R277" s="44" t="e">
        <f t="shared" si="8"/>
        <v>#N/A</v>
      </c>
      <c r="S277" s="45" t="str">
        <f t="shared" si="9"/>
        <v>UNIF000741</v>
      </c>
    </row>
    <row r="278" spans="1:19" hidden="1" x14ac:dyDescent="0.35">
      <c r="A278" s="22">
        <v>6</v>
      </c>
      <c r="B278" t="s">
        <v>801</v>
      </c>
      <c r="C278" t="s">
        <v>802</v>
      </c>
      <c r="D278"/>
      <c r="E278" t="s">
        <v>2906</v>
      </c>
      <c r="F278">
        <v>2006967</v>
      </c>
      <c r="G278" t="s">
        <v>2907</v>
      </c>
      <c r="H278" t="s">
        <v>805</v>
      </c>
      <c r="I278">
        <v>2303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2303</v>
      </c>
      <c r="P278" s="44" t="e">
        <f>_xlfn.XLOOKUP(Tabla5[[#This Row],[EAN CORREGIDO]],'Tabla Articulos'!B:B,'Tabla Articulos'!D:D)</f>
        <v>#N/A</v>
      </c>
      <c r="Q278" s="44" t="e">
        <f>_xlfn.XLOOKUP(S278,'Tabla Articulos'!B:B,'Tabla Articulos'!E:E)</f>
        <v>#N/A</v>
      </c>
      <c r="R278" s="44" t="e">
        <f t="shared" si="8"/>
        <v>#N/A</v>
      </c>
      <c r="S278" s="45" t="str">
        <f t="shared" si="9"/>
        <v>7790320000000</v>
      </c>
    </row>
    <row r="279" spans="1:19" hidden="1" x14ac:dyDescent="0.35">
      <c r="A279" s="22">
        <v>5</v>
      </c>
      <c r="B279" t="s">
        <v>829</v>
      </c>
      <c r="C279" t="s">
        <v>802</v>
      </c>
      <c r="D279" t="s">
        <v>2908</v>
      </c>
      <c r="E279" t="s">
        <v>2909</v>
      </c>
      <c r="F279">
        <v>4076372</v>
      </c>
      <c r="G279" t="s">
        <v>2910</v>
      </c>
      <c r="H279" t="s">
        <v>805</v>
      </c>
      <c r="I279">
        <v>93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93</v>
      </c>
      <c r="P279" s="44" t="e">
        <f>_xlfn.XLOOKUP(Tabla5[[#This Row],[EAN CORREGIDO]],'Tabla Articulos'!B:B,'Tabla Articulos'!D:D)</f>
        <v>#N/A</v>
      </c>
      <c r="Q279" s="44" t="e">
        <f>_xlfn.XLOOKUP(S279,'Tabla Articulos'!B:B,'Tabla Articulos'!E:E)</f>
        <v>#N/A</v>
      </c>
      <c r="R279" s="44" t="e">
        <f t="shared" si="8"/>
        <v>#N/A</v>
      </c>
      <c r="S279" s="45" t="str">
        <f t="shared" si="9"/>
        <v>7798355480181</v>
      </c>
    </row>
    <row r="280" spans="1:19" hidden="1" x14ac:dyDescent="0.35">
      <c r="A280" s="22">
        <v>1</v>
      </c>
      <c r="B280" t="s">
        <v>812</v>
      </c>
      <c r="C280" t="s">
        <v>802</v>
      </c>
      <c r="D280" s="11" t="s">
        <v>2908</v>
      </c>
      <c r="E280" t="s">
        <v>2909</v>
      </c>
      <c r="F280">
        <v>4076372</v>
      </c>
      <c r="G280" t="s">
        <v>2910</v>
      </c>
      <c r="H280" t="s">
        <v>805</v>
      </c>
      <c r="I280">
        <v>3173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3173</v>
      </c>
      <c r="P280" s="44" t="e">
        <f>_xlfn.XLOOKUP(Tabla5[[#This Row],[EAN CORREGIDO]],'Tabla Articulos'!B:B,'Tabla Articulos'!D:D)</f>
        <v>#N/A</v>
      </c>
      <c r="Q280" s="44" t="e">
        <f>_xlfn.XLOOKUP(S280,'Tabla Articulos'!B:B,'Tabla Articulos'!E:E)</f>
        <v>#N/A</v>
      </c>
      <c r="R280" s="44" t="e">
        <f t="shared" si="8"/>
        <v>#N/A</v>
      </c>
      <c r="S280" s="45" t="str">
        <f t="shared" si="9"/>
        <v>7798355480181</v>
      </c>
    </row>
    <row r="281" spans="1:19" hidden="1" x14ac:dyDescent="0.35">
      <c r="A281" s="22">
        <v>6</v>
      </c>
      <c r="B281" t="s">
        <v>801</v>
      </c>
      <c r="C281" t="s">
        <v>802</v>
      </c>
      <c r="D281"/>
      <c r="E281" t="s">
        <v>2911</v>
      </c>
      <c r="F281">
        <v>9003861</v>
      </c>
      <c r="G281" t="s">
        <v>2912</v>
      </c>
      <c r="H281" t="s">
        <v>805</v>
      </c>
      <c r="I281">
        <v>1215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1215</v>
      </c>
      <c r="P281" s="44" t="e">
        <f>_xlfn.XLOOKUP(Tabla5[[#This Row],[EAN CORREGIDO]],'Tabla Articulos'!B:B,'Tabla Articulos'!D:D)</f>
        <v>#N/A</v>
      </c>
      <c r="Q281" s="44" t="e">
        <f>_xlfn.XLOOKUP(S281,'Tabla Articulos'!B:B,'Tabla Articulos'!E:E)</f>
        <v>#N/A</v>
      </c>
      <c r="R281" s="44" t="e">
        <f t="shared" si="8"/>
        <v>#N/A</v>
      </c>
      <c r="S281" s="45" t="str">
        <f t="shared" si="9"/>
        <v>BAZ001259</v>
      </c>
    </row>
    <row r="282" spans="1:19" hidden="1" x14ac:dyDescent="0.35">
      <c r="A282" s="22">
        <v>5</v>
      </c>
      <c r="B282" t="s">
        <v>829</v>
      </c>
      <c r="C282" t="s">
        <v>802</v>
      </c>
      <c r="D282" t="s">
        <v>1562</v>
      </c>
      <c r="E282" t="s">
        <v>2913</v>
      </c>
      <c r="F282">
        <v>4020344</v>
      </c>
      <c r="G282" t="s">
        <v>2914</v>
      </c>
      <c r="H282" t="s">
        <v>805</v>
      </c>
      <c r="I282">
        <v>52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52</v>
      </c>
      <c r="P282" s="44" t="e">
        <f>_xlfn.XLOOKUP(Tabla5[[#This Row],[EAN CORREGIDO]],'Tabla Articulos'!B:B,'Tabla Articulos'!D:D)</f>
        <v>#N/A</v>
      </c>
      <c r="Q282" s="44" t="e">
        <f>_xlfn.XLOOKUP(S282,'Tabla Articulos'!B:B,'Tabla Articulos'!E:E)</f>
        <v>#N/A</v>
      </c>
      <c r="R282" s="44" t="e">
        <f t="shared" si="8"/>
        <v>#N/A</v>
      </c>
      <c r="S282" s="45" t="str">
        <f t="shared" si="9"/>
        <v>7798011970186</v>
      </c>
    </row>
    <row r="283" spans="1:19" hidden="1" x14ac:dyDescent="0.35">
      <c r="A283" s="22">
        <v>1</v>
      </c>
      <c r="B283" t="s">
        <v>812</v>
      </c>
      <c r="C283" t="s">
        <v>802</v>
      </c>
      <c r="D283" s="11" t="s">
        <v>1562</v>
      </c>
      <c r="E283" t="s">
        <v>2913</v>
      </c>
      <c r="F283">
        <v>4020344</v>
      </c>
      <c r="G283" t="s">
        <v>2914</v>
      </c>
      <c r="H283" t="s">
        <v>805</v>
      </c>
      <c r="I283">
        <v>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3</v>
      </c>
      <c r="P283" s="44" t="e">
        <f>_xlfn.XLOOKUP(Tabla5[[#This Row],[EAN CORREGIDO]],'Tabla Articulos'!B:B,'Tabla Articulos'!D:D)</f>
        <v>#N/A</v>
      </c>
      <c r="Q283" s="44" t="e">
        <f>_xlfn.XLOOKUP(S283,'Tabla Articulos'!B:B,'Tabla Articulos'!E:E)</f>
        <v>#N/A</v>
      </c>
      <c r="R283" s="44" t="e">
        <f t="shared" si="8"/>
        <v>#N/A</v>
      </c>
      <c r="S283" s="45" t="str">
        <f t="shared" si="9"/>
        <v>7798011970186</v>
      </c>
    </row>
    <row r="284" spans="1:19" hidden="1" x14ac:dyDescent="0.35">
      <c r="A284" s="22">
        <v>5</v>
      </c>
      <c r="B284" t="s">
        <v>829</v>
      </c>
      <c r="C284" t="s">
        <v>802</v>
      </c>
      <c r="D284" s="11" t="s">
        <v>2915</v>
      </c>
      <c r="E284" t="s">
        <v>2916</v>
      </c>
      <c r="F284">
        <v>4077429</v>
      </c>
      <c r="G284" t="s">
        <v>2917</v>
      </c>
      <c r="H284" t="s">
        <v>837</v>
      </c>
      <c r="I284">
        <v>400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400</v>
      </c>
      <c r="P284" s="44" t="e">
        <f>_xlfn.XLOOKUP(Tabla5[[#This Row],[EAN CORREGIDO]],'Tabla Articulos'!B:B,'Tabla Articulos'!D:D)</f>
        <v>#N/A</v>
      </c>
      <c r="Q284" s="44" t="e">
        <f>_xlfn.XLOOKUP(S284,'Tabla Articulos'!B:B,'Tabla Articulos'!E:E)</f>
        <v>#N/A</v>
      </c>
      <c r="R284" s="44" t="e">
        <f t="shared" si="8"/>
        <v>#N/A</v>
      </c>
      <c r="S284" s="45" t="str">
        <f t="shared" si="9"/>
        <v>7793176000020</v>
      </c>
    </row>
    <row r="285" spans="1:19" hidden="1" x14ac:dyDescent="0.35">
      <c r="A285" s="22">
        <v>6</v>
      </c>
      <c r="B285" t="s">
        <v>801</v>
      </c>
      <c r="C285" t="s">
        <v>802</v>
      </c>
      <c r="E285" t="s">
        <v>2918</v>
      </c>
      <c r="F285">
        <v>9003211</v>
      </c>
      <c r="G285" t="s">
        <v>2919</v>
      </c>
      <c r="H285" t="s">
        <v>805</v>
      </c>
      <c r="I285">
        <v>11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11</v>
      </c>
      <c r="P285" s="44" t="e">
        <f>_xlfn.XLOOKUP(Tabla5[[#This Row],[EAN CORREGIDO]],'Tabla Articulos'!B:B,'Tabla Articulos'!D:D)</f>
        <v>#N/A</v>
      </c>
      <c r="Q285" s="44" t="e">
        <f>_xlfn.XLOOKUP(S285,'Tabla Articulos'!B:B,'Tabla Articulos'!E:E)</f>
        <v>#N/A</v>
      </c>
      <c r="R285" s="44" t="e">
        <f t="shared" si="8"/>
        <v>#N/A</v>
      </c>
      <c r="S285" s="45" t="str">
        <f t="shared" si="9"/>
        <v>UNIF000111</v>
      </c>
    </row>
    <row r="286" spans="1:19" hidden="1" x14ac:dyDescent="0.35">
      <c r="A286" s="22">
        <v>6</v>
      </c>
      <c r="B286" t="s">
        <v>801</v>
      </c>
      <c r="C286" t="s">
        <v>802</v>
      </c>
      <c r="E286" t="s">
        <v>2920</v>
      </c>
      <c r="F286">
        <v>9003498</v>
      </c>
      <c r="G286" t="s">
        <v>2921</v>
      </c>
      <c r="H286" t="s">
        <v>805</v>
      </c>
      <c r="I286">
        <v>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6</v>
      </c>
      <c r="P286" s="44" t="e">
        <f>_xlfn.XLOOKUP(Tabla5[[#This Row],[EAN CORREGIDO]],'Tabla Articulos'!B:B,'Tabla Articulos'!D:D)</f>
        <v>#N/A</v>
      </c>
      <c r="Q286" s="44" t="e">
        <f>_xlfn.XLOOKUP(S286,'Tabla Articulos'!B:B,'Tabla Articulos'!E:E)</f>
        <v>#N/A</v>
      </c>
      <c r="R286" s="44" t="e">
        <f t="shared" si="8"/>
        <v>#N/A</v>
      </c>
      <c r="S286" s="45" t="str">
        <f t="shared" si="9"/>
        <v>UNIF000230</v>
      </c>
    </row>
    <row r="287" spans="1:19" hidden="1" x14ac:dyDescent="0.35">
      <c r="A287" s="22">
        <v>6</v>
      </c>
      <c r="B287" t="s">
        <v>801</v>
      </c>
      <c r="C287" t="s">
        <v>802</v>
      </c>
      <c r="D287" t="s">
        <v>2082</v>
      </c>
      <c r="E287" t="s">
        <v>2083</v>
      </c>
      <c r="F287">
        <v>2006815</v>
      </c>
      <c r="G287" t="s">
        <v>2084</v>
      </c>
      <c r="H287" t="s">
        <v>805</v>
      </c>
      <c r="I287">
        <v>1045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1045</v>
      </c>
      <c r="P287" s="44" t="e">
        <f>_xlfn.XLOOKUP(Tabla5[[#This Row],[EAN CORREGIDO]],'Tabla Articulos'!B:B,'Tabla Articulos'!D:D)</f>
        <v>#N/A</v>
      </c>
      <c r="Q287" s="44" t="e">
        <f>_xlfn.XLOOKUP(S287,'Tabla Articulos'!B:B,'Tabla Articulos'!E:E)</f>
        <v>#N/A</v>
      </c>
      <c r="R287" s="44" t="e">
        <f t="shared" si="8"/>
        <v>#N/A</v>
      </c>
      <c r="S287" s="45" t="str">
        <f t="shared" si="9"/>
        <v>7792798664288</v>
      </c>
    </row>
    <row r="288" spans="1:19" hidden="1" x14ac:dyDescent="0.35">
      <c r="A288" s="22">
        <v>6</v>
      </c>
      <c r="B288" t="s">
        <v>801</v>
      </c>
      <c r="C288" t="s">
        <v>802</v>
      </c>
      <c r="D288" t="s">
        <v>1351</v>
      </c>
      <c r="E288" t="s">
        <v>2085</v>
      </c>
      <c r="F288">
        <v>2006319</v>
      </c>
      <c r="G288" t="s">
        <v>2086</v>
      </c>
      <c r="H288" t="s">
        <v>805</v>
      </c>
      <c r="I288">
        <v>12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12</v>
      </c>
      <c r="P288" s="44" t="e">
        <f>_xlfn.XLOOKUP(Tabla5[[#This Row],[EAN CORREGIDO]],'Tabla Articulos'!B:B,'Tabla Articulos'!D:D)</f>
        <v>#N/A</v>
      </c>
      <c r="Q288" s="44" t="e">
        <f>_xlfn.XLOOKUP(S288,'Tabla Articulos'!B:B,'Tabla Articulos'!E:E)</f>
        <v>#N/A</v>
      </c>
      <c r="R288" s="44" t="e">
        <f t="shared" si="8"/>
        <v>#N/A</v>
      </c>
      <c r="S288" s="45" t="str">
        <f t="shared" si="9"/>
        <v>LIM000003</v>
      </c>
    </row>
    <row r="289" spans="1:19" hidden="1" x14ac:dyDescent="0.35">
      <c r="A289" s="22">
        <v>5</v>
      </c>
      <c r="B289" t="s">
        <v>829</v>
      </c>
      <c r="C289" t="s">
        <v>802</v>
      </c>
      <c r="D289" s="11" t="s">
        <v>2087</v>
      </c>
      <c r="E289" t="s">
        <v>2088</v>
      </c>
      <c r="F289">
        <v>4076393</v>
      </c>
      <c r="G289" t="s">
        <v>2089</v>
      </c>
      <c r="H289" t="s">
        <v>805</v>
      </c>
      <c r="I289">
        <v>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8</v>
      </c>
      <c r="P289" s="44" t="e">
        <f>_xlfn.XLOOKUP(Tabla5[[#This Row],[EAN CORREGIDO]],'Tabla Articulos'!B:B,'Tabla Articulos'!D:D)</f>
        <v>#N/A</v>
      </c>
      <c r="Q289" s="44" t="e">
        <f>_xlfn.XLOOKUP(S289,'Tabla Articulos'!B:B,'Tabla Articulos'!E:E)</f>
        <v>#N/A</v>
      </c>
      <c r="R289" s="44" t="e">
        <f t="shared" si="8"/>
        <v>#N/A</v>
      </c>
      <c r="S289" s="45" t="str">
        <f t="shared" si="9"/>
        <v>7798079230680</v>
      </c>
    </row>
    <row r="290" spans="1:19" hidden="1" x14ac:dyDescent="0.35">
      <c r="A290" s="22">
        <v>6</v>
      </c>
      <c r="B290" t="s">
        <v>801</v>
      </c>
      <c r="C290" t="s">
        <v>802</v>
      </c>
      <c r="E290" t="s">
        <v>2872</v>
      </c>
      <c r="F290">
        <v>9003311</v>
      </c>
      <c r="G290" t="s">
        <v>2873</v>
      </c>
      <c r="H290" t="s">
        <v>805</v>
      </c>
      <c r="I290">
        <v>27</v>
      </c>
      <c r="J290">
        <v>50</v>
      </c>
      <c r="K290">
        <v>0</v>
      </c>
      <c r="L290">
        <v>0</v>
      </c>
      <c r="M290">
        <v>0</v>
      </c>
      <c r="N290">
        <v>0</v>
      </c>
      <c r="O290">
        <v>77</v>
      </c>
      <c r="P290" s="44" t="e">
        <f>_xlfn.XLOOKUP(Tabla5[[#This Row],[EAN CORREGIDO]],'Tabla Articulos'!B:B,'Tabla Articulos'!D:D)</f>
        <v>#N/A</v>
      </c>
      <c r="Q290" s="44" t="e">
        <f>_xlfn.XLOOKUP(S290,'Tabla Articulos'!B:B,'Tabla Articulos'!E:E)</f>
        <v>#N/A</v>
      </c>
      <c r="R290" s="44" t="e">
        <f t="shared" si="8"/>
        <v>#N/A</v>
      </c>
      <c r="S290" s="45" t="str">
        <f t="shared" si="9"/>
        <v>UNIF000058</v>
      </c>
    </row>
    <row r="291" spans="1:19" hidden="1" x14ac:dyDescent="0.35">
      <c r="A291" s="22">
        <v>6</v>
      </c>
      <c r="B291" t="s">
        <v>801</v>
      </c>
      <c r="C291" t="s">
        <v>802</v>
      </c>
      <c r="D291" t="s">
        <v>1583</v>
      </c>
      <c r="E291" t="s">
        <v>2874</v>
      </c>
      <c r="F291">
        <v>2016494</v>
      </c>
      <c r="G291" t="s">
        <v>2875</v>
      </c>
      <c r="H291" t="s">
        <v>805</v>
      </c>
      <c r="I291">
        <v>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8</v>
      </c>
      <c r="P291" s="44" t="e">
        <f>_xlfn.XLOOKUP(Tabla5[[#This Row],[EAN CORREGIDO]],'Tabla Articulos'!B:B,'Tabla Articulos'!D:D)</f>
        <v>#N/A</v>
      </c>
      <c r="Q291" s="44" t="e">
        <f>_xlfn.XLOOKUP(S291,'Tabla Articulos'!B:B,'Tabla Articulos'!E:E)</f>
        <v>#N/A</v>
      </c>
      <c r="R291" s="44" t="e">
        <f t="shared" si="8"/>
        <v>#N/A</v>
      </c>
      <c r="S291" s="45" t="str">
        <f t="shared" si="9"/>
        <v>7798065720140</v>
      </c>
    </row>
    <row r="292" spans="1:19" hidden="1" x14ac:dyDescent="0.35">
      <c r="A292" s="22">
        <v>6</v>
      </c>
      <c r="B292" t="s">
        <v>801</v>
      </c>
      <c r="C292" t="s">
        <v>802</v>
      </c>
      <c r="D292" t="s">
        <v>189</v>
      </c>
      <c r="E292" t="s">
        <v>2876</v>
      </c>
      <c r="F292">
        <v>2016605</v>
      </c>
      <c r="G292" t="s">
        <v>2877</v>
      </c>
      <c r="H292" t="s">
        <v>805</v>
      </c>
      <c r="I292">
        <v>200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200</v>
      </c>
      <c r="P292" s="44" t="str">
        <f>_xlfn.XLOOKUP(Tabla5[[#This Row],[EAN CORREGIDO]],'Tabla Articulos'!B:B,'Tabla Articulos'!D:D)</f>
        <v>ARRANQUE 50X70</v>
      </c>
      <c r="Q292" s="44">
        <f>_xlfn.XLOOKUP(S292,'Tabla Articulos'!B:B,'Tabla Articulos'!E:E)</f>
        <v>6</v>
      </c>
      <c r="R292" s="44">
        <f t="shared" si="8"/>
        <v>1200</v>
      </c>
      <c r="S292" s="45" t="str">
        <f t="shared" si="9"/>
        <v>7794459003066</v>
      </c>
    </row>
    <row r="293" spans="1:19" hidden="1" x14ac:dyDescent="0.35">
      <c r="A293" s="22">
        <v>6</v>
      </c>
      <c r="B293" t="s">
        <v>801</v>
      </c>
      <c r="C293" t="s">
        <v>802</v>
      </c>
      <c r="D293"/>
      <c r="E293" t="s">
        <v>1575</v>
      </c>
      <c r="F293">
        <v>9003040</v>
      </c>
      <c r="G293" t="s">
        <v>1576</v>
      </c>
      <c r="H293" t="s">
        <v>805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10</v>
      </c>
      <c r="P293" s="44" t="e">
        <f>_xlfn.XLOOKUP(Tabla5[[#This Row],[EAN CORREGIDO]],'Tabla Articulos'!B:B,'Tabla Articulos'!D:D)</f>
        <v>#N/A</v>
      </c>
      <c r="Q293" s="44" t="e">
        <f>_xlfn.XLOOKUP(S293,'Tabla Articulos'!B:B,'Tabla Articulos'!E:E)</f>
        <v>#N/A</v>
      </c>
      <c r="R293" s="44" t="e">
        <f t="shared" si="8"/>
        <v>#N/A</v>
      </c>
      <c r="S293" s="45" t="str">
        <f t="shared" si="9"/>
        <v>UNIF000009</v>
      </c>
    </row>
    <row r="294" spans="1:19" hidden="1" x14ac:dyDescent="0.35">
      <c r="A294" s="22">
        <v>5</v>
      </c>
      <c r="B294" t="s">
        <v>829</v>
      </c>
      <c r="C294" t="s">
        <v>802</v>
      </c>
      <c r="D294" t="s">
        <v>1577</v>
      </c>
      <c r="E294" t="s">
        <v>1578</v>
      </c>
      <c r="F294">
        <v>4019562</v>
      </c>
      <c r="G294" t="s">
        <v>1579</v>
      </c>
      <c r="H294" t="s">
        <v>805</v>
      </c>
      <c r="I294">
        <v>129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128</v>
      </c>
      <c r="P294" s="44" t="e">
        <f>_xlfn.XLOOKUP(Tabla5[[#This Row],[EAN CORREGIDO]],'Tabla Articulos'!B:B,'Tabla Articulos'!D:D)</f>
        <v>#N/A</v>
      </c>
      <c r="Q294" s="44" t="e">
        <f>_xlfn.XLOOKUP(S294,'Tabla Articulos'!B:B,'Tabla Articulos'!E:E)</f>
        <v>#N/A</v>
      </c>
      <c r="R294" s="44" t="e">
        <f t="shared" si="8"/>
        <v>#N/A</v>
      </c>
      <c r="S294" s="45" t="str">
        <f t="shared" si="9"/>
        <v>7790199603399</v>
      </c>
    </row>
    <row r="295" spans="1:19" hidden="1" x14ac:dyDescent="0.35">
      <c r="A295" s="22">
        <v>1</v>
      </c>
      <c r="B295" t="s">
        <v>812</v>
      </c>
      <c r="C295" t="s">
        <v>802</v>
      </c>
      <c r="D295" s="11" t="s">
        <v>1577</v>
      </c>
      <c r="E295" t="s">
        <v>1578</v>
      </c>
      <c r="F295">
        <v>4019562</v>
      </c>
      <c r="G295" t="s">
        <v>1579</v>
      </c>
      <c r="H295" t="s">
        <v>805</v>
      </c>
      <c r="I295">
        <v>160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160</v>
      </c>
      <c r="P295" s="44" t="e">
        <f>_xlfn.XLOOKUP(Tabla5[[#This Row],[EAN CORREGIDO]],'Tabla Articulos'!B:B,'Tabla Articulos'!D:D)</f>
        <v>#N/A</v>
      </c>
      <c r="Q295" s="44" t="e">
        <f>_xlfn.XLOOKUP(S295,'Tabla Articulos'!B:B,'Tabla Articulos'!E:E)</f>
        <v>#N/A</v>
      </c>
      <c r="R295" s="44" t="e">
        <f t="shared" si="8"/>
        <v>#N/A</v>
      </c>
      <c r="S295" s="45" t="str">
        <f t="shared" si="9"/>
        <v>7790199603399</v>
      </c>
    </row>
    <row r="296" spans="1:19" hidden="1" x14ac:dyDescent="0.35">
      <c r="A296" s="22">
        <v>1</v>
      </c>
      <c r="B296" t="s">
        <v>812</v>
      </c>
      <c r="C296" t="s">
        <v>802</v>
      </c>
      <c r="D296" t="s">
        <v>1580</v>
      </c>
      <c r="E296" t="s">
        <v>1581</v>
      </c>
      <c r="F296">
        <v>4020481</v>
      </c>
      <c r="G296" t="s">
        <v>1582</v>
      </c>
      <c r="H296" t="s">
        <v>805</v>
      </c>
      <c r="I296">
        <v>7565</v>
      </c>
      <c r="J296">
        <v>0</v>
      </c>
      <c r="K296">
        <v>0</v>
      </c>
      <c r="L296">
        <v>0</v>
      </c>
      <c r="M296">
        <v>178</v>
      </c>
      <c r="N296">
        <v>0</v>
      </c>
      <c r="O296">
        <v>7387</v>
      </c>
      <c r="P296" s="44" t="e">
        <f>_xlfn.XLOOKUP(Tabla5[[#This Row],[EAN CORREGIDO]],'Tabla Articulos'!B:B,'Tabla Articulos'!D:D)</f>
        <v>#N/A</v>
      </c>
      <c r="Q296" s="44" t="e">
        <f>_xlfn.XLOOKUP(S296,'Tabla Articulos'!B:B,'Tabla Articulos'!E:E)</f>
        <v>#N/A</v>
      </c>
      <c r="R296" s="44" t="e">
        <f t="shared" si="8"/>
        <v>#N/A</v>
      </c>
      <c r="S296" s="45" t="str">
        <f t="shared" si="9"/>
        <v>7791113001543</v>
      </c>
    </row>
    <row r="297" spans="1:19" hidden="1" x14ac:dyDescent="0.35">
      <c r="A297" s="22">
        <v>6</v>
      </c>
      <c r="B297" t="s">
        <v>801</v>
      </c>
      <c r="C297" t="s">
        <v>802</v>
      </c>
      <c r="D297" t="s">
        <v>1583</v>
      </c>
      <c r="E297" t="s">
        <v>1584</v>
      </c>
      <c r="F297">
        <v>2006285</v>
      </c>
      <c r="G297" t="s">
        <v>1585</v>
      </c>
      <c r="H297" t="s">
        <v>805</v>
      </c>
      <c r="I297">
        <v>302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302</v>
      </c>
      <c r="P297" s="44" t="e">
        <f>_xlfn.XLOOKUP(Tabla5[[#This Row],[EAN CORREGIDO]],'Tabla Articulos'!B:B,'Tabla Articulos'!D:D)</f>
        <v>#N/A</v>
      </c>
      <c r="Q297" s="44" t="e">
        <f>_xlfn.XLOOKUP(S297,'Tabla Articulos'!B:B,'Tabla Articulos'!E:E)</f>
        <v>#N/A</v>
      </c>
      <c r="R297" s="44" t="e">
        <f t="shared" si="8"/>
        <v>#N/A</v>
      </c>
      <c r="S297" s="45" t="str">
        <f t="shared" si="9"/>
        <v>LIM000503</v>
      </c>
    </row>
    <row r="298" spans="1:19" hidden="1" x14ac:dyDescent="0.35">
      <c r="A298" s="22">
        <v>1</v>
      </c>
      <c r="B298" t="s">
        <v>812</v>
      </c>
      <c r="C298" t="s">
        <v>802</v>
      </c>
      <c r="D298" s="11" t="s">
        <v>1586</v>
      </c>
      <c r="E298" t="s">
        <v>1587</v>
      </c>
      <c r="F298">
        <v>4024117</v>
      </c>
      <c r="G298" t="s">
        <v>1588</v>
      </c>
      <c r="H298" t="s">
        <v>805</v>
      </c>
      <c r="I298">
        <v>17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17</v>
      </c>
      <c r="P298" s="44" t="e">
        <f>_xlfn.XLOOKUP(Tabla5[[#This Row],[EAN CORREGIDO]],'Tabla Articulos'!B:B,'Tabla Articulos'!D:D)</f>
        <v>#N/A</v>
      </c>
      <c r="Q298" s="44" t="e">
        <f>_xlfn.XLOOKUP(S298,'Tabla Articulos'!B:B,'Tabla Articulos'!E:E)</f>
        <v>#N/A</v>
      </c>
      <c r="R298" s="44" t="e">
        <f t="shared" si="8"/>
        <v>#N/A</v>
      </c>
      <c r="S298" s="45" t="str">
        <f t="shared" si="9"/>
        <v>7793024006136</v>
      </c>
    </row>
    <row r="299" spans="1:19" hidden="1" x14ac:dyDescent="0.35">
      <c r="A299" s="22">
        <v>6</v>
      </c>
      <c r="B299" t="s">
        <v>801</v>
      </c>
      <c r="C299" t="s">
        <v>802</v>
      </c>
      <c r="D299" t="s">
        <v>1589</v>
      </c>
      <c r="E299" t="s">
        <v>1590</v>
      </c>
      <c r="F299">
        <v>2006315</v>
      </c>
      <c r="G299" t="s">
        <v>1591</v>
      </c>
      <c r="H299" t="s">
        <v>805</v>
      </c>
      <c r="I299">
        <v>1659</v>
      </c>
      <c r="J299">
        <v>0</v>
      </c>
      <c r="K299">
        <v>0</v>
      </c>
      <c r="L299">
        <v>0</v>
      </c>
      <c r="M299">
        <v>2</v>
      </c>
      <c r="N299">
        <v>0</v>
      </c>
      <c r="O299">
        <v>1657</v>
      </c>
      <c r="P299" s="44" t="e">
        <f>_xlfn.XLOOKUP(Tabla5[[#This Row],[EAN CORREGIDO]],'Tabla Articulos'!B:B,'Tabla Articulos'!D:D)</f>
        <v>#N/A</v>
      </c>
      <c r="Q299" s="44" t="e">
        <f>_xlfn.XLOOKUP(S299,'Tabla Articulos'!B:B,'Tabla Articulos'!E:E)</f>
        <v>#N/A</v>
      </c>
      <c r="R299" s="44" t="e">
        <f t="shared" si="8"/>
        <v>#N/A</v>
      </c>
      <c r="S299" s="45" t="str">
        <f t="shared" si="9"/>
        <v>LIM000040</v>
      </c>
    </row>
    <row r="300" spans="1:19" hidden="1" x14ac:dyDescent="0.35">
      <c r="A300" s="22">
        <v>6</v>
      </c>
      <c r="B300" t="s">
        <v>801</v>
      </c>
      <c r="C300" t="s">
        <v>802</v>
      </c>
      <c r="E300" t="s">
        <v>2635</v>
      </c>
      <c r="F300">
        <v>9003694</v>
      </c>
      <c r="G300" t="s">
        <v>2636</v>
      </c>
      <c r="H300" t="s">
        <v>805</v>
      </c>
      <c r="I300">
        <v>720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720</v>
      </c>
      <c r="P300" s="44" t="e">
        <f>_xlfn.XLOOKUP(Tabla5[[#This Row],[EAN CORREGIDO]],'Tabla Articulos'!B:B,'Tabla Articulos'!D:D)</f>
        <v>#N/A</v>
      </c>
      <c r="Q300" s="44" t="e">
        <f>_xlfn.XLOOKUP(S300,'Tabla Articulos'!B:B,'Tabla Articulos'!E:E)</f>
        <v>#N/A</v>
      </c>
      <c r="R300" s="44" t="e">
        <f t="shared" si="8"/>
        <v>#N/A</v>
      </c>
      <c r="S300" s="45" t="str">
        <f t="shared" si="9"/>
        <v>BAZ001244</v>
      </c>
    </row>
    <row r="301" spans="1:19" hidden="1" x14ac:dyDescent="0.35">
      <c r="A301" s="22">
        <v>1</v>
      </c>
      <c r="B301" t="s">
        <v>812</v>
      </c>
      <c r="C301" t="s">
        <v>802</v>
      </c>
      <c r="D301" s="11" t="s">
        <v>2637</v>
      </c>
      <c r="E301" t="s">
        <v>2638</v>
      </c>
      <c r="F301">
        <v>4049039</v>
      </c>
      <c r="G301" t="s">
        <v>2639</v>
      </c>
      <c r="H301" t="s">
        <v>805</v>
      </c>
      <c r="I301">
        <v>576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576</v>
      </c>
      <c r="P301" s="44" t="e">
        <f>_xlfn.XLOOKUP(Tabla5[[#This Row],[EAN CORREGIDO]],'Tabla Articulos'!B:B,'Tabla Articulos'!D:D)</f>
        <v>#N/A</v>
      </c>
      <c r="Q301" s="44" t="e">
        <f>_xlfn.XLOOKUP(S301,'Tabla Articulos'!B:B,'Tabla Articulos'!E:E)</f>
        <v>#N/A</v>
      </c>
      <c r="R301" s="44" t="e">
        <f t="shared" si="8"/>
        <v>#N/A</v>
      </c>
      <c r="S301" s="45" t="str">
        <f t="shared" si="9"/>
        <v>7795311833364</v>
      </c>
    </row>
    <row r="302" spans="1:19" hidden="1" x14ac:dyDescent="0.35">
      <c r="A302" s="22">
        <v>5</v>
      </c>
      <c r="B302" t="s">
        <v>829</v>
      </c>
      <c r="C302" t="s">
        <v>802</v>
      </c>
      <c r="D302" t="s">
        <v>2637</v>
      </c>
      <c r="E302" t="s">
        <v>2638</v>
      </c>
      <c r="F302">
        <v>4049039</v>
      </c>
      <c r="G302" t="s">
        <v>2639</v>
      </c>
      <c r="H302" t="s">
        <v>805</v>
      </c>
      <c r="I302">
        <v>72540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72540</v>
      </c>
      <c r="P302" s="44" t="e">
        <f>_xlfn.XLOOKUP(Tabla5[[#This Row],[EAN CORREGIDO]],'Tabla Articulos'!B:B,'Tabla Articulos'!D:D)</f>
        <v>#N/A</v>
      </c>
      <c r="Q302" s="44" t="e">
        <f>_xlfn.XLOOKUP(S302,'Tabla Articulos'!B:B,'Tabla Articulos'!E:E)</f>
        <v>#N/A</v>
      </c>
      <c r="R302" s="44" t="e">
        <f t="shared" si="8"/>
        <v>#N/A</v>
      </c>
      <c r="S302" s="45" t="str">
        <f t="shared" si="9"/>
        <v>7795311833364</v>
      </c>
    </row>
    <row r="303" spans="1:19" hidden="1" x14ac:dyDescent="0.35">
      <c r="A303" s="22">
        <v>1</v>
      </c>
      <c r="B303" t="s">
        <v>812</v>
      </c>
      <c r="C303" t="s">
        <v>802</v>
      </c>
      <c r="D303" t="s">
        <v>2640</v>
      </c>
      <c r="E303" t="s">
        <v>2641</v>
      </c>
      <c r="F303">
        <v>4017960</v>
      </c>
      <c r="G303" t="s">
        <v>2642</v>
      </c>
      <c r="H303" t="s">
        <v>816</v>
      </c>
      <c r="I303">
        <v>8.15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8.15</v>
      </c>
      <c r="P303" s="44" t="e">
        <f>_xlfn.XLOOKUP(Tabla5[[#This Row],[EAN CORREGIDO]],'Tabla Articulos'!B:B,'Tabla Articulos'!D:D)</f>
        <v>#N/A</v>
      </c>
      <c r="Q303" s="44" t="e">
        <f>_xlfn.XLOOKUP(S303,'Tabla Articulos'!B:B,'Tabla Articulos'!E:E)</f>
        <v>#N/A</v>
      </c>
      <c r="R303" s="44" t="e">
        <f t="shared" si="8"/>
        <v>#N/A</v>
      </c>
      <c r="S303" s="45" t="str">
        <f t="shared" si="9"/>
        <v>7790216010072</v>
      </c>
    </row>
    <row r="304" spans="1:19" hidden="1" x14ac:dyDescent="0.35">
      <c r="A304" s="22">
        <v>1</v>
      </c>
      <c r="B304" t="s">
        <v>812</v>
      </c>
      <c r="C304" t="s">
        <v>802</v>
      </c>
      <c r="D304" t="s">
        <v>1663</v>
      </c>
      <c r="E304" t="s">
        <v>3549</v>
      </c>
      <c r="F304">
        <v>4020334</v>
      </c>
      <c r="G304" t="s">
        <v>3550</v>
      </c>
      <c r="H304" t="s">
        <v>805</v>
      </c>
      <c r="I304">
        <v>48</v>
      </c>
      <c r="J304">
        <v>0</v>
      </c>
      <c r="K304">
        <v>0</v>
      </c>
      <c r="L304">
        <v>0</v>
      </c>
      <c r="M304">
        <v>12</v>
      </c>
      <c r="N304">
        <v>0</v>
      </c>
      <c r="O304">
        <v>36</v>
      </c>
      <c r="P304" s="44" t="e">
        <f>_xlfn.XLOOKUP(Tabla5[[#This Row],[EAN CORREGIDO]],'Tabla Articulos'!B:B,'Tabla Articulos'!D:D)</f>
        <v>#N/A</v>
      </c>
      <c r="Q304" s="44" t="e">
        <f>_xlfn.XLOOKUP(S304,'Tabla Articulos'!B:B,'Tabla Articulos'!E:E)</f>
        <v>#N/A</v>
      </c>
      <c r="R304" s="44" t="e">
        <f t="shared" si="8"/>
        <v>#N/A</v>
      </c>
      <c r="S304" s="45" t="str">
        <f t="shared" si="9"/>
        <v>7798138555532</v>
      </c>
    </row>
    <row r="305" spans="1:19" hidden="1" x14ac:dyDescent="0.35">
      <c r="A305" s="22">
        <v>1</v>
      </c>
      <c r="B305" t="s">
        <v>812</v>
      </c>
      <c r="C305" t="s">
        <v>802</v>
      </c>
      <c r="D305"/>
      <c r="E305" t="s">
        <v>3551</v>
      </c>
      <c r="F305">
        <v>4022356</v>
      </c>
      <c r="G305" t="s">
        <v>3552</v>
      </c>
      <c r="H305" t="s">
        <v>805</v>
      </c>
      <c r="I305">
        <v>2000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2000</v>
      </c>
      <c r="P305" s="44" t="e">
        <f>_xlfn.XLOOKUP(Tabla5[[#This Row],[EAN CORREGIDO]],'Tabla Articulos'!B:B,'Tabla Articulos'!D:D)</f>
        <v>#N/A</v>
      </c>
      <c r="Q305" s="44" t="e">
        <f>_xlfn.XLOOKUP(S305,'Tabla Articulos'!B:B,'Tabla Articulos'!E:E)</f>
        <v>#N/A</v>
      </c>
      <c r="R305" s="44" t="e">
        <f t="shared" si="8"/>
        <v>#N/A</v>
      </c>
      <c r="S305" s="45" t="str">
        <f t="shared" si="9"/>
        <v>7796624012009</v>
      </c>
    </row>
    <row r="306" spans="1:19" hidden="1" x14ac:dyDescent="0.35">
      <c r="A306" s="22">
        <v>1</v>
      </c>
      <c r="B306" t="s">
        <v>812</v>
      </c>
      <c r="C306" t="s">
        <v>802</v>
      </c>
      <c r="D306" t="s">
        <v>3553</v>
      </c>
      <c r="E306" t="s">
        <v>3554</v>
      </c>
      <c r="F306">
        <v>4020711</v>
      </c>
      <c r="G306" t="s">
        <v>3555</v>
      </c>
      <c r="H306" t="s">
        <v>805</v>
      </c>
      <c r="I306">
        <v>30</v>
      </c>
      <c r="J306">
        <v>-10</v>
      </c>
      <c r="K306">
        <v>0</v>
      </c>
      <c r="L306">
        <v>0</v>
      </c>
      <c r="M306">
        <v>0</v>
      </c>
      <c r="N306">
        <v>0</v>
      </c>
      <c r="O306">
        <v>20</v>
      </c>
      <c r="P306" s="44" t="e">
        <f>_xlfn.XLOOKUP(Tabla5[[#This Row],[EAN CORREGIDO]],'Tabla Articulos'!B:B,'Tabla Articulos'!D:D)</f>
        <v>#N/A</v>
      </c>
      <c r="Q306" s="44" t="e">
        <f>_xlfn.XLOOKUP(S306,'Tabla Articulos'!B:B,'Tabla Articulos'!E:E)</f>
        <v>#N/A</v>
      </c>
      <c r="R306" s="44" t="e">
        <f t="shared" si="8"/>
        <v>#N/A</v>
      </c>
      <c r="S306" s="45" t="str">
        <f t="shared" si="9"/>
        <v>7798011976744</v>
      </c>
    </row>
    <row r="307" spans="1:19" hidden="1" x14ac:dyDescent="0.35">
      <c r="A307" s="22">
        <v>5</v>
      </c>
      <c r="B307" t="s">
        <v>829</v>
      </c>
      <c r="C307" t="s">
        <v>802</v>
      </c>
      <c r="D307" t="s">
        <v>3553</v>
      </c>
      <c r="E307" t="s">
        <v>3554</v>
      </c>
      <c r="F307">
        <v>4020711</v>
      </c>
      <c r="G307" t="s">
        <v>3555</v>
      </c>
      <c r="H307" t="s">
        <v>805</v>
      </c>
      <c r="I307">
        <v>12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12</v>
      </c>
      <c r="P307" s="44" t="e">
        <f>_xlfn.XLOOKUP(Tabla5[[#This Row],[EAN CORREGIDO]],'Tabla Articulos'!B:B,'Tabla Articulos'!D:D)</f>
        <v>#N/A</v>
      </c>
      <c r="Q307" s="44" t="e">
        <f>_xlfn.XLOOKUP(S307,'Tabla Articulos'!B:B,'Tabla Articulos'!E:E)</f>
        <v>#N/A</v>
      </c>
      <c r="R307" s="44" t="e">
        <f t="shared" si="8"/>
        <v>#N/A</v>
      </c>
      <c r="S307" s="45" t="str">
        <f t="shared" si="9"/>
        <v>7798011976744</v>
      </c>
    </row>
    <row r="308" spans="1:19" hidden="1" x14ac:dyDescent="0.35">
      <c r="A308" s="22">
        <v>6</v>
      </c>
      <c r="B308" t="s">
        <v>801</v>
      </c>
      <c r="C308" t="s">
        <v>802</v>
      </c>
      <c r="D308"/>
      <c r="E308" t="s">
        <v>3556</v>
      </c>
      <c r="F308">
        <v>9003823</v>
      </c>
      <c r="G308" t="s">
        <v>3557</v>
      </c>
      <c r="H308" t="s">
        <v>805</v>
      </c>
      <c r="I308">
        <v>55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55</v>
      </c>
      <c r="P308" s="44" t="e">
        <f>_xlfn.XLOOKUP(Tabla5[[#This Row],[EAN CORREGIDO]],'Tabla Articulos'!B:B,'Tabla Articulos'!D:D)</f>
        <v>#N/A</v>
      </c>
      <c r="Q308" s="44" t="e">
        <f>_xlfn.XLOOKUP(S308,'Tabla Articulos'!B:B,'Tabla Articulos'!E:E)</f>
        <v>#N/A</v>
      </c>
      <c r="R308" s="44" t="e">
        <f t="shared" si="8"/>
        <v>#N/A</v>
      </c>
      <c r="S308" s="45" t="str">
        <f t="shared" si="9"/>
        <v>BAZ001176</v>
      </c>
    </row>
    <row r="309" spans="1:19" hidden="1" x14ac:dyDescent="0.35">
      <c r="A309" s="22">
        <v>6</v>
      </c>
      <c r="B309" t="s">
        <v>801</v>
      </c>
      <c r="C309" t="s">
        <v>802</v>
      </c>
      <c r="E309" t="s">
        <v>3558</v>
      </c>
      <c r="F309">
        <v>9003116</v>
      </c>
      <c r="G309" t="s">
        <v>3559</v>
      </c>
      <c r="H309" t="s">
        <v>805</v>
      </c>
      <c r="I309">
        <v>14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14</v>
      </c>
      <c r="P309" s="44" t="e">
        <f>_xlfn.XLOOKUP(Tabla5[[#This Row],[EAN CORREGIDO]],'Tabla Articulos'!B:B,'Tabla Articulos'!D:D)</f>
        <v>#N/A</v>
      </c>
      <c r="Q309" s="44" t="e">
        <f>_xlfn.XLOOKUP(S309,'Tabla Articulos'!B:B,'Tabla Articulos'!E:E)</f>
        <v>#N/A</v>
      </c>
      <c r="R309" s="44" t="e">
        <f t="shared" si="8"/>
        <v>#N/A</v>
      </c>
      <c r="S309" s="45" t="str">
        <f t="shared" si="9"/>
        <v>UNIF000578</v>
      </c>
    </row>
    <row r="310" spans="1:19" hidden="1" x14ac:dyDescent="0.35">
      <c r="A310" s="22">
        <v>6</v>
      </c>
      <c r="B310" t="s">
        <v>801</v>
      </c>
      <c r="C310" t="s">
        <v>802</v>
      </c>
      <c r="D310" t="s">
        <v>375</v>
      </c>
      <c r="E310" t="s">
        <v>3560</v>
      </c>
      <c r="F310">
        <v>2006796</v>
      </c>
      <c r="G310" t="s">
        <v>3561</v>
      </c>
      <c r="H310" t="s">
        <v>805</v>
      </c>
      <c r="I310">
        <v>65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65</v>
      </c>
      <c r="P310" s="44" t="str">
        <f>_xlfn.XLOOKUP(Tabla5[[#This Row],[EAN CORREGIDO]],'Tabla Articulos'!B:B,'Tabla Articulos'!D:D)</f>
        <v>BASE ENSALADERA CRISTAL</v>
      </c>
      <c r="Q310" s="44">
        <f>_xlfn.XLOOKUP(S310,'Tabla Articulos'!B:B,'Tabla Articulos'!E:E)</f>
        <v>100</v>
      </c>
      <c r="R310" s="44">
        <f t="shared" si="8"/>
        <v>6500</v>
      </c>
      <c r="S310" s="45" t="str">
        <f t="shared" si="9"/>
        <v>7790321130874</v>
      </c>
    </row>
    <row r="311" spans="1:19" hidden="1" x14ac:dyDescent="0.35">
      <c r="A311" s="22">
        <v>1</v>
      </c>
      <c r="B311" t="s">
        <v>812</v>
      </c>
      <c r="C311" t="s">
        <v>802</v>
      </c>
      <c r="D311" s="11" t="s">
        <v>2553</v>
      </c>
      <c r="E311" t="s">
        <v>6819</v>
      </c>
      <c r="F311">
        <v>4021203</v>
      </c>
      <c r="G311" t="s">
        <v>6820</v>
      </c>
      <c r="H311" t="s">
        <v>805</v>
      </c>
      <c r="I311">
        <v>4</v>
      </c>
      <c r="J311">
        <v>0</v>
      </c>
      <c r="K311">
        <v>0</v>
      </c>
      <c r="L311">
        <v>0</v>
      </c>
      <c r="M311">
        <v>4</v>
      </c>
      <c r="N311">
        <v>0</v>
      </c>
      <c r="O311">
        <v>0</v>
      </c>
      <c r="P311" s="44" t="e">
        <f>_xlfn.XLOOKUP(Tabla5[[#This Row],[EAN CORREGIDO]],'Tabla Articulos'!B:B,'Tabla Articulos'!D:D)</f>
        <v>#N/A</v>
      </c>
      <c r="Q311" s="44" t="e">
        <f>_xlfn.XLOOKUP(S311,'Tabla Articulos'!B:B,'Tabla Articulos'!E:E)</f>
        <v>#N/A</v>
      </c>
      <c r="R311" s="44" t="e">
        <f t="shared" si="8"/>
        <v>#N/A</v>
      </c>
      <c r="S311" s="45" t="str">
        <f t="shared" si="9"/>
        <v>77909930</v>
      </c>
    </row>
    <row r="312" spans="1:19" hidden="1" x14ac:dyDescent="0.35">
      <c r="A312" s="22">
        <v>6</v>
      </c>
      <c r="B312" t="s">
        <v>801</v>
      </c>
      <c r="C312" t="s">
        <v>802</v>
      </c>
      <c r="D312"/>
      <c r="E312" t="s">
        <v>3562</v>
      </c>
      <c r="F312">
        <v>1000135</v>
      </c>
      <c r="G312" t="s">
        <v>3563</v>
      </c>
      <c r="H312" t="s">
        <v>1034</v>
      </c>
      <c r="I312">
        <v>68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68</v>
      </c>
      <c r="P312" s="44" t="e">
        <f>_xlfn.XLOOKUP(Tabla5[[#This Row],[EAN CORREGIDO]],'Tabla Articulos'!B:B,'Tabla Articulos'!D:D)</f>
        <v>#N/A</v>
      </c>
      <c r="Q312" s="44" t="e">
        <f>_xlfn.XLOOKUP(S312,'Tabla Articulos'!B:B,'Tabla Articulos'!E:E)</f>
        <v>#N/A</v>
      </c>
      <c r="R312" s="44" t="e">
        <f t="shared" si="8"/>
        <v>#N/A</v>
      </c>
      <c r="S312" s="45" t="str">
        <f t="shared" si="9"/>
        <v>BUM307</v>
      </c>
    </row>
    <row r="313" spans="1:19" hidden="1" x14ac:dyDescent="0.35">
      <c r="A313" s="22">
        <v>5</v>
      </c>
      <c r="B313" t="s">
        <v>829</v>
      </c>
      <c r="C313" t="s">
        <v>802</v>
      </c>
      <c r="D313" t="s">
        <v>1702</v>
      </c>
      <c r="E313" t="s">
        <v>1703</v>
      </c>
      <c r="F313">
        <v>4020616</v>
      </c>
      <c r="G313" t="s">
        <v>1704</v>
      </c>
      <c r="H313" t="s">
        <v>805</v>
      </c>
      <c r="I313">
        <v>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5</v>
      </c>
      <c r="P313" s="44" t="e">
        <f>_xlfn.XLOOKUP(Tabla5[[#This Row],[EAN CORREGIDO]],'Tabla Articulos'!B:B,'Tabla Articulos'!D:D)</f>
        <v>#N/A</v>
      </c>
      <c r="Q313" s="44" t="e">
        <f>_xlfn.XLOOKUP(S313,'Tabla Articulos'!B:B,'Tabla Articulos'!E:E)</f>
        <v>#N/A</v>
      </c>
      <c r="R313" s="44" t="e">
        <f t="shared" si="8"/>
        <v>#N/A</v>
      </c>
      <c r="S313" s="45" t="str">
        <f t="shared" si="9"/>
        <v>7793323002471</v>
      </c>
    </row>
    <row r="314" spans="1:19" hidden="1" x14ac:dyDescent="0.35">
      <c r="A314" s="22">
        <v>1</v>
      </c>
      <c r="B314" t="s">
        <v>812</v>
      </c>
      <c r="C314" t="s">
        <v>802</v>
      </c>
      <c r="D314" t="s">
        <v>1702</v>
      </c>
      <c r="E314" t="s">
        <v>1703</v>
      </c>
      <c r="F314">
        <v>4020616</v>
      </c>
      <c r="G314" t="s">
        <v>1704</v>
      </c>
      <c r="H314" t="s">
        <v>805</v>
      </c>
      <c r="I314">
        <v>35</v>
      </c>
      <c r="J314">
        <v>6</v>
      </c>
      <c r="K314">
        <v>0</v>
      </c>
      <c r="L314">
        <v>0</v>
      </c>
      <c r="M314">
        <v>0</v>
      </c>
      <c r="N314">
        <v>0</v>
      </c>
      <c r="O314">
        <v>41</v>
      </c>
      <c r="P314" s="44" t="e">
        <f>_xlfn.XLOOKUP(Tabla5[[#This Row],[EAN CORREGIDO]],'Tabla Articulos'!B:B,'Tabla Articulos'!D:D)</f>
        <v>#N/A</v>
      </c>
      <c r="Q314" s="44" t="e">
        <f>_xlfn.XLOOKUP(S314,'Tabla Articulos'!B:B,'Tabla Articulos'!E:E)</f>
        <v>#N/A</v>
      </c>
      <c r="R314" s="44" t="e">
        <f t="shared" si="8"/>
        <v>#N/A</v>
      </c>
      <c r="S314" s="45" t="str">
        <f t="shared" si="9"/>
        <v>7793323002471</v>
      </c>
    </row>
    <row r="315" spans="1:19" hidden="1" x14ac:dyDescent="0.35">
      <c r="A315" s="22">
        <v>5</v>
      </c>
      <c r="B315" t="s">
        <v>829</v>
      </c>
      <c r="C315" t="s">
        <v>802</v>
      </c>
      <c r="D315" t="s">
        <v>1705</v>
      </c>
      <c r="E315" t="s">
        <v>1706</v>
      </c>
      <c r="F315">
        <v>4020301</v>
      </c>
      <c r="G315" t="s">
        <v>1707</v>
      </c>
      <c r="H315" t="s">
        <v>805</v>
      </c>
      <c r="I315">
        <v>188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188</v>
      </c>
      <c r="P315" s="44" t="e">
        <f>_xlfn.XLOOKUP(Tabla5[[#This Row],[EAN CORREGIDO]],'Tabla Articulos'!B:B,'Tabla Articulos'!D:D)</f>
        <v>#N/A</v>
      </c>
      <c r="Q315" s="44" t="e">
        <f>_xlfn.XLOOKUP(S315,'Tabla Articulos'!B:B,'Tabla Articulos'!E:E)</f>
        <v>#N/A</v>
      </c>
      <c r="R315" s="44" t="e">
        <f t="shared" si="8"/>
        <v>#N/A</v>
      </c>
      <c r="S315" s="45" t="str">
        <f t="shared" si="9"/>
        <v>7798011976508</v>
      </c>
    </row>
    <row r="316" spans="1:19" hidden="1" x14ac:dyDescent="0.35">
      <c r="A316" s="22">
        <v>6</v>
      </c>
      <c r="B316" t="s">
        <v>801</v>
      </c>
      <c r="C316" t="s">
        <v>802</v>
      </c>
      <c r="E316" t="s">
        <v>1708</v>
      </c>
      <c r="F316">
        <v>9003667</v>
      </c>
      <c r="G316" t="s">
        <v>1709</v>
      </c>
      <c r="H316" t="s">
        <v>805</v>
      </c>
      <c r="I316">
        <v>20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20</v>
      </c>
      <c r="P316" s="44" t="e">
        <f>_xlfn.XLOOKUP(Tabla5[[#This Row],[EAN CORREGIDO]],'Tabla Articulos'!B:B,'Tabla Articulos'!D:D)</f>
        <v>#N/A</v>
      </c>
      <c r="Q316" s="44" t="e">
        <f>_xlfn.XLOOKUP(S316,'Tabla Articulos'!B:B,'Tabla Articulos'!E:E)</f>
        <v>#N/A</v>
      </c>
      <c r="R316" s="44" t="e">
        <f t="shared" si="8"/>
        <v>#N/A</v>
      </c>
      <c r="S316" s="45" t="str">
        <f t="shared" si="9"/>
        <v>UNIF000290</v>
      </c>
    </row>
    <row r="317" spans="1:19" hidden="1" x14ac:dyDescent="0.35">
      <c r="A317" s="22">
        <v>6</v>
      </c>
      <c r="B317" t="s">
        <v>801</v>
      </c>
      <c r="C317" t="s">
        <v>802</v>
      </c>
      <c r="D317"/>
      <c r="E317" t="s">
        <v>1710</v>
      </c>
      <c r="F317">
        <v>9003496</v>
      </c>
      <c r="G317" t="s">
        <v>1711</v>
      </c>
      <c r="H317" t="s">
        <v>805</v>
      </c>
      <c r="I317">
        <v>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9</v>
      </c>
      <c r="P317" s="44" t="e">
        <f>_xlfn.XLOOKUP(Tabla5[[#This Row],[EAN CORREGIDO]],'Tabla Articulos'!B:B,'Tabla Articulos'!D:D)</f>
        <v>#N/A</v>
      </c>
      <c r="Q317" s="44" t="e">
        <f>_xlfn.XLOOKUP(S317,'Tabla Articulos'!B:B,'Tabla Articulos'!E:E)</f>
        <v>#N/A</v>
      </c>
      <c r="R317" s="44" t="e">
        <f t="shared" si="8"/>
        <v>#N/A</v>
      </c>
      <c r="S317" s="45" t="str">
        <f t="shared" si="9"/>
        <v>UNIF000228</v>
      </c>
    </row>
    <row r="318" spans="1:19" hidden="1" x14ac:dyDescent="0.35">
      <c r="A318" s="22">
        <v>6</v>
      </c>
      <c r="B318" t="s">
        <v>801</v>
      </c>
      <c r="C318" t="s">
        <v>802</v>
      </c>
      <c r="E318" t="s">
        <v>1712</v>
      </c>
      <c r="F318">
        <v>9003442</v>
      </c>
      <c r="G318" t="s">
        <v>1713</v>
      </c>
      <c r="H318" t="s">
        <v>805</v>
      </c>
      <c r="I318">
        <v>18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18</v>
      </c>
      <c r="P318" s="44" t="e">
        <f>_xlfn.XLOOKUP(Tabla5[[#This Row],[EAN CORREGIDO]],'Tabla Articulos'!B:B,'Tabla Articulos'!D:D)</f>
        <v>#N/A</v>
      </c>
      <c r="Q318" s="44" t="e">
        <f>_xlfn.XLOOKUP(S318,'Tabla Articulos'!B:B,'Tabla Articulos'!E:E)</f>
        <v>#N/A</v>
      </c>
      <c r="R318" s="44" t="e">
        <f t="shared" si="8"/>
        <v>#N/A</v>
      </c>
      <c r="S318" s="45" t="str">
        <f t="shared" si="9"/>
        <v>UNIF000202</v>
      </c>
    </row>
    <row r="319" spans="1:19" hidden="1" x14ac:dyDescent="0.35">
      <c r="A319" s="22">
        <v>6</v>
      </c>
      <c r="B319" t="s">
        <v>801</v>
      </c>
      <c r="C319" t="s">
        <v>802</v>
      </c>
      <c r="E319" t="s">
        <v>2444</v>
      </c>
      <c r="F319">
        <v>9003385</v>
      </c>
      <c r="G319" t="s">
        <v>2445</v>
      </c>
      <c r="H319" t="s">
        <v>805</v>
      </c>
      <c r="I319">
        <v>56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56</v>
      </c>
      <c r="P319" s="44" t="e">
        <f>_xlfn.XLOOKUP(Tabla5[[#This Row],[EAN CORREGIDO]],'Tabla Articulos'!B:B,'Tabla Articulos'!D:D)</f>
        <v>#N/A</v>
      </c>
      <c r="Q319" s="44" t="e">
        <f>_xlfn.XLOOKUP(S319,'Tabla Articulos'!B:B,'Tabla Articulos'!E:E)</f>
        <v>#N/A</v>
      </c>
      <c r="R319" s="44" t="e">
        <f t="shared" si="8"/>
        <v>#N/A</v>
      </c>
      <c r="S319" s="45" t="str">
        <f t="shared" si="9"/>
        <v>UNIF000502</v>
      </c>
    </row>
    <row r="320" spans="1:19" hidden="1" x14ac:dyDescent="0.35">
      <c r="A320" s="22">
        <v>5</v>
      </c>
      <c r="B320" t="s">
        <v>829</v>
      </c>
      <c r="C320" t="s">
        <v>802</v>
      </c>
      <c r="D320" s="11" t="s">
        <v>1577</v>
      </c>
      <c r="E320" t="s">
        <v>2446</v>
      </c>
      <c r="F320">
        <v>4020695</v>
      </c>
      <c r="G320" t="s">
        <v>2447</v>
      </c>
      <c r="H320" t="s">
        <v>805</v>
      </c>
      <c r="I320">
        <v>18</v>
      </c>
      <c r="J320">
        <v>0</v>
      </c>
      <c r="K320">
        <v>18</v>
      </c>
      <c r="L320">
        <v>0</v>
      </c>
      <c r="M320">
        <v>0</v>
      </c>
      <c r="N320">
        <v>0</v>
      </c>
      <c r="O320">
        <v>0</v>
      </c>
      <c r="P320" s="44" t="e">
        <f>_xlfn.XLOOKUP(Tabla5[[#This Row],[EAN CORREGIDO]],'Tabla Articulos'!B:B,'Tabla Articulos'!D:D)</f>
        <v>#N/A</v>
      </c>
      <c r="Q320" s="44" t="e">
        <f>_xlfn.XLOOKUP(S320,'Tabla Articulos'!B:B,'Tabla Articulos'!E:E)</f>
        <v>#N/A</v>
      </c>
      <c r="R320" s="44" t="e">
        <f t="shared" si="8"/>
        <v>#N/A</v>
      </c>
      <c r="S320" s="45" t="str">
        <f t="shared" si="9"/>
        <v>7792590003150</v>
      </c>
    </row>
    <row r="321" spans="1:19" hidden="1" x14ac:dyDescent="0.35">
      <c r="A321" s="22">
        <v>5</v>
      </c>
      <c r="B321" t="s">
        <v>829</v>
      </c>
      <c r="C321" t="s">
        <v>802</v>
      </c>
      <c r="E321" t="s">
        <v>2657</v>
      </c>
      <c r="F321">
        <v>4077365</v>
      </c>
      <c r="G321" t="s">
        <v>2658</v>
      </c>
      <c r="H321" t="s">
        <v>805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 s="44" t="e">
        <f>_xlfn.XLOOKUP(Tabla5[[#This Row],[EAN CORREGIDO]],'Tabla Articulos'!B:B,'Tabla Articulos'!D:D)</f>
        <v>#N/A</v>
      </c>
      <c r="Q321" s="44" t="e">
        <f>_xlfn.XLOOKUP(S321,'Tabla Articulos'!B:B,'Tabla Articulos'!E:E)</f>
        <v>#N/A</v>
      </c>
      <c r="R321" s="44" t="e">
        <f t="shared" ref="R321:R384" si="10">O321*Q321</f>
        <v>#N/A</v>
      </c>
      <c r="S321" s="45" t="str">
        <f t="shared" ref="S321:S384" si="11">TRIM(E321)</f>
        <v>MOD21124</v>
      </c>
    </row>
    <row r="322" spans="1:19" hidden="1" x14ac:dyDescent="0.35">
      <c r="A322" s="22">
        <v>6</v>
      </c>
      <c r="B322" t="s">
        <v>801</v>
      </c>
      <c r="C322" t="s">
        <v>802</v>
      </c>
      <c r="D322"/>
      <c r="E322" t="s">
        <v>2659</v>
      </c>
      <c r="F322">
        <v>9003697</v>
      </c>
      <c r="G322" t="s">
        <v>2660</v>
      </c>
      <c r="H322" t="s">
        <v>805</v>
      </c>
      <c r="I322">
        <v>1517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1517</v>
      </c>
      <c r="P322" s="44" t="e">
        <f>_xlfn.XLOOKUP(Tabla5[[#This Row],[EAN CORREGIDO]],'Tabla Articulos'!B:B,'Tabla Articulos'!D:D)</f>
        <v>#N/A</v>
      </c>
      <c r="Q322" s="44" t="e">
        <f>_xlfn.XLOOKUP(S322,'Tabla Articulos'!B:B,'Tabla Articulos'!E:E)</f>
        <v>#N/A</v>
      </c>
      <c r="R322" s="44" t="e">
        <f t="shared" si="10"/>
        <v>#N/A</v>
      </c>
      <c r="S322" s="45" t="str">
        <f t="shared" si="11"/>
        <v>BAZ001301</v>
      </c>
    </row>
    <row r="323" spans="1:19" hidden="1" x14ac:dyDescent="0.35">
      <c r="A323" s="22">
        <v>6</v>
      </c>
      <c r="B323" t="s">
        <v>801</v>
      </c>
      <c r="C323" t="s">
        <v>802</v>
      </c>
      <c r="D323"/>
      <c r="E323" t="s">
        <v>2661</v>
      </c>
      <c r="F323">
        <v>9003278</v>
      </c>
      <c r="G323" t="s">
        <v>2662</v>
      </c>
      <c r="H323" t="s">
        <v>805</v>
      </c>
      <c r="I323">
        <v>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32</v>
      </c>
      <c r="P323" s="44" t="e">
        <f>_xlfn.XLOOKUP(Tabla5[[#This Row],[EAN CORREGIDO]],'Tabla Articulos'!B:B,'Tabla Articulos'!D:D)</f>
        <v>#N/A</v>
      </c>
      <c r="Q323" s="44" t="e">
        <f>_xlfn.XLOOKUP(S323,'Tabla Articulos'!B:B,'Tabla Articulos'!E:E)</f>
        <v>#N/A</v>
      </c>
      <c r="R323" s="44" t="e">
        <f t="shared" si="10"/>
        <v>#N/A</v>
      </c>
      <c r="S323" s="45" t="str">
        <f t="shared" si="11"/>
        <v>UNIF000418</v>
      </c>
    </row>
    <row r="324" spans="1:19" hidden="1" x14ac:dyDescent="0.35">
      <c r="A324" s="22">
        <v>6</v>
      </c>
      <c r="B324" t="s">
        <v>801</v>
      </c>
      <c r="C324" t="s">
        <v>802</v>
      </c>
      <c r="D324" t="s">
        <v>1931</v>
      </c>
      <c r="E324" t="s">
        <v>4414</v>
      </c>
      <c r="F324">
        <v>2006303</v>
      </c>
      <c r="G324" t="s">
        <v>4415</v>
      </c>
      <c r="H324" t="s">
        <v>805</v>
      </c>
      <c r="I324">
        <v>3030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3030</v>
      </c>
      <c r="P324" s="44" t="e">
        <f>_xlfn.XLOOKUP(Tabla5[[#This Row],[EAN CORREGIDO]],'Tabla Articulos'!B:B,'Tabla Articulos'!D:D)</f>
        <v>#N/A</v>
      </c>
      <c r="Q324" s="44" t="e">
        <f>_xlfn.XLOOKUP(S324,'Tabla Articulos'!B:B,'Tabla Articulos'!E:E)</f>
        <v>#N/A</v>
      </c>
      <c r="R324" s="44" t="e">
        <f t="shared" si="10"/>
        <v>#N/A</v>
      </c>
      <c r="S324" s="45" t="str">
        <f t="shared" si="11"/>
        <v>LIM000210</v>
      </c>
    </row>
    <row r="325" spans="1:19" hidden="1" x14ac:dyDescent="0.35">
      <c r="A325" s="22">
        <v>6</v>
      </c>
      <c r="B325" t="s">
        <v>801</v>
      </c>
      <c r="C325" t="s">
        <v>802</v>
      </c>
      <c r="D325" t="s">
        <v>1535</v>
      </c>
      <c r="E325" t="s">
        <v>4416</v>
      </c>
      <c r="F325">
        <v>2007505</v>
      </c>
      <c r="G325" t="s">
        <v>4417</v>
      </c>
      <c r="H325" t="s">
        <v>805</v>
      </c>
      <c r="I325">
        <v>91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91</v>
      </c>
      <c r="P325" s="44" t="e">
        <f>_xlfn.XLOOKUP(Tabla5[[#This Row],[EAN CORREGIDO]],'Tabla Articulos'!B:B,'Tabla Articulos'!D:D)</f>
        <v>#N/A</v>
      </c>
      <c r="Q325" s="44" t="e">
        <f>_xlfn.XLOOKUP(S325,'Tabla Articulos'!B:B,'Tabla Articulos'!E:E)</f>
        <v>#N/A</v>
      </c>
      <c r="R325" s="44" t="e">
        <f t="shared" si="10"/>
        <v>#N/A</v>
      </c>
      <c r="S325" s="45" t="str">
        <f t="shared" si="11"/>
        <v>7790000000479</v>
      </c>
    </row>
    <row r="326" spans="1:19" hidden="1" x14ac:dyDescent="0.35">
      <c r="A326" s="22">
        <v>1</v>
      </c>
      <c r="B326" t="s">
        <v>812</v>
      </c>
      <c r="C326" t="s">
        <v>802</v>
      </c>
      <c r="D326" s="11" t="s">
        <v>4418</v>
      </c>
      <c r="E326" t="s">
        <v>4419</v>
      </c>
      <c r="F326">
        <v>4021136</v>
      </c>
      <c r="G326" t="s">
        <v>4420</v>
      </c>
      <c r="H326" t="s">
        <v>805</v>
      </c>
      <c r="I326">
        <v>11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11</v>
      </c>
      <c r="P326" s="44" t="e">
        <f>_xlfn.XLOOKUP(Tabla5[[#This Row],[EAN CORREGIDO]],'Tabla Articulos'!B:B,'Tabla Articulos'!D:D)</f>
        <v>#N/A</v>
      </c>
      <c r="Q326" s="44" t="e">
        <f>_xlfn.XLOOKUP(S326,'Tabla Articulos'!B:B,'Tabla Articulos'!E:E)</f>
        <v>#N/A</v>
      </c>
      <c r="R326" s="44" t="e">
        <f t="shared" si="10"/>
        <v>#N/A</v>
      </c>
      <c r="S326" s="45" t="str">
        <f t="shared" si="11"/>
        <v>7790154007781</v>
      </c>
    </row>
    <row r="327" spans="1:19" hidden="1" x14ac:dyDescent="0.35">
      <c r="A327" s="22">
        <v>6</v>
      </c>
      <c r="B327" t="s">
        <v>801</v>
      </c>
      <c r="C327" t="s">
        <v>802</v>
      </c>
      <c r="D327"/>
      <c r="E327" t="s">
        <v>4421</v>
      </c>
      <c r="F327">
        <v>9003131</v>
      </c>
      <c r="G327" t="s">
        <v>4422</v>
      </c>
      <c r="H327" t="s">
        <v>805</v>
      </c>
      <c r="I327">
        <v>121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121</v>
      </c>
      <c r="P327" s="44" t="e">
        <f>_xlfn.XLOOKUP(Tabla5[[#This Row],[EAN CORREGIDO]],'Tabla Articulos'!B:B,'Tabla Articulos'!D:D)</f>
        <v>#N/A</v>
      </c>
      <c r="Q327" s="44" t="e">
        <f>_xlfn.XLOOKUP(S327,'Tabla Articulos'!B:B,'Tabla Articulos'!E:E)</f>
        <v>#N/A</v>
      </c>
      <c r="R327" s="44" t="e">
        <f t="shared" si="10"/>
        <v>#N/A</v>
      </c>
      <c r="S327" s="45" t="str">
        <f t="shared" si="11"/>
        <v>UNIF000593</v>
      </c>
    </row>
    <row r="328" spans="1:19" hidden="1" x14ac:dyDescent="0.35">
      <c r="A328" s="22">
        <v>6</v>
      </c>
      <c r="B328" t="s">
        <v>801</v>
      </c>
      <c r="C328" t="s">
        <v>802</v>
      </c>
      <c r="D328" s="11" t="s">
        <v>1374</v>
      </c>
      <c r="E328" t="s">
        <v>4423</v>
      </c>
      <c r="F328">
        <v>2006612</v>
      </c>
      <c r="G328" t="s">
        <v>4424</v>
      </c>
      <c r="H328" t="s">
        <v>805</v>
      </c>
      <c r="I328">
        <v>4278</v>
      </c>
      <c r="J328">
        <v>0</v>
      </c>
      <c r="K328">
        <v>0</v>
      </c>
      <c r="L328">
        <v>0</v>
      </c>
      <c r="M328">
        <v>8</v>
      </c>
      <c r="N328">
        <v>0</v>
      </c>
      <c r="O328">
        <v>4270</v>
      </c>
      <c r="P328" s="44" t="e">
        <f>_xlfn.XLOOKUP(Tabla5[[#This Row],[EAN CORREGIDO]],'Tabla Articulos'!B:B,'Tabla Articulos'!D:D)</f>
        <v>#N/A</v>
      </c>
      <c r="Q328" s="44" t="e">
        <f>_xlfn.XLOOKUP(S328,'Tabla Articulos'!B:B,'Tabla Articulos'!E:E)</f>
        <v>#N/A</v>
      </c>
      <c r="R328" s="44" t="e">
        <f t="shared" si="10"/>
        <v>#N/A</v>
      </c>
      <c r="S328" s="45" t="str">
        <f t="shared" si="11"/>
        <v>LIM00437</v>
      </c>
    </row>
    <row r="329" spans="1:19" hidden="1" x14ac:dyDescent="0.35">
      <c r="A329" s="22">
        <v>5</v>
      </c>
      <c r="B329" t="s">
        <v>829</v>
      </c>
      <c r="C329" t="s">
        <v>802</v>
      </c>
      <c r="D329" t="s">
        <v>3391</v>
      </c>
      <c r="E329" t="s">
        <v>4425</v>
      </c>
      <c r="F329">
        <v>4076741</v>
      </c>
      <c r="G329" t="s">
        <v>4426</v>
      </c>
      <c r="H329" t="s">
        <v>805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1500</v>
      </c>
      <c r="P329" s="44" t="e">
        <f>_xlfn.XLOOKUP(Tabla5[[#This Row],[EAN CORREGIDO]],'Tabla Articulos'!B:B,'Tabla Articulos'!D:D)</f>
        <v>#N/A</v>
      </c>
      <c r="Q329" s="44" t="e">
        <f>_xlfn.XLOOKUP(S329,'Tabla Articulos'!B:B,'Tabla Articulos'!E:E)</f>
        <v>#N/A</v>
      </c>
      <c r="R329" s="44" t="e">
        <f t="shared" si="10"/>
        <v>#N/A</v>
      </c>
      <c r="S329" s="45" t="str">
        <f t="shared" si="11"/>
        <v>7797470000106</v>
      </c>
    </row>
    <row r="330" spans="1:19" hidden="1" x14ac:dyDescent="0.35">
      <c r="A330" s="22">
        <v>1</v>
      </c>
      <c r="B330" t="s">
        <v>812</v>
      </c>
      <c r="C330" t="s">
        <v>802</v>
      </c>
      <c r="D330" s="11" t="s">
        <v>3391</v>
      </c>
      <c r="E330" t="s">
        <v>4425</v>
      </c>
      <c r="F330">
        <v>4076741</v>
      </c>
      <c r="G330" t="s">
        <v>4426</v>
      </c>
      <c r="H330" t="s">
        <v>805</v>
      </c>
      <c r="I330">
        <v>325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325</v>
      </c>
      <c r="P330" s="44" t="e">
        <f>_xlfn.XLOOKUP(Tabla5[[#This Row],[EAN CORREGIDO]],'Tabla Articulos'!B:B,'Tabla Articulos'!D:D)</f>
        <v>#N/A</v>
      </c>
      <c r="Q330" s="44" t="e">
        <f>_xlfn.XLOOKUP(S330,'Tabla Articulos'!B:B,'Tabla Articulos'!E:E)</f>
        <v>#N/A</v>
      </c>
      <c r="R330" s="44" t="e">
        <f t="shared" si="10"/>
        <v>#N/A</v>
      </c>
      <c r="S330" s="45" t="str">
        <f t="shared" si="11"/>
        <v>7797470000106</v>
      </c>
    </row>
    <row r="331" spans="1:19" hidden="1" x14ac:dyDescent="0.35">
      <c r="A331" s="22">
        <v>6</v>
      </c>
      <c r="B331" t="s">
        <v>801</v>
      </c>
      <c r="C331" t="s">
        <v>802</v>
      </c>
      <c r="D331"/>
      <c r="E331" t="s">
        <v>4931</v>
      </c>
      <c r="F331">
        <v>9003686</v>
      </c>
      <c r="G331" t="s">
        <v>4932</v>
      </c>
      <c r="H331" t="s">
        <v>805</v>
      </c>
      <c r="I331">
        <v>53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53</v>
      </c>
      <c r="P331" s="44" t="e">
        <f>_xlfn.XLOOKUP(Tabla5[[#This Row],[EAN CORREGIDO]],'Tabla Articulos'!B:B,'Tabla Articulos'!D:D)</f>
        <v>#N/A</v>
      </c>
      <c r="Q331" s="44" t="e">
        <f>_xlfn.XLOOKUP(S331,'Tabla Articulos'!B:B,'Tabla Articulos'!E:E)</f>
        <v>#N/A</v>
      </c>
      <c r="R331" s="44" t="e">
        <f t="shared" si="10"/>
        <v>#N/A</v>
      </c>
      <c r="S331" s="45" t="str">
        <f t="shared" si="11"/>
        <v>BAZ001329</v>
      </c>
    </row>
    <row r="332" spans="1:19" hidden="1" x14ac:dyDescent="0.35">
      <c r="A332" s="22">
        <v>6</v>
      </c>
      <c r="B332" t="s">
        <v>801</v>
      </c>
      <c r="C332" t="s">
        <v>802</v>
      </c>
      <c r="E332" t="s">
        <v>4933</v>
      </c>
      <c r="F332">
        <v>9003536</v>
      </c>
      <c r="G332" t="s">
        <v>4934</v>
      </c>
      <c r="H332" t="s">
        <v>805</v>
      </c>
      <c r="I332">
        <v>0</v>
      </c>
      <c r="J332">
        <v>60</v>
      </c>
      <c r="K332">
        <v>0</v>
      </c>
      <c r="L332">
        <v>0</v>
      </c>
      <c r="M332">
        <v>0</v>
      </c>
      <c r="N332">
        <v>0</v>
      </c>
      <c r="O332">
        <v>60</v>
      </c>
      <c r="P332" s="44" t="e">
        <f>_xlfn.XLOOKUP(Tabla5[[#This Row],[EAN CORREGIDO]],'Tabla Articulos'!B:B,'Tabla Articulos'!D:D)</f>
        <v>#N/A</v>
      </c>
      <c r="Q332" s="44" t="e">
        <f>_xlfn.XLOOKUP(S332,'Tabla Articulos'!B:B,'Tabla Articulos'!E:E)</f>
        <v>#N/A</v>
      </c>
      <c r="R332" s="44" t="e">
        <f t="shared" si="10"/>
        <v>#N/A</v>
      </c>
      <c r="S332" s="45" t="str">
        <f t="shared" si="11"/>
        <v>UNIF000075</v>
      </c>
    </row>
    <row r="333" spans="1:19" hidden="1" x14ac:dyDescent="0.35">
      <c r="A333" s="22">
        <v>6</v>
      </c>
      <c r="B333" t="s">
        <v>801</v>
      </c>
      <c r="C333" t="s">
        <v>802</v>
      </c>
      <c r="D333"/>
      <c r="E333" t="s">
        <v>4935</v>
      </c>
      <c r="F333">
        <v>9004124</v>
      </c>
      <c r="G333" t="s">
        <v>4936</v>
      </c>
      <c r="H333" t="s">
        <v>805</v>
      </c>
      <c r="I333">
        <v>26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26</v>
      </c>
      <c r="P333" s="44" t="e">
        <f>_xlfn.XLOOKUP(Tabla5[[#This Row],[EAN CORREGIDO]],'Tabla Articulos'!B:B,'Tabla Articulos'!D:D)</f>
        <v>#N/A</v>
      </c>
      <c r="Q333" s="44" t="e">
        <f>_xlfn.XLOOKUP(S333,'Tabla Articulos'!B:B,'Tabla Articulos'!E:E)</f>
        <v>#N/A</v>
      </c>
      <c r="R333" s="44" t="e">
        <f t="shared" si="10"/>
        <v>#N/A</v>
      </c>
      <c r="S333" s="45" t="str">
        <f t="shared" si="11"/>
        <v>4040337565625</v>
      </c>
    </row>
    <row r="334" spans="1:19" hidden="1" x14ac:dyDescent="0.35">
      <c r="A334" s="22">
        <v>1</v>
      </c>
      <c r="B334" t="s">
        <v>812</v>
      </c>
      <c r="C334" t="s">
        <v>802</v>
      </c>
      <c r="D334" s="11" t="s">
        <v>1871</v>
      </c>
      <c r="E334" t="s">
        <v>1872</v>
      </c>
      <c r="F334">
        <v>4018606</v>
      </c>
      <c r="G334" t="s">
        <v>1873</v>
      </c>
      <c r="H334" t="s">
        <v>805</v>
      </c>
      <c r="I334">
        <v>8342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8342</v>
      </c>
      <c r="P334" s="44" t="e">
        <f>_xlfn.XLOOKUP(Tabla5[[#This Row],[EAN CORREGIDO]],'Tabla Articulos'!B:B,'Tabla Articulos'!D:D)</f>
        <v>#N/A</v>
      </c>
      <c r="Q334" s="44" t="e">
        <f>_xlfn.XLOOKUP(S334,'Tabla Articulos'!B:B,'Tabla Articulos'!E:E)</f>
        <v>#N/A</v>
      </c>
      <c r="R334" s="44" t="e">
        <f t="shared" si="10"/>
        <v>#N/A</v>
      </c>
      <c r="S334" s="45" t="str">
        <f t="shared" si="11"/>
        <v>7791473001733</v>
      </c>
    </row>
    <row r="335" spans="1:19" hidden="1" x14ac:dyDescent="0.35">
      <c r="A335" s="22">
        <v>6</v>
      </c>
      <c r="B335" t="s">
        <v>801</v>
      </c>
      <c r="C335" t="s">
        <v>802</v>
      </c>
      <c r="D335" s="11" t="s">
        <v>1874</v>
      </c>
      <c r="E335" t="s">
        <v>1875</v>
      </c>
      <c r="F335">
        <v>2007241</v>
      </c>
      <c r="G335" t="s">
        <v>1876</v>
      </c>
      <c r="H335" t="s">
        <v>805</v>
      </c>
      <c r="I335">
        <v>278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278</v>
      </c>
      <c r="P335" s="44" t="e">
        <f>_xlfn.XLOOKUP(Tabla5[[#This Row],[EAN CORREGIDO]],'Tabla Articulos'!B:B,'Tabla Articulos'!D:D)</f>
        <v>#N/A</v>
      </c>
      <c r="Q335" s="44" t="e">
        <f>_xlfn.XLOOKUP(S335,'Tabla Articulos'!B:B,'Tabla Articulos'!E:E)</f>
        <v>#N/A</v>
      </c>
      <c r="R335" s="44" t="e">
        <f t="shared" si="10"/>
        <v>#N/A</v>
      </c>
      <c r="S335" s="45" t="str">
        <f t="shared" si="11"/>
        <v>7798024459241</v>
      </c>
    </row>
    <row r="336" spans="1:19" hidden="1" x14ac:dyDescent="0.35">
      <c r="A336" s="22">
        <v>1</v>
      </c>
      <c r="B336" t="s">
        <v>812</v>
      </c>
      <c r="C336" t="s">
        <v>802</v>
      </c>
      <c r="D336" t="s">
        <v>1877</v>
      </c>
      <c r="E336" t="s">
        <v>1878</v>
      </c>
      <c r="F336">
        <v>4017692</v>
      </c>
      <c r="G336" t="s">
        <v>1879</v>
      </c>
      <c r="H336" t="s">
        <v>816</v>
      </c>
      <c r="I336">
        <v>360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360</v>
      </c>
      <c r="P336" s="44" t="e">
        <f>_xlfn.XLOOKUP(Tabla5[[#This Row],[EAN CORREGIDO]],'Tabla Articulos'!B:B,'Tabla Articulos'!D:D)</f>
        <v>#N/A</v>
      </c>
      <c r="Q336" s="44" t="e">
        <f>_xlfn.XLOOKUP(S336,'Tabla Articulos'!B:B,'Tabla Articulos'!E:E)</f>
        <v>#N/A</v>
      </c>
      <c r="R336" s="44" t="e">
        <f t="shared" si="10"/>
        <v>#N/A</v>
      </c>
      <c r="S336" s="45" t="str">
        <f t="shared" si="11"/>
        <v>7790212031229</v>
      </c>
    </row>
    <row r="337" spans="1:19" hidden="1" x14ac:dyDescent="0.35">
      <c r="A337" s="22">
        <v>1</v>
      </c>
      <c r="B337" t="s">
        <v>812</v>
      </c>
      <c r="C337" t="s">
        <v>802</v>
      </c>
      <c r="D337" s="11" t="s">
        <v>1880</v>
      </c>
      <c r="E337" t="s">
        <v>1881</v>
      </c>
      <c r="F337">
        <v>4019767</v>
      </c>
      <c r="G337" t="s">
        <v>1882</v>
      </c>
      <c r="H337" t="s">
        <v>805</v>
      </c>
      <c r="I337">
        <v>16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16</v>
      </c>
      <c r="P337" s="44" t="e">
        <f>_xlfn.XLOOKUP(Tabla5[[#This Row],[EAN CORREGIDO]],'Tabla Articulos'!B:B,'Tabla Articulos'!D:D)</f>
        <v>#N/A</v>
      </c>
      <c r="Q337" s="44" t="e">
        <f>_xlfn.XLOOKUP(S337,'Tabla Articulos'!B:B,'Tabla Articulos'!E:E)</f>
        <v>#N/A</v>
      </c>
      <c r="R337" s="44" t="e">
        <f t="shared" si="10"/>
        <v>#N/A</v>
      </c>
      <c r="S337" s="45" t="str">
        <f t="shared" si="11"/>
        <v>7790530850154</v>
      </c>
    </row>
    <row r="338" spans="1:19" hidden="1" x14ac:dyDescent="0.35">
      <c r="A338" s="22">
        <v>6</v>
      </c>
      <c r="B338" t="s">
        <v>801</v>
      </c>
      <c r="C338" t="s">
        <v>802</v>
      </c>
      <c r="E338" t="s">
        <v>1883</v>
      </c>
      <c r="F338">
        <v>9003260</v>
      </c>
      <c r="G338" t="s">
        <v>1884</v>
      </c>
      <c r="H338" t="s">
        <v>805</v>
      </c>
      <c r="I338">
        <v>68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68</v>
      </c>
      <c r="P338" s="44" t="e">
        <f>_xlfn.XLOOKUP(Tabla5[[#This Row],[EAN CORREGIDO]],'Tabla Articulos'!B:B,'Tabla Articulos'!D:D)</f>
        <v>#N/A</v>
      </c>
      <c r="Q338" s="44" t="e">
        <f>_xlfn.XLOOKUP(S338,'Tabla Articulos'!B:B,'Tabla Articulos'!E:E)</f>
        <v>#N/A</v>
      </c>
      <c r="R338" s="44" t="e">
        <f t="shared" si="10"/>
        <v>#N/A</v>
      </c>
      <c r="S338" s="45" t="str">
        <f t="shared" si="11"/>
        <v>UNIF000488</v>
      </c>
    </row>
    <row r="339" spans="1:19" hidden="1" x14ac:dyDescent="0.35">
      <c r="A339" s="22">
        <v>1</v>
      </c>
      <c r="B339" t="s">
        <v>812</v>
      </c>
      <c r="C339" t="s">
        <v>802</v>
      </c>
      <c r="D339" s="11" t="s">
        <v>1380</v>
      </c>
      <c r="E339" t="s">
        <v>1885</v>
      </c>
      <c r="F339">
        <v>4019487</v>
      </c>
      <c r="G339" t="s">
        <v>1886</v>
      </c>
      <c r="H339" t="s">
        <v>805</v>
      </c>
      <c r="I339">
        <v>373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373</v>
      </c>
      <c r="P339" s="44" t="e">
        <f>_xlfn.XLOOKUP(Tabla5[[#This Row],[EAN CORREGIDO]],'Tabla Articulos'!B:B,'Tabla Articulos'!D:D)</f>
        <v>#N/A</v>
      </c>
      <c r="Q339" s="44" t="e">
        <f>_xlfn.XLOOKUP(S339,'Tabla Articulos'!B:B,'Tabla Articulos'!E:E)</f>
        <v>#N/A</v>
      </c>
      <c r="R339" s="44" t="e">
        <f t="shared" si="10"/>
        <v>#N/A</v>
      </c>
      <c r="S339" s="45" t="str">
        <f t="shared" si="11"/>
        <v>7790530850161</v>
      </c>
    </row>
    <row r="340" spans="1:19" hidden="1" x14ac:dyDescent="0.35">
      <c r="A340" s="22">
        <v>6</v>
      </c>
      <c r="B340" t="s">
        <v>801</v>
      </c>
      <c r="C340" t="s">
        <v>802</v>
      </c>
      <c r="D340" s="11" t="s">
        <v>1060</v>
      </c>
      <c r="E340" t="s">
        <v>2246</v>
      </c>
      <c r="F340">
        <v>2007480</v>
      </c>
      <c r="G340" t="s">
        <v>2247</v>
      </c>
      <c r="H340" t="s">
        <v>805</v>
      </c>
      <c r="I340">
        <v>1323</v>
      </c>
      <c r="J340">
        <v>1280</v>
      </c>
      <c r="K340">
        <v>0</v>
      </c>
      <c r="L340">
        <v>0</v>
      </c>
      <c r="M340">
        <v>0</v>
      </c>
      <c r="N340">
        <v>0</v>
      </c>
      <c r="O340">
        <v>2603</v>
      </c>
      <c r="P340" s="44" t="e">
        <f>_xlfn.XLOOKUP(Tabla5[[#This Row],[EAN CORREGIDO]],'Tabla Articulos'!B:B,'Tabla Articulos'!D:D)</f>
        <v>#N/A</v>
      </c>
      <c r="Q340" s="44" t="e">
        <f>_xlfn.XLOOKUP(S340,'Tabla Articulos'!B:B,'Tabla Articulos'!E:E)</f>
        <v>#N/A</v>
      </c>
      <c r="R340" s="44" t="e">
        <f t="shared" si="10"/>
        <v>#N/A</v>
      </c>
      <c r="S340" s="45" t="str">
        <f t="shared" si="11"/>
        <v>7798160835145</v>
      </c>
    </row>
    <row r="341" spans="1:19" hidden="1" x14ac:dyDescent="0.35">
      <c r="A341" s="22">
        <v>6</v>
      </c>
      <c r="B341" t="s">
        <v>801</v>
      </c>
      <c r="C341" t="s">
        <v>802</v>
      </c>
      <c r="E341" t="s">
        <v>2248</v>
      </c>
      <c r="F341">
        <v>9003056</v>
      </c>
      <c r="G341" t="s">
        <v>2249</v>
      </c>
      <c r="H341" t="s">
        <v>805</v>
      </c>
      <c r="I341">
        <v>10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10</v>
      </c>
      <c r="P341" s="44" t="e">
        <f>_xlfn.XLOOKUP(Tabla5[[#This Row],[EAN CORREGIDO]],'Tabla Articulos'!B:B,'Tabla Articulos'!D:D)</f>
        <v>#N/A</v>
      </c>
      <c r="Q341" s="44" t="e">
        <f>_xlfn.XLOOKUP(S341,'Tabla Articulos'!B:B,'Tabla Articulos'!E:E)</f>
        <v>#N/A</v>
      </c>
      <c r="R341" s="44" t="e">
        <f t="shared" si="10"/>
        <v>#N/A</v>
      </c>
      <c r="S341" s="45" t="str">
        <f t="shared" si="11"/>
        <v>UNIF000025</v>
      </c>
    </row>
    <row r="342" spans="1:19" hidden="1" x14ac:dyDescent="0.35">
      <c r="A342" s="22">
        <v>1</v>
      </c>
      <c r="B342" t="s">
        <v>812</v>
      </c>
      <c r="C342" t="s">
        <v>802</v>
      </c>
      <c r="D342" s="11" t="s">
        <v>1380</v>
      </c>
      <c r="E342" t="s">
        <v>2250</v>
      </c>
      <c r="F342">
        <v>4022536</v>
      </c>
      <c r="G342" t="s">
        <v>2251</v>
      </c>
      <c r="H342" t="s">
        <v>805</v>
      </c>
      <c r="I342">
        <v>28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28</v>
      </c>
      <c r="P342" s="44" t="e">
        <f>_xlfn.XLOOKUP(Tabla5[[#This Row],[EAN CORREGIDO]],'Tabla Articulos'!B:B,'Tabla Articulos'!D:D)</f>
        <v>#N/A</v>
      </c>
      <c r="Q342" s="44" t="e">
        <f>_xlfn.XLOOKUP(S342,'Tabla Articulos'!B:B,'Tabla Articulos'!E:E)</f>
        <v>#N/A</v>
      </c>
      <c r="R342" s="44" t="e">
        <f t="shared" si="10"/>
        <v>#N/A</v>
      </c>
      <c r="S342" s="45" t="str">
        <f t="shared" si="11"/>
        <v>714604058540</v>
      </c>
    </row>
    <row r="343" spans="1:19" hidden="1" x14ac:dyDescent="0.35">
      <c r="A343" s="22">
        <v>1</v>
      </c>
      <c r="B343" t="s">
        <v>812</v>
      </c>
      <c r="C343" t="s">
        <v>802</v>
      </c>
      <c r="D343" t="s">
        <v>2252</v>
      </c>
      <c r="E343" t="s">
        <v>2253</v>
      </c>
      <c r="F343">
        <v>4018051</v>
      </c>
      <c r="G343" t="s">
        <v>2254</v>
      </c>
      <c r="H343" t="s">
        <v>816</v>
      </c>
      <c r="I343">
        <v>9.2799999999999994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8.2799999999999994</v>
      </c>
      <c r="P343" s="44" t="e">
        <f>_xlfn.XLOOKUP(Tabla5[[#This Row],[EAN CORREGIDO]],'Tabla Articulos'!B:B,'Tabla Articulos'!D:D)</f>
        <v>#N/A</v>
      </c>
      <c r="Q343" s="44" t="e">
        <f>_xlfn.XLOOKUP(S343,'Tabla Articulos'!B:B,'Tabla Articulos'!E:E)</f>
        <v>#N/A</v>
      </c>
      <c r="R343" s="44" t="e">
        <f t="shared" si="10"/>
        <v>#N/A</v>
      </c>
      <c r="S343" s="45" t="str">
        <f t="shared" si="11"/>
        <v>7790216010142</v>
      </c>
    </row>
    <row r="344" spans="1:19" hidden="1" x14ac:dyDescent="0.35">
      <c r="A344" s="22">
        <v>5</v>
      </c>
      <c r="B344" t="s">
        <v>829</v>
      </c>
      <c r="C344" t="s">
        <v>802</v>
      </c>
      <c r="D344" t="s">
        <v>2252</v>
      </c>
      <c r="E344" t="s">
        <v>2253</v>
      </c>
      <c r="F344">
        <v>4018051</v>
      </c>
      <c r="G344" t="s">
        <v>2254</v>
      </c>
      <c r="H344" t="s">
        <v>816</v>
      </c>
      <c r="I344">
        <v>2.12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2.12</v>
      </c>
      <c r="P344" s="44" t="e">
        <f>_xlfn.XLOOKUP(Tabla5[[#This Row],[EAN CORREGIDO]],'Tabla Articulos'!B:B,'Tabla Articulos'!D:D)</f>
        <v>#N/A</v>
      </c>
      <c r="Q344" s="44" t="e">
        <f>_xlfn.XLOOKUP(S344,'Tabla Articulos'!B:B,'Tabla Articulos'!E:E)</f>
        <v>#N/A</v>
      </c>
      <c r="R344" s="44" t="e">
        <f t="shared" si="10"/>
        <v>#N/A</v>
      </c>
      <c r="S344" s="45" t="str">
        <f t="shared" si="11"/>
        <v>7790216010142</v>
      </c>
    </row>
    <row r="345" spans="1:19" hidden="1" x14ac:dyDescent="0.35">
      <c r="A345" s="22">
        <v>6</v>
      </c>
      <c r="B345" t="s">
        <v>801</v>
      </c>
      <c r="C345" t="s">
        <v>802</v>
      </c>
      <c r="D345"/>
      <c r="E345" t="s">
        <v>2255</v>
      </c>
      <c r="F345">
        <v>9003227</v>
      </c>
      <c r="G345" t="s">
        <v>2256</v>
      </c>
      <c r="H345" t="s">
        <v>805</v>
      </c>
      <c r="I345">
        <v>176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176</v>
      </c>
      <c r="P345" s="44" t="e">
        <f>_xlfn.XLOOKUP(Tabla5[[#This Row],[EAN CORREGIDO]],'Tabla Articulos'!B:B,'Tabla Articulos'!D:D)</f>
        <v>#N/A</v>
      </c>
      <c r="Q345" s="44" t="e">
        <f>_xlfn.XLOOKUP(S345,'Tabla Articulos'!B:B,'Tabla Articulos'!E:E)</f>
        <v>#N/A</v>
      </c>
      <c r="R345" s="44" t="e">
        <f t="shared" si="10"/>
        <v>#N/A</v>
      </c>
      <c r="S345" s="45" t="str">
        <f t="shared" si="11"/>
        <v>UNIF000240</v>
      </c>
    </row>
    <row r="346" spans="1:19" hidden="1" x14ac:dyDescent="0.35">
      <c r="A346" s="22">
        <v>6</v>
      </c>
      <c r="B346" t="s">
        <v>801</v>
      </c>
      <c r="C346" t="s">
        <v>802</v>
      </c>
      <c r="D346"/>
      <c r="E346" t="s">
        <v>3491</v>
      </c>
      <c r="F346">
        <v>9003213</v>
      </c>
      <c r="G346" t="s">
        <v>3492</v>
      </c>
      <c r="H346" t="s">
        <v>805</v>
      </c>
      <c r="I346">
        <v>30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30</v>
      </c>
      <c r="P346" s="44" t="e">
        <f>_xlfn.XLOOKUP(Tabla5[[#This Row],[EAN CORREGIDO]],'Tabla Articulos'!B:B,'Tabla Articulos'!D:D)</f>
        <v>#N/A</v>
      </c>
      <c r="Q346" s="44" t="e">
        <f>_xlfn.XLOOKUP(S346,'Tabla Articulos'!B:B,'Tabla Articulos'!E:E)</f>
        <v>#N/A</v>
      </c>
      <c r="R346" s="44" t="e">
        <f t="shared" si="10"/>
        <v>#N/A</v>
      </c>
      <c r="S346" s="45" t="str">
        <f t="shared" si="11"/>
        <v>UNIF000113</v>
      </c>
    </row>
    <row r="347" spans="1:19" hidden="1" x14ac:dyDescent="0.35">
      <c r="A347" s="22">
        <v>1</v>
      </c>
      <c r="B347" t="s">
        <v>812</v>
      </c>
      <c r="C347" t="s">
        <v>802</v>
      </c>
      <c r="D347" t="s">
        <v>2026</v>
      </c>
      <c r="E347" t="s">
        <v>3624</v>
      </c>
      <c r="F347">
        <v>4019904</v>
      </c>
      <c r="G347" t="s">
        <v>3625</v>
      </c>
      <c r="H347" t="s">
        <v>805</v>
      </c>
      <c r="I347">
        <v>21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21</v>
      </c>
      <c r="P347" s="44" t="e">
        <f>_xlfn.XLOOKUP(Tabla5[[#This Row],[EAN CORREGIDO]],'Tabla Articulos'!B:B,'Tabla Articulos'!D:D)</f>
        <v>#N/A</v>
      </c>
      <c r="Q347" s="44" t="e">
        <f>_xlfn.XLOOKUP(S347,'Tabla Articulos'!B:B,'Tabla Articulos'!E:E)</f>
        <v>#N/A</v>
      </c>
      <c r="R347" s="44" t="e">
        <f t="shared" si="10"/>
        <v>#N/A</v>
      </c>
      <c r="S347" s="45" t="str">
        <f t="shared" si="11"/>
        <v>7791680601108</v>
      </c>
    </row>
    <row r="348" spans="1:19" hidden="1" x14ac:dyDescent="0.35">
      <c r="A348" s="22">
        <v>5</v>
      </c>
      <c r="B348" t="s">
        <v>829</v>
      </c>
      <c r="C348" t="s">
        <v>802</v>
      </c>
      <c r="D348" s="11" t="s">
        <v>3626</v>
      </c>
      <c r="E348" t="s">
        <v>3627</v>
      </c>
      <c r="F348">
        <v>4024626</v>
      </c>
      <c r="G348" t="s">
        <v>3628</v>
      </c>
      <c r="H348" t="s">
        <v>805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 s="44" t="e">
        <f>_xlfn.XLOOKUP(Tabla5[[#This Row],[EAN CORREGIDO]],'Tabla Articulos'!B:B,'Tabla Articulos'!D:D)</f>
        <v>#N/A</v>
      </c>
      <c r="Q348" s="44" t="e">
        <f>_xlfn.XLOOKUP(S348,'Tabla Articulos'!B:B,'Tabla Articulos'!E:E)</f>
        <v>#N/A</v>
      </c>
      <c r="R348" s="44" t="e">
        <f t="shared" si="10"/>
        <v>#N/A</v>
      </c>
      <c r="S348" s="45" t="str">
        <f t="shared" si="11"/>
        <v>7798186160962</v>
      </c>
    </row>
    <row r="349" spans="1:19" hidden="1" x14ac:dyDescent="0.35">
      <c r="A349" s="22">
        <v>6</v>
      </c>
      <c r="B349" t="s">
        <v>801</v>
      </c>
      <c r="C349" t="s">
        <v>802</v>
      </c>
      <c r="D349"/>
      <c r="E349" t="s">
        <v>3629</v>
      </c>
      <c r="F349">
        <v>9003110</v>
      </c>
      <c r="G349" t="s">
        <v>3630</v>
      </c>
      <c r="H349" t="s">
        <v>805</v>
      </c>
      <c r="I349">
        <v>10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10</v>
      </c>
      <c r="P349" s="44" t="e">
        <f>_xlfn.XLOOKUP(Tabla5[[#This Row],[EAN CORREGIDO]],'Tabla Articulos'!B:B,'Tabla Articulos'!D:D)</f>
        <v>#N/A</v>
      </c>
      <c r="Q349" s="44" t="e">
        <f>_xlfn.XLOOKUP(S349,'Tabla Articulos'!B:B,'Tabla Articulos'!E:E)</f>
        <v>#N/A</v>
      </c>
      <c r="R349" s="44" t="e">
        <f t="shared" si="10"/>
        <v>#N/A</v>
      </c>
      <c r="S349" s="45" t="str">
        <f t="shared" si="11"/>
        <v>UNIF000572</v>
      </c>
    </row>
    <row r="350" spans="1:19" hidden="1" x14ac:dyDescent="0.35">
      <c r="A350" s="22">
        <v>6</v>
      </c>
      <c r="B350" t="s">
        <v>801</v>
      </c>
      <c r="C350" t="s">
        <v>802</v>
      </c>
      <c r="E350" t="s">
        <v>3631</v>
      </c>
      <c r="F350">
        <v>9003972</v>
      </c>
      <c r="G350" t="s">
        <v>3632</v>
      </c>
      <c r="H350" t="s">
        <v>805</v>
      </c>
      <c r="I350">
        <v>18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18</v>
      </c>
      <c r="P350" s="44" t="e">
        <f>_xlfn.XLOOKUP(Tabla5[[#This Row],[EAN CORREGIDO]],'Tabla Articulos'!B:B,'Tabla Articulos'!D:D)</f>
        <v>#N/A</v>
      </c>
      <c r="Q350" s="44" t="e">
        <f>_xlfn.XLOOKUP(S350,'Tabla Articulos'!B:B,'Tabla Articulos'!E:E)</f>
        <v>#N/A</v>
      </c>
      <c r="R350" s="44" t="e">
        <f t="shared" si="10"/>
        <v>#N/A</v>
      </c>
      <c r="S350" s="45" t="str">
        <f t="shared" si="11"/>
        <v>UNIF000642</v>
      </c>
    </row>
    <row r="351" spans="1:19" hidden="1" x14ac:dyDescent="0.35">
      <c r="A351" s="22">
        <v>1</v>
      </c>
      <c r="B351" t="s">
        <v>812</v>
      </c>
      <c r="C351" t="s">
        <v>802</v>
      </c>
      <c r="D351" s="11" t="s">
        <v>3889</v>
      </c>
      <c r="E351" t="s">
        <v>3890</v>
      </c>
      <c r="F351">
        <v>4018050</v>
      </c>
      <c r="G351" t="s">
        <v>3891</v>
      </c>
      <c r="H351" t="s">
        <v>816</v>
      </c>
      <c r="I351">
        <v>1.0349999999999999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1.0349999999999999</v>
      </c>
      <c r="P351" s="44" t="e">
        <f>_xlfn.XLOOKUP(Tabla5[[#This Row],[EAN CORREGIDO]],'Tabla Articulos'!B:B,'Tabla Articulos'!D:D)</f>
        <v>#N/A</v>
      </c>
      <c r="Q351" s="44" t="e">
        <f>_xlfn.XLOOKUP(S351,'Tabla Articulos'!B:B,'Tabla Articulos'!E:E)</f>
        <v>#N/A</v>
      </c>
      <c r="R351" s="44" t="e">
        <f t="shared" si="10"/>
        <v>#N/A</v>
      </c>
      <c r="S351" s="45" t="str">
        <f t="shared" si="11"/>
        <v>7790216010082</v>
      </c>
    </row>
    <row r="352" spans="1:19" hidden="1" x14ac:dyDescent="0.35">
      <c r="A352" s="22">
        <v>6</v>
      </c>
      <c r="B352" t="s">
        <v>801</v>
      </c>
      <c r="C352" t="s">
        <v>802</v>
      </c>
      <c r="D352" t="s">
        <v>333</v>
      </c>
      <c r="E352" t="s">
        <v>2231</v>
      </c>
      <c r="F352">
        <v>2006153</v>
      </c>
      <c r="G352" t="s">
        <v>2232</v>
      </c>
      <c r="H352" t="s">
        <v>805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 s="44" t="str">
        <f>_xlfn.XLOOKUP(Tabla5[[#This Row],[EAN CORREGIDO]],'Tabla Articulos'!B:B,'Tabla Articulos'!D:D)</f>
        <v>VASO TERMICO 300</v>
      </c>
      <c r="Q352" s="44">
        <f>_xlfn.XLOOKUP(S352,'Tabla Articulos'!B:B,'Tabla Articulos'!E:E)</f>
        <v>25</v>
      </c>
      <c r="R352" s="44">
        <f t="shared" si="10"/>
        <v>25</v>
      </c>
      <c r="S352" s="45" t="str">
        <f t="shared" si="11"/>
        <v>7790321020406</v>
      </c>
    </row>
    <row r="353" spans="1:19" hidden="1" x14ac:dyDescent="0.35">
      <c r="A353" s="22">
        <v>6</v>
      </c>
      <c r="B353" t="s">
        <v>801</v>
      </c>
      <c r="C353" t="s">
        <v>802</v>
      </c>
      <c r="D353" t="s">
        <v>218</v>
      </c>
      <c r="E353" t="s">
        <v>2233</v>
      </c>
      <c r="F353">
        <v>2016520</v>
      </c>
      <c r="G353" t="s">
        <v>2234</v>
      </c>
      <c r="H353" t="s">
        <v>805</v>
      </c>
      <c r="I353">
        <v>14</v>
      </c>
      <c r="J353">
        <v>29</v>
      </c>
      <c r="K353">
        <v>0</v>
      </c>
      <c r="L353">
        <v>17</v>
      </c>
      <c r="M353">
        <v>17</v>
      </c>
      <c r="N353">
        <v>0</v>
      </c>
      <c r="O353">
        <v>9</v>
      </c>
      <c r="P353" s="44" t="str">
        <f>_xlfn.XLOOKUP(Tabla5[[#This Row],[EAN CORREGIDO]],'Tabla Articulos'!B:B,'Tabla Articulos'!D:D)</f>
        <v>SERVILLETA SIMIL TELA</v>
      </c>
      <c r="Q353" s="44">
        <f>_xlfn.XLOOKUP(S353,'Tabla Articulos'!B:B,'Tabla Articulos'!E:E)</f>
        <v>2000</v>
      </c>
      <c r="R353" s="44">
        <f t="shared" si="10"/>
        <v>18000</v>
      </c>
      <c r="S353" s="45" t="str">
        <f t="shared" si="11"/>
        <v>7790000000713</v>
      </c>
    </row>
    <row r="354" spans="1:19" hidden="1" x14ac:dyDescent="0.35">
      <c r="A354" s="22">
        <v>5</v>
      </c>
      <c r="B354" t="s">
        <v>829</v>
      </c>
      <c r="C354" t="s">
        <v>802</v>
      </c>
      <c r="D354" t="s">
        <v>2235</v>
      </c>
      <c r="E354" t="s">
        <v>2236</v>
      </c>
      <c r="F354">
        <v>4024490</v>
      </c>
      <c r="G354" t="s">
        <v>2237</v>
      </c>
      <c r="H354" t="s">
        <v>805</v>
      </c>
      <c r="I354">
        <v>10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10</v>
      </c>
      <c r="P354" s="44" t="e">
        <f>_xlfn.XLOOKUP(Tabla5[[#This Row],[EAN CORREGIDO]],'Tabla Articulos'!B:B,'Tabla Articulos'!D:D)</f>
        <v>#N/A</v>
      </c>
      <c r="Q354" s="44" t="e">
        <f>_xlfn.XLOOKUP(S354,'Tabla Articulos'!B:B,'Tabla Articulos'!E:E)</f>
        <v>#N/A</v>
      </c>
      <c r="R354" s="44" t="e">
        <f t="shared" si="10"/>
        <v>#N/A</v>
      </c>
      <c r="S354" s="45" t="str">
        <f t="shared" si="11"/>
        <v>7798110340071</v>
      </c>
    </row>
    <row r="355" spans="1:19" hidden="1" x14ac:dyDescent="0.35">
      <c r="A355" s="22">
        <v>6</v>
      </c>
      <c r="B355" t="s">
        <v>801</v>
      </c>
      <c r="C355" t="s">
        <v>802</v>
      </c>
      <c r="D355" t="s">
        <v>297</v>
      </c>
      <c r="E355" t="s">
        <v>2238</v>
      </c>
      <c r="F355">
        <v>2006795</v>
      </c>
      <c r="G355" t="s">
        <v>2239</v>
      </c>
      <c r="H355" t="s">
        <v>805</v>
      </c>
      <c r="I355">
        <v>477</v>
      </c>
      <c r="J355">
        <v>0</v>
      </c>
      <c r="K355">
        <v>0</v>
      </c>
      <c r="L355">
        <v>20</v>
      </c>
      <c r="M355">
        <v>20</v>
      </c>
      <c r="N355">
        <v>0</v>
      </c>
      <c r="O355">
        <v>437</v>
      </c>
      <c r="P355" s="44" t="str">
        <f>_xlfn.XLOOKUP(Tabla5[[#This Row],[EAN CORREGIDO]],'Tabla Articulos'!B:B,'Tabla Articulos'!D:D)</f>
        <v>BANDEJA R5</v>
      </c>
      <c r="Q355" s="44">
        <f>_xlfn.XLOOKUP(S355,'Tabla Articulos'!B:B,'Tabla Articulos'!E:E)</f>
        <v>600</v>
      </c>
      <c r="R355" s="44">
        <f t="shared" si="10"/>
        <v>262200</v>
      </c>
      <c r="S355" s="45" t="str">
        <f t="shared" si="11"/>
        <v>7790321020066</v>
      </c>
    </row>
    <row r="356" spans="1:19" hidden="1" x14ac:dyDescent="0.35">
      <c r="A356" s="22">
        <v>6</v>
      </c>
      <c r="B356" t="s">
        <v>801</v>
      </c>
      <c r="C356" t="s">
        <v>802</v>
      </c>
      <c r="D356"/>
      <c r="E356" t="s">
        <v>4664</v>
      </c>
      <c r="F356">
        <v>9003151</v>
      </c>
      <c r="G356" t="s">
        <v>4665</v>
      </c>
      <c r="H356" t="s">
        <v>805</v>
      </c>
      <c r="I356">
        <v>17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17</v>
      </c>
      <c r="P356" s="44" t="e">
        <f>_xlfn.XLOOKUP(Tabla5[[#This Row],[EAN CORREGIDO]],'Tabla Articulos'!B:B,'Tabla Articulos'!D:D)</f>
        <v>#N/A</v>
      </c>
      <c r="Q356" s="44" t="e">
        <f>_xlfn.XLOOKUP(S356,'Tabla Articulos'!B:B,'Tabla Articulos'!E:E)</f>
        <v>#N/A</v>
      </c>
      <c r="R356" s="44" t="e">
        <f t="shared" si="10"/>
        <v>#N/A</v>
      </c>
      <c r="S356" s="45" t="str">
        <f t="shared" si="11"/>
        <v>UNIF000613</v>
      </c>
    </row>
    <row r="357" spans="1:19" hidden="1" x14ac:dyDescent="0.35">
      <c r="A357" s="22">
        <v>5</v>
      </c>
      <c r="B357" t="s">
        <v>829</v>
      </c>
      <c r="C357" t="s">
        <v>802</v>
      </c>
      <c r="D357" t="s">
        <v>4666</v>
      </c>
      <c r="E357" t="s">
        <v>4667</v>
      </c>
      <c r="F357">
        <v>4019462</v>
      </c>
      <c r="G357" t="s">
        <v>4668</v>
      </c>
      <c r="H357" t="s">
        <v>805</v>
      </c>
      <c r="I357">
        <v>10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10</v>
      </c>
      <c r="P357" s="44" t="e">
        <f>_xlfn.XLOOKUP(Tabla5[[#This Row],[EAN CORREGIDO]],'Tabla Articulos'!B:B,'Tabla Articulos'!D:D)</f>
        <v>#N/A</v>
      </c>
      <c r="Q357" s="44" t="e">
        <f>_xlfn.XLOOKUP(S357,'Tabla Articulos'!B:B,'Tabla Articulos'!E:E)</f>
        <v>#N/A</v>
      </c>
      <c r="R357" s="44" t="e">
        <f t="shared" si="10"/>
        <v>#N/A</v>
      </c>
      <c r="S357" s="45" t="str">
        <f t="shared" si="11"/>
        <v>7790150330166</v>
      </c>
    </row>
    <row r="358" spans="1:19" hidden="1" x14ac:dyDescent="0.35">
      <c r="A358" s="22">
        <v>6</v>
      </c>
      <c r="B358" t="s">
        <v>801</v>
      </c>
      <c r="C358" t="s">
        <v>802</v>
      </c>
      <c r="E358" t="s">
        <v>4669</v>
      </c>
      <c r="F358">
        <v>2007461</v>
      </c>
      <c r="G358" t="s">
        <v>4670</v>
      </c>
      <c r="H358" t="s">
        <v>805</v>
      </c>
      <c r="I358">
        <v>17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17</v>
      </c>
      <c r="P358" s="44" t="e">
        <f>_xlfn.XLOOKUP(Tabla5[[#This Row],[EAN CORREGIDO]],'Tabla Articulos'!B:B,'Tabla Articulos'!D:D)</f>
        <v>#N/A</v>
      </c>
      <c r="Q358" s="44" t="e">
        <f>_xlfn.XLOOKUP(S358,'Tabla Articulos'!B:B,'Tabla Articulos'!E:E)</f>
        <v>#N/A</v>
      </c>
      <c r="R358" s="44" t="e">
        <f t="shared" si="10"/>
        <v>#N/A</v>
      </c>
      <c r="S358" s="45" t="str">
        <f t="shared" si="11"/>
        <v>7798057861592</v>
      </c>
    </row>
    <row r="359" spans="1:19" hidden="1" x14ac:dyDescent="0.35">
      <c r="A359" s="22">
        <v>6</v>
      </c>
      <c r="B359" t="s">
        <v>801</v>
      </c>
      <c r="C359" t="s">
        <v>802</v>
      </c>
      <c r="D359"/>
      <c r="E359" t="s">
        <v>4671</v>
      </c>
      <c r="F359">
        <v>9003913</v>
      </c>
      <c r="G359" t="s">
        <v>4672</v>
      </c>
      <c r="H359" t="s">
        <v>805</v>
      </c>
      <c r="I359">
        <v>64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64</v>
      </c>
      <c r="P359" s="44" t="e">
        <f>_xlfn.XLOOKUP(Tabla5[[#This Row],[EAN CORREGIDO]],'Tabla Articulos'!B:B,'Tabla Articulos'!D:D)</f>
        <v>#N/A</v>
      </c>
      <c r="Q359" s="44" t="e">
        <f>_xlfn.XLOOKUP(S359,'Tabla Articulos'!B:B,'Tabla Articulos'!E:E)</f>
        <v>#N/A</v>
      </c>
      <c r="R359" s="44" t="e">
        <f t="shared" si="10"/>
        <v>#N/A</v>
      </c>
      <c r="S359" s="45" t="str">
        <f t="shared" si="11"/>
        <v>UNIF000637</v>
      </c>
    </row>
    <row r="360" spans="1:19" hidden="1" x14ac:dyDescent="0.35">
      <c r="A360" s="22">
        <v>6</v>
      </c>
      <c r="B360" t="s">
        <v>801</v>
      </c>
      <c r="C360" t="s">
        <v>802</v>
      </c>
      <c r="D360" s="11" t="s">
        <v>442</v>
      </c>
      <c r="E360" t="s">
        <v>4673</v>
      </c>
      <c r="F360">
        <v>2007192</v>
      </c>
      <c r="G360" t="s">
        <v>4674</v>
      </c>
      <c r="H360" t="s">
        <v>805</v>
      </c>
      <c r="I360">
        <v>804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804</v>
      </c>
      <c r="P360" s="44" t="str">
        <f>_xlfn.XLOOKUP(Tabla5[[#This Row],[EAN CORREGIDO]],'Tabla Articulos'!B:B,'Tabla Articulos'!D:D)</f>
        <v>INDIVIDUAL CHEF GOURMET</v>
      </c>
      <c r="Q360" s="44">
        <f>_xlfn.XLOOKUP(S360,'Tabla Articulos'!B:B,'Tabla Articulos'!E:E)</f>
        <v>1000</v>
      </c>
      <c r="R360" s="44">
        <f t="shared" si="10"/>
        <v>804000</v>
      </c>
      <c r="S360" s="45" t="str">
        <f t="shared" si="11"/>
        <v>7790000000236</v>
      </c>
    </row>
    <row r="361" spans="1:19" hidden="1" x14ac:dyDescent="0.35">
      <c r="A361" s="22">
        <v>5</v>
      </c>
      <c r="B361" t="s">
        <v>829</v>
      </c>
      <c r="C361" t="s">
        <v>802</v>
      </c>
      <c r="D361" s="11" t="s">
        <v>4675</v>
      </c>
      <c r="E361" t="s">
        <v>4676</v>
      </c>
      <c r="F361">
        <v>4022249</v>
      </c>
      <c r="G361" t="s">
        <v>4677</v>
      </c>
      <c r="H361" t="s">
        <v>805</v>
      </c>
      <c r="I361">
        <v>323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323</v>
      </c>
      <c r="P361" s="44" t="e">
        <f>_xlfn.XLOOKUP(Tabla5[[#This Row],[EAN CORREGIDO]],'Tabla Articulos'!B:B,'Tabla Articulos'!D:D)</f>
        <v>#N/A</v>
      </c>
      <c r="Q361" s="44" t="e">
        <f>_xlfn.XLOOKUP(S361,'Tabla Articulos'!B:B,'Tabla Articulos'!E:E)</f>
        <v>#N/A</v>
      </c>
      <c r="R361" s="44" t="e">
        <f t="shared" si="10"/>
        <v>#N/A</v>
      </c>
      <c r="S361" s="45" t="str">
        <f t="shared" si="11"/>
        <v>7797470001394</v>
      </c>
    </row>
    <row r="362" spans="1:19" hidden="1" x14ac:dyDescent="0.35">
      <c r="A362" s="22">
        <v>1</v>
      </c>
      <c r="B362" t="s">
        <v>812</v>
      </c>
      <c r="C362" t="s">
        <v>802</v>
      </c>
      <c r="D362" t="s">
        <v>4678</v>
      </c>
      <c r="E362" t="s">
        <v>4679</v>
      </c>
      <c r="F362">
        <v>4019072</v>
      </c>
      <c r="G362" t="s">
        <v>4680</v>
      </c>
      <c r="H362" t="s">
        <v>805</v>
      </c>
      <c r="I362">
        <v>100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100</v>
      </c>
      <c r="P362" s="44" t="e">
        <f>_xlfn.XLOOKUP(Tabla5[[#This Row],[EAN CORREGIDO]],'Tabla Articulos'!B:B,'Tabla Articulos'!D:D)</f>
        <v>#N/A</v>
      </c>
      <c r="Q362" s="44" t="e">
        <f>_xlfn.XLOOKUP(S362,'Tabla Articulos'!B:B,'Tabla Articulos'!E:E)</f>
        <v>#N/A</v>
      </c>
      <c r="R362" s="44" t="e">
        <f t="shared" si="10"/>
        <v>#N/A</v>
      </c>
      <c r="S362" s="45" t="str">
        <f t="shared" si="11"/>
        <v>7798094220963</v>
      </c>
    </row>
    <row r="363" spans="1:19" hidden="1" x14ac:dyDescent="0.35">
      <c r="A363" s="22">
        <v>5</v>
      </c>
      <c r="B363" t="s">
        <v>829</v>
      </c>
      <c r="C363" t="s">
        <v>802</v>
      </c>
      <c r="D363" t="s">
        <v>1419</v>
      </c>
      <c r="E363" t="s">
        <v>1420</v>
      </c>
      <c r="F363">
        <v>4019993</v>
      </c>
      <c r="G363" t="s">
        <v>1421</v>
      </c>
      <c r="H363" t="s">
        <v>805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 s="44" t="e">
        <f>_xlfn.XLOOKUP(Tabla5[[#This Row],[EAN CORREGIDO]],'Tabla Articulos'!B:B,'Tabla Articulos'!D:D)</f>
        <v>#N/A</v>
      </c>
      <c r="Q363" s="44" t="e">
        <f>_xlfn.XLOOKUP(S363,'Tabla Articulos'!B:B,'Tabla Articulos'!E:E)</f>
        <v>#N/A</v>
      </c>
      <c r="R363" s="44" t="e">
        <f t="shared" si="10"/>
        <v>#N/A</v>
      </c>
      <c r="S363" s="45" t="str">
        <f t="shared" si="11"/>
        <v>7790971001504</v>
      </c>
    </row>
    <row r="364" spans="1:19" hidden="1" x14ac:dyDescent="0.35">
      <c r="A364" s="22">
        <v>1</v>
      </c>
      <c r="B364" t="s">
        <v>812</v>
      </c>
      <c r="C364" t="s">
        <v>802</v>
      </c>
      <c r="D364" t="s">
        <v>1422</v>
      </c>
      <c r="E364" t="s">
        <v>1423</v>
      </c>
      <c r="F364">
        <v>9003978</v>
      </c>
      <c r="G364" t="s">
        <v>1424</v>
      </c>
      <c r="H364" t="s">
        <v>805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</v>
      </c>
      <c r="P364" s="44" t="e">
        <f>_xlfn.XLOOKUP(Tabla5[[#This Row],[EAN CORREGIDO]],'Tabla Articulos'!B:B,'Tabla Articulos'!D:D)</f>
        <v>#N/A</v>
      </c>
      <c r="Q364" s="44" t="e">
        <f>_xlfn.XLOOKUP(S364,'Tabla Articulos'!B:B,'Tabla Articulos'!E:E)</f>
        <v>#N/A</v>
      </c>
      <c r="R364" s="44" t="e">
        <f t="shared" si="10"/>
        <v>#N/A</v>
      </c>
      <c r="S364" s="45" t="str">
        <f t="shared" si="11"/>
        <v>BAZ001384</v>
      </c>
    </row>
    <row r="365" spans="1:19" hidden="1" x14ac:dyDescent="0.35">
      <c r="A365" s="22">
        <v>5</v>
      </c>
      <c r="B365" t="s">
        <v>829</v>
      </c>
      <c r="C365" t="s">
        <v>802</v>
      </c>
      <c r="D365" t="s">
        <v>1422</v>
      </c>
      <c r="E365" t="s">
        <v>1423</v>
      </c>
      <c r="F365">
        <v>9003978</v>
      </c>
      <c r="G365" t="s">
        <v>1424</v>
      </c>
      <c r="H365" t="s">
        <v>805</v>
      </c>
      <c r="I365">
        <v>508</v>
      </c>
      <c r="J365">
        <v>0</v>
      </c>
      <c r="K365">
        <v>0</v>
      </c>
      <c r="L365">
        <v>0</v>
      </c>
      <c r="M365">
        <v>2</v>
      </c>
      <c r="N365">
        <v>0</v>
      </c>
      <c r="O365">
        <v>506</v>
      </c>
      <c r="P365" s="44" t="e">
        <f>_xlfn.XLOOKUP(Tabla5[[#This Row],[EAN CORREGIDO]],'Tabla Articulos'!B:B,'Tabla Articulos'!D:D)</f>
        <v>#N/A</v>
      </c>
      <c r="Q365" s="44" t="e">
        <f>_xlfn.XLOOKUP(S365,'Tabla Articulos'!B:B,'Tabla Articulos'!E:E)</f>
        <v>#N/A</v>
      </c>
      <c r="R365" s="44" t="e">
        <f t="shared" si="10"/>
        <v>#N/A</v>
      </c>
      <c r="S365" s="45" t="str">
        <f t="shared" si="11"/>
        <v>BAZ001384</v>
      </c>
    </row>
    <row r="366" spans="1:19" hidden="1" x14ac:dyDescent="0.35">
      <c r="A366" s="22">
        <v>6</v>
      </c>
      <c r="B366" t="s">
        <v>801</v>
      </c>
      <c r="C366" t="s">
        <v>802</v>
      </c>
      <c r="D366"/>
      <c r="E366" t="s">
        <v>1425</v>
      </c>
      <c r="F366">
        <v>9003800</v>
      </c>
      <c r="G366" t="s">
        <v>1426</v>
      </c>
      <c r="H366" t="s">
        <v>805</v>
      </c>
      <c r="I366">
        <v>29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29</v>
      </c>
      <c r="P366" s="44" t="e">
        <f>_xlfn.XLOOKUP(Tabla5[[#This Row],[EAN CORREGIDO]],'Tabla Articulos'!B:B,'Tabla Articulos'!D:D)</f>
        <v>#N/A</v>
      </c>
      <c r="Q366" s="44" t="e">
        <f>_xlfn.XLOOKUP(S366,'Tabla Articulos'!B:B,'Tabla Articulos'!E:E)</f>
        <v>#N/A</v>
      </c>
      <c r="R366" s="44" t="e">
        <f t="shared" si="10"/>
        <v>#N/A</v>
      </c>
      <c r="S366" s="45" t="str">
        <f t="shared" si="11"/>
        <v>BAZ001235</v>
      </c>
    </row>
    <row r="367" spans="1:19" hidden="1" x14ac:dyDescent="0.35">
      <c r="A367" s="22">
        <v>1</v>
      </c>
      <c r="B367" t="s">
        <v>812</v>
      </c>
      <c r="C367" t="s">
        <v>802</v>
      </c>
      <c r="D367" t="s">
        <v>1124</v>
      </c>
      <c r="E367" t="s">
        <v>1427</v>
      </c>
      <c r="F367">
        <v>4022494</v>
      </c>
      <c r="G367" t="s">
        <v>1428</v>
      </c>
      <c r="H367" t="s">
        <v>805</v>
      </c>
      <c r="I367">
        <v>112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112</v>
      </c>
      <c r="P367" s="44" t="e">
        <f>_xlfn.XLOOKUP(Tabla5[[#This Row],[EAN CORREGIDO]],'Tabla Articulos'!B:B,'Tabla Articulos'!D:D)</f>
        <v>#N/A</v>
      </c>
      <c r="Q367" s="44" t="e">
        <f>_xlfn.XLOOKUP(S367,'Tabla Articulos'!B:B,'Tabla Articulos'!E:E)</f>
        <v>#N/A</v>
      </c>
      <c r="R367" s="44" t="e">
        <f t="shared" si="10"/>
        <v>#N/A</v>
      </c>
      <c r="S367" s="45" t="str">
        <f t="shared" si="11"/>
        <v>790757899520</v>
      </c>
    </row>
    <row r="368" spans="1:19" hidden="1" x14ac:dyDescent="0.35">
      <c r="A368" s="22">
        <v>5</v>
      </c>
      <c r="B368" t="s">
        <v>829</v>
      </c>
      <c r="C368" t="s">
        <v>802</v>
      </c>
      <c r="D368" s="11" t="s">
        <v>1124</v>
      </c>
      <c r="E368" t="s">
        <v>1427</v>
      </c>
      <c r="F368">
        <v>4022494</v>
      </c>
      <c r="G368" t="s">
        <v>1428</v>
      </c>
      <c r="H368" t="s">
        <v>805</v>
      </c>
      <c r="I368">
        <v>7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7</v>
      </c>
      <c r="P368" s="44" t="e">
        <f>_xlfn.XLOOKUP(Tabla5[[#This Row],[EAN CORREGIDO]],'Tabla Articulos'!B:B,'Tabla Articulos'!D:D)</f>
        <v>#N/A</v>
      </c>
      <c r="Q368" s="44" t="e">
        <f>_xlfn.XLOOKUP(S368,'Tabla Articulos'!B:B,'Tabla Articulos'!E:E)</f>
        <v>#N/A</v>
      </c>
      <c r="R368" s="44" t="e">
        <f t="shared" si="10"/>
        <v>#N/A</v>
      </c>
      <c r="S368" s="45" t="str">
        <f t="shared" si="11"/>
        <v>790757899520</v>
      </c>
    </row>
    <row r="369" spans="1:19" hidden="1" x14ac:dyDescent="0.35">
      <c r="A369" s="22">
        <v>6</v>
      </c>
      <c r="B369" t="s">
        <v>801</v>
      </c>
      <c r="C369" t="s">
        <v>802</v>
      </c>
      <c r="E369" t="s">
        <v>1429</v>
      </c>
      <c r="F369">
        <v>9003114</v>
      </c>
      <c r="G369" t="s">
        <v>1430</v>
      </c>
      <c r="H369" t="s">
        <v>805</v>
      </c>
      <c r="I369">
        <v>13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13</v>
      </c>
      <c r="P369" s="44" t="e">
        <f>_xlfn.XLOOKUP(Tabla5[[#This Row],[EAN CORREGIDO]],'Tabla Articulos'!B:B,'Tabla Articulos'!D:D)</f>
        <v>#N/A</v>
      </c>
      <c r="Q369" s="44" t="e">
        <f>_xlfn.XLOOKUP(S369,'Tabla Articulos'!B:B,'Tabla Articulos'!E:E)</f>
        <v>#N/A</v>
      </c>
      <c r="R369" s="44" t="e">
        <f t="shared" si="10"/>
        <v>#N/A</v>
      </c>
      <c r="S369" s="45" t="str">
        <f t="shared" si="11"/>
        <v>UNIF000576</v>
      </c>
    </row>
    <row r="370" spans="1:19" hidden="1" x14ac:dyDescent="0.35">
      <c r="A370" s="22">
        <v>6</v>
      </c>
      <c r="B370" t="s">
        <v>801</v>
      </c>
      <c r="C370" t="s">
        <v>802</v>
      </c>
      <c r="D370"/>
      <c r="E370" t="s">
        <v>1431</v>
      </c>
      <c r="F370">
        <v>9003358</v>
      </c>
      <c r="G370" t="s">
        <v>1432</v>
      </c>
      <c r="H370" t="s">
        <v>805</v>
      </c>
      <c r="I370">
        <v>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4</v>
      </c>
      <c r="P370" s="44" t="e">
        <f>_xlfn.XLOOKUP(Tabla5[[#This Row],[EAN CORREGIDO]],'Tabla Articulos'!B:B,'Tabla Articulos'!D:D)</f>
        <v>#N/A</v>
      </c>
      <c r="Q370" s="44" t="e">
        <f>_xlfn.XLOOKUP(S370,'Tabla Articulos'!B:B,'Tabla Articulos'!E:E)</f>
        <v>#N/A</v>
      </c>
      <c r="R370" s="44" t="e">
        <f t="shared" si="10"/>
        <v>#N/A</v>
      </c>
      <c r="S370" s="45" t="str">
        <f t="shared" si="11"/>
        <v>UNIF000263</v>
      </c>
    </row>
    <row r="371" spans="1:19" hidden="1" x14ac:dyDescent="0.35">
      <c r="A371" s="22">
        <v>6</v>
      </c>
      <c r="B371" t="s">
        <v>801</v>
      </c>
      <c r="C371" t="s">
        <v>802</v>
      </c>
      <c r="E371" t="s">
        <v>1433</v>
      </c>
      <c r="F371">
        <v>9003718</v>
      </c>
      <c r="G371" t="s">
        <v>1434</v>
      </c>
      <c r="H371" t="s">
        <v>805</v>
      </c>
      <c r="I371">
        <v>12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12</v>
      </c>
      <c r="P371" s="44" t="e">
        <f>_xlfn.XLOOKUP(Tabla5[[#This Row],[EAN CORREGIDO]],'Tabla Articulos'!B:B,'Tabla Articulos'!D:D)</f>
        <v>#N/A</v>
      </c>
      <c r="Q371" s="44" t="e">
        <f>_xlfn.XLOOKUP(S371,'Tabla Articulos'!B:B,'Tabla Articulos'!E:E)</f>
        <v>#N/A</v>
      </c>
      <c r="R371" s="44" t="e">
        <f t="shared" si="10"/>
        <v>#N/A</v>
      </c>
      <c r="S371" s="45" t="str">
        <f t="shared" si="11"/>
        <v>BAZ001340</v>
      </c>
    </row>
    <row r="372" spans="1:19" hidden="1" x14ac:dyDescent="0.35">
      <c r="A372" s="22">
        <v>6</v>
      </c>
      <c r="B372" t="s">
        <v>801</v>
      </c>
      <c r="C372" t="s">
        <v>802</v>
      </c>
      <c r="D372"/>
      <c r="E372" t="s">
        <v>1435</v>
      </c>
      <c r="F372">
        <v>2007222</v>
      </c>
      <c r="G372" t="s">
        <v>1436</v>
      </c>
      <c r="H372" t="s">
        <v>805</v>
      </c>
      <c r="I372">
        <v>78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78</v>
      </c>
      <c r="P372" s="44" t="e">
        <f>_xlfn.XLOOKUP(Tabla5[[#This Row],[EAN CORREGIDO]],'Tabla Articulos'!B:B,'Tabla Articulos'!D:D)</f>
        <v>#N/A</v>
      </c>
      <c r="Q372" s="44" t="e">
        <f>_xlfn.XLOOKUP(S372,'Tabla Articulos'!B:B,'Tabla Articulos'!E:E)</f>
        <v>#N/A</v>
      </c>
      <c r="R372" s="44" t="e">
        <f t="shared" si="10"/>
        <v>#N/A</v>
      </c>
      <c r="S372" s="45" t="str">
        <f t="shared" si="11"/>
        <v>7794417003244</v>
      </c>
    </row>
    <row r="373" spans="1:19" hidden="1" x14ac:dyDescent="0.35">
      <c r="A373" s="22">
        <v>1</v>
      </c>
      <c r="B373" t="s">
        <v>812</v>
      </c>
      <c r="C373" t="s">
        <v>802</v>
      </c>
      <c r="D373" s="11" t="s">
        <v>2859</v>
      </c>
      <c r="E373" t="s">
        <v>3948</v>
      </c>
      <c r="F373">
        <v>4049169</v>
      </c>
      <c r="G373" t="s">
        <v>3949</v>
      </c>
      <c r="H373" t="s">
        <v>805</v>
      </c>
      <c r="I373">
        <v>368</v>
      </c>
      <c r="J373">
        <v>0</v>
      </c>
      <c r="K373">
        <v>0</v>
      </c>
      <c r="L373">
        <v>100</v>
      </c>
      <c r="M373">
        <v>100</v>
      </c>
      <c r="N373">
        <v>0</v>
      </c>
      <c r="O373">
        <v>168</v>
      </c>
      <c r="P373" s="44" t="e">
        <f>_xlfn.XLOOKUP(Tabla5[[#This Row],[EAN CORREGIDO]],'Tabla Articulos'!B:B,'Tabla Articulos'!D:D)</f>
        <v>#N/A</v>
      </c>
      <c r="Q373" s="44" t="e">
        <f>_xlfn.XLOOKUP(S373,'Tabla Articulos'!B:B,'Tabla Articulos'!E:E)</f>
        <v>#N/A</v>
      </c>
      <c r="R373" s="44" t="e">
        <f t="shared" si="10"/>
        <v>#N/A</v>
      </c>
      <c r="S373" s="45" t="str">
        <f t="shared" si="11"/>
        <v>7793123160265</v>
      </c>
    </row>
    <row r="374" spans="1:19" hidden="1" x14ac:dyDescent="0.35">
      <c r="A374" s="22">
        <v>5</v>
      </c>
      <c r="B374" t="s">
        <v>829</v>
      </c>
      <c r="C374" t="s">
        <v>802</v>
      </c>
      <c r="D374" s="11" t="s">
        <v>2859</v>
      </c>
      <c r="E374" t="s">
        <v>3948</v>
      </c>
      <c r="F374">
        <v>4049169</v>
      </c>
      <c r="G374" t="s">
        <v>3949</v>
      </c>
      <c r="H374" t="s">
        <v>805</v>
      </c>
      <c r="I374">
        <v>42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42</v>
      </c>
      <c r="P374" s="44" t="e">
        <f>_xlfn.XLOOKUP(Tabla5[[#This Row],[EAN CORREGIDO]],'Tabla Articulos'!B:B,'Tabla Articulos'!D:D)</f>
        <v>#N/A</v>
      </c>
      <c r="Q374" s="44" t="e">
        <f>_xlfn.XLOOKUP(S374,'Tabla Articulos'!B:B,'Tabla Articulos'!E:E)</f>
        <v>#N/A</v>
      </c>
      <c r="R374" s="44" t="e">
        <f t="shared" si="10"/>
        <v>#N/A</v>
      </c>
      <c r="S374" s="45" t="str">
        <f t="shared" si="11"/>
        <v>7793123160265</v>
      </c>
    </row>
    <row r="375" spans="1:19" hidden="1" x14ac:dyDescent="0.35">
      <c r="A375" s="22">
        <v>6</v>
      </c>
      <c r="B375" t="s">
        <v>801</v>
      </c>
      <c r="C375" t="s">
        <v>802</v>
      </c>
      <c r="D375" t="s">
        <v>3950</v>
      </c>
      <c r="E375" t="s">
        <v>3951</v>
      </c>
      <c r="F375">
        <v>2006255</v>
      </c>
      <c r="G375" t="s">
        <v>3952</v>
      </c>
      <c r="H375" t="s">
        <v>805</v>
      </c>
      <c r="I375">
        <v>806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806</v>
      </c>
      <c r="P375" s="44" t="e">
        <f>_xlfn.XLOOKUP(Tabla5[[#This Row],[EAN CORREGIDO]],'Tabla Articulos'!B:B,'Tabla Articulos'!D:D)</f>
        <v>#N/A</v>
      </c>
      <c r="Q375" s="44" t="e">
        <f>_xlfn.XLOOKUP(S375,'Tabla Articulos'!B:B,'Tabla Articulos'!E:E)</f>
        <v>#N/A</v>
      </c>
      <c r="R375" s="44" t="e">
        <f t="shared" si="10"/>
        <v>#N/A</v>
      </c>
      <c r="S375" s="45" t="str">
        <f t="shared" si="11"/>
        <v>LIM000261</v>
      </c>
    </row>
    <row r="376" spans="1:19" hidden="1" x14ac:dyDescent="0.35">
      <c r="A376" s="22">
        <v>1</v>
      </c>
      <c r="B376" t="s">
        <v>812</v>
      </c>
      <c r="C376" t="s">
        <v>802</v>
      </c>
      <c r="D376" t="s">
        <v>1011</v>
      </c>
      <c r="E376" t="s">
        <v>3953</v>
      </c>
      <c r="F376">
        <v>4022239</v>
      </c>
      <c r="G376" t="s">
        <v>3954</v>
      </c>
      <c r="H376" t="s">
        <v>805</v>
      </c>
      <c r="I376">
        <v>17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17</v>
      </c>
      <c r="P376" s="44" t="e">
        <f>_xlfn.XLOOKUP(Tabla5[[#This Row],[EAN CORREGIDO]],'Tabla Articulos'!B:B,'Tabla Articulos'!D:D)</f>
        <v>#N/A</v>
      </c>
      <c r="Q376" s="44" t="e">
        <f>_xlfn.XLOOKUP(S376,'Tabla Articulos'!B:B,'Tabla Articulos'!E:E)</f>
        <v>#N/A</v>
      </c>
      <c r="R376" s="44" t="e">
        <f t="shared" si="10"/>
        <v>#N/A</v>
      </c>
      <c r="S376" s="45" t="str">
        <f t="shared" si="11"/>
        <v>7797470000045</v>
      </c>
    </row>
    <row r="377" spans="1:19" hidden="1" x14ac:dyDescent="0.35">
      <c r="A377" s="22">
        <v>1</v>
      </c>
      <c r="B377" t="s">
        <v>812</v>
      </c>
      <c r="C377" t="s">
        <v>802</v>
      </c>
      <c r="D377" t="s">
        <v>1456</v>
      </c>
      <c r="E377" t="s">
        <v>1457</v>
      </c>
      <c r="F377">
        <v>4019471</v>
      </c>
      <c r="G377" t="s">
        <v>1458</v>
      </c>
      <c r="H377" t="s">
        <v>805</v>
      </c>
      <c r="I377">
        <v>73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73</v>
      </c>
      <c r="P377" s="44" t="e">
        <f>_xlfn.XLOOKUP(Tabla5[[#This Row],[EAN CORREGIDO]],'Tabla Articulos'!B:B,'Tabla Articulos'!D:D)</f>
        <v>#N/A</v>
      </c>
      <c r="Q377" s="44" t="e">
        <f>_xlfn.XLOOKUP(S377,'Tabla Articulos'!B:B,'Tabla Articulos'!E:E)</f>
        <v>#N/A</v>
      </c>
      <c r="R377" s="44" t="e">
        <f t="shared" si="10"/>
        <v>#N/A</v>
      </c>
      <c r="S377" s="45" t="str">
        <f t="shared" si="11"/>
        <v>7790150564844</v>
      </c>
    </row>
    <row r="378" spans="1:19" hidden="1" x14ac:dyDescent="0.35">
      <c r="A378" s="22">
        <v>6</v>
      </c>
      <c r="B378" t="s">
        <v>801</v>
      </c>
      <c r="C378" t="s">
        <v>802</v>
      </c>
      <c r="D378" s="11" t="s">
        <v>189</v>
      </c>
      <c r="E378" t="s">
        <v>1459</v>
      </c>
      <c r="F378">
        <v>2016600</v>
      </c>
      <c r="G378" t="s">
        <v>1460</v>
      </c>
      <c r="H378" t="s">
        <v>805</v>
      </c>
      <c r="I378">
        <v>20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20</v>
      </c>
      <c r="P378" s="44" t="str">
        <f>_xlfn.XLOOKUP(Tabla5[[#This Row],[EAN CORREGIDO]],'Tabla Articulos'!B:B,'Tabla Articulos'!D:D)</f>
        <v>ARRANQUE 20X30</v>
      </c>
      <c r="Q378" s="44">
        <f>_xlfn.XLOOKUP(S378,'Tabla Articulos'!B:B,'Tabla Articulos'!E:E)</f>
        <v>12</v>
      </c>
      <c r="R378" s="44">
        <f t="shared" si="10"/>
        <v>240</v>
      </c>
      <c r="S378" s="45" t="str">
        <f t="shared" si="11"/>
        <v>7794459003530</v>
      </c>
    </row>
    <row r="379" spans="1:19" hidden="1" x14ac:dyDescent="0.35">
      <c r="A379" s="22">
        <v>6</v>
      </c>
      <c r="B379" t="s">
        <v>801</v>
      </c>
      <c r="C379" t="s">
        <v>802</v>
      </c>
      <c r="D379"/>
      <c r="E379" t="s">
        <v>1461</v>
      </c>
      <c r="F379">
        <v>9003145</v>
      </c>
      <c r="G379" t="s">
        <v>1462</v>
      </c>
      <c r="H379" t="s">
        <v>805</v>
      </c>
      <c r="I379">
        <v>40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40</v>
      </c>
      <c r="P379" s="44" t="e">
        <f>_xlfn.XLOOKUP(Tabla5[[#This Row],[EAN CORREGIDO]],'Tabla Articulos'!B:B,'Tabla Articulos'!D:D)</f>
        <v>#N/A</v>
      </c>
      <c r="Q379" s="44" t="e">
        <f>_xlfn.XLOOKUP(S379,'Tabla Articulos'!B:B,'Tabla Articulos'!E:E)</f>
        <v>#N/A</v>
      </c>
      <c r="R379" s="44" t="e">
        <f t="shared" si="10"/>
        <v>#N/A</v>
      </c>
      <c r="S379" s="45" t="str">
        <f t="shared" si="11"/>
        <v>UNIF000607</v>
      </c>
    </row>
    <row r="380" spans="1:19" hidden="1" x14ac:dyDescent="0.35">
      <c r="A380" s="22">
        <v>5</v>
      </c>
      <c r="B380" t="s">
        <v>829</v>
      </c>
      <c r="C380" t="s">
        <v>802</v>
      </c>
      <c r="D380" t="s">
        <v>1463</v>
      </c>
      <c r="E380" t="s">
        <v>1464</v>
      </c>
      <c r="F380">
        <v>4018905</v>
      </c>
      <c r="G380" t="s">
        <v>1465</v>
      </c>
      <c r="H380" t="s">
        <v>805</v>
      </c>
      <c r="I380">
        <v>3670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3670</v>
      </c>
      <c r="P380" s="44" t="e">
        <f>_xlfn.XLOOKUP(Tabla5[[#This Row],[EAN CORREGIDO]],'Tabla Articulos'!B:B,'Tabla Articulos'!D:D)</f>
        <v>#N/A</v>
      </c>
      <c r="Q380" s="44" t="e">
        <f>_xlfn.XLOOKUP(S380,'Tabla Articulos'!B:B,'Tabla Articulos'!E:E)</f>
        <v>#N/A</v>
      </c>
      <c r="R380" s="44" t="e">
        <f t="shared" si="10"/>
        <v>#N/A</v>
      </c>
      <c r="S380" s="45" t="str">
        <f t="shared" si="11"/>
        <v>7798128990534</v>
      </c>
    </row>
    <row r="381" spans="1:19" hidden="1" x14ac:dyDescent="0.35">
      <c r="A381" s="22">
        <v>6</v>
      </c>
      <c r="B381" t="s">
        <v>801</v>
      </c>
      <c r="C381" t="s">
        <v>802</v>
      </c>
      <c r="D381"/>
      <c r="E381" t="s">
        <v>1466</v>
      </c>
      <c r="F381">
        <v>9003137</v>
      </c>
      <c r="G381" t="s">
        <v>1467</v>
      </c>
      <c r="H381" t="s">
        <v>805</v>
      </c>
      <c r="I381">
        <v>47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47</v>
      </c>
      <c r="P381" s="44" t="e">
        <f>_xlfn.XLOOKUP(Tabla5[[#This Row],[EAN CORREGIDO]],'Tabla Articulos'!B:B,'Tabla Articulos'!D:D)</f>
        <v>#N/A</v>
      </c>
      <c r="Q381" s="44" t="e">
        <f>_xlfn.XLOOKUP(S381,'Tabla Articulos'!B:B,'Tabla Articulos'!E:E)</f>
        <v>#N/A</v>
      </c>
      <c r="R381" s="44" t="e">
        <f t="shared" si="10"/>
        <v>#N/A</v>
      </c>
      <c r="S381" s="45" t="str">
        <f t="shared" si="11"/>
        <v>UNIF000599</v>
      </c>
    </row>
    <row r="382" spans="1:19" hidden="1" x14ac:dyDescent="0.35">
      <c r="A382" s="22">
        <v>6</v>
      </c>
      <c r="B382" t="s">
        <v>801</v>
      </c>
      <c r="C382" t="s">
        <v>802</v>
      </c>
      <c r="D382"/>
      <c r="E382" t="s">
        <v>1468</v>
      </c>
      <c r="F382">
        <v>9003874</v>
      </c>
      <c r="G382" t="s">
        <v>1469</v>
      </c>
      <c r="H382" t="s">
        <v>805</v>
      </c>
      <c r="I382">
        <v>3601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3601</v>
      </c>
      <c r="P382" s="44" t="e">
        <f>_xlfn.XLOOKUP(Tabla5[[#This Row],[EAN CORREGIDO]],'Tabla Articulos'!B:B,'Tabla Articulos'!D:D)</f>
        <v>#N/A</v>
      </c>
      <c r="Q382" s="44" t="e">
        <f>_xlfn.XLOOKUP(S382,'Tabla Articulos'!B:B,'Tabla Articulos'!E:E)</f>
        <v>#N/A</v>
      </c>
      <c r="R382" s="44" t="e">
        <f t="shared" si="10"/>
        <v>#N/A</v>
      </c>
      <c r="S382" s="45" t="str">
        <f t="shared" si="11"/>
        <v>BAZ001299</v>
      </c>
    </row>
    <row r="383" spans="1:19" hidden="1" x14ac:dyDescent="0.35">
      <c r="A383" s="22">
        <v>1</v>
      </c>
      <c r="B383" t="s">
        <v>812</v>
      </c>
      <c r="C383" t="s">
        <v>802</v>
      </c>
      <c r="D383" t="s">
        <v>1470</v>
      </c>
      <c r="E383" t="s">
        <v>1471</v>
      </c>
      <c r="F383">
        <v>4022528</v>
      </c>
      <c r="G383" t="s">
        <v>1472</v>
      </c>
      <c r="H383" t="s">
        <v>805</v>
      </c>
      <c r="I383">
        <v>0</v>
      </c>
      <c r="J383">
        <v>10</v>
      </c>
      <c r="K383">
        <v>0</v>
      </c>
      <c r="L383">
        <v>0</v>
      </c>
      <c r="M383">
        <v>0</v>
      </c>
      <c r="N383">
        <v>0</v>
      </c>
      <c r="O383">
        <v>10</v>
      </c>
      <c r="P383" s="44" t="e">
        <f>_xlfn.XLOOKUP(Tabla5[[#This Row],[EAN CORREGIDO]],'Tabla Articulos'!B:B,'Tabla Articulos'!D:D)</f>
        <v>#N/A</v>
      </c>
      <c r="Q383" s="44" t="e">
        <f>_xlfn.XLOOKUP(S383,'Tabla Articulos'!B:B,'Tabla Articulos'!E:E)</f>
        <v>#N/A</v>
      </c>
      <c r="R383" s="44" t="e">
        <f t="shared" si="10"/>
        <v>#N/A</v>
      </c>
      <c r="S383" s="45" t="str">
        <f t="shared" si="11"/>
        <v>790757899636</v>
      </c>
    </row>
    <row r="384" spans="1:19" hidden="1" x14ac:dyDescent="0.35">
      <c r="A384" s="22">
        <v>5</v>
      </c>
      <c r="B384" t="s">
        <v>829</v>
      </c>
      <c r="C384" t="s">
        <v>802</v>
      </c>
      <c r="D384" s="11" t="s">
        <v>1470</v>
      </c>
      <c r="E384" t="s">
        <v>1471</v>
      </c>
      <c r="F384">
        <v>4022528</v>
      </c>
      <c r="G384" t="s">
        <v>1472</v>
      </c>
      <c r="H384" t="s">
        <v>805</v>
      </c>
      <c r="I384">
        <v>124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123</v>
      </c>
      <c r="P384" s="44" t="e">
        <f>_xlfn.XLOOKUP(Tabla5[[#This Row],[EAN CORREGIDO]],'Tabla Articulos'!B:B,'Tabla Articulos'!D:D)</f>
        <v>#N/A</v>
      </c>
      <c r="Q384" s="44" t="e">
        <f>_xlfn.XLOOKUP(S384,'Tabla Articulos'!B:B,'Tabla Articulos'!E:E)</f>
        <v>#N/A</v>
      </c>
      <c r="R384" s="44" t="e">
        <f t="shared" si="10"/>
        <v>#N/A</v>
      </c>
      <c r="S384" s="45" t="str">
        <f t="shared" si="11"/>
        <v>790757899636</v>
      </c>
    </row>
    <row r="385" spans="1:19" hidden="1" x14ac:dyDescent="0.35">
      <c r="A385" s="22">
        <v>6</v>
      </c>
      <c r="B385" t="s">
        <v>801</v>
      </c>
      <c r="C385" t="s">
        <v>802</v>
      </c>
      <c r="E385" t="s">
        <v>2287</v>
      </c>
      <c r="F385">
        <v>9003730</v>
      </c>
      <c r="G385" t="s">
        <v>2288</v>
      </c>
      <c r="H385" t="s">
        <v>805</v>
      </c>
      <c r="I385">
        <v>180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180</v>
      </c>
      <c r="P385" s="44" t="e">
        <f>_xlfn.XLOOKUP(Tabla5[[#This Row],[EAN CORREGIDO]],'Tabla Articulos'!B:B,'Tabla Articulos'!D:D)</f>
        <v>#N/A</v>
      </c>
      <c r="Q385" s="44" t="e">
        <f>_xlfn.XLOOKUP(S385,'Tabla Articulos'!B:B,'Tabla Articulos'!E:E)</f>
        <v>#N/A</v>
      </c>
      <c r="R385" s="44" t="e">
        <f t="shared" ref="R385:R448" si="12">O385*Q385</f>
        <v>#N/A</v>
      </c>
      <c r="S385" s="45" t="str">
        <f t="shared" ref="S385:S448" si="13">TRIM(E385)</f>
        <v>BAZ001351</v>
      </c>
    </row>
    <row r="386" spans="1:19" hidden="1" x14ac:dyDescent="0.35">
      <c r="A386" s="22">
        <v>5</v>
      </c>
      <c r="B386" t="s">
        <v>829</v>
      </c>
      <c r="C386" t="s">
        <v>802</v>
      </c>
      <c r="D386" s="11" t="s">
        <v>1606</v>
      </c>
      <c r="E386" t="s">
        <v>2289</v>
      </c>
      <c r="F386">
        <v>4020579</v>
      </c>
      <c r="G386" t="s">
        <v>2290</v>
      </c>
      <c r="H386" t="s">
        <v>805</v>
      </c>
      <c r="I386">
        <v>34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34</v>
      </c>
      <c r="P386" s="44" t="e">
        <f>_xlfn.XLOOKUP(Tabla5[[#This Row],[EAN CORREGIDO]],'Tabla Articulos'!B:B,'Tabla Articulos'!D:D)</f>
        <v>#N/A</v>
      </c>
      <c r="Q386" s="44" t="e">
        <f>_xlfn.XLOOKUP(S386,'Tabla Articulos'!B:B,'Tabla Articulos'!E:E)</f>
        <v>#N/A</v>
      </c>
      <c r="R386" s="44" t="e">
        <f t="shared" si="12"/>
        <v>#N/A</v>
      </c>
      <c r="S386" s="45" t="str">
        <f t="shared" si="13"/>
        <v>7798411011236</v>
      </c>
    </row>
    <row r="387" spans="1:19" hidden="1" x14ac:dyDescent="0.35">
      <c r="A387" s="22">
        <v>1</v>
      </c>
      <c r="B387" t="s">
        <v>812</v>
      </c>
      <c r="C387" t="s">
        <v>802</v>
      </c>
      <c r="D387" t="s">
        <v>1606</v>
      </c>
      <c r="E387" t="s">
        <v>2289</v>
      </c>
      <c r="F387">
        <v>4020579</v>
      </c>
      <c r="G387" t="s">
        <v>2290</v>
      </c>
      <c r="H387" t="s">
        <v>805</v>
      </c>
      <c r="I387">
        <v>415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415</v>
      </c>
      <c r="P387" s="44" t="e">
        <f>_xlfn.XLOOKUP(Tabla5[[#This Row],[EAN CORREGIDO]],'Tabla Articulos'!B:B,'Tabla Articulos'!D:D)</f>
        <v>#N/A</v>
      </c>
      <c r="Q387" s="44" t="e">
        <f>_xlfn.XLOOKUP(S387,'Tabla Articulos'!B:B,'Tabla Articulos'!E:E)</f>
        <v>#N/A</v>
      </c>
      <c r="R387" s="44" t="e">
        <f t="shared" si="12"/>
        <v>#N/A</v>
      </c>
      <c r="S387" s="45" t="str">
        <f t="shared" si="13"/>
        <v>7798411011236</v>
      </c>
    </row>
    <row r="388" spans="1:19" hidden="1" x14ac:dyDescent="0.35">
      <c r="A388" s="22">
        <v>6</v>
      </c>
      <c r="B388" t="s">
        <v>801</v>
      </c>
      <c r="C388" t="s">
        <v>802</v>
      </c>
      <c r="E388" t="s">
        <v>3926</v>
      </c>
      <c r="F388">
        <v>9003802</v>
      </c>
      <c r="G388" t="s">
        <v>3927</v>
      </c>
      <c r="H388" t="s">
        <v>805</v>
      </c>
      <c r="I388">
        <v>11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11</v>
      </c>
      <c r="P388" s="44" t="e">
        <f>_xlfn.XLOOKUP(Tabla5[[#This Row],[EAN CORREGIDO]],'Tabla Articulos'!B:B,'Tabla Articulos'!D:D)</f>
        <v>#N/A</v>
      </c>
      <c r="Q388" s="44" t="e">
        <f>_xlfn.XLOOKUP(S388,'Tabla Articulos'!B:B,'Tabla Articulos'!E:E)</f>
        <v>#N/A</v>
      </c>
      <c r="R388" s="44" t="e">
        <f t="shared" si="12"/>
        <v>#N/A</v>
      </c>
      <c r="S388" s="45" t="str">
        <f t="shared" si="13"/>
        <v>BAZ001225</v>
      </c>
    </row>
    <row r="389" spans="1:19" x14ac:dyDescent="0.35">
      <c r="A389" s="22">
        <v>6</v>
      </c>
      <c r="B389" t="s">
        <v>801</v>
      </c>
      <c r="C389" t="s">
        <v>802</v>
      </c>
      <c r="D389" s="11" t="s">
        <v>207</v>
      </c>
      <c r="E389" t="s">
        <v>3928</v>
      </c>
      <c r="F389">
        <v>2011468</v>
      </c>
      <c r="G389" t="s">
        <v>3929</v>
      </c>
      <c r="H389" t="s">
        <v>805</v>
      </c>
      <c r="I389">
        <v>173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173</v>
      </c>
      <c r="P389" s="44" t="str">
        <f>_xlfn.XLOOKUP(Tabla5[[#This Row],[EAN CORREGIDO]],'Tabla Articulos'!B:B,'Tabla Articulos'!D:D)</f>
        <v>GUANTE LATEX M</v>
      </c>
      <c r="Q389" s="44">
        <f>_xlfn.XLOOKUP(S389,'Tabla Articulos'!B:B,'Tabla Articulos'!E:E)</f>
        <v>100</v>
      </c>
      <c r="R389" s="44">
        <f t="shared" si="12"/>
        <v>17300</v>
      </c>
      <c r="S389" s="45" t="str">
        <f t="shared" si="13"/>
        <v>7798452810027</v>
      </c>
    </row>
    <row r="390" spans="1:19" hidden="1" x14ac:dyDescent="0.35">
      <c r="A390" s="22">
        <v>6</v>
      </c>
      <c r="B390" t="s">
        <v>801</v>
      </c>
      <c r="C390" t="s">
        <v>802</v>
      </c>
      <c r="D390"/>
      <c r="E390" t="s">
        <v>3930</v>
      </c>
      <c r="F390">
        <v>2011403</v>
      </c>
      <c r="G390" t="s">
        <v>2654</v>
      </c>
      <c r="H390" t="s">
        <v>805</v>
      </c>
      <c r="I390">
        <v>38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38</v>
      </c>
      <c r="P390" s="44" t="e">
        <f>_xlfn.XLOOKUP(Tabla5[[#This Row],[EAN CORREGIDO]],'Tabla Articulos'!B:B,'Tabla Articulos'!D:D)</f>
        <v>#N/A</v>
      </c>
      <c r="Q390" s="44" t="e">
        <f>_xlfn.XLOOKUP(S390,'Tabla Articulos'!B:B,'Tabla Articulos'!E:E)</f>
        <v>#N/A</v>
      </c>
      <c r="R390" s="44" t="e">
        <f t="shared" si="12"/>
        <v>#N/A</v>
      </c>
      <c r="S390" s="45" t="str">
        <f t="shared" si="13"/>
        <v>7793071000118</v>
      </c>
    </row>
    <row r="391" spans="1:19" hidden="1" x14ac:dyDescent="0.35">
      <c r="A391" s="22">
        <v>1</v>
      </c>
      <c r="B391" t="s">
        <v>812</v>
      </c>
      <c r="C391" t="s">
        <v>802</v>
      </c>
      <c r="D391" s="11" t="s">
        <v>3931</v>
      </c>
      <c r="E391" t="s">
        <v>3932</v>
      </c>
      <c r="F391">
        <v>4020782</v>
      </c>
      <c r="G391" t="s">
        <v>3933</v>
      </c>
      <c r="H391" t="s">
        <v>805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</v>
      </c>
      <c r="P391" s="44" t="e">
        <f>_xlfn.XLOOKUP(Tabla5[[#This Row],[EAN CORREGIDO]],'Tabla Articulos'!B:B,'Tabla Articulos'!D:D)</f>
        <v>#N/A</v>
      </c>
      <c r="Q391" s="44" t="e">
        <f>_xlfn.XLOOKUP(S391,'Tabla Articulos'!B:B,'Tabla Articulos'!E:E)</f>
        <v>#N/A</v>
      </c>
      <c r="R391" s="44" t="e">
        <f t="shared" si="12"/>
        <v>#N/A</v>
      </c>
      <c r="S391" s="45" t="str">
        <f t="shared" si="13"/>
        <v>7798011976010</v>
      </c>
    </row>
    <row r="392" spans="1:19" hidden="1" x14ac:dyDescent="0.35">
      <c r="A392" s="22">
        <v>6</v>
      </c>
      <c r="B392" t="s">
        <v>801</v>
      </c>
      <c r="C392" t="s">
        <v>802</v>
      </c>
      <c r="D392"/>
      <c r="E392" t="s">
        <v>3934</v>
      </c>
      <c r="F392">
        <v>9003552</v>
      </c>
      <c r="G392" t="s">
        <v>3935</v>
      </c>
      <c r="H392" t="s">
        <v>805</v>
      </c>
      <c r="I392">
        <v>10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10</v>
      </c>
      <c r="P392" s="44" t="e">
        <f>_xlfn.XLOOKUP(Tabla5[[#This Row],[EAN CORREGIDO]],'Tabla Articulos'!B:B,'Tabla Articulos'!D:D)</f>
        <v>#N/A</v>
      </c>
      <c r="Q392" s="44" t="e">
        <f>_xlfn.XLOOKUP(S392,'Tabla Articulos'!B:B,'Tabla Articulos'!E:E)</f>
        <v>#N/A</v>
      </c>
      <c r="R392" s="44" t="e">
        <f t="shared" si="12"/>
        <v>#N/A</v>
      </c>
      <c r="S392" s="45" t="str">
        <f t="shared" si="13"/>
        <v>UNIF000091</v>
      </c>
    </row>
    <row r="393" spans="1:19" hidden="1" x14ac:dyDescent="0.35">
      <c r="A393" s="22">
        <v>1</v>
      </c>
      <c r="B393" t="s">
        <v>812</v>
      </c>
      <c r="C393" t="s">
        <v>802</v>
      </c>
      <c r="D393" s="11" t="s">
        <v>824</v>
      </c>
      <c r="E393" t="s">
        <v>2643</v>
      </c>
      <c r="F393">
        <v>4019284</v>
      </c>
      <c r="G393" t="s">
        <v>2644</v>
      </c>
      <c r="H393" t="s">
        <v>805</v>
      </c>
      <c r="I393">
        <v>19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 s="44" t="e">
        <f>_xlfn.XLOOKUP(Tabla5[[#This Row],[EAN CORREGIDO]],'Tabla Articulos'!B:B,'Tabla Articulos'!D:D)</f>
        <v>#N/A</v>
      </c>
      <c r="Q393" s="44" t="e">
        <f>_xlfn.XLOOKUP(S393,'Tabla Articulos'!B:B,'Tabla Articulos'!E:E)</f>
        <v>#N/A</v>
      </c>
      <c r="R393" s="44" t="e">
        <f t="shared" si="12"/>
        <v>#N/A</v>
      </c>
      <c r="S393" s="45" t="str">
        <f t="shared" si="13"/>
        <v>754697522108</v>
      </c>
    </row>
    <row r="394" spans="1:19" hidden="1" x14ac:dyDescent="0.35">
      <c r="A394" s="22">
        <v>1</v>
      </c>
      <c r="B394" t="s">
        <v>812</v>
      </c>
      <c r="C394" t="s">
        <v>802</v>
      </c>
      <c r="D394" s="11" t="s">
        <v>2645</v>
      </c>
      <c r="E394" t="s">
        <v>2646</v>
      </c>
      <c r="F394">
        <v>4020336</v>
      </c>
      <c r="G394" t="s">
        <v>2647</v>
      </c>
      <c r="H394" t="s">
        <v>805</v>
      </c>
      <c r="I394">
        <v>6502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6502</v>
      </c>
      <c r="P394" s="44" t="e">
        <f>_xlfn.XLOOKUP(Tabla5[[#This Row],[EAN CORREGIDO]],'Tabla Articulos'!B:B,'Tabla Articulos'!D:D)</f>
        <v>#N/A</v>
      </c>
      <c r="Q394" s="44" t="e">
        <f>_xlfn.XLOOKUP(S394,'Tabla Articulos'!B:B,'Tabla Articulos'!E:E)</f>
        <v>#N/A</v>
      </c>
      <c r="R394" s="44" t="e">
        <f t="shared" si="12"/>
        <v>#N/A</v>
      </c>
      <c r="S394" s="45" t="str">
        <f t="shared" si="13"/>
        <v>7798156760314</v>
      </c>
    </row>
    <row r="395" spans="1:19" hidden="1" x14ac:dyDescent="0.35">
      <c r="A395" s="22">
        <v>5</v>
      </c>
      <c r="B395" t="s">
        <v>829</v>
      </c>
      <c r="C395" t="s">
        <v>802</v>
      </c>
      <c r="D395" s="11" t="s">
        <v>2645</v>
      </c>
      <c r="E395" t="s">
        <v>2646</v>
      </c>
      <c r="F395">
        <v>4020336</v>
      </c>
      <c r="G395" t="s">
        <v>2647</v>
      </c>
      <c r="H395" t="s">
        <v>805</v>
      </c>
      <c r="I395">
        <v>119194</v>
      </c>
      <c r="J395">
        <v>0</v>
      </c>
      <c r="K395">
        <v>0</v>
      </c>
      <c r="L395">
        <v>0</v>
      </c>
      <c r="M395">
        <v>25</v>
      </c>
      <c r="N395">
        <v>0</v>
      </c>
      <c r="O395">
        <v>119169</v>
      </c>
      <c r="P395" s="44" t="e">
        <f>_xlfn.XLOOKUP(Tabla5[[#This Row],[EAN CORREGIDO]],'Tabla Articulos'!B:B,'Tabla Articulos'!D:D)</f>
        <v>#N/A</v>
      </c>
      <c r="Q395" s="44" t="e">
        <f>_xlfn.XLOOKUP(S395,'Tabla Articulos'!B:B,'Tabla Articulos'!E:E)</f>
        <v>#N/A</v>
      </c>
      <c r="R395" s="44" t="e">
        <f t="shared" si="12"/>
        <v>#N/A</v>
      </c>
      <c r="S395" s="45" t="str">
        <f t="shared" si="13"/>
        <v>7798156760314</v>
      </c>
    </row>
    <row r="396" spans="1:19" hidden="1" x14ac:dyDescent="0.35">
      <c r="A396" s="22">
        <v>5</v>
      </c>
      <c r="B396" t="s">
        <v>829</v>
      </c>
      <c r="C396" t="s">
        <v>802</v>
      </c>
      <c r="D396" t="s">
        <v>1011</v>
      </c>
      <c r="E396" t="s">
        <v>1012</v>
      </c>
      <c r="F396">
        <v>4019341</v>
      </c>
      <c r="G396" t="s">
        <v>1013</v>
      </c>
      <c r="H396" t="s">
        <v>805</v>
      </c>
      <c r="I396">
        <v>3262</v>
      </c>
      <c r="J396">
        <v>0</v>
      </c>
      <c r="K396">
        <v>2080</v>
      </c>
      <c r="L396">
        <v>0</v>
      </c>
      <c r="M396">
        <v>0</v>
      </c>
      <c r="N396">
        <v>0</v>
      </c>
      <c r="O396">
        <v>1182</v>
      </c>
      <c r="P396" s="44" t="e">
        <f>_xlfn.XLOOKUP(Tabla5[[#This Row],[EAN CORREGIDO]],'Tabla Articulos'!B:B,'Tabla Articulos'!D:D)</f>
        <v>#N/A</v>
      </c>
      <c r="Q396" s="44" t="e">
        <f>_xlfn.XLOOKUP(S396,'Tabla Articulos'!B:B,'Tabla Articulos'!E:E)</f>
        <v>#N/A</v>
      </c>
      <c r="R396" s="44" t="e">
        <f t="shared" si="12"/>
        <v>#N/A</v>
      </c>
      <c r="S396" s="45" t="str">
        <f t="shared" si="13"/>
        <v>7790199000013</v>
      </c>
    </row>
    <row r="397" spans="1:19" hidden="1" x14ac:dyDescent="0.35">
      <c r="A397" s="22">
        <v>1</v>
      </c>
      <c r="B397" t="s">
        <v>812</v>
      </c>
      <c r="C397" t="s">
        <v>802</v>
      </c>
      <c r="D397" t="s">
        <v>1011</v>
      </c>
      <c r="E397" t="s">
        <v>1012</v>
      </c>
      <c r="F397">
        <v>4019341</v>
      </c>
      <c r="G397" t="s">
        <v>1013</v>
      </c>
      <c r="H397" t="s">
        <v>805</v>
      </c>
      <c r="I397">
        <v>412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412</v>
      </c>
      <c r="P397" s="44" t="e">
        <f>_xlfn.XLOOKUP(Tabla5[[#This Row],[EAN CORREGIDO]],'Tabla Articulos'!B:B,'Tabla Articulos'!D:D)</f>
        <v>#N/A</v>
      </c>
      <c r="Q397" s="44" t="e">
        <f>_xlfn.XLOOKUP(S397,'Tabla Articulos'!B:B,'Tabla Articulos'!E:E)</f>
        <v>#N/A</v>
      </c>
      <c r="R397" s="44" t="e">
        <f t="shared" si="12"/>
        <v>#N/A</v>
      </c>
      <c r="S397" s="45" t="str">
        <f t="shared" si="13"/>
        <v>7790199000013</v>
      </c>
    </row>
    <row r="398" spans="1:19" hidden="1" x14ac:dyDescent="0.35">
      <c r="A398" s="22">
        <v>5</v>
      </c>
      <c r="B398" t="s">
        <v>829</v>
      </c>
      <c r="C398" t="s">
        <v>802</v>
      </c>
      <c r="D398" s="11" t="s">
        <v>1562</v>
      </c>
      <c r="E398" t="s">
        <v>1563</v>
      </c>
      <c r="F398">
        <v>4023904</v>
      </c>
      <c r="G398" t="s">
        <v>1564</v>
      </c>
      <c r="H398" t="s">
        <v>805</v>
      </c>
      <c r="I398">
        <v>216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216</v>
      </c>
      <c r="P398" s="44" t="e">
        <f>_xlfn.XLOOKUP(Tabla5[[#This Row],[EAN CORREGIDO]],'Tabla Articulos'!B:B,'Tabla Articulos'!D:D)</f>
        <v>#N/A</v>
      </c>
      <c r="Q398" s="44" t="e">
        <f>_xlfn.XLOOKUP(S398,'Tabla Articulos'!B:B,'Tabla Articulos'!E:E)</f>
        <v>#N/A</v>
      </c>
      <c r="R398" s="44" t="e">
        <f t="shared" si="12"/>
        <v>#N/A</v>
      </c>
      <c r="S398" s="45" t="str">
        <f t="shared" si="13"/>
        <v>7798011976850</v>
      </c>
    </row>
    <row r="399" spans="1:19" hidden="1" x14ac:dyDescent="0.35">
      <c r="A399" s="22">
        <v>6</v>
      </c>
      <c r="B399" t="s">
        <v>801</v>
      </c>
      <c r="C399" t="s">
        <v>802</v>
      </c>
      <c r="D399" s="11" t="s">
        <v>1565</v>
      </c>
      <c r="E399" t="s">
        <v>1566</v>
      </c>
      <c r="F399">
        <v>2006490</v>
      </c>
      <c r="G399" t="s">
        <v>1567</v>
      </c>
      <c r="H399" t="s">
        <v>805</v>
      </c>
      <c r="I399">
        <v>48700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48700</v>
      </c>
      <c r="P399" s="44" t="str">
        <f>_xlfn.XLOOKUP(Tabla5[[#This Row],[EAN CORREGIDO]],'Tabla Articulos'!B:B,'Tabla Articulos'!D:D)</f>
        <v>BOLSA MICROPERFORADA 60X90</v>
      </c>
      <c r="Q399" s="44">
        <f>_xlfn.XLOOKUP(S399,'Tabla Articulos'!B:B,'Tabla Articulos'!E:E)</f>
        <v>1</v>
      </c>
      <c r="R399" s="44">
        <f t="shared" si="12"/>
        <v>48700</v>
      </c>
      <c r="S399" s="45" t="str">
        <f t="shared" si="13"/>
        <v>LIM000225</v>
      </c>
    </row>
    <row r="400" spans="1:19" hidden="1" x14ac:dyDescent="0.35">
      <c r="A400" s="22">
        <v>6</v>
      </c>
      <c r="B400" t="s">
        <v>801</v>
      </c>
      <c r="C400" t="s">
        <v>802</v>
      </c>
      <c r="D400"/>
      <c r="E400" t="s">
        <v>1568</v>
      </c>
      <c r="F400">
        <v>9003811</v>
      </c>
      <c r="G400" t="s">
        <v>1569</v>
      </c>
      <c r="H400" t="s">
        <v>805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</v>
      </c>
      <c r="P400" s="44" t="e">
        <f>_xlfn.XLOOKUP(Tabla5[[#This Row],[EAN CORREGIDO]],'Tabla Articulos'!B:B,'Tabla Articulos'!D:D)</f>
        <v>#N/A</v>
      </c>
      <c r="Q400" s="44" t="e">
        <f>_xlfn.XLOOKUP(S400,'Tabla Articulos'!B:B,'Tabla Articulos'!E:E)</f>
        <v>#N/A</v>
      </c>
      <c r="R400" s="44" t="e">
        <f t="shared" si="12"/>
        <v>#N/A</v>
      </c>
      <c r="S400" s="45" t="str">
        <f t="shared" si="13"/>
        <v>BAZ001183</v>
      </c>
    </row>
    <row r="401" spans="1:19" hidden="1" x14ac:dyDescent="0.35">
      <c r="A401" s="22">
        <v>1</v>
      </c>
      <c r="B401" t="s">
        <v>812</v>
      </c>
      <c r="C401" t="s">
        <v>802</v>
      </c>
      <c r="D401" t="s">
        <v>1570</v>
      </c>
      <c r="E401" t="s">
        <v>1571</v>
      </c>
      <c r="F401">
        <v>4021205</v>
      </c>
      <c r="G401" t="s">
        <v>1572</v>
      </c>
      <c r="H401" t="s">
        <v>805</v>
      </c>
      <c r="I401">
        <v>275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275</v>
      </c>
      <c r="P401" s="44" t="e">
        <f>_xlfn.XLOOKUP(Tabla5[[#This Row],[EAN CORREGIDO]],'Tabla Articulos'!B:B,'Tabla Articulos'!D:D)</f>
        <v>#N/A</v>
      </c>
      <c r="Q401" s="44" t="e">
        <f>_xlfn.XLOOKUP(S401,'Tabla Articulos'!B:B,'Tabla Articulos'!E:E)</f>
        <v>#N/A</v>
      </c>
      <c r="R401" s="44" t="e">
        <f t="shared" si="12"/>
        <v>#N/A</v>
      </c>
      <c r="S401" s="45" t="str">
        <f t="shared" si="13"/>
        <v>7792860005655</v>
      </c>
    </row>
    <row r="402" spans="1:19" hidden="1" x14ac:dyDescent="0.35">
      <c r="A402" s="22">
        <v>5</v>
      </c>
      <c r="B402" t="s">
        <v>829</v>
      </c>
      <c r="C402" t="s">
        <v>802</v>
      </c>
      <c r="D402"/>
      <c r="E402" t="s">
        <v>1573</v>
      </c>
      <c r="F402">
        <v>4077087</v>
      </c>
      <c r="G402" t="s">
        <v>1574</v>
      </c>
      <c r="H402" t="s">
        <v>805</v>
      </c>
      <c r="I402">
        <v>200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200</v>
      </c>
      <c r="P402" s="44" t="e">
        <f>_xlfn.XLOOKUP(Tabla5[[#This Row],[EAN CORREGIDO]],'Tabla Articulos'!B:B,'Tabla Articulos'!D:D)</f>
        <v>#N/A</v>
      </c>
      <c r="Q402" s="44" t="e">
        <f>_xlfn.XLOOKUP(S402,'Tabla Articulos'!B:B,'Tabla Articulos'!E:E)</f>
        <v>#N/A</v>
      </c>
      <c r="R402" s="44" t="e">
        <f t="shared" si="12"/>
        <v>#N/A</v>
      </c>
      <c r="S402" s="45" t="str">
        <f t="shared" si="13"/>
        <v>MOD21087</v>
      </c>
    </row>
    <row r="403" spans="1:19" hidden="1" x14ac:dyDescent="0.35">
      <c r="A403" s="22">
        <v>1</v>
      </c>
      <c r="B403" t="s">
        <v>812</v>
      </c>
      <c r="C403" t="s">
        <v>802</v>
      </c>
      <c r="D403" s="11" t="s">
        <v>1393</v>
      </c>
      <c r="E403" t="s">
        <v>2139</v>
      </c>
      <c r="F403">
        <v>4019852</v>
      </c>
      <c r="G403" t="s">
        <v>2140</v>
      </c>
      <c r="H403" t="s">
        <v>805</v>
      </c>
      <c r="I403">
        <v>960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960</v>
      </c>
      <c r="P403" s="44" t="e">
        <f>_xlfn.XLOOKUP(Tabla5[[#This Row],[EAN CORREGIDO]],'Tabla Articulos'!B:B,'Tabla Articulos'!D:D)</f>
        <v>#N/A</v>
      </c>
      <c r="Q403" s="44" t="e">
        <f>_xlfn.XLOOKUP(S403,'Tabla Articulos'!B:B,'Tabla Articulos'!E:E)</f>
        <v>#N/A</v>
      </c>
      <c r="R403" s="44" t="e">
        <f t="shared" si="12"/>
        <v>#N/A</v>
      </c>
      <c r="S403" s="45" t="str">
        <f t="shared" si="13"/>
        <v>7790645001809</v>
      </c>
    </row>
    <row r="404" spans="1:19" hidden="1" x14ac:dyDescent="0.35">
      <c r="A404" s="22">
        <v>5</v>
      </c>
      <c r="B404" t="s">
        <v>829</v>
      </c>
      <c r="C404" t="s">
        <v>802</v>
      </c>
      <c r="D404" t="s">
        <v>1393</v>
      </c>
      <c r="E404" t="s">
        <v>2139</v>
      </c>
      <c r="F404">
        <v>4019852</v>
      </c>
      <c r="G404" t="s">
        <v>2140</v>
      </c>
      <c r="H404" t="s">
        <v>805</v>
      </c>
      <c r="I404">
        <v>42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42</v>
      </c>
      <c r="P404" s="44" t="e">
        <f>_xlfn.XLOOKUP(Tabla5[[#This Row],[EAN CORREGIDO]],'Tabla Articulos'!B:B,'Tabla Articulos'!D:D)</f>
        <v>#N/A</v>
      </c>
      <c r="Q404" s="44" t="e">
        <f>_xlfn.XLOOKUP(S404,'Tabla Articulos'!B:B,'Tabla Articulos'!E:E)</f>
        <v>#N/A</v>
      </c>
      <c r="R404" s="44" t="e">
        <f t="shared" si="12"/>
        <v>#N/A</v>
      </c>
      <c r="S404" s="45" t="str">
        <f t="shared" si="13"/>
        <v>7790645001809</v>
      </c>
    </row>
    <row r="405" spans="1:19" hidden="1" x14ac:dyDescent="0.35">
      <c r="A405" s="22">
        <v>1</v>
      </c>
      <c r="B405" t="s">
        <v>812</v>
      </c>
      <c r="C405" t="s">
        <v>802</v>
      </c>
      <c r="D405" s="11" t="s">
        <v>2626</v>
      </c>
      <c r="E405" t="s">
        <v>2627</v>
      </c>
      <c r="F405">
        <v>4018312</v>
      </c>
      <c r="G405" t="s">
        <v>2628</v>
      </c>
      <c r="H405" t="s">
        <v>816</v>
      </c>
      <c r="I405">
        <v>10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10</v>
      </c>
      <c r="P405" s="44" t="e">
        <f>_xlfn.XLOOKUP(Tabla5[[#This Row],[EAN CORREGIDO]],'Tabla Articulos'!B:B,'Tabla Articulos'!D:D)</f>
        <v>#N/A</v>
      </c>
      <c r="Q405" s="44" t="e">
        <f>_xlfn.XLOOKUP(S405,'Tabla Articulos'!B:B,'Tabla Articulos'!E:E)</f>
        <v>#N/A</v>
      </c>
      <c r="R405" s="44" t="e">
        <f t="shared" si="12"/>
        <v>#N/A</v>
      </c>
      <c r="S405" s="45" t="str">
        <f t="shared" si="13"/>
        <v>7790212060904</v>
      </c>
    </row>
    <row r="406" spans="1:19" hidden="1" x14ac:dyDescent="0.35">
      <c r="A406" s="22">
        <v>6</v>
      </c>
      <c r="B406" t="s">
        <v>801</v>
      </c>
      <c r="C406" t="s">
        <v>802</v>
      </c>
      <c r="D406" s="11" t="s">
        <v>1388</v>
      </c>
      <c r="E406" t="s">
        <v>2629</v>
      </c>
      <c r="F406">
        <v>2006275</v>
      </c>
      <c r="G406" t="s">
        <v>2630</v>
      </c>
      <c r="H406" t="s">
        <v>805</v>
      </c>
      <c r="I406">
        <v>2398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2398</v>
      </c>
      <c r="P406" s="44" t="e">
        <f>_xlfn.XLOOKUP(Tabla5[[#This Row],[EAN CORREGIDO]],'Tabla Articulos'!B:B,'Tabla Articulos'!D:D)</f>
        <v>#N/A</v>
      </c>
      <c r="Q406" s="44" t="e">
        <f>_xlfn.XLOOKUP(S406,'Tabla Articulos'!B:B,'Tabla Articulos'!E:E)</f>
        <v>#N/A</v>
      </c>
      <c r="R406" s="44" t="e">
        <f t="shared" si="12"/>
        <v>#N/A</v>
      </c>
      <c r="S406" s="45" t="str">
        <f t="shared" si="13"/>
        <v>LIM000109</v>
      </c>
    </row>
    <row r="407" spans="1:19" hidden="1" x14ac:dyDescent="0.35">
      <c r="A407" s="22">
        <v>1</v>
      </c>
      <c r="B407" t="s">
        <v>812</v>
      </c>
      <c r="C407" t="s">
        <v>802</v>
      </c>
      <c r="D407" t="s">
        <v>1252</v>
      </c>
      <c r="E407" t="s">
        <v>2631</v>
      </c>
      <c r="F407">
        <v>4018466</v>
      </c>
      <c r="G407" t="s">
        <v>2632</v>
      </c>
      <c r="H407" t="s">
        <v>805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 s="44" t="e">
        <f>_xlfn.XLOOKUP(Tabla5[[#This Row],[EAN CORREGIDO]],'Tabla Articulos'!B:B,'Tabla Articulos'!D:D)</f>
        <v>#N/A</v>
      </c>
      <c r="Q407" s="44" t="e">
        <f>_xlfn.XLOOKUP(S407,'Tabla Articulos'!B:B,'Tabla Articulos'!E:E)</f>
        <v>#N/A</v>
      </c>
      <c r="R407" s="44" t="e">
        <f t="shared" si="12"/>
        <v>#N/A</v>
      </c>
      <c r="S407" s="45" t="str">
        <f t="shared" si="13"/>
        <v>7798088625421</v>
      </c>
    </row>
    <row r="408" spans="1:19" hidden="1" x14ac:dyDescent="0.35">
      <c r="A408" s="22">
        <v>6</v>
      </c>
      <c r="B408" t="s">
        <v>801</v>
      </c>
      <c r="C408" t="s">
        <v>802</v>
      </c>
      <c r="D408" t="s">
        <v>2101</v>
      </c>
      <c r="E408" t="s">
        <v>2633</v>
      </c>
      <c r="F408">
        <v>2016621</v>
      </c>
      <c r="G408" t="s">
        <v>2634</v>
      </c>
      <c r="H408" t="s">
        <v>805</v>
      </c>
      <c r="I408">
        <v>996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996</v>
      </c>
      <c r="P408" s="44" t="e">
        <f>_xlfn.XLOOKUP(Tabla5[[#This Row],[EAN CORREGIDO]],'Tabla Articulos'!B:B,'Tabla Articulos'!D:D)</f>
        <v>#N/A</v>
      </c>
      <c r="Q408" s="44" t="e">
        <f>_xlfn.XLOOKUP(S408,'Tabla Articulos'!B:B,'Tabla Articulos'!E:E)</f>
        <v>#N/A</v>
      </c>
      <c r="R408" s="44" t="e">
        <f t="shared" si="12"/>
        <v>#N/A</v>
      </c>
      <c r="S408" s="45" t="str">
        <f t="shared" si="13"/>
        <v>67798152430299</v>
      </c>
    </row>
    <row r="409" spans="1:19" hidden="1" x14ac:dyDescent="0.35">
      <c r="A409" s="22">
        <v>6</v>
      </c>
      <c r="B409" t="s">
        <v>801</v>
      </c>
      <c r="C409" t="s">
        <v>802</v>
      </c>
      <c r="D409"/>
      <c r="E409" t="s">
        <v>1328</v>
      </c>
      <c r="F409">
        <v>9003026</v>
      </c>
      <c r="G409" t="s">
        <v>1329</v>
      </c>
      <c r="H409" t="s">
        <v>805</v>
      </c>
      <c r="I409">
        <v>1</v>
      </c>
      <c r="J409">
        <v>60</v>
      </c>
      <c r="K409">
        <v>30</v>
      </c>
      <c r="L409">
        <v>0</v>
      </c>
      <c r="M409">
        <v>0</v>
      </c>
      <c r="N409">
        <v>0</v>
      </c>
      <c r="O409">
        <v>31</v>
      </c>
      <c r="P409" s="44" t="e">
        <f>_xlfn.XLOOKUP(Tabla5[[#This Row],[EAN CORREGIDO]],'Tabla Articulos'!B:B,'Tabla Articulos'!D:D)</f>
        <v>#N/A</v>
      </c>
      <c r="Q409" s="44" t="e">
        <f>_xlfn.XLOOKUP(S409,'Tabla Articulos'!B:B,'Tabla Articulos'!E:E)</f>
        <v>#N/A</v>
      </c>
      <c r="R409" s="44" t="e">
        <f t="shared" si="12"/>
        <v>#N/A</v>
      </c>
      <c r="S409" s="45" t="str">
        <f t="shared" si="13"/>
        <v>A1607C25T4</v>
      </c>
    </row>
    <row r="410" spans="1:19" hidden="1" x14ac:dyDescent="0.35">
      <c r="A410" s="22">
        <v>6</v>
      </c>
      <c r="B410" t="s">
        <v>801</v>
      </c>
      <c r="C410" t="s">
        <v>802</v>
      </c>
      <c r="D410"/>
      <c r="E410" t="s">
        <v>1837</v>
      </c>
      <c r="F410">
        <v>9003575</v>
      </c>
      <c r="G410" t="s">
        <v>1838</v>
      </c>
      <c r="H410" t="s">
        <v>805</v>
      </c>
      <c r="I410">
        <v>20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20</v>
      </c>
      <c r="P410" s="44" t="e">
        <f>_xlfn.XLOOKUP(Tabla5[[#This Row],[EAN CORREGIDO]],'Tabla Articulos'!B:B,'Tabla Articulos'!D:D)</f>
        <v>#N/A</v>
      </c>
      <c r="Q410" s="44" t="e">
        <f>_xlfn.XLOOKUP(S410,'Tabla Articulos'!B:B,'Tabla Articulos'!E:E)</f>
        <v>#N/A</v>
      </c>
      <c r="R410" s="44" t="e">
        <f t="shared" si="12"/>
        <v>#N/A</v>
      </c>
      <c r="S410" s="45" t="str">
        <f t="shared" si="13"/>
        <v>UNIF000158</v>
      </c>
    </row>
    <row r="411" spans="1:19" hidden="1" x14ac:dyDescent="0.35">
      <c r="A411" s="22">
        <v>1</v>
      </c>
      <c r="B411" t="s">
        <v>812</v>
      </c>
      <c r="C411" t="s">
        <v>802</v>
      </c>
      <c r="D411" t="s">
        <v>2420</v>
      </c>
      <c r="E411" t="s">
        <v>2421</v>
      </c>
      <c r="F411">
        <v>4018645</v>
      </c>
      <c r="G411" t="s">
        <v>2422</v>
      </c>
      <c r="H411" t="s">
        <v>805</v>
      </c>
      <c r="I411">
        <v>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</v>
      </c>
      <c r="P411" s="44" t="e">
        <f>_xlfn.XLOOKUP(Tabla5[[#This Row],[EAN CORREGIDO]],'Tabla Articulos'!B:B,'Tabla Articulos'!D:D)</f>
        <v>#N/A</v>
      </c>
      <c r="Q411" s="44" t="e">
        <f>_xlfn.XLOOKUP(S411,'Tabla Articulos'!B:B,'Tabla Articulos'!E:E)</f>
        <v>#N/A</v>
      </c>
      <c r="R411" s="44" t="e">
        <f t="shared" si="12"/>
        <v>#N/A</v>
      </c>
      <c r="S411" s="45" t="str">
        <f t="shared" si="13"/>
        <v>7790211303004</v>
      </c>
    </row>
    <row r="412" spans="1:19" hidden="1" x14ac:dyDescent="0.35">
      <c r="A412" s="22">
        <v>6</v>
      </c>
      <c r="B412" t="s">
        <v>801</v>
      </c>
      <c r="C412" t="s">
        <v>802</v>
      </c>
      <c r="D412" t="s">
        <v>2423</v>
      </c>
      <c r="E412" t="s">
        <v>2424</v>
      </c>
      <c r="F412">
        <v>2006293</v>
      </c>
      <c r="G412" t="s">
        <v>2425</v>
      </c>
      <c r="H412" t="s">
        <v>805</v>
      </c>
      <c r="I412">
        <v>50</v>
      </c>
      <c r="J412">
        <v>0</v>
      </c>
      <c r="K412">
        <v>50</v>
      </c>
      <c r="L412">
        <v>0</v>
      </c>
      <c r="M412">
        <v>0</v>
      </c>
      <c r="N412">
        <v>0</v>
      </c>
      <c r="O412">
        <v>0</v>
      </c>
      <c r="P412" s="44" t="e">
        <f>_xlfn.XLOOKUP(Tabla5[[#This Row],[EAN CORREGIDO]],'Tabla Articulos'!B:B,'Tabla Articulos'!D:D)</f>
        <v>#N/A</v>
      </c>
      <c r="Q412" s="44" t="e">
        <f>_xlfn.XLOOKUP(S412,'Tabla Articulos'!B:B,'Tabla Articulos'!E:E)</f>
        <v>#N/A</v>
      </c>
      <c r="R412" s="44" t="e">
        <f t="shared" si="12"/>
        <v>#N/A</v>
      </c>
      <c r="S412" s="45" t="str">
        <f t="shared" si="13"/>
        <v>7798188650850</v>
      </c>
    </row>
    <row r="413" spans="1:19" hidden="1" x14ac:dyDescent="0.35">
      <c r="A413" s="22">
        <v>6</v>
      </c>
      <c r="B413" t="s">
        <v>801</v>
      </c>
      <c r="C413" t="s">
        <v>802</v>
      </c>
      <c r="E413" t="s">
        <v>2426</v>
      </c>
      <c r="F413">
        <v>9003825</v>
      </c>
      <c r="G413" t="s">
        <v>2427</v>
      </c>
      <c r="H413" t="s">
        <v>805</v>
      </c>
      <c r="I413">
        <v>19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19</v>
      </c>
      <c r="P413" s="44" t="e">
        <f>_xlfn.XLOOKUP(Tabla5[[#This Row],[EAN CORREGIDO]],'Tabla Articulos'!B:B,'Tabla Articulos'!D:D)</f>
        <v>#N/A</v>
      </c>
      <c r="Q413" s="44" t="e">
        <f>_xlfn.XLOOKUP(S413,'Tabla Articulos'!B:B,'Tabla Articulos'!E:E)</f>
        <v>#N/A</v>
      </c>
      <c r="R413" s="44" t="e">
        <f t="shared" si="12"/>
        <v>#N/A</v>
      </c>
      <c r="S413" s="45" t="str">
        <f t="shared" si="13"/>
        <v>BAZ001152</v>
      </c>
    </row>
    <row r="414" spans="1:19" hidden="1" x14ac:dyDescent="0.35">
      <c r="A414" s="22">
        <v>6</v>
      </c>
      <c r="B414" t="s">
        <v>801</v>
      </c>
      <c r="C414" t="s">
        <v>802</v>
      </c>
      <c r="E414" t="s">
        <v>2428</v>
      </c>
      <c r="F414">
        <v>9003513</v>
      </c>
      <c r="G414" t="s">
        <v>2429</v>
      </c>
      <c r="H414" t="s">
        <v>805</v>
      </c>
      <c r="I414">
        <v>44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44</v>
      </c>
      <c r="P414" s="44" t="e">
        <f>_xlfn.XLOOKUP(Tabla5[[#This Row],[EAN CORREGIDO]],'Tabla Articulos'!B:B,'Tabla Articulos'!D:D)</f>
        <v>#N/A</v>
      </c>
      <c r="Q414" s="44" t="e">
        <f>_xlfn.XLOOKUP(S414,'Tabla Articulos'!B:B,'Tabla Articulos'!E:E)</f>
        <v>#N/A</v>
      </c>
      <c r="R414" s="44" t="e">
        <f t="shared" si="12"/>
        <v>#N/A</v>
      </c>
      <c r="S414" s="45" t="str">
        <f t="shared" si="13"/>
        <v>UNIF000394</v>
      </c>
    </row>
    <row r="415" spans="1:19" hidden="1" x14ac:dyDescent="0.35">
      <c r="A415" s="22">
        <v>6</v>
      </c>
      <c r="B415" t="s">
        <v>801</v>
      </c>
      <c r="C415" t="s">
        <v>802</v>
      </c>
      <c r="E415" t="s">
        <v>1302</v>
      </c>
      <c r="F415">
        <v>2007542</v>
      </c>
      <c r="G415" t="s">
        <v>1303</v>
      </c>
      <c r="H415" t="s">
        <v>805</v>
      </c>
      <c r="I415">
        <v>15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15</v>
      </c>
      <c r="P415" s="44" t="e">
        <f>_xlfn.XLOOKUP(Tabla5[[#This Row],[EAN CORREGIDO]],'Tabla Articulos'!B:B,'Tabla Articulos'!D:D)</f>
        <v>#N/A</v>
      </c>
      <c r="Q415" s="44" t="e">
        <f>_xlfn.XLOOKUP(S415,'Tabla Articulos'!B:B,'Tabla Articulos'!E:E)</f>
        <v>#N/A</v>
      </c>
      <c r="R415" s="44" t="e">
        <f t="shared" si="12"/>
        <v>#N/A</v>
      </c>
      <c r="S415" s="45" t="str">
        <f t="shared" si="13"/>
        <v>7790000000508</v>
      </c>
    </row>
    <row r="416" spans="1:19" hidden="1" x14ac:dyDescent="0.35">
      <c r="A416" s="22">
        <v>6</v>
      </c>
      <c r="B416" t="s">
        <v>801</v>
      </c>
      <c r="C416" t="s">
        <v>802</v>
      </c>
      <c r="D416"/>
      <c r="E416" t="s">
        <v>1304</v>
      </c>
      <c r="F416">
        <v>9003443</v>
      </c>
      <c r="G416" t="s">
        <v>1305</v>
      </c>
      <c r="H416" t="s">
        <v>805</v>
      </c>
      <c r="I416">
        <v>27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27</v>
      </c>
      <c r="P416" s="44" t="e">
        <f>_xlfn.XLOOKUP(Tabla5[[#This Row],[EAN CORREGIDO]],'Tabla Articulos'!B:B,'Tabla Articulos'!D:D)</f>
        <v>#N/A</v>
      </c>
      <c r="Q416" s="44" t="e">
        <f>_xlfn.XLOOKUP(S416,'Tabla Articulos'!B:B,'Tabla Articulos'!E:E)</f>
        <v>#N/A</v>
      </c>
      <c r="R416" s="44" t="e">
        <f t="shared" si="12"/>
        <v>#N/A</v>
      </c>
      <c r="S416" s="45" t="str">
        <f t="shared" si="13"/>
        <v>UNIF000203</v>
      </c>
    </row>
    <row r="417" spans="1:19" hidden="1" x14ac:dyDescent="0.35">
      <c r="A417" s="22">
        <v>5</v>
      </c>
      <c r="B417" t="s">
        <v>829</v>
      </c>
      <c r="C417" t="s">
        <v>802</v>
      </c>
      <c r="D417" t="s">
        <v>838</v>
      </c>
      <c r="E417" t="s">
        <v>1306</v>
      </c>
      <c r="F417">
        <v>4018179</v>
      </c>
      <c r="G417" t="s">
        <v>1307</v>
      </c>
      <c r="H417" t="s">
        <v>805</v>
      </c>
      <c r="I417">
        <v>56737</v>
      </c>
      <c r="J417">
        <v>12</v>
      </c>
      <c r="K417">
        <v>0</v>
      </c>
      <c r="L417">
        <v>0</v>
      </c>
      <c r="M417">
        <v>4</v>
      </c>
      <c r="N417">
        <v>0</v>
      </c>
      <c r="O417">
        <v>56745</v>
      </c>
      <c r="P417" s="44" t="e">
        <f>_xlfn.XLOOKUP(Tabla5[[#This Row],[EAN CORREGIDO]],'Tabla Articulos'!B:B,'Tabla Articulos'!D:D)</f>
        <v>#N/A</v>
      </c>
      <c r="Q417" s="44" t="e">
        <f>_xlfn.XLOOKUP(S417,'Tabla Articulos'!B:B,'Tabla Articulos'!E:E)</f>
        <v>#N/A</v>
      </c>
      <c r="R417" s="44" t="e">
        <f t="shared" si="12"/>
        <v>#N/A</v>
      </c>
      <c r="S417" s="45" t="str">
        <f t="shared" si="13"/>
        <v>7791058000731</v>
      </c>
    </row>
    <row r="418" spans="1:19" hidden="1" x14ac:dyDescent="0.35">
      <c r="A418" s="22">
        <v>1</v>
      </c>
      <c r="B418" t="s">
        <v>812</v>
      </c>
      <c r="C418" t="s">
        <v>802</v>
      </c>
      <c r="D418" t="s">
        <v>838</v>
      </c>
      <c r="E418" t="s">
        <v>1306</v>
      </c>
      <c r="F418">
        <v>4018179</v>
      </c>
      <c r="G418" t="s">
        <v>1307</v>
      </c>
      <c r="H418" t="s">
        <v>805</v>
      </c>
      <c r="I418">
        <v>38914</v>
      </c>
      <c r="J418">
        <v>6</v>
      </c>
      <c r="K418">
        <v>0</v>
      </c>
      <c r="L418">
        <v>0</v>
      </c>
      <c r="M418">
        <v>4934</v>
      </c>
      <c r="N418">
        <v>0</v>
      </c>
      <c r="O418">
        <v>33986</v>
      </c>
      <c r="P418" s="44" t="e">
        <f>_xlfn.XLOOKUP(Tabla5[[#This Row],[EAN CORREGIDO]],'Tabla Articulos'!B:B,'Tabla Articulos'!D:D)</f>
        <v>#N/A</v>
      </c>
      <c r="Q418" s="44" t="e">
        <f>_xlfn.XLOOKUP(S418,'Tabla Articulos'!B:B,'Tabla Articulos'!E:E)</f>
        <v>#N/A</v>
      </c>
      <c r="R418" s="44" t="e">
        <f t="shared" si="12"/>
        <v>#N/A</v>
      </c>
      <c r="S418" s="45" t="str">
        <f t="shared" si="13"/>
        <v>7791058000731</v>
      </c>
    </row>
    <row r="419" spans="1:19" hidden="1" x14ac:dyDescent="0.35">
      <c r="A419" s="22">
        <v>5</v>
      </c>
      <c r="B419" t="s">
        <v>829</v>
      </c>
      <c r="C419" t="s">
        <v>802</v>
      </c>
      <c r="D419" t="s">
        <v>1308</v>
      </c>
      <c r="E419" t="s">
        <v>1309</v>
      </c>
      <c r="F419">
        <v>4018090</v>
      </c>
      <c r="G419" t="s">
        <v>1310</v>
      </c>
      <c r="H419" t="s">
        <v>816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 s="44" t="e">
        <f>_xlfn.XLOOKUP(Tabla5[[#This Row],[EAN CORREGIDO]],'Tabla Articulos'!B:B,'Tabla Articulos'!D:D)</f>
        <v>#N/A</v>
      </c>
      <c r="Q419" s="44" t="e">
        <f>_xlfn.XLOOKUP(S419,'Tabla Articulos'!B:B,'Tabla Articulos'!E:E)</f>
        <v>#N/A</v>
      </c>
      <c r="R419" s="44" t="e">
        <f t="shared" si="12"/>
        <v>#N/A</v>
      </c>
      <c r="S419" s="45" t="str">
        <f t="shared" si="13"/>
        <v>7790616077936</v>
      </c>
    </row>
    <row r="420" spans="1:19" hidden="1" x14ac:dyDescent="0.35">
      <c r="A420" s="22">
        <v>6</v>
      </c>
      <c r="B420" t="s">
        <v>801</v>
      </c>
      <c r="C420" t="s">
        <v>802</v>
      </c>
      <c r="D420"/>
      <c r="E420" t="s">
        <v>1311</v>
      </c>
      <c r="F420">
        <v>5001650</v>
      </c>
      <c r="G420" t="s">
        <v>1312</v>
      </c>
      <c r="H420" t="s">
        <v>805</v>
      </c>
      <c r="I420">
        <v>208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208</v>
      </c>
      <c r="P420" s="44" t="e">
        <f>_xlfn.XLOOKUP(Tabla5[[#This Row],[EAN CORREGIDO]],'Tabla Articulos'!B:B,'Tabla Articulos'!D:D)</f>
        <v>#N/A</v>
      </c>
      <c r="Q420" s="44" t="e">
        <f>_xlfn.XLOOKUP(S420,'Tabla Articulos'!B:B,'Tabla Articulos'!E:E)</f>
        <v>#N/A</v>
      </c>
      <c r="R420" s="44" t="e">
        <f t="shared" si="12"/>
        <v>#N/A</v>
      </c>
      <c r="S420" s="45" t="str">
        <f t="shared" si="13"/>
        <v>5001650</v>
      </c>
    </row>
    <row r="421" spans="1:19" hidden="1" x14ac:dyDescent="0.35">
      <c r="A421" s="22">
        <v>1</v>
      </c>
      <c r="B421" t="s">
        <v>812</v>
      </c>
      <c r="C421" t="s">
        <v>802</v>
      </c>
      <c r="D421" s="11" t="s">
        <v>1313</v>
      </c>
      <c r="E421" t="s">
        <v>1314</v>
      </c>
      <c r="F421">
        <v>4019188</v>
      </c>
      <c r="G421" t="s">
        <v>1315</v>
      </c>
      <c r="H421" t="s">
        <v>805</v>
      </c>
      <c r="I421">
        <v>5498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5498</v>
      </c>
      <c r="P421" s="44" t="e">
        <f>_xlfn.XLOOKUP(Tabla5[[#This Row],[EAN CORREGIDO]],'Tabla Articulos'!B:B,'Tabla Articulos'!D:D)</f>
        <v>#N/A</v>
      </c>
      <c r="Q421" s="44" t="e">
        <f>_xlfn.XLOOKUP(S421,'Tabla Articulos'!B:B,'Tabla Articulos'!E:E)</f>
        <v>#N/A</v>
      </c>
      <c r="R421" s="44" t="e">
        <f t="shared" si="12"/>
        <v>#N/A</v>
      </c>
      <c r="S421" s="45" t="str">
        <f t="shared" si="13"/>
        <v>7796236000954</v>
      </c>
    </row>
    <row r="422" spans="1:19" hidden="1" x14ac:dyDescent="0.35">
      <c r="A422" s="22">
        <v>6</v>
      </c>
      <c r="B422" t="s">
        <v>801</v>
      </c>
      <c r="C422" t="s">
        <v>802</v>
      </c>
      <c r="D422" t="s">
        <v>841</v>
      </c>
      <c r="E422" t="s">
        <v>2408</v>
      </c>
      <c r="F422">
        <v>2016728</v>
      </c>
      <c r="G422" t="s">
        <v>2409</v>
      </c>
      <c r="H422" t="s">
        <v>805</v>
      </c>
      <c r="I422">
        <v>862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862</v>
      </c>
      <c r="P422" s="44" t="e">
        <f>_xlfn.XLOOKUP(Tabla5[[#This Row],[EAN CORREGIDO]],'Tabla Articulos'!B:B,'Tabla Articulos'!D:D)</f>
        <v>#N/A</v>
      </c>
      <c r="Q422" s="44" t="e">
        <f>_xlfn.XLOOKUP(S422,'Tabla Articulos'!B:B,'Tabla Articulos'!E:E)</f>
        <v>#N/A</v>
      </c>
      <c r="R422" s="44" t="e">
        <f t="shared" si="12"/>
        <v>#N/A</v>
      </c>
      <c r="S422" s="45" t="str">
        <f t="shared" si="13"/>
        <v>7798188652007</v>
      </c>
    </row>
    <row r="423" spans="1:19" hidden="1" x14ac:dyDescent="0.35">
      <c r="A423" s="22">
        <v>6</v>
      </c>
      <c r="B423" t="s">
        <v>801</v>
      </c>
      <c r="C423" t="s">
        <v>802</v>
      </c>
      <c r="E423" t="s">
        <v>6821</v>
      </c>
      <c r="F423">
        <v>9003234</v>
      </c>
      <c r="G423" t="s">
        <v>6822</v>
      </c>
      <c r="H423" t="s">
        <v>805</v>
      </c>
      <c r="I423">
        <v>27</v>
      </c>
      <c r="J423">
        <v>0</v>
      </c>
      <c r="K423">
        <v>0</v>
      </c>
      <c r="L423">
        <v>0</v>
      </c>
      <c r="M423">
        <v>14</v>
      </c>
      <c r="N423">
        <v>0</v>
      </c>
      <c r="O423">
        <v>13</v>
      </c>
      <c r="P423" s="44" t="e">
        <f>_xlfn.XLOOKUP(Tabla5[[#This Row],[EAN CORREGIDO]],'Tabla Articulos'!B:B,'Tabla Articulos'!D:D)</f>
        <v>#N/A</v>
      </c>
      <c r="Q423" s="44" t="e">
        <f>_xlfn.XLOOKUP(S423,'Tabla Articulos'!B:B,'Tabla Articulos'!E:E)</f>
        <v>#N/A</v>
      </c>
      <c r="R423" s="44" t="e">
        <f t="shared" si="12"/>
        <v>#N/A</v>
      </c>
      <c r="S423" s="45" t="str">
        <f t="shared" si="13"/>
        <v>UNIF000525</v>
      </c>
    </row>
    <row r="424" spans="1:19" hidden="1" x14ac:dyDescent="0.35">
      <c r="A424" s="22">
        <v>6</v>
      </c>
      <c r="B424" t="s">
        <v>801</v>
      </c>
      <c r="C424" t="s">
        <v>802</v>
      </c>
      <c r="E424" t="s">
        <v>2410</v>
      </c>
      <c r="F424">
        <v>9003067</v>
      </c>
      <c r="G424" t="s">
        <v>2411</v>
      </c>
      <c r="H424" t="s">
        <v>805</v>
      </c>
      <c r="I424">
        <v>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5</v>
      </c>
      <c r="P424" s="44" t="e">
        <f>_xlfn.XLOOKUP(Tabla5[[#This Row],[EAN CORREGIDO]],'Tabla Articulos'!B:B,'Tabla Articulos'!D:D)</f>
        <v>#N/A</v>
      </c>
      <c r="Q424" s="44" t="e">
        <f>_xlfn.XLOOKUP(S424,'Tabla Articulos'!B:B,'Tabla Articulos'!E:E)</f>
        <v>#N/A</v>
      </c>
      <c r="R424" s="44" t="e">
        <f t="shared" si="12"/>
        <v>#N/A</v>
      </c>
      <c r="S424" s="45" t="str">
        <f t="shared" si="13"/>
        <v>UNIF000131</v>
      </c>
    </row>
    <row r="425" spans="1:19" hidden="1" x14ac:dyDescent="0.35">
      <c r="A425" s="22">
        <v>6</v>
      </c>
      <c r="B425" t="s">
        <v>801</v>
      </c>
      <c r="C425" t="s">
        <v>802</v>
      </c>
      <c r="D425"/>
      <c r="E425" t="s">
        <v>5065</v>
      </c>
      <c r="F425">
        <v>2011445</v>
      </c>
      <c r="G425" t="s">
        <v>5066</v>
      </c>
      <c r="H425" t="s">
        <v>805</v>
      </c>
      <c r="I425">
        <v>540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540</v>
      </c>
      <c r="P425" s="44" t="e">
        <f>_xlfn.XLOOKUP(Tabla5[[#This Row],[EAN CORREGIDO]],'Tabla Articulos'!B:B,'Tabla Articulos'!D:D)</f>
        <v>#N/A</v>
      </c>
      <c r="Q425" s="44" t="e">
        <f>_xlfn.XLOOKUP(S425,'Tabla Articulos'!B:B,'Tabla Articulos'!E:E)</f>
        <v>#N/A</v>
      </c>
      <c r="R425" s="44" t="e">
        <f t="shared" si="12"/>
        <v>#N/A</v>
      </c>
      <c r="S425" s="45" t="str">
        <f t="shared" si="13"/>
        <v>7798035492039</v>
      </c>
    </row>
    <row r="426" spans="1:19" hidden="1" x14ac:dyDescent="0.35">
      <c r="A426" s="22">
        <v>6</v>
      </c>
      <c r="B426" t="s">
        <v>801</v>
      </c>
      <c r="C426" t="s">
        <v>802</v>
      </c>
      <c r="D426"/>
      <c r="E426" t="s">
        <v>5067</v>
      </c>
      <c r="F426">
        <v>9003434</v>
      </c>
      <c r="G426" t="s">
        <v>5068</v>
      </c>
      <c r="H426" t="s">
        <v>805</v>
      </c>
      <c r="I426">
        <v>31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31</v>
      </c>
      <c r="P426" s="44" t="e">
        <f>_xlfn.XLOOKUP(Tabla5[[#This Row],[EAN CORREGIDO]],'Tabla Articulos'!B:B,'Tabla Articulos'!D:D)</f>
        <v>#N/A</v>
      </c>
      <c r="Q426" s="44" t="e">
        <f>_xlfn.XLOOKUP(S426,'Tabla Articulos'!B:B,'Tabla Articulos'!E:E)</f>
        <v>#N/A</v>
      </c>
      <c r="R426" s="44" t="e">
        <f t="shared" si="12"/>
        <v>#N/A</v>
      </c>
      <c r="S426" s="45" t="str">
        <f t="shared" si="13"/>
        <v>UNIF000194</v>
      </c>
    </row>
    <row r="427" spans="1:19" hidden="1" x14ac:dyDescent="0.35">
      <c r="A427" s="22">
        <v>6</v>
      </c>
      <c r="B427" t="s">
        <v>801</v>
      </c>
      <c r="C427" t="s">
        <v>802</v>
      </c>
      <c r="E427" t="s">
        <v>5069</v>
      </c>
      <c r="F427">
        <v>4021016</v>
      </c>
      <c r="G427" t="s">
        <v>5070</v>
      </c>
      <c r="H427" t="s">
        <v>805</v>
      </c>
      <c r="I427">
        <v>42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42</v>
      </c>
      <c r="P427" s="44" t="e">
        <f>_xlfn.XLOOKUP(Tabla5[[#This Row],[EAN CORREGIDO]],'Tabla Articulos'!B:B,'Tabla Articulos'!D:D)</f>
        <v>#N/A</v>
      </c>
      <c r="Q427" s="44" t="e">
        <f>_xlfn.XLOOKUP(S427,'Tabla Articulos'!B:B,'Tabla Articulos'!E:E)</f>
        <v>#N/A</v>
      </c>
      <c r="R427" s="44" t="e">
        <f t="shared" si="12"/>
        <v>#N/A</v>
      </c>
      <c r="S427" s="45" t="str">
        <f t="shared" si="13"/>
        <v>MOD20298</v>
      </c>
    </row>
    <row r="428" spans="1:19" hidden="1" x14ac:dyDescent="0.35">
      <c r="A428" s="22">
        <v>6</v>
      </c>
      <c r="B428" t="s">
        <v>801</v>
      </c>
      <c r="C428" t="s">
        <v>802</v>
      </c>
      <c r="D428"/>
      <c r="E428" t="s">
        <v>5071</v>
      </c>
      <c r="F428">
        <v>9003190</v>
      </c>
      <c r="G428" t="s">
        <v>5072</v>
      </c>
      <c r="H428" t="s">
        <v>805</v>
      </c>
      <c r="I428">
        <v>27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27</v>
      </c>
      <c r="P428" s="44" t="e">
        <f>_xlfn.XLOOKUP(Tabla5[[#This Row],[EAN CORREGIDO]],'Tabla Articulos'!B:B,'Tabla Articulos'!D:D)</f>
        <v>#N/A</v>
      </c>
      <c r="Q428" s="44" t="e">
        <f>_xlfn.XLOOKUP(S428,'Tabla Articulos'!B:B,'Tabla Articulos'!E:E)</f>
        <v>#N/A</v>
      </c>
      <c r="R428" s="44" t="e">
        <f t="shared" si="12"/>
        <v>#N/A</v>
      </c>
      <c r="S428" s="45" t="str">
        <f t="shared" si="13"/>
        <v>UNIF000316</v>
      </c>
    </row>
    <row r="429" spans="1:19" hidden="1" x14ac:dyDescent="0.35">
      <c r="A429" s="22">
        <v>6</v>
      </c>
      <c r="B429" t="s">
        <v>801</v>
      </c>
      <c r="C429" t="s">
        <v>802</v>
      </c>
      <c r="E429" t="s">
        <v>5073</v>
      </c>
      <c r="F429">
        <v>9003073</v>
      </c>
      <c r="G429" t="s">
        <v>5074</v>
      </c>
      <c r="H429" t="s">
        <v>805</v>
      </c>
      <c r="I429">
        <v>196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196</v>
      </c>
      <c r="P429" s="44" t="e">
        <f>_xlfn.XLOOKUP(Tabla5[[#This Row],[EAN CORREGIDO]],'Tabla Articulos'!B:B,'Tabla Articulos'!D:D)</f>
        <v>#N/A</v>
      </c>
      <c r="Q429" s="44" t="e">
        <f>_xlfn.XLOOKUP(S429,'Tabla Articulos'!B:B,'Tabla Articulos'!E:E)</f>
        <v>#N/A</v>
      </c>
      <c r="R429" s="44" t="e">
        <f t="shared" si="12"/>
        <v>#N/A</v>
      </c>
      <c r="S429" s="45" t="str">
        <f t="shared" si="13"/>
        <v>UNIF000536</v>
      </c>
    </row>
    <row r="430" spans="1:19" hidden="1" x14ac:dyDescent="0.35">
      <c r="A430" s="22">
        <v>5</v>
      </c>
      <c r="B430" t="s">
        <v>829</v>
      </c>
      <c r="C430" t="s">
        <v>802</v>
      </c>
      <c r="D430" t="s">
        <v>1966</v>
      </c>
      <c r="E430" t="s">
        <v>5075</v>
      </c>
      <c r="F430">
        <v>4022537</v>
      </c>
      <c r="G430" t="s">
        <v>5076</v>
      </c>
      <c r="H430" t="s">
        <v>805</v>
      </c>
      <c r="I430">
        <v>7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</v>
      </c>
      <c r="P430" s="44" t="e">
        <f>_xlfn.XLOOKUP(Tabla5[[#This Row],[EAN CORREGIDO]],'Tabla Articulos'!B:B,'Tabla Articulos'!D:D)</f>
        <v>#N/A</v>
      </c>
      <c r="Q430" s="44" t="e">
        <f>_xlfn.XLOOKUP(S430,'Tabla Articulos'!B:B,'Tabla Articulos'!E:E)</f>
        <v>#N/A</v>
      </c>
      <c r="R430" s="44" t="e">
        <f t="shared" si="12"/>
        <v>#N/A</v>
      </c>
      <c r="S430" s="45" t="str">
        <f t="shared" si="13"/>
        <v>714604058533</v>
      </c>
    </row>
    <row r="431" spans="1:19" hidden="1" x14ac:dyDescent="0.35">
      <c r="A431" s="22">
        <v>1</v>
      </c>
      <c r="B431" t="s">
        <v>812</v>
      </c>
      <c r="C431" t="s">
        <v>802</v>
      </c>
      <c r="D431" t="s">
        <v>1966</v>
      </c>
      <c r="E431" t="s">
        <v>5075</v>
      </c>
      <c r="F431">
        <v>4022537</v>
      </c>
      <c r="G431" t="s">
        <v>5076</v>
      </c>
      <c r="H431" t="s">
        <v>805</v>
      </c>
      <c r="I431">
        <v>145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145</v>
      </c>
      <c r="P431" s="44" t="e">
        <f>_xlfn.XLOOKUP(Tabla5[[#This Row],[EAN CORREGIDO]],'Tabla Articulos'!B:B,'Tabla Articulos'!D:D)</f>
        <v>#N/A</v>
      </c>
      <c r="Q431" s="44" t="e">
        <f>_xlfn.XLOOKUP(S431,'Tabla Articulos'!B:B,'Tabla Articulos'!E:E)</f>
        <v>#N/A</v>
      </c>
      <c r="R431" s="44" t="e">
        <f t="shared" si="12"/>
        <v>#N/A</v>
      </c>
      <c r="S431" s="45" t="str">
        <f t="shared" si="13"/>
        <v>714604058533</v>
      </c>
    </row>
    <row r="432" spans="1:19" hidden="1" x14ac:dyDescent="0.35">
      <c r="A432" s="22">
        <v>6</v>
      </c>
      <c r="B432" t="s">
        <v>801</v>
      </c>
      <c r="C432" t="s">
        <v>802</v>
      </c>
      <c r="D432" s="11" t="s">
        <v>1374</v>
      </c>
      <c r="E432" t="s">
        <v>5077</v>
      </c>
      <c r="F432">
        <v>2006609</v>
      </c>
      <c r="G432" t="s">
        <v>5078</v>
      </c>
      <c r="H432" t="s">
        <v>1034</v>
      </c>
      <c r="I432">
        <v>46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46</v>
      </c>
      <c r="P432" s="44" t="e">
        <f>_xlfn.XLOOKUP(Tabla5[[#This Row],[EAN CORREGIDO]],'Tabla Articulos'!B:B,'Tabla Articulos'!D:D)</f>
        <v>#N/A</v>
      </c>
      <c r="Q432" s="44" t="e">
        <f>_xlfn.XLOOKUP(S432,'Tabla Articulos'!B:B,'Tabla Articulos'!E:E)</f>
        <v>#N/A</v>
      </c>
      <c r="R432" s="44" t="e">
        <f t="shared" si="12"/>
        <v>#N/A</v>
      </c>
      <c r="S432" s="45" t="str">
        <f t="shared" si="13"/>
        <v>7798011944128</v>
      </c>
    </row>
    <row r="433" spans="1:19" hidden="1" x14ac:dyDescent="0.35">
      <c r="A433" s="22">
        <v>6</v>
      </c>
      <c r="B433" t="s">
        <v>801</v>
      </c>
      <c r="C433" t="s">
        <v>802</v>
      </c>
      <c r="D433" s="11" t="s">
        <v>841</v>
      </c>
      <c r="E433" t="s">
        <v>5079</v>
      </c>
      <c r="F433">
        <v>2006216</v>
      </c>
      <c r="G433" t="s">
        <v>5080</v>
      </c>
      <c r="H433" t="s">
        <v>805</v>
      </c>
      <c r="I433">
        <v>2735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2735</v>
      </c>
      <c r="P433" s="44" t="e">
        <f>_xlfn.XLOOKUP(Tabla5[[#This Row],[EAN CORREGIDO]],'Tabla Articulos'!B:B,'Tabla Articulos'!D:D)</f>
        <v>#N/A</v>
      </c>
      <c r="Q433" s="44" t="e">
        <f>_xlfn.XLOOKUP(S433,'Tabla Articulos'!B:B,'Tabla Articulos'!E:E)</f>
        <v>#N/A</v>
      </c>
      <c r="R433" s="44" t="e">
        <f t="shared" si="12"/>
        <v>#N/A</v>
      </c>
      <c r="S433" s="45" t="str">
        <f t="shared" si="13"/>
        <v>LIM000453</v>
      </c>
    </row>
    <row r="434" spans="1:19" hidden="1" x14ac:dyDescent="0.35">
      <c r="A434" s="22">
        <v>1</v>
      </c>
      <c r="B434" t="s">
        <v>812</v>
      </c>
      <c r="C434" t="s">
        <v>802</v>
      </c>
      <c r="D434" t="s">
        <v>1896</v>
      </c>
      <c r="E434" t="s">
        <v>5081</v>
      </c>
      <c r="F434">
        <v>4024142</v>
      </c>
      <c r="G434" t="s">
        <v>5082</v>
      </c>
      <c r="H434" t="s">
        <v>805</v>
      </c>
      <c r="I434">
        <v>20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20</v>
      </c>
      <c r="P434" s="44" t="e">
        <f>_xlfn.XLOOKUP(Tabla5[[#This Row],[EAN CORREGIDO]],'Tabla Articulos'!B:B,'Tabla Articulos'!D:D)</f>
        <v>#N/A</v>
      </c>
      <c r="Q434" s="44" t="e">
        <f>_xlfn.XLOOKUP(S434,'Tabla Articulos'!B:B,'Tabla Articulos'!E:E)</f>
        <v>#N/A</v>
      </c>
      <c r="R434" s="44" t="e">
        <f t="shared" si="12"/>
        <v>#N/A</v>
      </c>
      <c r="S434" s="45" t="str">
        <f t="shared" si="13"/>
        <v>7797470199817</v>
      </c>
    </row>
    <row r="435" spans="1:19" hidden="1" x14ac:dyDescent="0.35">
      <c r="A435" s="22">
        <v>6</v>
      </c>
      <c r="B435" t="s">
        <v>801</v>
      </c>
      <c r="C435" t="s">
        <v>802</v>
      </c>
      <c r="D435" t="s">
        <v>307</v>
      </c>
      <c r="E435" t="s">
        <v>5083</v>
      </c>
      <c r="F435">
        <v>2006140</v>
      </c>
      <c r="G435" t="s">
        <v>5084</v>
      </c>
      <c r="H435" t="s">
        <v>805</v>
      </c>
      <c r="I435">
        <v>993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993</v>
      </c>
      <c r="P435" s="44" t="str">
        <f>_xlfn.XLOOKUP(Tabla5[[#This Row],[EAN CORREGIDO]],'Tabla Articulos'!B:B,'Tabla Articulos'!D:D)</f>
        <v>CAMISETA NEGRA 40X50</v>
      </c>
      <c r="Q435" s="44">
        <f>_xlfn.XLOOKUP(S435,'Tabla Articulos'!B:B,'Tabla Articulos'!E:E)</f>
        <v>60</v>
      </c>
      <c r="R435" s="44">
        <f t="shared" si="12"/>
        <v>59580</v>
      </c>
      <c r="S435" s="45" t="str">
        <f t="shared" si="13"/>
        <v>7790321020147</v>
      </c>
    </row>
    <row r="436" spans="1:19" hidden="1" x14ac:dyDescent="0.35">
      <c r="A436" s="22">
        <v>6</v>
      </c>
      <c r="B436" t="s">
        <v>801</v>
      </c>
      <c r="C436" t="s">
        <v>802</v>
      </c>
      <c r="D436" s="11" t="s">
        <v>5085</v>
      </c>
      <c r="E436" t="s">
        <v>5086</v>
      </c>
      <c r="F436">
        <v>5002861</v>
      </c>
      <c r="G436" t="s">
        <v>5087</v>
      </c>
      <c r="H436" t="s">
        <v>1034</v>
      </c>
      <c r="I436">
        <v>29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29</v>
      </c>
      <c r="P436" s="44" t="e">
        <f>_xlfn.XLOOKUP(Tabla5[[#This Row],[EAN CORREGIDO]],'Tabla Articulos'!B:B,'Tabla Articulos'!D:D)</f>
        <v>#N/A</v>
      </c>
      <c r="Q436" s="44" t="e">
        <f>_xlfn.XLOOKUP(S436,'Tabla Articulos'!B:B,'Tabla Articulos'!E:E)</f>
        <v>#N/A</v>
      </c>
      <c r="R436" s="44" t="e">
        <f t="shared" si="12"/>
        <v>#N/A</v>
      </c>
      <c r="S436" s="45" t="str">
        <f t="shared" si="13"/>
        <v>BAZ000398</v>
      </c>
    </row>
    <row r="437" spans="1:19" hidden="1" x14ac:dyDescent="0.35">
      <c r="A437" s="22">
        <v>1</v>
      </c>
      <c r="B437" t="s">
        <v>812</v>
      </c>
      <c r="C437" t="s">
        <v>802</v>
      </c>
      <c r="D437" t="s">
        <v>2347</v>
      </c>
      <c r="E437" t="s">
        <v>2348</v>
      </c>
      <c r="F437">
        <v>4077230</v>
      </c>
      <c r="G437" t="s">
        <v>2349</v>
      </c>
      <c r="H437" t="s">
        <v>805</v>
      </c>
      <c r="I437">
        <v>653</v>
      </c>
      <c r="J437">
        <v>0</v>
      </c>
      <c r="K437">
        <v>0</v>
      </c>
      <c r="L437">
        <v>0</v>
      </c>
      <c r="M437">
        <v>14</v>
      </c>
      <c r="N437">
        <v>0</v>
      </c>
      <c r="O437">
        <v>639</v>
      </c>
      <c r="P437" s="44" t="e">
        <f>_xlfn.XLOOKUP(Tabla5[[#This Row],[EAN CORREGIDO]],'Tabla Articulos'!B:B,'Tabla Articulos'!D:D)</f>
        <v>#N/A</v>
      </c>
      <c r="Q437" s="44" t="e">
        <f>_xlfn.XLOOKUP(S437,'Tabla Articulos'!B:B,'Tabla Articulos'!E:E)</f>
        <v>#N/A</v>
      </c>
      <c r="R437" s="44" t="e">
        <f t="shared" si="12"/>
        <v>#N/A</v>
      </c>
      <c r="S437" s="45" t="str">
        <f t="shared" si="13"/>
        <v>7798172641321</v>
      </c>
    </row>
    <row r="438" spans="1:19" hidden="1" x14ac:dyDescent="0.35">
      <c r="A438" s="22">
        <v>6</v>
      </c>
      <c r="B438" t="s">
        <v>801</v>
      </c>
      <c r="C438" t="s">
        <v>802</v>
      </c>
      <c r="D438" s="11" t="s">
        <v>1198</v>
      </c>
      <c r="E438" t="s">
        <v>2350</v>
      </c>
      <c r="F438">
        <v>2007095</v>
      </c>
      <c r="G438" t="s">
        <v>2351</v>
      </c>
      <c r="H438" t="s">
        <v>805</v>
      </c>
      <c r="I438">
        <v>432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432</v>
      </c>
      <c r="P438" s="44" t="e">
        <f>_xlfn.XLOOKUP(Tabla5[[#This Row],[EAN CORREGIDO]],'Tabla Articulos'!B:B,'Tabla Articulos'!D:D)</f>
        <v>#N/A</v>
      </c>
      <c r="Q438" s="44" t="e">
        <f>_xlfn.XLOOKUP(S438,'Tabla Articulos'!B:B,'Tabla Articulos'!E:E)</f>
        <v>#N/A</v>
      </c>
      <c r="R438" s="44" t="e">
        <f t="shared" si="12"/>
        <v>#N/A</v>
      </c>
      <c r="S438" s="45" t="str">
        <f t="shared" si="13"/>
        <v>7798092968744</v>
      </c>
    </row>
    <row r="439" spans="1:19" hidden="1" x14ac:dyDescent="0.35">
      <c r="A439" s="22">
        <v>6</v>
      </c>
      <c r="B439" t="s">
        <v>801</v>
      </c>
      <c r="C439" t="s">
        <v>802</v>
      </c>
      <c r="D439"/>
      <c r="E439" t="s">
        <v>2352</v>
      </c>
      <c r="F439">
        <v>9003752</v>
      </c>
      <c r="G439" t="s">
        <v>1108</v>
      </c>
      <c r="H439" t="s">
        <v>805</v>
      </c>
      <c r="I439">
        <v>26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26</v>
      </c>
      <c r="P439" s="44" t="e">
        <f>_xlfn.XLOOKUP(Tabla5[[#This Row],[EAN CORREGIDO]],'Tabla Articulos'!B:B,'Tabla Articulos'!D:D)</f>
        <v>#N/A</v>
      </c>
      <c r="Q439" s="44" t="e">
        <f>_xlfn.XLOOKUP(S439,'Tabla Articulos'!B:B,'Tabla Articulos'!E:E)</f>
        <v>#N/A</v>
      </c>
      <c r="R439" s="44" t="e">
        <f t="shared" si="12"/>
        <v>#N/A</v>
      </c>
      <c r="S439" s="45" t="str">
        <f t="shared" si="13"/>
        <v>BAZ001321</v>
      </c>
    </row>
    <row r="440" spans="1:19" hidden="1" x14ac:dyDescent="0.35">
      <c r="A440" s="22">
        <v>6</v>
      </c>
      <c r="B440" t="s">
        <v>801</v>
      </c>
      <c r="C440" t="s">
        <v>802</v>
      </c>
      <c r="D440"/>
      <c r="E440" t="s">
        <v>2353</v>
      </c>
      <c r="F440">
        <v>9003037</v>
      </c>
      <c r="G440" t="s">
        <v>2354</v>
      </c>
      <c r="H440" t="s">
        <v>805</v>
      </c>
      <c r="I440">
        <v>42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42</v>
      </c>
      <c r="P440" s="44" t="e">
        <f>_xlfn.XLOOKUP(Tabla5[[#This Row],[EAN CORREGIDO]],'Tabla Articulos'!B:B,'Tabla Articulos'!D:D)</f>
        <v>#N/A</v>
      </c>
      <c r="Q440" s="44" t="e">
        <f>_xlfn.XLOOKUP(S440,'Tabla Articulos'!B:B,'Tabla Articulos'!E:E)</f>
        <v>#N/A</v>
      </c>
      <c r="R440" s="44" t="e">
        <f t="shared" si="12"/>
        <v>#N/A</v>
      </c>
      <c r="S440" s="45" t="str">
        <f t="shared" si="13"/>
        <v>UNIF000006</v>
      </c>
    </row>
    <row r="441" spans="1:19" hidden="1" x14ac:dyDescent="0.35">
      <c r="A441" s="22">
        <v>1</v>
      </c>
      <c r="B441" t="s">
        <v>812</v>
      </c>
      <c r="C441" t="s">
        <v>802</v>
      </c>
      <c r="D441" s="11" t="s">
        <v>2355</v>
      </c>
      <c r="E441" t="s">
        <v>2356</v>
      </c>
      <c r="F441">
        <v>4019866</v>
      </c>
      <c r="G441" t="s">
        <v>2357</v>
      </c>
      <c r="H441" t="s">
        <v>805</v>
      </c>
      <c r="I441">
        <v>13</v>
      </c>
      <c r="J441">
        <v>40</v>
      </c>
      <c r="K441">
        <v>0</v>
      </c>
      <c r="L441">
        <v>0</v>
      </c>
      <c r="M441">
        <v>0</v>
      </c>
      <c r="N441">
        <v>0</v>
      </c>
      <c r="O441">
        <v>53</v>
      </c>
      <c r="P441" s="44" t="e">
        <f>_xlfn.XLOOKUP(Tabla5[[#This Row],[EAN CORREGIDO]],'Tabla Articulos'!B:B,'Tabla Articulos'!D:D)</f>
        <v>#N/A</v>
      </c>
      <c r="Q441" s="44" t="e">
        <f>_xlfn.XLOOKUP(S441,'Tabla Articulos'!B:B,'Tabla Articulos'!E:E)</f>
        <v>#N/A</v>
      </c>
      <c r="R441" s="44" t="e">
        <f t="shared" si="12"/>
        <v>#N/A</v>
      </c>
      <c r="S441" s="45" t="str">
        <f t="shared" si="13"/>
        <v>7791113001840</v>
      </c>
    </row>
    <row r="442" spans="1:19" hidden="1" x14ac:dyDescent="0.35">
      <c r="A442" s="22">
        <v>5</v>
      </c>
      <c r="B442" t="s">
        <v>829</v>
      </c>
      <c r="C442" t="s">
        <v>802</v>
      </c>
      <c r="D442" t="s">
        <v>2355</v>
      </c>
      <c r="E442" t="s">
        <v>2356</v>
      </c>
      <c r="F442">
        <v>4019866</v>
      </c>
      <c r="G442" t="s">
        <v>2357</v>
      </c>
      <c r="H442" t="s">
        <v>805</v>
      </c>
      <c r="I442">
        <v>0</v>
      </c>
      <c r="J442">
        <v>5</v>
      </c>
      <c r="K442">
        <v>0</v>
      </c>
      <c r="L442">
        <v>0</v>
      </c>
      <c r="M442">
        <v>0</v>
      </c>
      <c r="N442">
        <v>0</v>
      </c>
      <c r="O442">
        <v>5</v>
      </c>
      <c r="P442" s="44" t="e">
        <f>_xlfn.XLOOKUP(Tabla5[[#This Row],[EAN CORREGIDO]],'Tabla Articulos'!B:B,'Tabla Articulos'!D:D)</f>
        <v>#N/A</v>
      </c>
      <c r="Q442" s="44" t="e">
        <f>_xlfn.XLOOKUP(S442,'Tabla Articulos'!B:B,'Tabla Articulos'!E:E)</f>
        <v>#N/A</v>
      </c>
      <c r="R442" s="44" t="e">
        <f t="shared" si="12"/>
        <v>#N/A</v>
      </c>
      <c r="S442" s="45" t="str">
        <f t="shared" si="13"/>
        <v>7791113001840</v>
      </c>
    </row>
    <row r="443" spans="1:19" hidden="1" x14ac:dyDescent="0.35">
      <c r="A443" s="22">
        <v>1</v>
      </c>
      <c r="B443" t="s">
        <v>812</v>
      </c>
      <c r="C443" t="s">
        <v>802</v>
      </c>
      <c r="D443" t="s">
        <v>857</v>
      </c>
      <c r="E443" t="s">
        <v>2358</v>
      </c>
      <c r="F443">
        <v>4020132</v>
      </c>
      <c r="G443" t="s">
        <v>2359</v>
      </c>
      <c r="H443" t="s">
        <v>805</v>
      </c>
      <c r="I443">
        <v>646</v>
      </c>
      <c r="J443">
        <v>0</v>
      </c>
      <c r="K443">
        <v>0</v>
      </c>
      <c r="L443">
        <v>40</v>
      </c>
      <c r="M443">
        <v>40</v>
      </c>
      <c r="N443">
        <v>0</v>
      </c>
      <c r="O443">
        <v>566</v>
      </c>
      <c r="P443" s="44" t="e">
        <f>_xlfn.XLOOKUP(Tabla5[[#This Row],[EAN CORREGIDO]],'Tabla Articulos'!B:B,'Tabla Articulos'!D:D)</f>
        <v>#N/A</v>
      </c>
      <c r="Q443" s="44" t="e">
        <f>_xlfn.XLOOKUP(S443,'Tabla Articulos'!B:B,'Tabla Articulos'!E:E)</f>
        <v>#N/A</v>
      </c>
      <c r="R443" s="44" t="e">
        <f t="shared" si="12"/>
        <v>#N/A</v>
      </c>
      <c r="S443" s="45" t="str">
        <f t="shared" si="13"/>
        <v>7793875312608</v>
      </c>
    </row>
    <row r="444" spans="1:19" hidden="1" x14ac:dyDescent="0.35">
      <c r="A444" s="22">
        <v>6</v>
      </c>
      <c r="B444" t="s">
        <v>801</v>
      </c>
      <c r="C444" t="s">
        <v>802</v>
      </c>
      <c r="E444" t="s">
        <v>2360</v>
      </c>
      <c r="F444">
        <v>9003117</v>
      </c>
      <c r="G444" t="s">
        <v>2361</v>
      </c>
      <c r="H444" t="s">
        <v>805</v>
      </c>
      <c r="I444">
        <v>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9</v>
      </c>
      <c r="P444" s="44" t="e">
        <f>_xlfn.XLOOKUP(Tabla5[[#This Row],[EAN CORREGIDO]],'Tabla Articulos'!B:B,'Tabla Articulos'!D:D)</f>
        <v>#N/A</v>
      </c>
      <c r="Q444" s="44" t="e">
        <f>_xlfn.XLOOKUP(S444,'Tabla Articulos'!B:B,'Tabla Articulos'!E:E)</f>
        <v>#N/A</v>
      </c>
      <c r="R444" s="44" t="e">
        <f t="shared" si="12"/>
        <v>#N/A</v>
      </c>
      <c r="S444" s="45" t="str">
        <f t="shared" si="13"/>
        <v>UNIF000579</v>
      </c>
    </row>
    <row r="445" spans="1:19" hidden="1" x14ac:dyDescent="0.35">
      <c r="A445" s="22">
        <v>6</v>
      </c>
      <c r="B445" t="s">
        <v>801</v>
      </c>
      <c r="C445" t="s">
        <v>802</v>
      </c>
      <c r="D445" t="s">
        <v>2362</v>
      </c>
      <c r="E445" t="s">
        <v>2363</v>
      </c>
      <c r="F445">
        <v>2016712</v>
      </c>
      <c r="G445" t="s">
        <v>2364</v>
      </c>
      <c r="H445" t="s">
        <v>805</v>
      </c>
      <c r="I445">
        <v>520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520</v>
      </c>
      <c r="P445" s="44" t="e">
        <f>_xlfn.XLOOKUP(Tabla5[[#This Row],[EAN CORREGIDO]],'Tabla Articulos'!B:B,'Tabla Articulos'!D:D)</f>
        <v>#N/A</v>
      </c>
      <c r="Q445" s="44" t="e">
        <f>_xlfn.XLOOKUP(S445,'Tabla Articulos'!B:B,'Tabla Articulos'!E:E)</f>
        <v>#N/A</v>
      </c>
      <c r="R445" s="44" t="e">
        <f t="shared" si="12"/>
        <v>#N/A</v>
      </c>
      <c r="S445" s="45" t="str">
        <f t="shared" si="13"/>
        <v>7798065720256</v>
      </c>
    </row>
    <row r="446" spans="1:19" hidden="1" x14ac:dyDescent="0.35">
      <c r="A446" s="22">
        <v>1</v>
      </c>
      <c r="B446" t="s">
        <v>812</v>
      </c>
      <c r="C446" t="s">
        <v>802</v>
      </c>
      <c r="D446" t="s">
        <v>1173</v>
      </c>
      <c r="E446" t="s">
        <v>2090</v>
      </c>
      <c r="F446">
        <v>4018366</v>
      </c>
      <c r="G446" t="s">
        <v>2091</v>
      </c>
      <c r="H446" t="s">
        <v>816</v>
      </c>
      <c r="I446">
        <v>4964.25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4964.25</v>
      </c>
      <c r="P446" s="44" t="e">
        <f>_xlfn.XLOOKUP(Tabla5[[#This Row],[EAN CORREGIDO]],'Tabla Articulos'!B:B,'Tabla Articulos'!D:D)</f>
        <v>#N/A</v>
      </c>
      <c r="Q446" s="44" t="e">
        <f>_xlfn.XLOOKUP(S446,'Tabla Articulos'!B:B,'Tabla Articulos'!E:E)</f>
        <v>#N/A</v>
      </c>
      <c r="R446" s="44" t="e">
        <f t="shared" si="12"/>
        <v>#N/A</v>
      </c>
      <c r="S446" s="45" t="str">
        <f t="shared" si="13"/>
        <v>7798047760270</v>
      </c>
    </row>
    <row r="447" spans="1:19" hidden="1" x14ac:dyDescent="0.35">
      <c r="A447" s="22">
        <v>6</v>
      </c>
      <c r="B447" t="s">
        <v>801</v>
      </c>
      <c r="C447" t="s">
        <v>802</v>
      </c>
      <c r="D447" s="11" t="s">
        <v>1874</v>
      </c>
      <c r="E447" t="s">
        <v>2806</v>
      </c>
      <c r="F447">
        <v>2007383</v>
      </c>
      <c r="G447" t="s">
        <v>2807</v>
      </c>
      <c r="H447" t="s">
        <v>805</v>
      </c>
      <c r="I447">
        <v>970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970</v>
      </c>
      <c r="P447" s="44" t="e">
        <f>_xlfn.XLOOKUP(Tabla5[[#This Row],[EAN CORREGIDO]],'Tabla Articulos'!B:B,'Tabla Articulos'!D:D)</f>
        <v>#N/A</v>
      </c>
      <c r="Q447" s="44" t="e">
        <f>_xlfn.XLOOKUP(S447,'Tabla Articulos'!B:B,'Tabla Articulos'!E:E)</f>
        <v>#N/A</v>
      </c>
      <c r="R447" s="44" t="e">
        <f t="shared" si="12"/>
        <v>#N/A</v>
      </c>
      <c r="S447" s="45" t="str">
        <f t="shared" si="13"/>
        <v>7793253386160</v>
      </c>
    </row>
    <row r="448" spans="1:19" hidden="1" x14ac:dyDescent="0.35">
      <c r="A448" s="22">
        <v>6</v>
      </c>
      <c r="B448" t="s">
        <v>801</v>
      </c>
      <c r="C448" t="s">
        <v>802</v>
      </c>
      <c r="D448"/>
      <c r="E448" t="s">
        <v>2808</v>
      </c>
      <c r="F448">
        <v>9003657</v>
      </c>
      <c r="G448" t="s">
        <v>2809</v>
      </c>
      <c r="H448" t="s">
        <v>805</v>
      </c>
      <c r="I448">
        <v>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6</v>
      </c>
      <c r="P448" s="44" t="e">
        <f>_xlfn.XLOOKUP(Tabla5[[#This Row],[EAN CORREGIDO]],'Tabla Articulos'!B:B,'Tabla Articulos'!D:D)</f>
        <v>#N/A</v>
      </c>
      <c r="Q448" s="44" t="e">
        <f>_xlfn.XLOOKUP(S448,'Tabla Articulos'!B:B,'Tabla Articulos'!E:E)</f>
        <v>#N/A</v>
      </c>
      <c r="R448" s="44" t="e">
        <f t="shared" si="12"/>
        <v>#N/A</v>
      </c>
      <c r="S448" s="45" t="str">
        <f t="shared" si="13"/>
        <v>UNIF000165</v>
      </c>
    </row>
    <row r="449" spans="1:19" hidden="1" x14ac:dyDescent="0.35">
      <c r="A449" s="22">
        <v>5</v>
      </c>
      <c r="B449" t="s">
        <v>829</v>
      </c>
      <c r="C449" t="s">
        <v>802</v>
      </c>
      <c r="D449"/>
      <c r="E449" t="s">
        <v>6823</v>
      </c>
      <c r="F449">
        <v>4077443</v>
      </c>
      <c r="G449" t="s">
        <v>6824</v>
      </c>
      <c r="H449" t="s">
        <v>805</v>
      </c>
      <c r="I449">
        <v>2</v>
      </c>
      <c r="J449">
        <v>0</v>
      </c>
      <c r="K449">
        <v>0</v>
      </c>
      <c r="L449">
        <v>0</v>
      </c>
      <c r="M449">
        <v>2</v>
      </c>
      <c r="N449">
        <v>0</v>
      </c>
      <c r="O449">
        <v>0</v>
      </c>
      <c r="P449" s="44" t="e">
        <f>_xlfn.XLOOKUP(Tabla5[[#This Row],[EAN CORREGIDO]],'Tabla Articulos'!B:B,'Tabla Articulos'!D:D)</f>
        <v>#N/A</v>
      </c>
      <c r="Q449" s="44" t="e">
        <f>_xlfn.XLOOKUP(S449,'Tabla Articulos'!B:B,'Tabla Articulos'!E:E)</f>
        <v>#N/A</v>
      </c>
      <c r="R449" s="44" t="e">
        <f t="shared" ref="R449:R512" si="14">O449*Q449</f>
        <v>#N/A</v>
      </c>
      <c r="S449" s="45" t="str">
        <f t="shared" ref="S449:S512" si="15">TRIM(E449)</f>
        <v>MOD21157</v>
      </c>
    </row>
    <row r="450" spans="1:19" hidden="1" x14ac:dyDescent="0.35">
      <c r="A450" s="22">
        <v>6</v>
      </c>
      <c r="B450" t="s">
        <v>801</v>
      </c>
      <c r="C450" t="s">
        <v>802</v>
      </c>
      <c r="D450"/>
      <c r="E450" t="s">
        <v>2810</v>
      </c>
      <c r="F450">
        <v>2011490</v>
      </c>
      <c r="G450" t="s">
        <v>2811</v>
      </c>
      <c r="H450" t="s">
        <v>805</v>
      </c>
      <c r="I450">
        <v>234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234</v>
      </c>
      <c r="P450" s="44" t="e">
        <f>_xlfn.XLOOKUP(Tabla5[[#This Row],[EAN CORREGIDO]],'Tabla Articulos'!B:B,'Tabla Articulos'!D:D)</f>
        <v>#N/A</v>
      </c>
      <c r="Q450" s="44" t="e">
        <f>_xlfn.XLOOKUP(S450,'Tabla Articulos'!B:B,'Tabla Articulos'!E:E)</f>
        <v>#N/A</v>
      </c>
      <c r="R450" s="44" t="e">
        <f t="shared" si="14"/>
        <v>#N/A</v>
      </c>
      <c r="S450" s="45" t="str">
        <f t="shared" si="15"/>
        <v>7794417224687</v>
      </c>
    </row>
    <row r="451" spans="1:19" hidden="1" x14ac:dyDescent="0.35">
      <c r="A451" s="22">
        <v>1</v>
      </c>
      <c r="B451" t="s">
        <v>812</v>
      </c>
      <c r="C451" t="s">
        <v>802</v>
      </c>
      <c r="D451" t="s">
        <v>1252</v>
      </c>
      <c r="E451" t="s">
        <v>2812</v>
      </c>
      <c r="F451">
        <v>4018493</v>
      </c>
      <c r="G451" t="s">
        <v>2813</v>
      </c>
      <c r="H451" t="s">
        <v>805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 s="44" t="e">
        <f>_xlfn.XLOOKUP(Tabla5[[#This Row],[EAN CORREGIDO]],'Tabla Articulos'!B:B,'Tabla Articulos'!D:D)</f>
        <v>#N/A</v>
      </c>
      <c r="Q451" s="44" t="e">
        <f>_xlfn.XLOOKUP(S451,'Tabla Articulos'!B:B,'Tabla Articulos'!E:E)</f>
        <v>#N/A</v>
      </c>
      <c r="R451" s="44" t="e">
        <f t="shared" si="14"/>
        <v>#N/A</v>
      </c>
      <c r="S451" s="45" t="str">
        <f t="shared" si="15"/>
        <v>7799132966563</v>
      </c>
    </row>
    <row r="452" spans="1:19" hidden="1" x14ac:dyDescent="0.35">
      <c r="A452" s="22">
        <v>1</v>
      </c>
      <c r="B452" t="s">
        <v>812</v>
      </c>
      <c r="C452" t="s">
        <v>802</v>
      </c>
      <c r="D452" s="11" t="s">
        <v>1066</v>
      </c>
      <c r="E452" t="s">
        <v>2814</v>
      </c>
      <c r="F452">
        <v>4021297</v>
      </c>
      <c r="G452" t="s">
        <v>2815</v>
      </c>
      <c r="H452" t="s">
        <v>805</v>
      </c>
      <c r="I452">
        <v>1915</v>
      </c>
      <c r="J452">
        <v>198</v>
      </c>
      <c r="K452">
        <v>0</v>
      </c>
      <c r="L452">
        <v>0</v>
      </c>
      <c r="M452">
        <v>0</v>
      </c>
      <c r="N452">
        <v>0</v>
      </c>
      <c r="O452">
        <v>2113</v>
      </c>
      <c r="P452" s="44" t="e">
        <f>_xlfn.XLOOKUP(Tabla5[[#This Row],[EAN CORREGIDO]],'Tabla Articulos'!B:B,'Tabla Articulos'!D:D)</f>
        <v>#N/A</v>
      </c>
      <c r="Q452" s="44" t="e">
        <f>_xlfn.XLOOKUP(S452,'Tabla Articulos'!B:B,'Tabla Articulos'!E:E)</f>
        <v>#N/A</v>
      </c>
      <c r="R452" s="44" t="e">
        <f t="shared" si="14"/>
        <v>#N/A</v>
      </c>
      <c r="S452" s="45" t="str">
        <f t="shared" si="15"/>
        <v>7798054180054</v>
      </c>
    </row>
    <row r="453" spans="1:19" hidden="1" x14ac:dyDescent="0.35">
      <c r="A453" s="22">
        <v>6</v>
      </c>
      <c r="B453" t="s">
        <v>801</v>
      </c>
      <c r="C453" t="s">
        <v>802</v>
      </c>
      <c r="D453"/>
      <c r="E453" t="s">
        <v>2816</v>
      </c>
      <c r="F453">
        <v>9003133</v>
      </c>
      <c r="G453" t="s">
        <v>2817</v>
      </c>
      <c r="H453" t="s">
        <v>805</v>
      </c>
      <c r="I453">
        <v>28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28</v>
      </c>
      <c r="P453" s="44" t="e">
        <f>_xlfn.XLOOKUP(Tabla5[[#This Row],[EAN CORREGIDO]],'Tabla Articulos'!B:B,'Tabla Articulos'!D:D)</f>
        <v>#N/A</v>
      </c>
      <c r="Q453" s="44" t="e">
        <f>_xlfn.XLOOKUP(S453,'Tabla Articulos'!B:B,'Tabla Articulos'!E:E)</f>
        <v>#N/A</v>
      </c>
      <c r="R453" s="44" t="e">
        <f t="shared" si="14"/>
        <v>#N/A</v>
      </c>
      <c r="S453" s="45" t="str">
        <f t="shared" si="15"/>
        <v>UNIF000595</v>
      </c>
    </row>
    <row r="454" spans="1:19" hidden="1" x14ac:dyDescent="0.35">
      <c r="A454" s="22">
        <v>1</v>
      </c>
      <c r="B454" t="s">
        <v>812</v>
      </c>
      <c r="C454" t="s">
        <v>802</v>
      </c>
      <c r="D454" t="s">
        <v>2886</v>
      </c>
      <c r="E454" t="s">
        <v>2887</v>
      </c>
      <c r="F454">
        <v>4076553</v>
      </c>
      <c r="G454" t="s">
        <v>2888</v>
      </c>
      <c r="H454" t="s">
        <v>805</v>
      </c>
      <c r="I454">
        <v>12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12</v>
      </c>
      <c r="P454" s="44" t="e">
        <f>_xlfn.XLOOKUP(Tabla5[[#This Row],[EAN CORREGIDO]],'Tabla Articulos'!B:B,'Tabla Articulos'!D:D)</f>
        <v>#N/A</v>
      </c>
      <c r="Q454" s="44" t="e">
        <f>_xlfn.XLOOKUP(S454,'Tabla Articulos'!B:B,'Tabla Articulos'!E:E)</f>
        <v>#N/A</v>
      </c>
      <c r="R454" s="44" t="e">
        <f t="shared" si="14"/>
        <v>#N/A</v>
      </c>
      <c r="S454" s="45" t="str">
        <f t="shared" si="15"/>
        <v>7798131130781</v>
      </c>
    </row>
    <row r="455" spans="1:19" hidden="1" x14ac:dyDescent="0.35">
      <c r="A455" s="22">
        <v>1</v>
      </c>
      <c r="B455" t="s">
        <v>812</v>
      </c>
      <c r="C455" t="s">
        <v>802</v>
      </c>
      <c r="D455" t="s">
        <v>1681</v>
      </c>
      <c r="E455" t="s">
        <v>2889</v>
      </c>
      <c r="F455">
        <v>4022162</v>
      </c>
      <c r="G455" t="s">
        <v>2890</v>
      </c>
      <c r="H455" t="s">
        <v>805</v>
      </c>
      <c r="I455">
        <v>52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52</v>
      </c>
      <c r="P455" s="44" t="e">
        <f>_xlfn.XLOOKUP(Tabla5[[#This Row],[EAN CORREGIDO]],'Tabla Articulos'!B:B,'Tabla Articulos'!D:D)</f>
        <v>#N/A</v>
      </c>
      <c r="Q455" s="44" t="e">
        <f>_xlfn.XLOOKUP(S455,'Tabla Articulos'!B:B,'Tabla Articulos'!E:E)</f>
        <v>#N/A</v>
      </c>
      <c r="R455" s="44" t="e">
        <f t="shared" si="14"/>
        <v>#N/A</v>
      </c>
      <c r="S455" s="45" t="str">
        <f t="shared" si="15"/>
        <v>7798048981025</v>
      </c>
    </row>
    <row r="456" spans="1:19" hidden="1" x14ac:dyDescent="0.35">
      <c r="A456" s="22">
        <v>6</v>
      </c>
      <c r="B456" t="s">
        <v>801</v>
      </c>
      <c r="C456" t="s">
        <v>802</v>
      </c>
      <c r="E456" t="s">
        <v>1522</v>
      </c>
      <c r="F456">
        <v>9003537</v>
      </c>
      <c r="G456" t="s">
        <v>1523</v>
      </c>
      <c r="H456" t="s">
        <v>805</v>
      </c>
      <c r="I456">
        <v>0</v>
      </c>
      <c r="J456">
        <v>70</v>
      </c>
      <c r="K456">
        <v>0</v>
      </c>
      <c r="L456">
        <v>0</v>
      </c>
      <c r="M456">
        <v>0</v>
      </c>
      <c r="N456">
        <v>0</v>
      </c>
      <c r="O456">
        <v>70</v>
      </c>
      <c r="P456" s="44" t="e">
        <f>_xlfn.XLOOKUP(Tabla5[[#This Row],[EAN CORREGIDO]],'Tabla Articulos'!B:B,'Tabla Articulos'!D:D)</f>
        <v>#N/A</v>
      </c>
      <c r="Q456" s="44" t="e">
        <f>_xlfn.XLOOKUP(S456,'Tabla Articulos'!B:B,'Tabla Articulos'!E:E)</f>
        <v>#N/A</v>
      </c>
      <c r="R456" s="44" t="e">
        <f t="shared" si="14"/>
        <v>#N/A</v>
      </c>
      <c r="S456" s="45" t="str">
        <f t="shared" si="15"/>
        <v>UNIF000076</v>
      </c>
    </row>
    <row r="457" spans="1:19" hidden="1" x14ac:dyDescent="0.35">
      <c r="A457" s="22">
        <v>6</v>
      </c>
      <c r="B457" t="s">
        <v>801</v>
      </c>
      <c r="C457" t="s">
        <v>802</v>
      </c>
      <c r="D457" t="s">
        <v>2066</v>
      </c>
      <c r="E457" t="s">
        <v>2067</v>
      </c>
      <c r="F457">
        <v>2007491</v>
      </c>
      <c r="G457" t="s">
        <v>2068</v>
      </c>
      <c r="H457" t="s">
        <v>805</v>
      </c>
      <c r="I457">
        <v>166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166</v>
      </c>
      <c r="P457" s="44" t="e">
        <f>_xlfn.XLOOKUP(Tabla5[[#This Row],[EAN CORREGIDO]],'Tabla Articulos'!B:B,'Tabla Articulos'!D:D)</f>
        <v>#N/A</v>
      </c>
      <c r="Q457" s="44" t="e">
        <f>_xlfn.XLOOKUP(S457,'Tabla Articulos'!B:B,'Tabla Articulos'!E:E)</f>
        <v>#N/A</v>
      </c>
      <c r="R457" s="44" t="e">
        <f t="shared" si="14"/>
        <v>#N/A</v>
      </c>
      <c r="S457" s="45" t="str">
        <f t="shared" si="15"/>
        <v>7790000000465</v>
      </c>
    </row>
    <row r="458" spans="1:19" hidden="1" x14ac:dyDescent="0.35">
      <c r="A458" s="22">
        <v>6</v>
      </c>
      <c r="B458" t="s">
        <v>801</v>
      </c>
      <c r="C458" t="s">
        <v>802</v>
      </c>
      <c r="D458" t="s">
        <v>1374</v>
      </c>
      <c r="E458" t="s">
        <v>2069</v>
      </c>
      <c r="F458">
        <v>2016588</v>
      </c>
      <c r="G458" t="s">
        <v>2070</v>
      </c>
      <c r="H458" t="s">
        <v>805</v>
      </c>
      <c r="I458">
        <v>2514</v>
      </c>
      <c r="J458">
        <v>0</v>
      </c>
      <c r="K458">
        <v>0</v>
      </c>
      <c r="L458">
        <v>0</v>
      </c>
      <c r="M458">
        <v>759</v>
      </c>
      <c r="N458">
        <v>0</v>
      </c>
      <c r="O458">
        <v>1755</v>
      </c>
      <c r="P458" s="44" t="e">
        <f>_xlfn.XLOOKUP(Tabla5[[#This Row],[EAN CORREGIDO]],'Tabla Articulos'!B:B,'Tabla Articulos'!D:D)</f>
        <v>#N/A</v>
      </c>
      <c r="Q458" s="44" t="e">
        <f>_xlfn.XLOOKUP(S458,'Tabla Articulos'!B:B,'Tabla Articulos'!E:E)</f>
        <v>#N/A</v>
      </c>
      <c r="R458" s="44" t="e">
        <f t="shared" si="14"/>
        <v>#N/A</v>
      </c>
      <c r="S458" s="45" t="str">
        <f t="shared" si="15"/>
        <v>7790000000746</v>
      </c>
    </row>
    <row r="459" spans="1:19" hidden="1" x14ac:dyDescent="0.35">
      <c r="A459" s="22">
        <v>6</v>
      </c>
      <c r="B459" t="s">
        <v>801</v>
      </c>
      <c r="C459" t="s">
        <v>802</v>
      </c>
      <c r="D459"/>
      <c r="E459" t="s">
        <v>2071</v>
      </c>
      <c r="F459">
        <v>9003478</v>
      </c>
      <c r="G459" t="s">
        <v>2072</v>
      </c>
      <c r="H459" t="s">
        <v>805</v>
      </c>
      <c r="I459">
        <v>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 s="44" t="e">
        <f>_xlfn.XLOOKUP(Tabla5[[#This Row],[EAN CORREGIDO]],'Tabla Articulos'!B:B,'Tabla Articulos'!D:D)</f>
        <v>#N/A</v>
      </c>
      <c r="Q459" s="44" t="e">
        <f>_xlfn.XLOOKUP(S459,'Tabla Articulos'!B:B,'Tabla Articulos'!E:E)</f>
        <v>#N/A</v>
      </c>
      <c r="R459" s="44" t="e">
        <f t="shared" si="14"/>
        <v>#N/A</v>
      </c>
      <c r="S459" s="45" t="str">
        <f t="shared" si="15"/>
        <v>UNIF000210</v>
      </c>
    </row>
    <row r="460" spans="1:19" hidden="1" x14ac:dyDescent="0.35">
      <c r="A460" s="22">
        <v>1</v>
      </c>
      <c r="B460" t="s">
        <v>812</v>
      </c>
      <c r="C460" t="s">
        <v>802</v>
      </c>
      <c r="D460" s="11" t="s">
        <v>2073</v>
      </c>
      <c r="E460" t="s">
        <v>2074</v>
      </c>
      <c r="F460">
        <v>4017698</v>
      </c>
      <c r="G460" t="s">
        <v>2075</v>
      </c>
      <c r="H460" t="s">
        <v>816</v>
      </c>
      <c r="I460">
        <v>870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870</v>
      </c>
      <c r="P460" s="44" t="e">
        <f>_xlfn.XLOOKUP(Tabla5[[#This Row],[EAN CORREGIDO]],'Tabla Articulos'!B:B,'Tabla Articulos'!D:D)</f>
        <v>#N/A</v>
      </c>
      <c r="Q460" s="44" t="e">
        <f>_xlfn.XLOOKUP(S460,'Tabla Articulos'!B:B,'Tabla Articulos'!E:E)</f>
        <v>#N/A</v>
      </c>
      <c r="R460" s="44" t="e">
        <f t="shared" si="14"/>
        <v>#N/A</v>
      </c>
      <c r="S460" s="45" t="str">
        <f t="shared" si="15"/>
        <v>7790212031279</v>
      </c>
    </row>
    <row r="461" spans="1:19" hidden="1" x14ac:dyDescent="0.35">
      <c r="A461" s="22">
        <v>6</v>
      </c>
      <c r="B461" t="s">
        <v>801</v>
      </c>
      <c r="C461" t="s">
        <v>802</v>
      </c>
      <c r="D461"/>
      <c r="E461" t="s">
        <v>2076</v>
      </c>
      <c r="F461">
        <v>9003519</v>
      </c>
      <c r="G461" t="s">
        <v>2077</v>
      </c>
      <c r="H461" t="s">
        <v>805</v>
      </c>
      <c r="I461">
        <v>13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13</v>
      </c>
      <c r="P461" s="44" t="e">
        <f>_xlfn.XLOOKUP(Tabla5[[#This Row],[EAN CORREGIDO]],'Tabla Articulos'!B:B,'Tabla Articulos'!D:D)</f>
        <v>#N/A</v>
      </c>
      <c r="Q461" s="44" t="e">
        <f>_xlfn.XLOOKUP(S461,'Tabla Articulos'!B:B,'Tabla Articulos'!E:E)</f>
        <v>#N/A</v>
      </c>
      <c r="R461" s="44" t="e">
        <f t="shared" si="14"/>
        <v>#N/A</v>
      </c>
      <c r="S461" s="45" t="str">
        <f t="shared" si="15"/>
        <v>UNIF000346</v>
      </c>
    </row>
    <row r="462" spans="1:19" hidden="1" x14ac:dyDescent="0.35">
      <c r="A462" s="22">
        <v>6</v>
      </c>
      <c r="B462" t="s">
        <v>801</v>
      </c>
      <c r="C462" t="s">
        <v>802</v>
      </c>
      <c r="D462"/>
      <c r="E462" t="s">
        <v>2078</v>
      </c>
      <c r="F462">
        <v>9003792</v>
      </c>
      <c r="G462" t="s">
        <v>2079</v>
      </c>
      <c r="H462" t="s">
        <v>805</v>
      </c>
      <c r="I462">
        <v>36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36</v>
      </c>
      <c r="P462" s="44" t="e">
        <f>_xlfn.XLOOKUP(Tabla5[[#This Row],[EAN CORREGIDO]],'Tabla Articulos'!B:B,'Tabla Articulos'!D:D)</f>
        <v>#N/A</v>
      </c>
      <c r="Q462" s="44" t="e">
        <f>_xlfn.XLOOKUP(S462,'Tabla Articulos'!B:B,'Tabla Articulos'!E:E)</f>
        <v>#N/A</v>
      </c>
      <c r="R462" s="44" t="e">
        <f t="shared" si="14"/>
        <v>#N/A</v>
      </c>
      <c r="S462" s="45" t="str">
        <f t="shared" si="15"/>
        <v>BAZ001167</v>
      </c>
    </row>
    <row r="463" spans="1:19" hidden="1" x14ac:dyDescent="0.35">
      <c r="A463" s="22">
        <v>6</v>
      </c>
      <c r="B463" t="s">
        <v>801</v>
      </c>
      <c r="C463" t="s">
        <v>802</v>
      </c>
      <c r="D463"/>
      <c r="E463" t="s">
        <v>2080</v>
      </c>
      <c r="F463">
        <v>2011522</v>
      </c>
      <c r="G463" t="s">
        <v>2081</v>
      </c>
      <c r="H463" t="s">
        <v>805</v>
      </c>
      <c r="I463">
        <v>152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152</v>
      </c>
      <c r="P463" s="44" t="e">
        <f>_xlfn.XLOOKUP(Tabla5[[#This Row],[EAN CORREGIDO]],'Tabla Articulos'!B:B,'Tabla Articulos'!D:D)</f>
        <v>#N/A</v>
      </c>
      <c r="Q463" s="44" t="e">
        <f>_xlfn.XLOOKUP(S463,'Tabla Articulos'!B:B,'Tabla Articulos'!E:E)</f>
        <v>#N/A</v>
      </c>
      <c r="R463" s="44" t="e">
        <f t="shared" si="14"/>
        <v>#N/A</v>
      </c>
      <c r="S463" s="45" t="str">
        <f t="shared" si="15"/>
        <v>7794417000502</v>
      </c>
    </row>
    <row r="464" spans="1:19" hidden="1" x14ac:dyDescent="0.35">
      <c r="A464" s="22">
        <v>6</v>
      </c>
      <c r="B464" t="s">
        <v>801</v>
      </c>
      <c r="C464" t="s">
        <v>802</v>
      </c>
      <c r="D464"/>
      <c r="E464" t="s">
        <v>2792</v>
      </c>
      <c r="F464">
        <v>9003128</v>
      </c>
      <c r="G464" t="s">
        <v>2793</v>
      </c>
      <c r="H464" t="s">
        <v>805</v>
      </c>
      <c r="I464">
        <v>72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72</v>
      </c>
      <c r="P464" s="44" t="e">
        <f>_xlfn.XLOOKUP(Tabla5[[#This Row],[EAN CORREGIDO]],'Tabla Articulos'!B:B,'Tabla Articulos'!D:D)</f>
        <v>#N/A</v>
      </c>
      <c r="Q464" s="44" t="e">
        <f>_xlfn.XLOOKUP(S464,'Tabla Articulos'!B:B,'Tabla Articulos'!E:E)</f>
        <v>#N/A</v>
      </c>
      <c r="R464" s="44" t="e">
        <f t="shared" si="14"/>
        <v>#N/A</v>
      </c>
      <c r="S464" s="45" t="str">
        <f t="shared" si="15"/>
        <v>UNIF000590</v>
      </c>
    </row>
    <row r="465" spans="1:19" hidden="1" x14ac:dyDescent="0.35">
      <c r="A465" s="22">
        <v>1</v>
      </c>
      <c r="B465" t="s">
        <v>812</v>
      </c>
      <c r="C465" t="s">
        <v>802</v>
      </c>
      <c r="D465" t="s">
        <v>2143</v>
      </c>
      <c r="E465" t="s">
        <v>2448</v>
      </c>
      <c r="F465">
        <v>4020060</v>
      </c>
      <c r="G465" t="s">
        <v>2449</v>
      </c>
      <c r="H465" t="s">
        <v>805</v>
      </c>
      <c r="I465">
        <v>1694</v>
      </c>
      <c r="J465">
        <v>0</v>
      </c>
      <c r="K465">
        <v>0</v>
      </c>
      <c r="L465">
        <v>8</v>
      </c>
      <c r="M465">
        <v>8</v>
      </c>
      <c r="N465">
        <v>0</v>
      </c>
      <c r="O465">
        <v>1678</v>
      </c>
      <c r="P465" s="44" t="e">
        <f>_xlfn.XLOOKUP(Tabla5[[#This Row],[EAN CORREGIDO]],'Tabla Articulos'!B:B,'Tabla Articulos'!D:D)</f>
        <v>#N/A</v>
      </c>
      <c r="Q465" s="44" t="e">
        <f>_xlfn.XLOOKUP(S465,'Tabla Articulos'!B:B,'Tabla Articulos'!E:E)</f>
        <v>#N/A</v>
      </c>
      <c r="R465" s="44" t="e">
        <f t="shared" si="14"/>
        <v>#N/A</v>
      </c>
      <c r="S465" s="45" t="str">
        <f t="shared" si="15"/>
        <v>7793875360289</v>
      </c>
    </row>
    <row r="466" spans="1:19" hidden="1" x14ac:dyDescent="0.35">
      <c r="A466" s="22">
        <v>1</v>
      </c>
      <c r="B466" t="s">
        <v>812</v>
      </c>
      <c r="C466" t="s">
        <v>802</v>
      </c>
      <c r="D466" t="s">
        <v>2701</v>
      </c>
      <c r="E466" t="s">
        <v>2702</v>
      </c>
      <c r="F466">
        <v>4076914</v>
      </c>
      <c r="G466" t="s">
        <v>2703</v>
      </c>
      <c r="H466" t="s">
        <v>805</v>
      </c>
      <c r="I466">
        <v>10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10</v>
      </c>
      <c r="P466" s="44" t="e">
        <f>_xlfn.XLOOKUP(Tabla5[[#This Row],[EAN CORREGIDO]],'Tabla Articulos'!B:B,'Tabla Articulos'!D:D)</f>
        <v>#N/A</v>
      </c>
      <c r="Q466" s="44" t="e">
        <f>_xlfn.XLOOKUP(S466,'Tabla Articulos'!B:B,'Tabla Articulos'!E:E)</f>
        <v>#N/A</v>
      </c>
      <c r="R466" s="44" t="e">
        <f t="shared" si="14"/>
        <v>#N/A</v>
      </c>
      <c r="S466" s="45" t="str">
        <f t="shared" si="15"/>
        <v>7798186161235</v>
      </c>
    </row>
    <row r="467" spans="1:19" hidden="1" x14ac:dyDescent="0.35">
      <c r="A467" s="22">
        <v>6</v>
      </c>
      <c r="B467" t="s">
        <v>801</v>
      </c>
      <c r="C467" t="s">
        <v>802</v>
      </c>
      <c r="E467" t="s">
        <v>2704</v>
      </c>
      <c r="F467">
        <v>2016645</v>
      </c>
      <c r="G467" t="s">
        <v>2705</v>
      </c>
      <c r="H467" t="s">
        <v>805</v>
      </c>
      <c r="I467">
        <v>135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135</v>
      </c>
      <c r="P467" s="44" t="e">
        <f>_xlfn.XLOOKUP(Tabla5[[#This Row],[EAN CORREGIDO]],'Tabla Articulos'!B:B,'Tabla Articulos'!D:D)</f>
        <v>#N/A</v>
      </c>
      <c r="Q467" s="44" t="e">
        <f>_xlfn.XLOOKUP(S467,'Tabla Articulos'!B:B,'Tabla Articulos'!E:E)</f>
        <v>#N/A</v>
      </c>
      <c r="R467" s="44" t="e">
        <f t="shared" si="14"/>
        <v>#N/A</v>
      </c>
      <c r="S467" s="45" t="str">
        <f t="shared" si="15"/>
        <v>7798287511014</v>
      </c>
    </row>
    <row r="468" spans="1:19" hidden="1" x14ac:dyDescent="0.35">
      <c r="A468" s="22">
        <v>6</v>
      </c>
      <c r="B468" t="s">
        <v>801</v>
      </c>
      <c r="C468" t="s">
        <v>802</v>
      </c>
      <c r="D468"/>
      <c r="E468" t="s">
        <v>2706</v>
      </c>
      <c r="F468">
        <v>9003606</v>
      </c>
      <c r="G468" t="s">
        <v>2707</v>
      </c>
      <c r="H468" t="s">
        <v>805</v>
      </c>
      <c r="I468">
        <v>55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55</v>
      </c>
      <c r="P468" s="44" t="e">
        <f>_xlfn.XLOOKUP(Tabla5[[#This Row],[EAN CORREGIDO]],'Tabla Articulos'!B:B,'Tabla Articulos'!D:D)</f>
        <v>#N/A</v>
      </c>
      <c r="Q468" s="44" t="e">
        <f>_xlfn.XLOOKUP(S468,'Tabla Articulos'!B:B,'Tabla Articulos'!E:E)</f>
        <v>#N/A</v>
      </c>
      <c r="R468" s="44" t="e">
        <f t="shared" si="14"/>
        <v>#N/A</v>
      </c>
      <c r="S468" s="45" t="str">
        <f t="shared" si="15"/>
        <v>UNIF000445</v>
      </c>
    </row>
    <row r="469" spans="1:19" hidden="1" x14ac:dyDescent="0.35">
      <c r="A469" s="22">
        <v>5</v>
      </c>
      <c r="B469" t="s">
        <v>829</v>
      </c>
      <c r="C469" t="s">
        <v>802</v>
      </c>
      <c r="D469"/>
      <c r="E469" t="s">
        <v>2708</v>
      </c>
      <c r="F469">
        <v>4022179</v>
      </c>
      <c r="G469" t="s">
        <v>2709</v>
      </c>
      <c r="H469" t="s">
        <v>805</v>
      </c>
      <c r="I469">
        <v>200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200</v>
      </c>
      <c r="P469" s="44" t="e">
        <f>_xlfn.XLOOKUP(Tabla5[[#This Row],[EAN CORREGIDO]],'Tabla Articulos'!B:B,'Tabla Articulos'!D:D)</f>
        <v>#N/A</v>
      </c>
      <c r="Q469" s="44" t="e">
        <f>_xlfn.XLOOKUP(S469,'Tabla Articulos'!B:B,'Tabla Articulos'!E:E)</f>
        <v>#N/A</v>
      </c>
      <c r="R469" s="44" t="e">
        <f t="shared" si="14"/>
        <v>#N/A</v>
      </c>
      <c r="S469" s="45" t="str">
        <f t="shared" si="15"/>
        <v>7798011977413</v>
      </c>
    </row>
    <row r="470" spans="1:19" hidden="1" x14ac:dyDescent="0.35">
      <c r="A470" s="22">
        <v>5</v>
      </c>
      <c r="B470" t="s">
        <v>829</v>
      </c>
      <c r="C470" t="s">
        <v>802</v>
      </c>
      <c r="D470" s="11" t="s">
        <v>3534</v>
      </c>
      <c r="E470" t="s">
        <v>3535</v>
      </c>
      <c r="F470">
        <v>4019848</v>
      </c>
      <c r="G470" t="s">
        <v>3536</v>
      </c>
      <c r="H470" t="s">
        <v>805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</v>
      </c>
      <c r="P470" s="44" t="e">
        <f>_xlfn.XLOOKUP(Tabla5[[#This Row],[EAN CORREGIDO]],'Tabla Articulos'!B:B,'Tabla Articulos'!D:D)</f>
        <v>#N/A</v>
      </c>
      <c r="Q470" s="44" t="e">
        <f>_xlfn.XLOOKUP(S470,'Tabla Articulos'!B:B,'Tabla Articulos'!E:E)</f>
        <v>#N/A</v>
      </c>
      <c r="R470" s="44" t="e">
        <f t="shared" si="14"/>
        <v>#N/A</v>
      </c>
      <c r="S470" s="45" t="str">
        <f t="shared" si="15"/>
        <v>7790580315405</v>
      </c>
    </row>
    <row r="471" spans="1:19" hidden="1" x14ac:dyDescent="0.35">
      <c r="A471" s="22">
        <v>6</v>
      </c>
      <c r="B471" t="s">
        <v>801</v>
      </c>
      <c r="C471" t="s">
        <v>802</v>
      </c>
      <c r="E471" t="s">
        <v>3537</v>
      </c>
      <c r="F471">
        <v>9003036</v>
      </c>
      <c r="G471" t="s">
        <v>3538</v>
      </c>
      <c r="H471" t="s">
        <v>805</v>
      </c>
      <c r="I471">
        <v>119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119</v>
      </c>
      <c r="P471" s="44" t="e">
        <f>_xlfn.XLOOKUP(Tabla5[[#This Row],[EAN CORREGIDO]],'Tabla Articulos'!B:B,'Tabla Articulos'!D:D)</f>
        <v>#N/A</v>
      </c>
      <c r="Q471" s="44" t="e">
        <f>_xlfn.XLOOKUP(S471,'Tabla Articulos'!B:B,'Tabla Articulos'!E:E)</f>
        <v>#N/A</v>
      </c>
      <c r="R471" s="44" t="e">
        <f t="shared" si="14"/>
        <v>#N/A</v>
      </c>
      <c r="S471" s="45" t="str">
        <f t="shared" si="15"/>
        <v>UNIF000005</v>
      </c>
    </row>
    <row r="472" spans="1:19" hidden="1" x14ac:dyDescent="0.35">
      <c r="A472" s="22">
        <v>6</v>
      </c>
      <c r="B472" t="s">
        <v>801</v>
      </c>
      <c r="C472" t="s">
        <v>802</v>
      </c>
      <c r="D472"/>
      <c r="E472" t="s">
        <v>3539</v>
      </c>
      <c r="F472">
        <v>9003220</v>
      </c>
      <c r="G472" t="s">
        <v>3540</v>
      </c>
      <c r="H472" t="s">
        <v>805</v>
      </c>
      <c r="I472">
        <v>0</v>
      </c>
      <c r="J472">
        <v>530</v>
      </c>
      <c r="K472">
        <v>0</v>
      </c>
      <c r="L472">
        <v>0</v>
      </c>
      <c r="M472">
        <v>0</v>
      </c>
      <c r="N472">
        <v>0</v>
      </c>
      <c r="O472">
        <v>530</v>
      </c>
      <c r="P472" s="44" t="e">
        <f>_xlfn.XLOOKUP(Tabla5[[#This Row],[EAN CORREGIDO]],'Tabla Articulos'!B:B,'Tabla Articulos'!D:D)</f>
        <v>#N/A</v>
      </c>
      <c r="Q472" s="44" t="e">
        <f>_xlfn.XLOOKUP(S472,'Tabla Articulos'!B:B,'Tabla Articulos'!E:E)</f>
        <v>#N/A</v>
      </c>
      <c r="R472" s="44" t="e">
        <f t="shared" si="14"/>
        <v>#N/A</v>
      </c>
      <c r="S472" s="45" t="str">
        <f t="shared" si="15"/>
        <v>UNIF000120</v>
      </c>
    </row>
    <row r="473" spans="1:19" hidden="1" x14ac:dyDescent="0.35">
      <c r="A473" s="22">
        <v>1</v>
      </c>
      <c r="B473" t="s">
        <v>812</v>
      </c>
      <c r="C473" t="s">
        <v>802</v>
      </c>
      <c r="D473" s="11" t="s">
        <v>3541</v>
      </c>
      <c r="E473" t="s">
        <v>3542</v>
      </c>
      <c r="F473">
        <v>4022976</v>
      </c>
      <c r="G473" t="s">
        <v>3543</v>
      </c>
      <c r="H473" t="s">
        <v>805</v>
      </c>
      <c r="I473">
        <v>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</v>
      </c>
      <c r="P473" s="44" t="e">
        <f>_xlfn.XLOOKUP(Tabla5[[#This Row],[EAN CORREGIDO]],'Tabla Articulos'!B:B,'Tabla Articulos'!D:D)</f>
        <v>#N/A</v>
      </c>
      <c r="Q473" s="44" t="e">
        <f>_xlfn.XLOOKUP(S473,'Tabla Articulos'!B:B,'Tabla Articulos'!E:E)</f>
        <v>#N/A</v>
      </c>
      <c r="R473" s="44" t="e">
        <f t="shared" si="14"/>
        <v>#N/A</v>
      </c>
      <c r="S473" s="45" t="str">
        <f t="shared" si="15"/>
        <v>7795323776093</v>
      </c>
    </row>
    <row r="474" spans="1:19" hidden="1" x14ac:dyDescent="0.35">
      <c r="A474" s="22">
        <v>6</v>
      </c>
      <c r="B474" t="s">
        <v>801</v>
      </c>
      <c r="C474" t="s">
        <v>802</v>
      </c>
      <c r="D474"/>
      <c r="E474" t="s">
        <v>1686</v>
      </c>
      <c r="F474">
        <v>9003691</v>
      </c>
      <c r="G474" t="s">
        <v>1687</v>
      </c>
      <c r="H474" t="s">
        <v>805</v>
      </c>
      <c r="I474">
        <v>6435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6435</v>
      </c>
      <c r="P474" s="44" t="e">
        <f>_xlfn.XLOOKUP(Tabla5[[#This Row],[EAN CORREGIDO]],'Tabla Articulos'!B:B,'Tabla Articulos'!D:D)</f>
        <v>#N/A</v>
      </c>
      <c r="Q474" s="44" t="e">
        <f>_xlfn.XLOOKUP(S474,'Tabla Articulos'!B:B,'Tabla Articulos'!E:E)</f>
        <v>#N/A</v>
      </c>
      <c r="R474" s="44" t="e">
        <f t="shared" si="14"/>
        <v>#N/A</v>
      </c>
      <c r="S474" s="45" t="str">
        <f t="shared" si="15"/>
        <v>BAZ001161</v>
      </c>
    </row>
    <row r="475" spans="1:19" hidden="1" x14ac:dyDescent="0.35">
      <c r="A475" s="22">
        <v>1</v>
      </c>
      <c r="B475" t="s">
        <v>812</v>
      </c>
      <c r="C475" t="s">
        <v>802</v>
      </c>
      <c r="D475" t="s">
        <v>1688</v>
      </c>
      <c r="E475" t="s">
        <v>1689</v>
      </c>
      <c r="F475">
        <v>4018117</v>
      </c>
      <c r="G475" t="s">
        <v>1690</v>
      </c>
      <c r="H475" t="s">
        <v>805</v>
      </c>
      <c r="I475">
        <v>133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133</v>
      </c>
      <c r="P475" s="44" t="e">
        <f>_xlfn.XLOOKUP(Tabla5[[#This Row],[EAN CORREGIDO]],'Tabla Articulos'!B:B,'Tabla Articulos'!D:D)</f>
        <v>#N/A</v>
      </c>
      <c r="Q475" s="44" t="e">
        <f>_xlfn.XLOOKUP(S475,'Tabla Articulos'!B:B,'Tabla Articulos'!E:E)</f>
        <v>#N/A</v>
      </c>
      <c r="R475" s="44" t="e">
        <f t="shared" si="14"/>
        <v>#N/A</v>
      </c>
      <c r="S475" s="45" t="str">
        <f t="shared" si="15"/>
        <v>7791435000248</v>
      </c>
    </row>
    <row r="476" spans="1:19" hidden="1" x14ac:dyDescent="0.35">
      <c r="A476" s="22">
        <v>6</v>
      </c>
      <c r="B476" t="s">
        <v>801</v>
      </c>
      <c r="C476" t="s">
        <v>802</v>
      </c>
      <c r="D476"/>
      <c r="E476" t="s">
        <v>1691</v>
      </c>
      <c r="F476">
        <v>9003545</v>
      </c>
      <c r="G476" t="s">
        <v>1692</v>
      </c>
      <c r="H476" t="s">
        <v>805</v>
      </c>
      <c r="I476">
        <v>18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18</v>
      </c>
      <c r="P476" s="44" t="e">
        <f>_xlfn.XLOOKUP(Tabla5[[#This Row],[EAN CORREGIDO]],'Tabla Articulos'!B:B,'Tabla Articulos'!D:D)</f>
        <v>#N/A</v>
      </c>
      <c r="Q476" s="44" t="e">
        <f>_xlfn.XLOOKUP(S476,'Tabla Articulos'!B:B,'Tabla Articulos'!E:E)</f>
        <v>#N/A</v>
      </c>
      <c r="R476" s="44" t="e">
        <f t="shared" si="14"/>
        <v>#N/A</v>
      </c>
      <c r="S476" s="45" t="str">
        <f t="shared" si="15"/>
        <v>UNIF000084</v>
      </c>
    </row>
    <row r="477" spans="1:19" hidden="1" x14ac:dyDescent="0.35">
      <c r="A477" s="22">
        <v>6</v>
      </c>
      <c r="B477" t="s">
        <v>801</v>
      </c>
      <c r="C477" t="s">
        <v>802</v>
      </c>
      <c r="D477"/>
      <c r="E477" t="s">
        <v>1693</v>
      </c>
      <c r="F477">
        <v>9003072</v>
      </c>
      <c r="G477" t="s">
        <v>1694</v>
      </c>
      <c r="H477" t="s">
        <v>805</v>
      </c>
      <c r="I477">
        <v>240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240</v>
      </c>
      <c r="P477" s="44" t="e">
        <f>_xlfn.XLOOKUP(Tabla5[[#This Row],[EAN CORREGIDO]],'Tabla Articulos'!B:B,'Tabla Articulos'!D:D)</f>
        <v>#N/A</v>
      </c>
      <c r="Q477" s="44" t="e">
        <f>_xlfn.XLOOKUP(S477,'Tabla Articulos'!B:B,'Tabla Articulos'!E:E)</f>
        <v>#N/A</v>
      </c>
      <c r="R477" s="44" t="e">
        <f t="shared" si="14"/>
        <v>#N/A</v>
      </c>
      <c r="S477" s="45" t="str">
        <f t="shared" si="15"/>
        <v>UNIF000535</v>
      </c>
    </row>
    <row r="478" spans="1:19" hidden="1" x14ac:dyDescent="0.35">
      <c r="A478" s="22">
        <v>6</v>
      </c>
      <c r="B478" t="s">
        <v>801</v>
      </c>
      <c r="C478" t="s">
        <v>802</v>
      </c>
      <c r="D478" t="s">
        <v>1388</v>
      </c>
      <c r="E478" t="s">
        <v>1695</v>
      </c>
      <c r="F478">
        <v>2006277</v>
      </c>
      <c r="G478" t="s">
        <v>1696</v>
      </c>
      <c r="H478" t="s">
        <v>805</v>
      </c>
      <c r="I478">
        <v>146</v>
      </c>
      <c r="J478">
        <v>0</v>
      </c>
      <c r="K478">
        <v>0</v>
      </c>
      <c r="L478">
        <v>0</v>
      </c>
      <c r="M478">
        <v>22</v>
      </c>
      <c r="N478">
        <v>0</v>
      </c>
      <c r="O478">
        <v>124</v>
      </c>
      <c r="P478" s="44" t="e">
        <f>_xlfn.XLOOKUP(Tabla5[[#This Row],[EAN CORREGIDO]],'Tabla Articulos'!B:B,'Tabla Articulos'!D:D)</f>
        <v>#N/A</v>
      </c>
      <c r="Q478" s="44" t="e">
        <f>_xlfn.XLOOKUP(S478,'Tabla Articulos'!B:B,'Tabla Articulos'!E:E)</f>
        <v>#N/A</v>
      </c>
      <c r="R478" s="44" t="e">
        <f t="shared" si="14"/>
        <v>#N/A</v>
      </c>
      <c r="S478" s="45" t="str">
        <f t="shared" si="15"/>
        <v>LIM00424</v>
      </c>
    </row>
    <row r="479" spans="1:19" hidden="1" x14ac:dyDescent="0.35">
      <c r="A479" s="22">
        <v>1</v>
      </c>
      <c r="B479" t="s">
        <v>812</v>
      </c>
      <c r="C479" t="s">
        <v>802</v>
      </c>
      <c r="D479" t="s">
        <v>1697</v>
      </c>
      <c r="E479" t="s">
        <v>1698</v>
      </c>
      <c r="F479">
        <v>4021153</v>
      </c>
      <c r="G479" t="s">
        <v>1699</v>
      </c>
      <c r="H479" t="s">
        <v>805</v>
      </c>
      <c r="I479">
        <v>21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21</v>
      </c>
      <c r="P479" s="44" t="e">
        <f>_xlfn.XLOOKUP(Tabla5[[#This Row],[EAN CORREGIDO]],'Tabla Articulos'!B:B,'Tabla Articulos'!D:D)</f>
        <v>#N/A</v>
      </c>
      <c r="Q479" s="44" t="e">
        <f>_xlfn.XLOOKUP(S479,'Tabla Articulos'!B:B,'Tabla Articulos'!E:E)</f>
        <v>#N/A</v>
      </c>
      <c r="R479" s="44" t="e">
        <f t="shared" si="14"/>
        <v>#N/A</v>
      </c>
      <c r="S479" s="45" t="str">
        <f t="shared" si="15"/>
        <v>7798092900102</v>
      </c>
    </row>
    <row r="480" spans="1:19" hidden="1" x14ac:dyDescent="0.35">
      <c r="A480" s="22">
        <v>6</v>
      </c>
      <c r="B480" t="s">
        <v>801</v>
      </c>
      <c r="C480" t="s">
        <v>802</v>
      </c>
      <c r="D480" t="s">
        <v>1198</v>
      </c>
      <c r="E480" t="s">
        <v>1700</v>
      </c>
      <c r="F480">
        <v>2016671</v>
      </c>
      <c r="G480" t="s">
        <v>1701</v>
      </c>
      <c r="H480" t="s">
        <v>805</v>
      </c>
      <c r="I480">
        <v>4659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4659</v>
      </c>
      <c r="P480" s="44" t="e">
        <f>_xlfn.XLOOKUP(Tabla5[[#This Row],[EAN CORREGIDO]],'Tabla Articulos'!B:B,'Tabla Articulos'!D:D)</f>
        <v>#N/A</v>
      </c>
      <c r="Q480" s="44" t="e">
        <f>_xlfn.XLOOKUP(S480,'Tabla Articulos'!B:B,'Tabla Articulos'!E:E)</f>
        <v>#N/A</v>
      </c>
      <c r="R480" s="44" t="e">
        <f t="shared" si="14"/>
        <v>#N/A</v>
      </c>
      <c r="S480" s="45" t="str">
        <f t="shared" si="15"/>
        <v>7798092969796</v>
      </c>
    </row>
    <row r="481" spans="1:19" hidden="1" x14ac:dyDescent="0.35">
      <c r="A481" s="22">
        <v>6</v>
      </c>
      <c r="B481" t="s">
        <v>801</v>
      </c>
      <c r="C481" t="s">
        <v>802</v>
      </c>
      <c r="E481" t="s">
        <v>2693</v>
      </c>
      <c r="F481">
        <v>9003268</v>
      </c>
      <c r="G481" t="s">
        <v>2694</v>
      </c>
      <c r="H481" t="s">
        <v>805</v>
      </c>
      <c r="I481">
        <v>86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86</v>
      </c>
      <c r="P481" s="44" t="e">
        <f>_xlfn.XLOOKUP(Tabla5[[#This Row],[EAN CORREGIDO]],'Tabla Articulos'!B:B,'Tabla Articulos'!D:D)</f>
        <v>#N/A</v>
      </c>
      <c r="Q481" s="44" t="e">
        <f>_xlfn.XLOOKUP(S481,'Tabla Articulos'!B:B,'Tabla Articulos'!E:E)</f>
        <v>#N/A</v>
      </c>
      <c r="R481" s="44" t="e">
        <f t="shared" si="14"/>
        <v>#N/A</v>
      </c>
      <c r="S481" s="45" t="str">
        <f t="shared" si="15"/>
        <v>UNIF000425</v>
      </c>
    </row>
    <row r="482" spans="1:19" hidden="1" x14ac:dyDescent="0.35">
      <c r="A482" s="22">
        <v>5</v>
      </c>
      <c r="B482" t="s">
        <v>829</v>
      </c>
      <c r="C482" t="s">
        <v>802</v>
      </c>
      <c r="D482" t="s">
        <v>1380</v>
      </c>
      <c r="E482" t="s">
        <v>1885</v>
      </c>
      <c r="F482">
        <v>4019487</v>
      </c>
      <c r="G482" t="s">
        <v>1886</v>
      </c>
      <c r="H482" t="s">
        <v>805</v>
      </c>
      <c r="I482">
        <v>18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18</v>
      </c>
      <c r="P482" s="44" t="e">
        <f>_xlfn.XLOOKUP(Tabla5[[#This Row],[EAN CORREGIDO]],'Tabla Articulos'!B:B,'Tabla Articulos'!D:D)</f>
        <v>#N/A</v>
      </c>
      <c r="Q482" s="44" t="e">
        <f>_xlfn.XLOOKUP(S482,'Tabla Articulos'!B:B,'Tabla Articulos'!E:E)</f>
        <v>#N/A</v>
      </c>
      <c r="R482" s="44" t="e">
        <f t="shared" si="14"/>
        <v>#N/A</v>
      </c>
      <c r="S482" s="45" t="str">
        <f t="shared" si="15"/>
        <v>7790530850161</v>
      </c>
    </row>
    <row r="483" spans="1:19" hidden="1" x14ac:dyDescent="0.35">
      <c r="A483" s="22">
        <v>5</v>
      </c>
      <c r="B483" t="s">
        <v>829</v>
      </c>
      <c r="C483" t="s">
        <v>802</v>
      </c>
      <c r="D483" t="s">
        <v>1887</v>
      </c>
      <c r="E483" t="s">
        <v>1888</v>
      </c>
      <c r="F483">
        <v>4049008</v>
      </c>
      <c r="G483" t="s">
        <v>1889</v>
      </c>
      <c r="H483" t="s">
        <v>805</v>
      </c>
      <c r="I483">
        <v>51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51</v>
      </c>
      <c r="P483" s="44" t="e">
        <f>_xlfn.XLOOKUP(Tabla5[[#This Row],[EAN CORREGIDO]],'Tabla Articulos'!B:B,'Tabla Articulos'!D:D)</f>
        <v>#N/A</v>
      </c>
      <c r="Q483" s="44" t="e">
        <f>_xlfn.XLOOKUP(S483,'Tabla Articulos'!B:B,'Tabla Articulos'!E:E)</f>
        <v>#N/A</v>
      </c>
      <c r="R483" s="44" t="e">
        <f t="shared" si="14"/>
        <v>#N/A</v>
      </c>
      <c r="S483" s="45" t="str">
        <f t="shared" si="15"/>
        <v>7794000006027</v>
      </c>
    </row>
    <row r="484" spans="1:19" hidden="1" x14ac:dyDescent="0.35">
      <c r="A484" s="22">
        <v>6</v>
      </c>
      <c r="B484" t="s">
        <v>801</v>
      </c>
      <c r="C484" t="s">
        <v>802</v>
      </c>
      <c r="D484"/>
      <c r="E484" t="s">
        <v>1890</v>
      </c>
      <c r="F484">
        <v>9003656</v>
      </c>
      <c r="G484" t="s">
        <v>1891</v>
      </c>
      <c r="H484" t="s">
        <v>805</v>
      </c>
      <c r="I484">
        <v>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7</v>
      </c>
      <c r="P484" s="44" t="e">
        <f>_xlfn.XLOOKUP(Tabla5[[#This Row],[EAN CORREGIDO]],'Tabla Articulos'!B:B,'Tabla Articulos'!D:D)</f>
        <v>#N/A</v>
      </c>
      <c r="Q484" s="44" t="e">
        <f>_xlfn.XLOOKUP(S484,'Tabla Articulos'!B:B,'Tabla Articulos'!E:E)</f>
        <v>#N/A</v>
      </c>
      <c r="R484" s="44" t="e">
        <f t="shared" si="14"/>
        <v>#N/A</v>
      </c>
      <c r="S484" s="45" t="str">
        <f t="shared" si="15"/>
        <v>UNIF000164</v>
      </c>
    </row>
    <row r="485" spans="1:19" hidden="1" x14ac:dyDescent="0.35">
      <c r="A485" s="22">
        <v>1</v>
      </c>
      <c r="B485" t="s">
        <v>812</v>
      </c>
      <c r="C485" t="s">
        <v>802</v>
      </c>
      <c r="D485" t="s">
        <v>1025</v>
      </c>
      <c r="E485" t="s">
        <v>4403</v>
      </c>
      <c r="F485">
        <v>4024759</v>
      </c>
      <c r="G485" t="s">
        <v>4404</v>
      </c>
      <c r="H485" t="s">
        <v>805</v>
      </c>
      <c r="I485">
        <v>54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54</v>
      </c>
      <c r="P485" s="44" t="e">
        <f>_xlfn.XLOOKUP(Tabla5[[#This Row],[EAN CORREGIDO]],'Tabla Articulos'!B:B,'Tabla Articulos'!D:D)</f>
        <v>#N/A</v>
      </c>
      <c r="Q485" s="44" t="e">
        <f>_xlfn.XLOOKUP(S485,'Tabla Articulos'!B:B,'Tabla Articulos'!E:E)</f>
        <v>#N/A</v>
      </c>
      <c r="R485" s="44" t="e">
        <f t="shared" si="14"/>
        <v>#N/A</v>
      </c>
      <c r="S485" s="45" t="str">
        <f t="shared" si="15"/>
        <v>17792180009361</v>
      </c>
    </row>
    <row r="486" spans="1:19" hidden="1" x14ac:dyDescent="0.35">
      <c r="A486" s="22">
        <v>6</v>
      </c>
      <c r="B486" t="s">
        <v>801</v>
      </c>
      <c r="C486" t="s">
        <v>802</v>
      </c>
      <c r="D486" s="11" t="s">
        <v>4405</v>
      </c>
      <c r="E486" t="s">
        <v>4406</v>
      </c>
      <c r="F486">
        <v>2016591</v>
      </c>
      <c r="G486" t="s">
        <v>4407</v>
      </c>
      <c r="H486" t="s">
        <v>805</v>
      </c>
      <c r="I486">
        <v>26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26</v>
      </c>
      <c r="P486" s="44" t="str">
        <f>_xlfn.XLOOKUP(Tabla5[[#This Row],[EAN CORREGIDO]],'Tabla Articulos'!B:B,'Tabla Articulos'!D:D)</f>
        <v>BANDEJA TELGOPOR 618</v>
      </c>
      <c r="Q486" s="44">
        <f>_xlfn.XLOOKUP(S486,'Tabla Articulos'!B:B,'Tabla Articulos'!E:E)</f>
        <v>600</v>
      </c>
      <c r="R486" s="44">
        <f t="shared" si="14"/>
        <v>15600</v>
      </c>
      <c r="S486" s="45" t="str">
        <f t="shared" si="15"/>
        <v>17798047390047</v>
      </c>
    </row>
    <row r="487" spans="1:19" hidden="1" x14ac:dyDescent="0.35">
      <c r="A487" s="22">
        <v>6</v>
      </c>
      <c r="B487" t="s">
        <v>801</v>
      </c>
      <c r="C487" t="s">
        <v>802</v>
      </c>
      <c r="D487"/>
      <c r="E487" t="s">
        <v>4408</v>
      </c>
      <c r="F487">
        <v>2011492</v>
      </c>
      <c r="G487" t="s">
        <v>4409</v>
      </c>
      <c r="H487" t="s">
        <v>805</v>
      </c>
      <c r="I487">
        <v>131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131</v>
      </c>
      <c r="P487" s="44" t="e">
        <f>_xlfn.XLOOKUP(Tabla5[[#This Row],[EAN CORREGIDO]],'Tabla Articulos'!B:B,'Tabla Articulos'!D:D)</f>
        <v>#N/A</v>
      </c>
      <c r="Q487" s="44" t="e">
        <f>_xlfn.XLOOKUP(S487,'Tabla Articulos'!B:B,'Tabla Articulos'!E:E)</f>
        <v>#N/A</v>
      </c>
      <c r="R487" s="44" t="e">
        <f t="shared" si="14"/>
        <v>#N/A</v>
      </c>
      <c r="S487" s="45" t="str">
        <f t="shared" si="15"/>
        <v>7797749000028</v>
      </c>
    </row>
    <row r="488" spans="1:19" hidden="1" x14ac:dyDescent="0.35">
      <c r="A488" s="22">
        <v>6</v>
      </c>
      <c r="B488" t="s">
        <v>801</v>
      </c>
      <c r="C488" t="s">
        <v>802</v>
      </c>
      <c r="D488" t="s">
        <v>923</v>
      </c>
      <c r="E488" t="s">
        <v>4410</v>
      </c>
      <c r="F488">
        <v>2016589</v>
      </c>
      <c r="G488" t="s">
        <v>4411</v>
      </c>
      <c r="H488" t="s">
        <v>805</v>
      </c>
      <c r="I488">
        <v>570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570</v>
      </c>
      <c r="P488" s="44" t="e">
        <f>_xlfn.XLOOKUP(Tabla5[[#This Row],[EAN CORREGIDO]],'Tabla Articulos'!B:B,'Tabla Articulos'!D:D)</f>
        <v>#N/A</v>
      </c>
      <c r="Q488" s="44" t="e">
        <f>_xlfn.XLOOKUP(S488,'Tabla Articulos'!B:B,'Tabla Articulos'!E:E)</f>
        <v>#N/A</v>
      </c>
      <c r="R488" s="44" t="e">
        <f t="shared" si="14"/>
        <v>#N/A</v>
      </c>
      <c r="S488" s="45" t="str">
        <f t="shared" si="15"/>
        <v>7790000000747</v>
      </c>
    </row>
    <row r="489" spans="1:19" hidden="1" x14ac:dyDescent="0.35">
      <c r="A489" s="22">
        <v>6</v>
      </c>
      <c r="B489" t="s">
        <v>801</v>
      </c>
      <c r="C489" t="s">
        <v>802</v>
      </c>
      <c r="D489" t="s">
        <v>854</v>
      </c>
      <c r="E489" t="s">
        <v>4412</v>
      </c>
      <c r="F489">
        <v>2007370</v>
      </c>
      <c r="G489" t="s">
        <v>4413</v>
      </c>
      <c r="H489" t="s">
        <v>805</v>
      </c>
      <c r="I489">
        <v>453</v>
      </c>
      <c r="J489">
        <v>0</v>
      </c>
      <c r="K489">
        <v>453</v>
      </c>
      <c r="L489">
        <v>0</v>
      </c>
      <c r="M489">
        <v>0</v>
      </c>
      <c r="N489">
        <v>0</v>
      </c>
      <c r="O489">
        <v>0</v>
      </c>
      <c r="P489" s="44" t="e">
        <f>_xlfn.XLOOKUP(Tabla5[[#This Row],[EAN CORREGIDO]],'Tabla Articulos'!B:B,'Tabla Articulos'!D:D)</f>
        <v>#N/A</v>
      </c>
      <c r="Q489" s="44" t="e">
        <f>_xlfn.XLOOKUP(S489,'Tabla Articulos'!B:B,'Tabla Articulos'!E:E)</f>
        <v>#N/A</v>
      </c>
      <c r="R489" s="44" t="e">
        <f t="shared" si="14"/>
        <v>#N/A</v>
      </c>
      <c r="S489" s="45" t="str">
        <f t="shared" si="15"/>
        <v>7798436440127</v>
      </c>
    </row>
    <row r="490" spans="1:19" hidden="1" x14ac:dyDescent="0.35">
      <c r="A490" s="22">
        <v>6</v>
      </c>
      <c r="B490" t="s">
        <v>801</v>
      </c>
      <c r="C490" t="s">
        <v>802</v>
      </c>
      <c r="D490"/>
      <c r="E490" t="s">
        <v>2663</v>
      </c>
      <c r="F490">
        <v>9003092</v>
      </c>
      <c r="G490" t="s">
        <v>2664</v>
      </c>
      <c r="H490" t="s">
        <v>805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 s="44" t="e">
        <f>_xlfn.XLOOKUP(Tabla5[[#This Row],[EAN CORREGIDO]],'Tabla Articulos'!B:B,'Tabla Articulos'!D:D)</f>
        <v>#N/A</v>
      </c>
      <c r="Q490" s="44" t="e">
        <f>_xlfn.XLOOKUP(S490,'Tabla Articulos'!B:B,'Tabla Articulos'!E:E)</f>
        <v>#N/A</v>
      </c>
      <c r="R490" s="44" t="e">
        <f t="shared" si="14"/>
        <v>#N/A</v>
      </c>
      <c r="S490" s="45" t="str">
        <f t="shared" si="15"/>
        <v>UNIF000554</v>
      </c>
    </row>
    <row r="491" spans="1:19" hidden="1" x14ac:dyDescent="0.35">
      <c r="A491" s="22">
        <v>1</v>
      </c>
      <c r="B491" t="s">
        <v>812</v>
      </c>
      <c r="C491" t="s">
        <v>802</v>
      </c>
      <c r="D491" t="s">
        <v>1497</v>
      </c>
      <c r="E491" t="s">
        <v>2665</v>
      </c>
      <c r="F491">
        <v>4022532</v>
      </c>
      <c r="G491" t="s">
        <v>2666</v>
      </c>
      <c r="H491" t="s">
        <v>805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 s="44" t="e">
        <f>_xlfn.XLOOKUP(Tabla5[[#This Row],[EAN CORREGIDO]],'Tabla Articulos'!B:B,'Tabla Articulos'!D:D)</f>
        <v>#N/A</v>
      </c>
      <c r="Q491" s="44" t="e">
        <f>_xlfn.XLOOKUP(S491,'Tabla Articulos'!B:B,'Tabla Articulos'!E:E)</f>
        <v>#N/A</v>
      </c>
      <c r="R491" s="44" t="e">
        <f t="shared" si="14"/>
        <v>#N/A</v>
      </c>
      <c r="S491" s="45" t="str">
        <f t="shared" si="15"/>
        <v>790757899650</v>
      </c>
    </row>
    <row r="492" spans="1:19" hidden="1" x14ac:dyDescent="0.35">
      <c r="A492" s="22">
        <v>5</v>
      </c>
      <c r="B492" t="s">
        <v>829</v>
      </c>
      <c r="C492" t="s">
        <v>802</v>
      </c>
      <c r="D492" t="s">
        <v>2667</v>
      </c>
      <c r="E492" t="s">
        <v>2668</v>
      </c>
      <c r="F492">
        <v>4017989</v>
      </c>
      <c r="G492" t="s">
        <v>2669</v>
      </c>
      <c r="H492" t="s">
        <v>816</v>
      </c>
      <c r="I492">
        <v>3.3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3.3</v>
      </c>
      <c r="P492" s="44" t="e">
        <f>_xlfn.XLOOKUP(Tabla5[[#This Row],[EAN CORREGIDO]],'Tabla Articulos'!B:B,'Tabla Articulos'!D:D)</f>
        <v>#N/A</v>
      </c>
      <c r="Q492" s="44" t="e">
        <f>_xlfn.XLOOKUP(S492,'Tabla Articulos'!B:B,'Tabla Articulos'!E:E)</f>
        <v>#N/A</v>
      </c>
      <c r="R492" s="44" t="e">
        <f t="shared" si="14"/>
        <v>#N/A</v>
      </c>
      <c r="S492" s="45" t="str">
        <f t="shared" si="15"/>
        <v>7790216012616</v>
      </c>
    </row>
    <row r="493" spans="1:19" hidden="1" x14ac:dyDescent="0.35">
      <c r="A493" s="22">
        <v>6</v>
      </c>
      <c r="B493" t="s">
        <v>801</v>
      </c>
      <c r="C493" t="s">
        <v>802</v>
      </c>
      <c r="E493" t="s">
        <v>2670</v>
      </c>
      <c r="F493">
        <v>9003271</v>
      </c>
      <c r="G493" t="s">
        <v>2671</v>
      </c>
      <c r="H493" t="s">
        <v>805</v>
      </c>
      <c r="I493">
        <v>46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46</v>
      </c>
      <c r="P493" s="44" t="e">
        <f>_xlfn.XLOOKUP(Tabla5[[#This Row],[EAN CORREGIDO]],'Tabla Articulos'!B:B,'Tabla Articulos'!D:D)</f>
        <v>#N/A</v>
      </c>
      <c r="Q493" s="44" t="e">
        <f>_xlfn.XLOOKUP(S493,'Tabla Articulos'!B:B,'Tabla Articulos'!E:E)</f>
        <v>#N/A</v>
      </c>
      <c r="R493" s="44" t="e">
        <f t="shared" si="14"/>
        <v>#N/A</v>
      </c>
      <c r="S493" s="45" t="str">
        <f t="shared" si="15"/>
        <v>UNIF000411</v>
      </c>
    </row>
    <row r="494" spans="1:19" hidden="1" x14ac:dyDescent="0.35">
      <c r="A494" s="22">
        <v>6</v>
      </c>
      <c r="B494" t="s">
        <v>801</v>
      </c>
      <c r="C494" t="s">
        <v>802</v>
      </c>
      <c r="D494"/>
      <c r="E494" t="s">
        <v>2672</v>
      </c>
      <c r="F494">
        <v>9003216</v>
      </c>
      <c r="G494" t="s">
        <v>2673</v>
      </c>
      <c r="H494" t="s">
        <v>805</v>
      </c>
      <c r="I494">
        <v>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</v>
      </c>
      <c r="P494" s="44" t="e">
        <f>_xlfn.XLOOKUP(Tabla5[[#This Row],[EAN CORREGIDO]],'Tabla Articulos'!B:B,'Tabla Articulos'!D:D)</f>
        <v>#N/A</v>
      </c>
      <c r="Q494" s="44" t="e">
        <f>_xlfn.XLOOKUP(S494,'Tabla Articulos'!B:B,'Tabla Articulos'!E:E)</f>
        <v>#N/A</v>
      </c>
      <c r="R494" s="44" t="e">
        <f t="shared" si="14"/>
        <v>#N/A</v>
      </c>
      <c r="S494" s="45" t="str">
        <f t="shared" si="15"/>
        <v>UNIF000116</v>
      </c>
    </row>
    <row r="495" spans="1:19" hidden="1" x14ac:dyDescent="0.35">
      <c r="A495" s="22">
        <v>1</v>
      </c>
      <c r="B495" t="s">
        <v>812</v>
      </c>
      <c r="C495" t="s">
        <v>802</v>
      </c>
      <c r="D495" t="s">
        <v>2674</v>
      </c>
      <c r="E495" t="s">
        <v>2675</v>
      </c>
      <c r="F495">
        <v>4017725</v>
      </c>
      <c r="G495" t="s">
        <v>2676</v>
      </c>
      <c r="H495" t="s">
        <v>816</v>
      </c>
      <c r="I495">
        <v>17.600000000000001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17.600000000000001</v>
      </c>
      <c r="P495" s="44" t="e">
        <f>_xlfn.XLOOKUP(Tabla5[[#This Row],[EAN CORREGIDO]],'Tabla Articulos'!B:B,'Tabla Articulos'!D:D)</f>
        <v>#N/A</v>
      </c>
      <c r="Q495" s="44" t="e">
        <f>_xlfn.XLOOKUP(S495,'Tabla Articulos'!B:B,'Tabla Articulos'!E:E)</f>
        <v>#N/A</v>
      </c>
      <c r="R495" s="44" t="e">
        <f t="shared" si="14"/>
        <v>#N/A</v>
      </c>
      <c r="S495" s="45" t="str">
        <f t="shared" si="15"/>
        <v>7790212050103</v>
      </c>
    </row>
    <row r="496" spans="1:19" hidden="1" x14ac:dyDescent="0.35">
      <c r="A496" s="22">
        <v>5</v>
      </c>
      <c r="B496" t="s">
        <v>829</v>
      </c>
      <c r="C496" t="s">
        <v>802</v>
      </c>
      <c r="D496" t="s">
        <v>1437</v>
      </c>
      <c r="E496" t="s">
        <v>1438</v>
      </c>
      <c r="F496">
        <v>4017336</v>
      </c>
      <c r="G496" t="s">
        <v>1439</v>
      </c>
      <c r="H496" t="s">
        <v>805</v>
      </c>
      <c r="I496">
        <v>8968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8968</v>
      </c>
      <c r="P496" s="44" t="e">
        <f>_xlfn.XLOOKUP(Tabla5[[#This Row],[EAN CORREGIDO]],'Tabla Articulos'!B:B,'Tabla Articulos'!D:D)</f>
        <v>#N/A</v>
      </c>
      <c r="Q496" s="44" t="e">
        <f>_xlfn.XLOOKUP(S496,'Tabla Articulos'!B:B,'Tabla Articulos'!E:E)</f>
        <v>#N/A</v>
      </c>
      <c r="R496" s="44" t="e">
        <f t="shared" si="14"/>
        <v>#N/A</v>
      </c>
      <c r="S496" s="45" t="str">
        <f t="shared" si="15"/>
        <v>7798065733454</v>
      </c>
    </row>
    <row r="497" spans="1:19" hidden="1" x14ac:dyDescent="0.35">
      <c r="A497" s="22">
        <v>5</v>
      </c>
      <c r="B497" t="s">
        <v>829</v>
      </c>
      <c r="C497" t="s">
        <v>802</v>
      </c>
      <c r="D497" s="11" t="s">
        <v>1440</v>
      </c>
      <c r="E497" t="s">
        <v>1441</v>
      </c>
      <c r="F497">
        <v>4020553</v>
      </c>
      <c r="G497" t="s">
        <v>1442</v>
      </c>
      <c r="H497" t="s">
        <v>805</v>
      </c>
      <c r="I497">
        <v>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3</v>
      </c>
      <c r="P497" s="44" t="e">
        <f>_xlfn.XLOOKUP(Tabla5[[#This Row],[EAN CORREGIDO]],'Tabla Articulos'!B:B,'Tabla Articulos'!D:D)</f>
        <v>#N/A</v>
      </c>
      <c r="Q497" s="44" t="e">
        <f>_xlfn.XLOOKUP(S497,'Tabla Articulos'!B:B,'Tabla Articulos'!E:E)</f>
        <v>#N/A</v>
      </c>
      <c r="R497" s="44" t="e">
        <f t="shared" si="14"/>
        <v>#N/A</v>
      </c>
      <c r="S497" s="45" t="str">
        <f t="shared" si="15"/>
        <v>7798011976492</v>
      </c>
    </row>
    <row r="498" spans="1:19" hidden="1" x14ac:dyDescent="0.35">
      <c r="A498" s="22">
        <v>6</v>
      </c>
      <c r="B498" t="s">
        <v>801</v>
      </c>
      <c r="C498" t="s">
        <v>802</v>
      </c>
      <c r="E498" t="s">
        <v>2024</v>
      </c>
      <c r="F498">
        <v>9003622</v>
      </c>
      <c r="G498" t="s">
        <v>2025</v>
      </c>
      <c r="H498" t="s">
        <v>805</v>
      </c>
      <c r="I498">
        <v>39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39</v>
      </c>
      <c r="P498" s="44" t="e">
        <f>_xlfn.XLOOKUP(Tabla5[[#This Row],[EAN CORREGIDO]],'Tabla Articulos'!B:B,'Tabla Articulos'!D:D)</f>
        <v>#N/A</v>
      </c>
      <c r="Q498" s="44" t="e">
        <f>_xlfn.XLOOKUP(S498,'Tabla Articulos'!B:B,'Tabla Articulos'!E:E)</f>
        <v>#N/A</v>
      </c>
      <c r="R498" s="44" t="e">
        <f t="shared" si="14"/>
        <v>#N/A</v>
      </c>
      <c r="S498" s="45" t="str">
        <f t="shared" si="15"/>
        <v>UNIF000461</v>
      </c>
    </row>
    <row r="499" spans="1:19" hidden="1" x14ac:dyDescent="0.35">
      <c r="A499" s="22">
        <v>1</v>
      </c>
      <c r="B499" t="s">
        <v>812</v>
      </c>
      <c r="C499" t="s">
        <v>802</v>
      </c>
      <c r="D499" t="s">
        <v>2026</v>
      </c>
      <c r="E499" t="s">
        <v>2027</v>
      </c>
      <c r="F499">
        <v>4020716</v>
      </c>
      <c r="G499" t="s">
        <v>2028</v>
      </c>
      <c r="H499" t="s">
        <v>805</v>
      </c>
      <c r="I499">
        <v>12270</v>
      </c>
      <c r="J499">
        <v>0</v>
      </c>
      <c r="K499">
        <v>0</v>
      </c>
      <c r="L499">
        <v>0</v>
      </c>
      <c r="M499">
        <v>367</v>
      </c>
      <c r="N499">
        <v>0</v>
      </c>
      <c r="O499">
        <v>11903</v>
      </c>
      <c r="P499" s="44" t="e">
        <f>_xlfn.XLOOKUP(Tabla5[[#This Row],[EAN CORREGIDO]],'Tabla Articulos'!B:B,'Tabla Articulos'!D:D)</f>
        <v>#N/A</v>
      </c>
      <c r="Q499" s="44" t="e">
        <f>_xlfn.XLOOKUP(S499,'Tabla Articulos'!B:B,'Tabla Articulos'!E:E)</f>
        <v>#N/A</v>
      </c>
      <c r="R499" s="44" t="e">
        <f t="shared" si="14"/>
        <v>#N/A</v>
      </c>
      <c r="S499" s="45" t="str">
        <f t="shared" si="15"/>
        <v>7798028020546</v>
      </c>
    </row>
    <row r="500" spans="1:19" hidden="1" x14ac:dyDescent="0.35">
      <c r="A500" s="22">
        <v>6</v>
      </c>
      <c r="B500" t="s">
        <v>801</v>
      </c>
      <c r="C500" t="s">
        <v>802</v>
      </c>
      <c r="D500"/>
      <c r="E500" t="s">
        <v>2029</v>
      </c>
      <c r="F500">
        <v>9003605</v>
      </c>
      <c r="G500" t="s">
        <v>2030</v>
      </c>
      <c r="H500" t="s">
        <v>805</v>
      </c>
      <c r="I500">
        <v>17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17</v>
      </c>
      <c r="P500" s="44" t="e">
        <f>_xlfn.XLOOKUP(Tabla5[[#This Row],[EAN CORREGIDO]],'Tabla Articulos'!B:B,'Tabla Articulos'!D:D)</f>
        <v>#N/A</v>
      </c>
      <c r="Q500" s="44" t="e">
        <f>_xlfn.XLOOKUP(S500,'Tabla Articulos'!B:B,'Tabla Articulos'!E:E)</f>
        <v>#N/A</v>
      </c>
      <c r="R500" s="44" t="e">
        <f t="shared" si="14"/>
        <v>#N/A</v>
      </c>
      <c r="S500" s="45" t="str">
        <f t="shared" si="15"/>
        <v>UNIF000444</v>
      </c>
    </row>
    <row r="501" spans="1:19" hidden="1" x14ac:dyDescent="0.35">
      <c r="A501" s="22">
        <v>6</v>
      </c>
      <c r="B501" t="s">
        <v>801</v>
      </c>
      <c r="C501" t="s">
        <v>802</v>
      </c>
      <c r="D501" s="11" t="s">
        <v>4638</v>
      </c>
      <c r="E501" t="s">
        <v>4639</v>
      </c>
      <c r="F501">
        <v>2006214</v>
      </c>
      <c r="G501" t="s">
        <v>4640</v>
      </c>
      <c r="H501" t="s">
        <v>805</v>
      </c>
      <c r="I501">
        <v>614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614</v>
      </c>
      <c r="P501" s="44" t="e">
        <f>_xlfn.XLOOKUP(Tabla5[[#This Row],[EAN CORREGIDO]],'Tabla Articulos'!B:B,'Tabla Articulos'!D:D)</f>
        <v>#N/A</v>
      </c>
      <c r="Q501" s="44" t="e">
        <f>_xlfn.XLOOKUP(S501,'Tabla Articulos'!B:B,'Tabla Articulos'!E:E)</f>
        <v>#N/A</v>
      </c>
      <c r="R501" s="44" t="e">
        <f t="shared" si="14"/>
        <v>#N/A</v>
      </c>
      <c r="S501" s="45" t="str">
        <f t="shared" si="15"/>
        <v>9992012703028</v>
      </c>
    </row>
    <row r="502" spans="1:19" hidden="1" x14ac:dyDescent="0.35">
      <c r="A502" s="22">
        <v>6</v>
      </c>
      <c r="B502" t="s">
        <v>801</v>
      </c>
      <c r="C502" t="s">
        <v>802</v>
      </c>
      <c r="D502"/>
      <c r="E502" t="s">
        <v>4641</v>
      </c>
      <c r="F502">
        <v>9003785</v>
      </c>
      <c r="G502" t="s">
        <v>4642</v>
      </c>
      <c r="H502" t="s">
        <v>805</v>
      </c>
      <c r="I502">
        <v>1036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1036</v>
      </c>
      <c r="P502" s="44" t="e">
        <f>_xlfn.XLOOKUP(Tabla5[[#This Row],[EAN CORREGIDO]],'Tabla Articulos'!B:B,'Tabla Articulos'!D:D)</f>
        <v>#N/A</v>
      </c>
      <c r="Q502" s="44" t="e">
        <f>_xlfn.XLOOKUP(S502,'Tabla Articulos'!B:B,'Tabla Articulos'!E:E)</f>
        <v>#N/A</v>
      </c>
      <c r="R502" s="44" t="e">
        <f t="shared" si="14"/>
        <v>#N/A</v>
      </c>
      <c r="S502" s="45" t="str">
        <f t="shared" si="15"/>
        <v>BAZ001204</v>
      </c>
    </row>
    <row r="503" spans="1:19" hidden="1" x14ac:dyDescent="0.35">
      <c r="A503" s="22">
        <v>6</v>
      </c>
      <c r="B503" t="s">
        <v>801</v>
      </c>
      <c r="C503" t="s">
        <v>802</v>
      </c>
      <c r="D503" s="11" t="s">
        <v>1874</v>
      </c>
      <c r="E503" t="s">
        <v>4643</v>
      </c>
      <c r="F503">
        <v>2007382</v>
      </c>
      <c r="G503" t="s">
        <v>4644</v>
      </c>
      <c r="H503" t="s">
        <v>805</v>
      </c>
      <c r="I503">
        <v>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7</v>
      </c>
      <c r="P503" s="44" t="e">
        <f>_xlfn.XLOOKUP(Tabla5[[#This Row],[EAN CORREGIDO]],'Tabla Articulos'!B:B,'Tabla Articulos'!D:D)</f>
        <v>#N/A</v>
      </c>
      <c r="Q503" s="44" t="e">
        <f>_xlfn.XLOOKUP(S503,'Tabla Articulos'!B:B,'Tabla Articulos'!E:E)</f>
        <v>#N/A</v>
      </c>
      <c r="R503" s="44" t="e">
        <f t="shared" si="14"/>
        <v>#N/A</v>
      </c>
      <c r="S503" s="45" t="str">
        <f t="shared" si="15"/>
        <v>7791625000140</v>
      </c>
    </row>
    <row r="504" spans="1:19" hidden="1" x14ac:dyDescent="0.35">
      <c r="A504" s="22">
        <v>1</v>
      </c>
      <c r="B504" t="s">
        <v>812</v>
      </c>
      <c r="C504" t="s">
        <v>802</v>
      </c>
      <c r="D504" t="s">
        <v>4645</v>
      </c>
      <c r="E504" t="s">
        <v>4646</v>
      </c>
      <c r="F504">
        <v>4022788</v>
      </c>
      <c r="G504" t="s">
        <v>4647</v>
      </c>
      <c r="H504" t="s">
        <v>805</v>
      </c>
      <c r="I504">
        <v>34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34</v>
      </c>
      <c r="P504" s="44" t="e">
        <f>_xlfn.XLOOKUP(Tabla5[[#This Row],[EAN CORREGIDO]],'Tabla Articulos'!B:B,'Tabla Articulos'!D:D)</f>
        <v>#N/A</v>
      </c>
      <c r="Q504" s="44" t="e">
        <f>_xlfn.XLOOKUP(S504,'Tabla Articulos'!B:B,'Tabla Articulos'!E:E)</f>
        <v>#N/A</v>
      </c>
      <c r="R504" s="44" t="e">
        <f t="shared" si="14"/>
        <v>#N/A</v>
      </c>
      <c r="S504" s="45" t="str">
        <f t="shared" si="15"/>
        <v>7793875329718</v>
      </c>
    </row>
    <row r="505" spans="1:19" hidden="1" x14ac:dyDescent="0.35">
      <c r="A505" s="22">
        <v>5</v>
      </c>
      <c r="B505" t="s">
        <v>829</v>
      </c>
      <c r="C505" t="s">
        <v>802</v>
      </c>
      <c r="D505" t="s">
        <v>4645</v>
      </c>
      <c r="E505" t="s">
        <v>4646</v>
      </c>
      <c r="F505">
        <v>4022788</v>
      </c>
      <c r="G505" t="s">
        <v>4647</v>
      </c>
      <c r="H505" t="s">
        <v>805</v>
      </c>
      <c r="I505">
        <v>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</v>
      </c>
      <c r="P505" s="44" t="e">
        <f>_xlfn.XLOOKUP(Tabla5[[#This Row],[EAN CORREGIDO]],'Tabla Articulos'!B:B,'Tabla Articulos'!D:D)</f>
        <v>#N/A</v>
      </c>
      <c r="Q505" s="44" t="e">
        <f>_xlfn.XLOOKUP(S505,'Tabla Articulos'!B:B,'Tabla Articulos'!E:E)</f>
        <v>#N/A</v>
      </c>
      <c r="R505" s="44" t="e">
        <f t="shared" si="14"/>
        <v>#N/A</v>
      </c>
      <c r="S505" s="45" t="str">
        <f t="shared" si="15"/>
        <v>7793875329718</v>
      </c>
    </row>
    <row r="506" spans="1:19" hidden="1" x14ac:dyDescent="0.35">
      <c r="A506" s="22">
        <v>1</v>
      </c>
      <c r="B506" t="s">
        <v>812</v>
      </c>
      <c r="C506" t="s">
        <v>802</v>
      </c>
      <c r="D506" s="11" t="s">
        <v>3051</v>
      </c>
      <c r="E506" t="s">
        <v>4648</v>
      </c>
      <c r="F506">
        <v>4019606</v>
      </c>
      <c r="G506" t="s">
        <v>4649</v>
      </c>
      <c r="H506" t="s">
        <v>805</v>
      </c>
      <c r="I506">
        <v>242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242</v>
      </c>
      <c r="P506" s="44" t="e">
        <f>_xlfn.XLOOKUP(Tabla5[[#This Row],[EAN CORREGIDO]],'Tabla Articulos'!B:B,'Tabla Articulos'!D:D)</f>
        <v>#N/A</v>
      </c>
      <c r="Q506" s="44" t="e">
        <f>_xlfn.XLOOKUP(S506,'Tabla Articulos'!B:B,'Tabla Articulos'!E:E)</f>
        <v>#N/A</v>
      </c>
      <c r="R506" s="44" t="e">
        <f t="shared" si="14"/>
        <v>#N/A</v>
      </c>
      <c r="S506" s="45" t="str">
        <f t="shared" si="15"/>
        <v>7790150550588</v>
      </c>
    </row>
    <row r="507" spans="1:19" hidden="1" x14ac:dyDescent="0.35">
      <c r="A507" s="22">
        <v>6</v>
      </c>
      <c r="B507" t="s">
        <v>801</v>
      </c>
      <c r="C507" t="s">
        <v>802</v>
      </c>
      <c r="D507"/>
      <c r="E507" t="s">
        <v>4650</v>
      </c>
      <c r="F507">
        <v>5000795</v>
      </c>
      <c r="G507" t="s">
        <v>4651</v>
      </c>
      <c r="H507" t="s">
        <v>805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</v>
      </c>
      <c r="P507" s="44" t="e">
        <f>_xlfn.XLOOKUP(Tabla5[[#This Row],[EAN CORREGIDO]],'Tabla Articulos'!B:B,'Tabla Articulos'!D:D)</f>
        <v>#N/A</v>
      </c>
      <c r="Q507" s="44" t="e">
        <f>_xlfn.XLOOKUP(S507,'Tabla Articulos'!B:B,'Tabla Articulos'!E:E)</f>
        <v>#N/A</v>
      </c>
      <c r="R507" s="44" t="e">
        <f t="shared" si="14"/>
        <v>#N/A</v>
      </c>
      <c r="S507" s="45" t="str">
        <f t="shared" si="15"/>
        <v>5000795</v>
      </c>
    </row>
    <row r="508" spans="1:19" hidden="1" x14ac:dyDescent="0.35">
      <c r="A508" s="22">
        <v>1</v>
      </c>
      <c r="B508" t="s">
        <v>812</v>
      </c>
      <c r="C508" t="s">
        <v>802</v>
      </c>
      <c r="D508" t="s">
        <v>2595</v>
      </c>
      <c r="E508" t="s">
        <v>4652</v>
      </c>
      <c r="F508">
        <v>4024158</v>
      </c>
      <c r="G508" t="s">
        <v>4653</v>
      </c>
      <c r="H508" t="s">
        <v>805</v>
      </c>
      <c r="I508">
        <v>3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3</v>
      </c>
      <c r="P508" s="44" t="e">
        <f>_xlfn.XLOOKUP(Tabla5[[#This Row],[EAN CORREGIDO]],'Tabla Articulos'!B:B,'Tabla Articulos'!D:D)</f>
        <v>#N/A</v>
      </c>
      <c r="Q508" s="44" t="e">
        <f>_xlfn.XLOOKUP(S508,'Tabla Articulos'!B:B,'Tabla Articulos'!E:E)</f>
        <v>#N/A</v>
      </c>
      <c r="R508" s="44" t="e">
        <f t="shared" si="14"/>
        <v>#N/A</v>
      </c>
      <c r="S508" s="45" t="str">
        <f t="shared" si="15"/>
        <v>7790199604969</v>
      </c>
    </row>
    <row r="509" spans="1:19" hidden="1" x14ac:dyDescent="0.35">
      <c r="A509" s="22">
        <v>6</v>
      </c>
      <c r="B509" t="s">
        <v>801</v>
      </c>
      <c r="C509" t="s">
        <v>802</v>
      </c>
      <c r="D509" t="s">
        <v>841</v>
      </c>
      <c r="E509" t="s">
        <v>4654</v>
      </c>
      <c r="F509">
        <v>2006225</v>
      </c>
      <c r="G509" t="s">
        <v>4655</v>
      </c>
      <c r="H509" t="s">
        <v>805</v>
      </c>
      <c r="I509">
        <v>354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354</v>
      </c>
      <c r="P509" s="44" t="e">
        <f>_xlfn.XLOOKUP(Tabla5[[#This Row],[EAN CORREGIDO]],'Tabla Articulos'!B:B,'Tabla Articulos'!D:D)</f>
        <v>#N/A</v>
      </c>
      <c r="Q509" s="44" t="e">
        <f>_xlfn.XLOOKUP(S509,'Tabla Articulos'!B:B,'Tabla Articulos'!E:E)</f>
        <v>#N/A</v>
      </c>
      <c r="R509" s="44" t="e">
        <f t="shared" si="14"/>
        <v>#N/A</v>
      </c>
      <c r="S509" s="45" t="str">
        <f t="shared" si="15"/>
        <v>7798430440017</v>
      </c>
    </row>
    <row r="510" spans="1:19" hidden="1" x14ac:dyDescent="0.35">
      <c r="A510" s="22">
        <v>6</v>
      </c>
      <c r="B510" t="s">
        <v>801</v>
      </c>
      <c r="C510" t="s">
        <v>802</v>
      </c>
      <c r="E510" t="s">
        <v>4656</v>
      </c>
      <c r="F510">
        <v>9003146</v>
      </c>
      <c r="G510" t="s">
        <v>4657</v>
      </c>
      <c r="H510" t="s">
        <v>805</v>
      </c>
      <c r="I510">
        <v>41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41</v>
      </c>
      <c r="P510" s="44" t="e">
        <f>_xlfn.XLOOKUP(Tabla5[[#This Row],[EAN CORREGIDO]],'Tabla Articulos'!B:B,'Tabla Articulos'!D:D)</f>
        <v>#N/A</v>
      </c>
      <c r="Q510" s="44" t="e">
        <f>_xlfn.XLOOKUP(S510,'Tabla Articulos'!B:B,'Tabla Articulos'!E:E)</f>
        <v>#N/A</v>
      </c>
      <c r="R510" s="44" t="e">
        <f t="shared" si="14"/>
        <v>#N/A</v>
      </c>
      <c r="S510" s="45" t="str">
        <f t="shared" si="15"/>
        <v>UNIF000608</v>
      </c>
    </row>
    <row r="511" spans="1:19" hidden="1" x14ac:dyDescent="0.35">
      <c r="A511" s="22">
        <v>1</v>
      </c>
      <c r="B511" t="s">
        <v>812</v>
      </c>
      <c r="C511" t="s">
        <v>802</v>
      </c>
      <c r="D511" t="s">
        <v>2045</v>
      </c>
      <c r="E511" t="s">
        <v>2046</v>
      </c>
      <c r="F511">
        <v>4020292</v>
      </c>
      <c r="G511" t="s">
        <v>2047</v>
      </c>
      <c r="H511" t="s">
        <v>805</v>
      </c>
      <c r="I511">
        <v>22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22</v>
      </c>
      <c r="P511" s="44" t="e">
        <f>_xlfn.XLOOKUP(Tabla5[[#This Row],[EAN CORREGIDO]],'Tabla Articulos'!B:B,'Tabla Articulos'!D:D)</f>
        <v>#N/A</v>
      </c>
      <c r="Q511" s="44" t="e">
        <f>_xlfn.XLOOKUP(S511,'Tabla Articulos'!B:B,'Tabla Articulos'!E:E)</f>
        <v>#N/A</v>
      </c>
      <c r="R511" s="44" t="e">
        <f t="shared" si="14"/>
        <v>#N/A</v>
      </c>
      <c r="S511" s="45" t="str">
        <f t="shared" si="15"/>
        <v>7797234000311</v>
      </c>
    </row>
    <row r="512" spans="1:19" hidden="1" x14ac:dyDescent="0.35">
      <c r="A512" s="22">
        <v>6</v>
      </c>
      <c r="B512" t="s">
        <v>801</v>
      </c>
      <c r="C512" t="s">
        <v>802</v>
      </c>
      <c r="E512" t="s">
        <v>2048</v>
      </c>
      <c r="F512">
        <v>9003332</v>
      </c>
      <c r="G512" t="s">
        <v>2049</v>
      </c>
      <c r="H512" t="s">
        <v>805</v>
      </c>
      <c r="I512">
        <v>13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13</v>
      </c>
      <c r="P512" s="44" t="e">
        <f>_xlfn.XLOOKUP(Tabla5[[#This Row],[EAN CORREGIDO]],'Tabla Articulos'!B:B,'Tabla Articulos'!D:D)</f>
        <v>#N/A</v>
      </c>
      <c r="Q512" s="44" t="e">
        <f>_xlfn.XLOOKUP(S512,'Tabla Articulos'!B:B,'Tabla Articulos'!E:E)</f>
        <v>#N/A</v>
      </c>
      <c r="R512" s="44" t="e">
        <f t="shared" si="14"/>
        <v>#N/A</v>
      </c>
      <c r="S512" s="45" t="str">
        <f t="shared" si="15"/>
        <v>UNIF000096</v>
      </c>
    </row>
    <row r="513" spans="1:19" hidden="1" x14ac:dyDescent="0.35">
      <c r="A513" s="22">
        <v>6</v>
      </c>
      <c r="B513" t="s">
        <v>801</v>
      </c>
      <c r="C513" t="s">
        <v>802</v>
      </c>
      <c r="D513"/>
      <c r="E513" t="s">
        <v>2050</v>
      </c>
      <c r="F513">
        <v>9003071</v>
      </c>
      <c r="G513" t="s">
        <v>2051</v>
      </c>
      <c r="H513" t="s">
        <v>805</v>
      </c>
      <c r="I513">
        <v>181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181</v>
      </c>
      <c r="P513" s="44" t="e">
        <f>_xlfn.XLOOKUP(Tabla5[[#This Row],[EAN CORREGIDO]],'Tabla Articulos'!B:B,'Tabla Articulos'!D:D)</f>
        <v>#N/A</v>
      </c>
      <c r="Q513" s="44" t="e">
        <f>_xlfn.XLOOKUP(S513,'Tabla Articulos'!B:B,'Tabla Articulos'!E:E)</f>
        <v>#N/A</v>
      </c>
      <c r="R513" s="44" t="e">
        <f t="shared" ref="R513:R576" si="16">O513*Q513</f>
        <v>#N/A</v>
      </c>
      <c r="S513" s="45" t="str">
        <f t="shared" ref="S513:S576" si="17">TRIM(E513)</f>
        <v>UNIF000534</v>
      </c>
    </row>
    <row r="514" spans="1:19" hidden="1" x14ac:dyDescent="0.35">
      <c r="A514" s="22">
        <v>5</v>
      </c>
      <c r="B514" t="s">
        <v>829</v>
      </c>
      <c r="C514" t="s">
        <v>802</v>
      </c>
      <c r="D514" t="s">
        <v>1586</v>
      </c>
      <c r="E514" t="s">
        <v>2052</v>
      </c>
      <c r="F514">
        <v>4024354</v>
      </c>
      <c r="G514" t="s">
        <v>2053</v>
      </c>
      <c r="H514" t="s">
        <v>805</v>
      </c>
      <c r="I514">
        <v>463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463</v>
      </c>
      <c r="P514" s="44" t="e">
        <f>_xlfn.XLOOKUP(Tabla5[[#This Row],[EAN CORREGIDO]],'Tabla Articulos'!B:B,'Tabla Articulos'!D:D)</f>
        <v>#N/A</v>
      </c>
      <c r="Q514" s="44" t="e">
        <f>_xlfn.XLOOKUP(S514,'Tabla Articulos'!B:B,'Tabla Articulos'!E:E)</f>
        <v>#N/A</v>
      </c>
      <c r="R514" s="44" t="e">
        <f t="shared" si="16"/>
        <v>#N/A</v>
      </c>
      <c r="S514" s="45" t="str">
        <f t="shared" si="17"/>
        <v>7790580471309</v>
      </c>
    </row>
    <row r="515" spans="1:19" hidden="1" x14ac:dyDescent="0.35">
      <c r="A515" s="22">
        <v>1</v>
      </c>
      <c r="B515" t="s">
        <v>812</v>
      </c>
      <c r="C515" t="s">
        <v>802</v>
      </c>
      <c r="D515" t="s">
        <v>2054</v>
      </c>
      <c r="E515" t="s">
        <v>2055</v>
      </c>
      <c r="F515">
        <v>4018403</v>
      </c>
      <c r="G515" t="s">
        <v>2056</v>
      </c>
      <c r="H515" t="s">
        <v>805</v>
      </c>
      <c r="I515">
        <v>10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10</v>
      </c>
      <c r="P515" s="44" t="e">
        <f>_xlfn.XLOOKUP(Tabla5[[#This Row],[EAN CORREGIDO]],'Tabla Articulos'!B:B,'Tabla Articulos'!D:D)</f>
        <v>#N/A</v>
      </c>
      <c r="Q515" s="44" t="e">
        <f>_xlfn.XLOOKUP(S515,'Tabla Articulos'!B:B,'Tabla Articulos'!E:E)</f>
        <v>#N/A</v>
      </c>
      <c r="R515" s="44" t="e">
        <f t="shared" si="16"/>
        <v>#N/A</v>
      </c>
      <c r="S515" s="45" t="str">
        <f t="shared" si="17"/>
        <v>7798290581936</v>
      </c>
    </row>
    <row r="516" spans="1:19" hidden="1" x14ac:dyDescent="0.35">
      <c r="A516" s="22">
        <v>6</v>
      </c>
      <c r="B516" t="s">
        <v>801</v>
      </c>
      <c r="C516" t="s">
        <v>802</v>
      </c>
      <c r="E516" t="s">
        <v>3047</v>
      </c>
      <c r="F516">
        <v>2006913</v>
      </c>
      <c r="G516" t="s">
        <v>3048</v>
      </c>
      <c r="H516" t="s">
        <v>805</v>
      </c>
      <c r="I516">
        <v>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6</v>
      </c>
      <c r="P516" s="44" t="e">
        <f>_xlfn.XLOOKUP(Tabla5[[#This Row],[EAN CORREGIDO]],'Tabla Articulos'!B:B,'Tabla Articulos'!D:D)</f>
        <v>#N/A</v>
      </c>
      <c r="Q516" s="44" t="e">
        <f>_xlfn.XLOOKUP(S516,'Tabla Articulos'!B:B,'Tabla Articulos'!E:E)</f>
        <v>#N/A</v>
      </c>
      <c r="R516" s="44" t="e">
        <f t="shared" si="16"/>
        <v>#N/A</v>
      </c>
      <c r="S516" s="45" t="str">
        <f t="shared" si="17"/>
        <v>LIM000235</v>
      </c>
    </row>
    <row r="517" spans="1:19" hidden="1" x14ac:dyDescent="0.35">
      <c r="A517" s="22">
        <v>1</v>
      </c>
      <c r="B517" t="s">
        <v>812</v>
      </c>
      <c r="C517" t="s">
        <v>802</v>
      </c>
      <c r="D517" t="s">
        <v>3051</v>
      </c>
      <c r="E517" t="s">
        <v>3052</v>
      </c>
      <c r="F517">
        <v>4020704</v>
      </c>
      <c r="G517" t="s">
        <v>3053</v>
      </c>
      <c r="H517" t="s">
        <v>805</v>
      </c>
      <c r="I517">
        <v>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5</v>
      </c>
      <c r="P517" s="44" t="e">
        <f>_xlfn.XLOOKUP(Tabla5[[#This Row],[EAN CORREGIDO]],'Tabla Articulos'!B:B,'Tabla Articulos'!D:D)</f>
        <v>#N/A</v>
      </c>
      <c r="Q517" s="44" t="e">
        <f>_xlfn.XLOOKUP(S517,'Tabla Articulos'!B:B,'Tabla Articulos'!E:E)</f>
        <v>#N/A</v>
      </c>
      <c r="R517" s="44" t="e">
        <f t="shared" si="16"/>
        <v>#N/A</v>
      </c>
      <c r="S517" s="45" t="str">
        <f t="shared" si="17"/>
        <v>7797234000380</v>
      </c>
    </row>
    <row r="518" spans="1:19" hidden="1" x14ac:dyDescent="0.35">
      <c r="A518" s="22">
        <v>6</v>
      </c>
      <c r="B518" t="s">
        <v>801</v>
      </c>
      <c r="C518" t="s">
        <v>802</v>
      </c>
      <c r="D518"/>
      <c r="E518" t="s">
        <v>3054</v>
      </c>
      <c r="F518">
        <v>5000761</v>
      </c>
      <c r="G518" t="s">
        <v>3055</v>
      </c>
      <c r="H518" t="s">
        <v>805</v>
      </c>
      <c r="I518">
        <v>296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296</v>
      </c>
      <c r="P518" s="44" t="e">
        <f>_xlfn.XLOOKUP(Tabla5[[#This Row],[EAN CORREGIDO]],'Tabla Articulos'!B:B,'Tabla Articulos'!D:D)</f>
        <v>#N/A</v>
      </c>
      <c r="Q518" s="44" t="e">
        <f>_xlfn.XLOOKUP(S518,'Tabla Articulos'!B:B,'Tabla Articulos'!E:E)</f>
        <v>#N/A</v>
      </c>
      <c r="R518" s="44" t="e">
        <f t="shared" si="16"/>
        <v>#N/A</v>
      </c>
      <c r="S518" s="45" t="str">
        <f t="shared" si="17"/>
        <v>5000761</v>
      </c>
    </row>
    <row r="519" spans="1:19" hidden="1" x14ac:dyDescent="0.35">
      <c r="A519" s="22">
        <v>6</v>
      </c>
      <c r="B519" t="s">
        <v>801</v>
      </c>
      <c r="C519" t="s">
        <v>802</v>
      </c>
      <c r="E519" t="s">
        <v>3056</v>
      </c>
      <c r="F519">
        <v>9003089</v>
      </c>
      <c r="G519" t="s">
        <v>3057</v>
      </c>
      <c r="H519" t="s">
        <v>805</v>
      </c>
      <c r="I519">
        <v>13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13</v>
      </c>
      <c r="P519" s="44" t="e">
        <f>_xlfn.XLOOKUP(Tabla5[[#This Row],[EAN CORREGIDO]],'Tabla Articulos'!B:B,'Tabla Articulos'!D:D)</f>
        <v>#N/A</v>
      </c>
      <c r="Q519" s="44" t="e">
        <f>_xlfn.XLOOKUP(S519,'Tabla Articulos'!B:B,'Tabla Articulos'!E:E)</f>
        <v>#N/A</v>
      </c>
      <c r="R519" s="44" t="e">
        <f t="shared" si="16"/>
        <v>#N/A</v>
      </c>
      <c r="S519" s="45" t="str">
        <f t="shared" si="17"/>
        <v>UNIF000551</v>
      </c>
    </row>
    <row r="520" spans="1:19" hidden="1" x14ac:dyDescent="0.35">
      <c r="A520" s="22">
        <v>1</v>
      </c>
      <c r="B520" t="s">
        <v>812</v>
      </c>
      <c r="C520" t="s">
        <v>802</v>
      </c>
      <c r="D520" s="11" t="s">
        <v>1050</v>
      </c>
      <c r="E520" t="s">
        <v>3058</v>
      </c>
      <c r="F520">
        <v>4017287</v>
      </c>
      <c r="G520" t="s">
        <v>3059</v>
      </c>
      <c r="H520" t="s">
        <v>805</v>
      </c>
      <c r="I520">
        <v>100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100</v>
      </c>
      <c r="P520" s="44" t="e">
        <f>_xlfn.XLOOKUP(Tabla5[[#This Row],[EAN CORREGIDO]],'Tabla Articulos'!B:B,'Tabla Articulos'!D:D)</f>
        <v>#N/A</v>
      </c>
      <c r="Q520" s="44" t="e">
        <f>_xlfn.XLOOKUP(S520,'Tabla Articulos'!B:B,'Tabla Articulos'!E:E)</f>
        <v>#N/A</v>
      </c>
      <c r="R520" s="44" t="e">
        <f t="shared" si="16"/>
        <v>#N/A</v>
      </c>
      <c r="S520" s="45" t="str">
        <f t="shared" si="17"/>
        <v>7790895649301</v>
      </c>
    </row>
    <row r="521" spans="1:19" hidden="1" x14ac:dyDescent="0.35">
      <c r="A521" s="22">
        <v>5</v>
      </c>
      <c r="B521" t="s">
        <v>829</v>
      </c>
      <c r="C521" t="s">
        <v>802</v>
      </c>
      <c r="D521" t="s">
        <v>1050</v>
      </c>
      <c r="E521" t="s">
        <v>3058</v>
      </c>
      <c r="F521">
        <v>4017287</v>
      </c>
      <c r="G521" t="s">
        <v>3059</v>
      </c>
      <c r="H521" t="s">
        <v>805</v>
      </c>
      <c r="I521">
        <v>198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198</v>
      </c>
      <c r="P521" s="44" t="e">
        <f>_xlfn.XLOOKUP(Tabla5[[#This Row],[EAN CORREGIDO]],'Tabla Articulos'!B:B,'Tabla Articulos'!D:D)</f>
        <v>#N/A</v>
      </c>
      <c r="Q521" s="44" t="e">
        <f>_xlfn.XLOOKUP(S521,'Tabla Articulos'!B:B,'Tabla Articulos'!E:E)</f>
        <v>#N/A</v>
      </c>
      <c r="R521" s="44" t="e">
        <f t="shared" si="16"/>
        <v>#N/A</v>
      </c>
      <c r="S521" s="45" t="str">
        <f t="shared" si="17"/>
        <v>7790895649301</v>
      </c>
    </row>
    <row r="522" spans="1:19" hidden="1" x14ac:dyDescent="0.35">
      <c r="A522" s="22">
        <v>5</v>
      </c>
      <c r="B522" t="s">
        <v>829</v>
      </c>
      <c r="C522" t="s">
        <v>802</v>
      </c>
      <c r="D522" s="11" t="s">
        <v>1271</v>
      </c>
      <c r="E522" t="s">
        <v>3060</v>
      </c>
      <c r="F522">
        <v>4019455</v>
      </c>
      <c r="G522" t="s">
        <v>3061</v>
      </c>
      <c r="H522" t="s">
        <v>805</v>
      </c>
      <c r="I522">
        <v>270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270</v>
      </c>
      <c r="P522" s="44" t="e">
        <f>_xlfn.XLOOKUP(Tabla5[[#This Row],[EAN CORREGIDO]],'Tabla Articulos'!B:B,'Tabla Articulos'!D:D)</f>
        <v>#N/A</v>
      </c>
      <c r="Q522" s="44" t="e">
        <f>_xlfn.XLOOKUP(S522,'Tabla Articulos'!B:B,'Tabla Articulos'!E:E)</f>
        <v>#N/A</v>
      </c>
      <c r="R522" s="44" t="e">
        <f t="shared" si="16"/>
        <v>#N/A</v>
      </c>
      <c r="S522" s="45" t="str">
        <f t="shared" si="17"/>
        <v>7790070336385</v>
      </c>
    </row>
    <row r="523" spans="1:19" hidden="1" x14ac:dyDescent="0.35">
      <c r="A523" s="22">
        <v>1</v>
      </c>
      <c r="B523" t="s">
        <v>812</v>
      </c>
      <c r="C523" t="s">
        <v>802</v>
      </c>
      <c r="D523" t="s">
        <v>1271</v>
      </c>
      <c r="E523" t="s">
        <v>3060</v>
      </c>
      <c r="F523">
        <v>4019455</v>
      </c>
      <c r="G523" t="s">
        <v>3061</v>
      </c>
      <c r="H523" t="s">
        <v>805</v>
      </c>
      <c r="I523">
        <v>120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120</v>
      </c>
      <c r="P523" s="44" t="e">
        <f>_xlfn.XLOOKUP(Tabla5[[#This Row],[EAN CORREGIDO]],'Tabla Articulos'!B:B,'Tabla Articulos'!D:D)</f>
        <v>#N/A</v>
      </c>
      <c r="Q523" s="44" t="e">
        <f>_xlfn.XLOOKUP(S523,'Tabla Articulos'!B:B,'Tabla Articulos'!E:E)</f>
        <v>#N/A</v>
      </c>
      <c r="R523" s="44" t="e">
        <f t="shared" si="16"/>
        <v>#N/A</v>
      </c>
      <c r="S523" s="45" t="str">
        <f t="shared" si="17"/>
        <v>7790070336385</v>
      </c>
    </row>
    <row r="524" spans="1:19" hidden="1" x14ac:dyDescent="0.35">
      <c r="A524" s="22">
        <v>6</v>
      </c>
      <c r="B524" t="s">
        <v>801</v>
      </c>
      <c r="C524" t="s">
        <v>802</v>
      </c>
      <c r="E524" t="s">
        <v>3062</v>
      </c>
      <c r="F524">
        <v>2016644</v>
      </c>
      <c r="G524" t="s">
        <v>3063</v>
      </c>
      <c r="H524" t="s">
        <v>805</v>
      </c>
      <c r="I524">
        <v>78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78</v>
      </c>
      <c r="P524" s="44" t="e">
        <f>_xlfn.XLOOKUP(Tabla5[[#This Row],[EAN CORREGIDO]],'Tabla Articulos'!B:B,'Tabla Articulos'!D:D)</f>
        <v>#N/A</v>
      </c>
      <c r="Q524" s="44" t="e">
        <f>_xlfn.XLOOKUP(S524,'Tabla Articulos'!B:B,'Tabla Articulos'!E:E)</f>
        <v>#N/A</v>
      </c>
      <c r="R524" s="44" t="e">
        <f t="shared" si="16"/>
        <v>#N/A</v>
      </c>
      <c r="S524" s="45" t="str">
        <f t="shared" si="17"/>
        <v>7798287511021</v>
      </c>
    </row>
    <row r="525" spans="1:19" hidden="1" x14ac:dyDescent="0.35">
      <c r="A525" s="22">
        <v>6</v>
      </c>
      <c r="B525" t="s">
        <v>801</v>
      </c>
      <c r="C525" t="s">
        <v>802</v>
      </c>
      <c r="D525"/>
      <c r="E525" t="s">
        <v>3064</v>
      </c>
      <c r="F525">
        <v>1000211</v>
      </c>
      <c r="G525" t="s">
        <v>3065</v>
      </c>
      <c r="H525" t="s">
        <v>805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 s="44" t="e">
        <f>_xlfn.XLOOKUP(Tabla5[[#This Row],[EAN CORREGIDO]],'Tabla Articulos'!B:B,'Tabla Articulos'!D:D)</f>
        <v>#N/A</v>
      </c>
      <c r="Q525" s="44" t="e">
        <f>_xlfn.XLOOKUP(S525,'Tabla Articulos'!B:B,'Tabla Articulos'!E:E)</f>
        <v>#N/A</v>
      </c>
      <c r="R525" s="44" t="e">
        <f t="shared" si="16"/>
        <v>#N/A</v>
      </c>
      <c r="S525" s="45" t="str">
        <f t="shared" si="17"/>
        <v>BUM00246</v>
      </c>
    </row>
    <row r="526" spans="1:19" hidden="1" x14ac:dyDescent="0.35">
      <c r="A526" s="22">
        <v>6</v>
      </c>
      <c r="B526" t="s">
        <v>801</v>
      </c>
      <c r="C526" t="s">
        <v>802</v>
      </c>
      <c r="D526" s="11" t="s">
        <v>2196</v>
      </c>
      <c r="E526" t="s">
        <v>3066</v>
      </c>
      <c r="F526">
        <v>2006919</v>
      </c>
      <c r="G526" t="s">
        <v>3067</v>
      </c>
      <c r="H526" t="s">
        <v>805</v>
      </c>
      <c r="I526">
        <v>31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31</v>
      </c>
      <c r="P526" s="44" t="e">
        <f>_xlfn.XLOOKUP(Tabla5[[#This Row],[EAN CORREGIDO]],'Tabla Articulos'!B:B,'Tabla Articulos'!D:D)</f>
        <v>#N/A</v>
      </c>
      <c r="Q526" s="44" t="e">
        <f>_xlfn.XLOOKUP(S526,'Tabla Articulos'!B:B,'Tabla Articulos'!E:E)</f>
        <v>#N/A</v>
      </c>
      <c r="R526" s="44" t="e">
        <f t="shared" si="16"/>
        <v>#N/A</v>
      </c>
      <c r="S526" s="45" t="str">
        <f t="shared" si="17"/>
        <v>LIM000382</v>
      </c>
    </row>
    <row r="527" spans="1:19" hidden="1" x14ac:dyDescent="0.35">
      <c r="A527" s="22">
        <v>6</v>
      </c>
      <c r="B527" t="s">
        <v>801</v>
      </c>
      <c r="C527" t="s">
        <v>802</v>
      </c>
      <c r="D527" s="11" t="s">
        <v>1257</v>
      </c>
      <c r="E527" t="s">
        <v>1258</v>
      </c>
      <c r="F527">
        <v>2016742</v>
      </c>
      <c r="G527" t="s">
        <v>1259</v>
      </c>
      <c r="H527" t="s">
        <v>805</v>
      </c>
      <c r="I527">
        <v>20</v>
      </c>
      <c r="J527">
        <v>0</v>
      </c>
      <c r="K527">
        <v>0</v>
      </c>
      <c r="L527">
        <v>10</v>
      </c>
      <c r="M527">
        <v>10</v>
      </c>
      <c r="N527">
        <v>0</v>
      </c>
      <c r="O527">
        <v>0</v>
      </c>
      <c r="P527" s="44" t="str">
        <f>_xlfn.XLOOKUP(Tabla5[[#This Row],[EAN CORREGIDO]],'Tabla Articulos'!B:B,'Tabla Articulos'!D:D)</f>
        <v>SORBETE C/ FUNDA</v>
      </c>
      <c r="Q527" s="44">
        <f>_xlfn.XLOOKUP(S527,'Tabla Articulos'!B:B,'Tabla Articulos'!E:E)</f>
        <v>1000</v>
      </c>
      <c r="R527" s="44">
        <f t="shared" si="16"/>
        <v>0</v>
      </c>
      <c r="S527" s="45" t="str">
        <f t="shared" si="17"/>
        <v>7790000000894</v>
      </c>
    </row>
    <row r="528" spans="1:19" hidden="1" x14ac:dyDescent="0.35">
      <c r="A528" s="22">
        <v>6</v>
      </c>
      <c r="B528" t="s">
        <v>801</v>
      </c>
      <c r="C528" t="s">
        <v>802</v>
      </c>
      <c r="E528" t="s">
        <v>1260</v>
      </c>
      <c r="F528">
        <v>9003555</v>
      </c>
      <c r="G528" t="s">
        <v>1261</v>
      </c>
      <c r="H528" t="s">
        <v>805</v>
      </c>
      <c r="I528">
        <v>0</v>
      </c>
      <c r="J528">
        <v>130</v>
      </c>
      <c r="K528">
        <v>0</v>
      </c>
      <c r="L528">
        <v>0</v>
      </c>
      <c r="M528">
        <v>0</v>
      </c>
      <c r="N528">
        <v>0</v>
      </c>
      <c r="O528">
        <v>130</v>
      </c>
      <c r="P528" s="44" t="e">
        <f>_xlfn.XLOOKUP(Tabla5[[#This Row],[EAN CORREGIDO]],'Tabla Articulos'!B:B,'Tabla Articulos'!D:D)</f>
        <v>#N/A</v>
      </c>
      <c r="Q528" s="44" t="e">
        <f>_xlfn.XLOOKUP(S528,'Tabla Articulos'!B:B,'Tabla Articulos'!E:E)</f>
        <v>#N/A</v>
      </c>
      <c r="R528" s="44" t="e">
        <f t="shared" si="16"/>
        <v>#N/A</v>
      </c>
      <c r="S528" s="45" t="str">
        <f t="shared" si="17"/>
        <v>UNIF000138</v>
      </c>
    </row>
    <row r="529" spans="1:19" hidden="1" x14ac:dyDescent="0.35">
      <c r="A529" s="22">
        <v>6</v>
      </c>
      <c r="B529" t="s">
        <v>801</v>
      </c>
      <c r="C529" t="s">
        <v>802</v>
      </c>
      <c r="D529"/>
      <c r="E529" t="s">
        <v>1262</v>
      </c>
      <c r="F529">
        <v>2006925</v>
      </c>
      <c r="G529" t="s">
        <v>1263</v>
      </c>
      <c r="H529" t="s">
        <v>805</v>
      </c>
      <c r="I529">
        <v>826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826</v>
      </c>
      <c r="P529" s="44" t="e">
        <f>_xlfn.XLOOKUP(Tabla5[[#This Row],[EAN CORREGIDO]],'Tabla Articulos'!B:B,'Tabla Articulos'!D:D)</f>
        <v>#N/A</v>
      </c>
      <c r="Q529" s="44" t="e">
        <f>_xlfn.XLOOKUP(S529,'Tabla Articulos'!B:B,'Tabla Articulos'!E:E)</f>
        <v>#N/A</v>
      </c>
      <c r="R529" s="44" t="e">
        <f t="shared" si="16"/>
        <v>#N/A</v>
      </c>
      <c r="S529" s="45" t="str">
        <f t="shared" si="17"/>
        <v>LIM000482</v>
      </c>
    </row>
    <row r="530" spans="1:19" hidden="1" x14ac:dyDescent="0.35">
      <c r="A530" s="22">
        <v>6</v>
      </c>
      <c r="B530" t="s">
        <v>801</v>
      </c>
      <c r="C530" t="s">
        <v>802</v>
      </c>
      <c r="D530"/>
      <c r="E530" t="s">
        <v>1264</v>
      </c>
      <c r="F530">
        <v>9003653</v>
      </c>
      <c r="G530" t="s">
        <v>1265</v>
      </c>
      <c r="H530" t="s">
        <v>805</v>
      </c>
      <c r="I530">
        <v>23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23</v>
      </c>
      <c r="P530" s="44" t="e">
        <f>_xlfn.XLOOKUP(Tabla5[[#This Row],[EAN CORREGIDO]],'Tabla Articulos'!B:B,'Tabla Articulos'!D:D)</f>
        <v>#N/A</v>
      </c>
      <c r="Q530" s="44" t="e">
        <f>_xlfn.XLOOKUP(S530,'Tabla Articulos'!B:B,'Tabla Articulos'!E:E)</f>
        <v>#N/A</v>
      </c>
      <c r="R530" s="44" t="e">
        <f t="shared" si="16"/>
        <v>#N/A</v>
      </c>
      <c r="S530" s="45" t="str">
        <f t="shared" si="17"/>
        <v>UNIF000161</v>
      </c>
    </row>
    <row r="531" spans="1:19" hidden="1" x14ac:dyDescent="0.35">
      <c r="A531" s="22">
        <v>1</v>
      </c>
      <c r="B531" t="s">
        <v>812</v>
      </c>
      <c r="C531" t="s">
        <v>802</v>
      </c>
      <c r="D531" t="s">
        <v>1266</v>
      </c>
      <c r="E531" t="s">
        <v>1267</v>
      </c>
      <c r="F531">
        <v>4077226</v>
      </c>
      <c r="G531" t="s">
        <v>1268</v>
      </c>
      <c r="H531" t="s">
        <v>816</v>
      </c>
      <c r="I531">
        <v>49.74</v>
      </c>
      <c r="J531">
        <v>0</v>
      </c>
      <c r="K531">
        <v>0</v>
      </c>
      <c r="L531">
        <v>0</v>
      </c>
      <c r="M531">
        <v>4</v>
      </c>
      <c r="N531">
        <v>0</v>
      </c>
      <c r="O531">
        <v>45.74</v>
      </c>
      <c r="P531" s="44" t="e">
        <f>_xlfn.XLOOKUP(Tabla5[[#This Row],[EAN CORREGIDO]],'Tabla Articulos'!B:B,'Tabla Articulos'!D:D)</f>
        <v>#N/A</v>
      </c>
      <c r="Q531" s="44" t="e">
        <f>_xlfn.XLOOKUP(S531,'Tabla Articulos'!B:B,'Tabla Articulos'!E:E)</f>
        <v>#N/A</v>
      </c>
      <c r="R531" s="44" t="e">
        <f t="shared" si="16"/>
        <v>#N/A</v>
      </c>
      <c r="S531" s="45" t="str">
        <f t="shared" si="17"/>
        <v>7790000000826</v>
      </c>
    </row>
    <row r="532" spans="1:19" hidden="1" x14ac:dyDescent="0.35">
      <c r="A532" s="22">
        <v>6</v>
      </c>
      <c r="B532" t="s">
        <v>801</v>
      </c>
      <c r="C532" t="s">
        <v>802</v>
      </c>
      <c r="D532"/>
      <c r="E532" t="s">
        <v>1269</v>
      </c>
      <c r="F532">
        <v>9003610</v>
      </c>
      <c r="G532" t="s">
        <v>1270</v>
      </c>
      <c r="H532" t="s">
        <v>805</v>
      </c>
      <c r="I532">
        <v>28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28</v>
      </c>
      <c r="P532" s="44" t="e">
        <f>_xlfn.XLOOKUP(Tabla5[[#This Row],[EAN CORREGIDO]],'Tabla Articulos'!B:B,'Tabla Articulos'!D:D)</f>
        <v>#N/A</v>
      </c>
      <c r="Q532" s="44" t="e">
        <f>_xlfn.XLOOKUP(S532,'Tabla Articulos'!B:B,'Tabla Articulos'!E:E)</f>
        <v>#N/A</v>
      </c>
      <c r="R532" s="44" t="e">
        <f t="shared" si="16"/>
        <v>#N/A</v>
      </c>
      <c r="S532" s="45" t="str">
        <f t="shared" si="17"/>
        <v>UNIF000449</v>
      </c>
    </row>
    <row r="533" spans="1:19" hidden="1" x14ac:dyDescent="0.35">
      <c r="A533" s="22">
        <v>5</v>
      </c>
      <c r="B533" t="s">
        <v>829</v>
      </c>
      <c r="C533" t="s">
        <v>802</v>
      </c>
      <c r="D533" s="11" t="s">
        <v>1271</v>
      </c>
      <c r="E533" t="s">
        <v>1272</v>
      </c>
      <c r="F533">
        <v>4020516</v>
      </c>
      <c r="G533" t="s">
        <v>1273</v>
      </c>
      <c r="H533" t="s">
        <v>805</v>
      </c>
      <c r="I533">
        <v>25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25</v>
      </c>
      <c r="P533" s="44" t="e">
        <f>_xlfn.XLOOKUP(Tabla5[[#This Row],[EAN CORREGIDO]],'Tabla Articulos'!B:B,'Tabla Articulos'!D:D)</f>
        <v>#N/A</v>
      </c>
      <c r="Q533" s="44" t="e">
        <f>_xlfn.XLOOKUP(S533,'Tabla Articulos'!B:B,'Tabla Articulos'!E:E)</f>
        <v>#N/A</v>
      </c>
      <c r="R533" s="44" t="e">
        <f t="shared" si="16"/>
        <v>#N/A</v>
      </c>
      <c r="S533" s="45" t="str">
        <f t="shared" si="17"/>
        <v>7798138555518</v>
      </c>
    </row>
    <row r="534" spans="1:19" hidden="1" x14ac:dyDescent="0.35">
      <c r="A534" s="22">
        <v>6</v>
      </c>
      <c r="B534" t="s">
        <v>801</v>
      </c>
      <c r="C534" t="s">
        <v>802</v>
      </c>
      <c r="D534"/>
      <c r="E534" t="s">
        <v>3936</v>
      </c>
      <c r="F534">
        <v>9003233</v>
      </c>
      <c r="G534" t="s">
        <v>3937</v>
      </c>
      <c r="H534" t="s">
        <v>805</v>
      </c>
      <c r="I534">
        <v>32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32</v>
      </c>
      <c r="P534" s="44" t="e">
        <f>_xlfn.XLOOKUP(Tabla5[[#This Row],[EAN CORREGIDO]],'Tabla Articulos'!B:B,'Tabla Articulos'!D:D)</f>
        <v>#N/A</v>
      </c>
      <c r="Q534" s="44" t="e">
        <f>_xlfn.XLOOKUP(S534,'Tabla Articulos'!B:B,'Tabla Articulos'!E:E)</f>
        <v>#N/A</v>
      </c>
      <c r="R534" s="44" t="e">
        <f t="shared" si="16"/>
        <v>#N/A</v>
      </c>
      <c r="S534" s="45" t="str">
        <f t="shared" si="17"/>
        <v>UNIF000364</v>
      </c>
    </row>
    <row r="535" spans="1:19" hidden="1" x14ac:dyDescent="0.35">
      <c r="A535" s="22">
        <v>5</v>
      </c>
      <c r="B535" t="s">
        <v>829</v>
      </c>
      <c r="C535" t="s">
        <v>802</v>
      </c>
      <c r="D535" t="s">
        <v>1759</v>
      </c>
      <c r="E535" t="s">
        <v>1995</v>
      </c>
      <c r="F535">
        <v>4022479</v>
      </c>
      <c r="G535" t="s">
        <v>1996</v>
      </c>
      <c r="H535" t="s">
        <v>805</v>
      </c>
      <c r="I535">
        <v>68813</v>
      </c>
      <c r="J535">
        <v>0</v>
      </c>
      <c r="K535">
        <v>0</v>
      </c>
      <c r="L535">
        <v>0</v>
      </c>
      <c r="M535">
        <v>25</v>
      </c>
      <c r="N535">
        <v>0</v>
      </c>
      <c r="O535">
        <v>68788</v>
      </c>
      <c r="P535" s="44" t="e">
        <f>_xlfn.XLOOKUP(Tabla5[[#This Row],[EAN CORREGIDO]],'Tabla Articulos'!B:B,'Tabla Articulos'!D:D)</f>
        <v>#N/A</v>
      </c>
      <c r="Q535" s="44" t="e">
        <f>_xlfn.XLOOKUP(S535,'Tabla Articulos'!B:B,'Tabla Articulos'!E:E)</f>
        <v>#N/A</v>
      </c>
      <c r="R535" s="44" t="e">
        <f t="shared" si="16"/>
        <v>#N/A</v>
      </c>
      <c r="S535" s="45" t="str">
        <f t="shared" si="17"/>
        <v>7798156760666</v>
      </c>
    </row>
    <row r="536" spans="1:19" hidden="1" x14ac:dyDescent="0.35">
      <c r="A536" s="22">
        <v>1</v>
      </c>
      <c r="B536" t="s">
        <v>812</v>
      </c>
      <c r="C536" t="s">
        <v>802</v>
      </c>
      <c r="D536" t="s">
        <v>1997</v>
      </c>
      <c r="E536" t="s">
        <v>1998</v>
      </c>
      <c r="F536">
        <v>4020609</v>
      </c>
      <c r="G536" t="s">
        <v>1999</v>
      </c>
      <c r="H536" t="s">
        <v>805</v>
      </c>
      <c r="I536">
        <v>1755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1755</v>
      </c>
      <c r="P536" s="44" t="e">
        <f>_xlfn.XLOOKUP(Tabla5[[#This Row],[EAN CORREGIDO]],'Tabla Articulos'!B:B,'Tabla Articulos'!D:D)</f>
        <v>#N/A</v>
      </c>
      <c r="Q536" s="44" t="e">
        <f>_xlfn.XLOOKUP(S536,'Tabla Articulos'!B:B,'Tabla Articulos'!E:E)</f>
        <v>#N/A</v>
      </c>
      <c r="R536" s="44" t="e">
        <f t="shared" si="16"/>
        <v>#N/A</v>
      </c>
      <c r="S536" s="45" t="str">
        <f t="shared" si="17"/>
        <v>7792378000852</v>
      </c>
    </row>
    <row r="537" spans="1:19" hidden="1" x14ac:dyDescent="0.35">
      <c r="A537" s="22">
        <v>5</v>
      </c>
      <c r="B537" t="s">
        <v>829</v>
      </c>
      <c r="C537" t="s">
        <v>802</v>
      </c>
      <c r="D537" t="s">
        <v>1997</v>
      </c>
      <c r="E537" t="s">
        <v>1998</v>
      </c>
      <c r="F537">
        <v>4020609</v>
      </c>
      <c r="G537" t="s">
        <v>1999</v>
      </c>
      <c r="H537" t="s">
        <v>805</v>
      </c>
      <c r="I537">
        <v>60</v>
      </c>
      <c r="J537">
        <v>0</v>
      </c>
      <c r="K537">
        <v>60</v>
      </c>
      <c r="L537">
        <v>0</v>
      </c>
      <c r="M537">
        <v>0</v>
      </c>
      <c r="N537">
        <v>0</v>
      </c>
      <c r="O537">
        <v>0</v>
      </c>
      <c r="P537" s="44" t="e">
        <f>_xlfn.XLOOKUP(Tabla5[[#This Row],[EAN CORREGIDO]],'Tabla Articulos'!B:B,'Tabla Articulos'!D:D)</f>
        <v>#N/A</v>
      </c>
      <c r="Q537" s="44" t="e">
        <f>_xlfn.XLOOKUP(S537,'Tabla Articulos'!B:B,'Tabla Articulos'!E:E)</f>
        <v>#N/A</v>
      </c>
      <c r="R537" s="44" t="e">
        <f t="shared" si="16"/>
        <v>#N/A</v>
      </c>
      <c r="S537" s="45" t="str">
        <f t="shared" si="17"/>
        <v>7792378000852</v>
      </c>
    </row>
    <row r="538" spans="1:19" hidden="1" x14ac:dyDescent="0.35">
      <c r="A538" s="22">
        <v>6</v>
      </c>
      <c r="B538" t="s">
        <v>801</v>
      </c>
      <c r="C538" t="s">
        <v>802</v>
      </c>
      <c r="D538" t="s">
        <v>2000</v>
      </c>
      <c r="E538" t="s">
        <v>2001</v>
      </c>
      <c r="F538">
        <v>2006591</v>
      </c>
      <c r="G538" t="s">
        <v>2002</v>
      </c>
      <c r="H538" t="s">
        <v>805</v>
      </c>
      <c r="I538">
        <v>80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80</v>
      </c>
      <c r="P538" s="44" t="e">
        <f>_xlfn.XLOOKUP(Tabla5[[#This Row],[EAN CORREGIDO]],'Tabla Articulos'!B:B,'Tabla Articulos'!D:D)</f>
        <v>#N/A</v>
      </c>
      <c r="Q538" s="44" t="e">
        <f>_xlfn.XLOOKUP(S538,'Tabla Articulos'!B:B,'Tabla Articulos'!E:E)</f>
        <v>#N/A</v>
      </c>
      <c r="R538" s="44" t="e">
        <f t="shared" si="16"/>
        <v>#N/A</v>
      </c>
      <c r="S538" s="45" t="str">
        <f t="shared" si="17"/>
        <v>7794417001615</v>
      </c>
    </row>
    <row r="539" spans="1:19" hidden="1" x14ac:dyDescent="0.35">
      <c r="A539" s="22">
        <v>1</v>
      </c>
      <c r="B539" t="s">
        <v>812</v>
      </c>
      <c r="C539" t="s">
        <v>802</v>
      </c>
      <c r="D539" t="s">
        <v>2003</v>
      </c>
      <c r="E539" t="s">
        <v>2004</v>
      </c>
      <c r="F539">
        <v>4018126</v>
      </c>
      <c r="G539" t="s">
        <v>2005</v>
      </c>
      <c r="H539" t="s">
        <v>816</v>
      </c>
      <c r="I539">
        <v>772.73299999999995</v>
      </c>
      <c r="J539">
        <v>0</v>
      </c>
      <c r="K539">
        <v>0</v>
      </c>
      <c r="L539">
        <v>52</v>
      </c>
      <c r="M539">
        <v>56.5</v>
      </c>
      <c r="N539">
        <v>0</v>
      </c>
      <c r="O539">
        <v>664.23299999999995</v>
      </c>
      <c r="P539" s="44" t="e">
        <f>_xlfn.XLOOKUP(Tabla5[[#This Row],[EAN CORREGIDO]],'Tabla Articulos'!B:B,'Tabla Articulos'!D:D)</f>
        <v>#N/A</v>
      </c>
      <c r="Q539" s="44" t="e">
        <f>_xlfn.XLOOKUP(S539,'Tabla Articulos'!B:B,'Tabla Articulos'!E:E)</f>
        <v>#N/A</v>
      </c>
      <c r="R539" s="44" t="e">
        <f t="shared" si="16"/>
        <v>#N/A</v>
      </c>
      <c r="S539" s="45" t="str">
        <f t="shared" si="17"/>
        <v>7790212060894</v>
      </c>
    </row>
    <row r="540" spans="1:19" hidden="1" x14ac:dyDescent="0.35">
      <c r="A540" s="22">
        <v>6</v>
      </c>
      <c r="B540" t="s">
        <v>801</v>
      </c>
      <c r="C540" t="s">
        <v>802</v>
      </c>
      <c r="E540" t="s">
        <v>2006</v>
      </c>
      <c r="F540">
        <v>9003083</v>
      </c>
      <c r="G540" t="s">
        <v>2007</v>
      </c>
      <c r="H540" t="s">
        <v>805</v>
      </c>
      <c r="I540">
        <v>23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23</v>
      </c>
      <c r="P540" s="44" t="e">
        <f>_xlfn.XLOOKUP(Tabla5[[#This Row],[EAN CORREGIDO]],'Tabla Articulos'!B:B,'Tabla Articulos'!D:D)</f>
        <v>#N/A</v>
      </c>
      <c r="Q540" s="44" t="e">
        <f>_xlfn.XLOOKUP(S540,'Tabla Articulos'!B:B,'Tabla Articulos'!E:E)</f>
        <v>#N/A</v>
      </c>
      <c r="R540" s="44" t="e">
        <f t="shared" si="16"/>
        <v>#N/A</v>
      </c>
      <c r="S540" s="45" t="str">
        <f t="shared" si="17"/>
        <v>UNIF000545</v>
      </c>
    </row>
    <row r="541" spans="1:19" hidden="1" x14ac:dyDescent="0.35">
      <c r="A541" s="22">
        <v>6</v>
      </c>
      <c r="B541" t="s">
        <v>801</v>
      </c>
      <c r="C541" t="s">
        <v>802</v>
      </c>
      <c r="E541" t="s">
        <v>2008</v>
      </c>
      <c r="F541">
        <v>9003125</v>
      </c>
      <c r="G541" t="s">
        <v>2009</v>
      </c>
      <c r="H541" t="s">
        <v>805</v>
      </c>
      <c r="I541">
        <v>63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63</v>
      </c>
      <c r="P541" s="44" t="e">
        <f>_xlfn.XLOOKUP(Tabla5[[#This Row],[EAN CORREGIDO]],'Tabla Articulos'!B:B,'Tabla Articulos'!D:D)</f>
        <v>#N/A</v>
      </c>
      <c r="Q541" s="44" t="e">
        <f>_xlfn.XLOOKUP(S541,'Tabla Articulos'!B:B,'Tabla Articulos'!E:E)</f>
        <v>#N/A</v>
      </c>
      <c r="R541" s="44" t="e">
        <f t="shared" si="16"/>
        <v>#N/A</v>
      </c>
      <c r="S541" s="45" t="str">
        <f t="shared" si="17"/>
        <v>UNIF000587</v>
      </c>
    </row>
    <row r="542" spans="1:19" hidden="1" x14ac:dyDescent="0.35">
      <c r="A542" s="22">
        <v>5</v>
      </c>
      <c r="B542" t="s">
        <v>829</v>
      </c>
      <c r="C542" t="s">
        <v>802</v>
      </c>
      <c r="D542" s="11" t="s">
        <v>2010</v>
      </c>
      <c r="E542" t="s">
        <v>2011</v>
      </c>
      <c r="F542">
        <v>4020810</v>
      </c>
      <c r="G542" t="s">
        <v>2012</v>
      </c>
      <c r="H542" t="s">
        <v>805</v>
      </c>
      <c r="I542">
        <v>10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10</v>
      </c>
      <c r="P542" s="44" t="e">
        <f>_xlfn.XLOOKUP(Tabla5[[#This Row],[EAN CORREGIDO]],'Tabla Articulos'!B:B,'Tabla Articulos'!D:D)</f>
        <v>#N/A</v>
      </c>
      <c r="Q542" s="44" t="e">
        <f>_xlfn.XLOOKUP(S542,'Tabla Articulos'!B:B,'Tabla Articulos'!E:E)</f>
        <v>#N/A</v>
      </c>
      <c r="R542" s="44" t="e">
        <f t="shared" si="16"/>
        <v>#N/A</v>
      </c>
      <c r="S542" s="45" t="str">
        <f t="shared" si="17"/>
        <v>7798186164717</v>
      </c>
    </row>
    <row r="543" spans="1:19" hidden="1" x14ac:dyDescent="0.35">
      <c r="A543" s="22">
        <v>6</v>
      </c>
      <c r="B543" t="s">
        <v>801</v>
      </c>
      <c r="C543" t="s">
        <v>802</v>
      </c>
      <c r="D543"/>
      <c r="E543" t="s">
        <v>2013</v>
      </c>
      <c r="F543">
        <v>9003541</v>
      </c>
      <c r="G543" t="s">
        <v>2014</v>
      </c>
      <c r="H543" t="s">
        <v>805</v>
      </c>
      <c r="I543">
        <v>15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15</v>
      </c>
      <c r="P543" s="44" t="e">
        <f>_xlfn.XLOOKUP(Tabla5[[#This Row],[EAN CORREGIDO]],'Tabla Articulos'!B:B,'Tabla Articulos'!D:D)</f>
        <v>#N/A</v>
      </c>
      <c r="Q543" s="44" t="e">
        <f>_xlfn.XLOOKUP(S543,'Tabla Articulos'!B:B,'Tabla Articulos'!E:E)</f>
        <v>#N/A</v>
      </c>
      <c r="R543" s="44" t="e">
        <f t="shared" si="16"/>
        <v>#N/A</v>
      </c>
      <c r="S543" s="45" t="str">
        <f t="shared" si="17"/>
        <v>UNIF000080</v>
      </c>
    </row>
    <row r="544" spans="1:19" hidden="1" x14ac:dyDescent="0.35">
      <c r="A544" s="22">
        <v>1</v>
      </c>
      <c r="B544" t="s">
        <v>812</v>
      </c>
      <c r="C544" t="s">
        <v>802</v>
      </c>
      <c r="D544" s="11" t="s">
        <v>2015</v>
      </c>
      <c r="E544" t="s">
        <v>2016</v>
      </c>
      <c r="F544">
        <v>4020378</v>
      </c>
      <c r="G544" t="s">
        <v>2017</v>
      </c>
      <c r="H544" t="s">
        <v>805</v>
      </c>
      <c r="I544">
        <v>13393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13393</v>
      </c>
      <c r="P544" s="44" t="e">
        <f>_xlfn.XLOOKUP(Tabla5[[#This Row],[EAN CORREGIDO]],'Tabla Articulos'!B:B,'Tabla Articulos'!D:D)</f>
        <v>#N/A</v>
      </c>
      <c r="Q544" s="44" t="e">
        <f>_xlfn.XLOOKUP(S544,'Tabla Articulos'!B:B,'Tabla Articulos'!E:E)</f>
        <v>#N/A</v>
      </c>
      <c r="R544" s="44" t="e">
        <f t="shared" si="16"/>
        <v>#N/A</v>
      </c>
      <c r="S544" s="45" t="str">
        <f t="shared" si="17"/>
        <v>7797470199121</v>
      </c>
    </row>
    <row r="545" spans="1:19" hidden="1" x14ac:dyDescent="0.35">
      <c r="A545" s="22">
        <v>5</v>
      </c>
      <c r="B545" t="s">
        <v>829</v>
      </c>
      <c r="C545" t="s">
        <v>802</v>
      </c>
      <c r="D545" s="11" t="s">
        <v>2015</v>
      </c>
      <c r="E545" t="s">
        <v>2016</v>
      </c>
      <c r="F545">
        <v>4020378</v>
      </c>
      <c r="G545" t="s">
        <v>2017</v>
      </c>
      <c r="H545" t="s">
        <v>805</v>
      </c>
      <c r="I545">
        <v>11156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11156</v>
      </c>
      <c r="P545" s="44" t="e">
        <f>_xlfn.XLOOKUP(Tabla5[[#This Row],[EAN CORREGIDO]],'Tabla Articulos'!B:B,'Tabla Articulos'!D:D)</f>
        <v>#N/A</v>
      </c>
      <c r="Q545" s="44" t="e">
        <f>_xlfn.XLOOKUP(S545,'Tabla Articulos'!B:B,'Tabla Articulos'!E:E)</f>
        <v>#N/A</v>
      </c>
      <c r="R545" s="44" t="e">
        <f t="shared" si="16"/>
        <v>#N/A</v>
      </c>
      <c r="S545" s="45" t="str">
        <f t="shared" si="17"/>
        <v>7797470199121</v>
      </c>
    </row>
    <row r="546" spans="1:19" hidden="1" x14ac:dyDescent="0.35">
      <c r="A546" s="22">
        <v>6</v>
      </c>
      <c r="B546" t="s">
        <v>801</v>
      </c>
      <c r="C546" t="s">
        <v>802</v>
      </c>
      <c r="D546"/>
      <c r="E546" t="s">
        <v>2018</v>
      </c>
      <c r="F546">
        <v>9003665</v>
      </c>
      <c r="G546" t="s">
        <v>2019</v>
      </c>
      <c r="H546" t="s">
        <v>805</v>
      </c>
      <c r="I546">
        <v>10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10</v>
      </c>
      <c r="P546" s="44" t="e">
        <f>_xlfn.XLOOKUP(Tabla5[[#This Row],[EAN CORREGIDO]],'Tabla Articulos'!B:B,'Tabla Articulos'!D:D)</f>
        <v>#N/A</v>
      </c>
      <c r="Q546" s="44" t="e">
        <f>_xlfn.XLOOKUP(S546,'Tabla Articulos'!B:B,'Tabla Articulos'!E:E)</f>
        <v>#N/A</v>
      </c>
      <c r="R546" s="44" t="e">
        <f t="shared" si="16"/>
        <v>#N/A</v>
      </c>
      <c r="S546" s="45" t="str">
        <f t="shared" si="17"/>
        <v>UNIF000288</v>
      </c>
    </row>
    <row r="547" spans="1:19" hidden="1" x14ac:dyDescent="0.35">
      <c r="A547" s="22">
        <v>6</v>
      </c>
      <c r="B547" t="s">
        <v>801</v>
      </c>
      <c r="C547" t="s">
        <v>802</v>
      </c>
      <c r="D547"/>
      <c r="E547" t="s">
        <v>2020</v>
      </c>
      <c r="F547">
        <v>2007202</v>
      </c>
      <c r="G547" t="s">
        <v>2021</v>
      </c>
      <c r="H547" t="s">
        <v>805</v>
      </c>
      <c r="I547">
        <v>2010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2010</v>
      </c>
      <c r="P547" s="44" t="e">
        <f>_xlfn.XLOOKUP(Tabla5[[#This Row],[EAN CORREGIDO]],'Tabla Articulos'!B:B,'Tabla Articulos'!D:D)</f>
        <v>#N/A</v>
      </c>
      <c r="Q547" s="44" t="e">
        <f>_xlfn.XLOOKUP(S547,'Tabla Articulos'!B:B,'Tabla Articulos'!E:E)</f>
        <v>#N/A</v>
      </c>
      <c r="R547" s="44" t="e">
        <f t="shared" si="16"/>
        <v>#N/A</v>
      </c>
      <c r="S547" s="45" t="str">
        <f t="shared" si="17"/>
        <v>0648260488628</v>
      </c>
    </row>
    <row r="548" spans="1:19" hidden="1" x14ac:dyDescent="0.35">
      <c r="A548" s="22">
        <v>6</v>
      </c>
      <c r="B548" t="s">
        <v>801</v>
      </c>
      <c r="C548" t="s">
        <v>802</v>
      </c>
      <c r="D548"/>
      <c r="E548" t="s">
        <v>2022</v>
      </c>
      <c r="F548">
        <v>9003599</v>
      </c>
      <c r="G548" t="s">
        <v>2023</v>
      </c>
      <c r="H548" t="s">
        <v>805</v>
      </c>
      <c r="I548">
        <v>51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51</v>
      </c>
      <c r="P548" s="44" t="e">
        <f>_xlfn.XLOOKUP(Tabla5[[#This Row],[EAN CORREGIDO]],'Tabla Articulos'!B:B,'Tabla Articulos'!D:D)</f>
        <v>#N/A</v>
      </c>
      <c r="Q548" s="44" t="e">
        <f>_xlfn.XLOOKUP(S548,'Tabla Articulos'!B:B,'Tabla Articulos'!E:E)</f>
        <v>#N/A</v>
      </c>
      <c r="R548" s="44" t="e">
        <f t="shared" si="16"/>
        <v>#N/A</v>
      </c>
      <c r="S548" s="45" t="str">
        <f t="shared" si="17"/>
        <v>UNIF000438</v>
      </c>
    </row>
    <row r="549" spans="1:19" hidden="1" x14ac:dyDescent="0.35">
      <c r="A549" s="22">
        <v>1</v>
      </c>
      <c r="B549" t="s">
        <v>812</v>
      </c>
      <c r="C549" t="s">
        <v>802</v>
      </c>
      <c r="D549" t="s">
        <v>1822</v>
      </c>
      <c r="E549" t="s">
        <v>2257</v>
      </c>
      <c r="F549">
        <v>4018835</v>
      </c>
      <c r="G549" t="s">
        <v>2258</v>
      </c>
      <c r="H549" t="s">
        <v>805</v>
      </c>
      <c r="I549">
        <v>52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52</v>
      </c>
      <c r="P549" s="44" t="e">
        <f>_xlfn.XLOOKUP(Tabla5[[#This Row],[EAN CORREGIDO]],'Tabla Articulos'!B:B,'Tabla Articulos'!D:D)</f>
        <v>#N/A</v>
      </c>
      <c r="Q549" s="44" t="e">
        <f>_xlfn.XLOOKUP(S549,'Tabla Articulos'!B:B,'Tabla Articulos'!E:E)</f>
        <v>#N/A</v>
      </c>
      <c r="R549" s="44" t="e">
        <f t="shared" si="16"/>
        <v>#N/A</v>
      </c>
      <c r="S549" s="45" t="str">
        <f t="shared" si="17"/>
        <v>7790726120177</v>
      </c>
    </row>
    <row r="550" spans="1:19" hidden="1" x14ac:dyDescent="0.35">
      <c r="A550" s="22">
        <v>5</v>
      </c>
      <c r="B550" t="s">
        <v>829</v>
      </c>
      <c r="C550" t="s">
        <v>802</v>
      </c>
      <c r="D550" t="s">
        <v>1822</v>
      </c>
      <c r="E550" t="s">
        <v>2257</v>
      </c>
      <c r="F550">
        <v>4018835</v>
      </c>
      <c r="G550" t="s">
        <v>2258</v>
      </c>
      <c r="H550" t="s">
        <v>805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 s="44" t="e">
        <f>_xlfn.XLOOKUP(Tabla5[[#This Row],[EAN CORREGIDO]],'Tabla Articulos'!B:B,'Tabla Articulos'!D:D)</f>
        <v>#N/A</v>
      </c>
      <c r="Q550" s="44" t="e">
        <f>_xlfn.XLOOKUP(S550,'Tabla Articulos'!B:B,'Tabla Articulos'!E:E)</f>
        <v>#N/A</v>
      </c>
      <c r="R550" s="44" t="e">
        <f t="shared" si="16"/>
        <v>#N/A</v>
      </c>
      <c r="S550" s="45" t="str">
        <f t="shared" si="17"/>
        <v>7790726120177</v>
      </c>
    </row>
    <row r="551" spans="1:19" hidden="1" x14ac:dyDescent="0.35">
      <c r="A551" s="22">
        <v>6</v>
      </c>
      <c r="B551" t="s">
        <v>801</v>
      </c>
      <c r="C551" t="s">
        <v>802</v>
      </c>
      <c r="D551" t="s">
        <v>2412</v>
      </c>
      <c r="E551" t="s">
        <v>2413</v>
      </c>
      <c r="F551">
        <v>2016765</v>
      </c>
      <c r="G551" t="s">
        <v>2414</v>
      </c>
      <c r="H551" t="s">
        <v>805</v>
      </c>
      <c r="I551">
        <v>0</v>
      </c>
      <c r="J551">
        <v>58</v>
      </c>
      <c r="K551">
        <v>0</v>
      </c>
      <c r="L551">
        <v>0</v>
      </c>
      <c r="M551">
        <v>0</v>
      </c>
      <c r="N551">
        <v>0</v>
      </c>
      <c r="O551">
        <v>58</v>
      </c>
      <c r="P551" s="44" t="e">
        <f>_xlfn.XLOOKUP(Tabla5[[#This Row],[EAN CORREGIDO]],'Tabla Articulos'!B:B,'Tabla Articulos'!D:D)</f>
        <v>#N/A</v>
      </c>
      <c r="Q551" s="44" t="e">
        <f>_xlfn.XLOOKUP(S551,'Tabla Articulos'!B:B,'Tabla Articulos'!E:E)</f>
        <v>#N/A</v>
      </c>
      <c r="R551" s="44" t="e">
        <f t="shared" si="16"/>
        <v>#N/A</v>
      </c>
      <c r="S551" s="45" t="str">
        <f t="shared" si="17"/>
        <v>7798057868676</v>
      </c>
    </row>
    <row r="552" spans="1:19" hidden="1" x14ac:dyDescent="0.35">
      <c r="A552" s="22">
        <v>5</v>
      </c>
      <c r="B552" t="s">
        <v>829</v>
      </c>
      <c r="C552" t="s">
        <v>802</v>
      </c>
      <c r="D552" s="11" t="s">
        <v>2415</v>
      </c>
      <c r="E552" t="s">
        <v>2416</v>
      </c>
      <c r="F552">
        <v>4020081</v>
      </c>
      <c r="G552" t="s">
        <v>2417</v>
      </c>
      <c r="H552" t="s">
        <v>805</v>
      </c>
      <c r="I552">
        <v>5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5</v>
      </c>
      <c r="P552" s="44" t="e">
        <f>_xlfn.XLOOKUP(Tabla5[[#This Row],[EAN CORREGIDO]],'Tabla Articulos'!B:B,'Tabla Articulos'!D:D)</f>
        <v>#N/A</v>
      </c>
      <c r="Q552" s="44" t="e">
        <f>_xlfn.XLOOKUP(S552,'Tabla Articulos'!B:B,'Tabla Articulos'!E:E)</f>
        <v>#N/A</v>
      </c>
      <c r="R552" s="44" t="e">
        <f t="shared" si="16"/>
        <v>#N/A</v>
      </c>
      <c r="S552" s="45" t="str">
        <f t="shared" si="17"/>
        <v>7797234000397</v>
      </c>
    </row>
    <row r="553" spans="1:19" hidden="1" x14ac:dyDescent="0.35">
      <c r="A553" s="22">
        <v>6</v>
      </c>
      <c r="B553" t="s">
        <v>801</v>
      </c>
      <c r="C553" t="s">
        <v>802</v>
      </c>
      <c r="E553" t="s">
        <v>2418</v>
      </c>
      <c r="F553">
        <v>9003046</v>
      </c>
      <c r="G553" t="s">
        <v>2419</v>
      </c>
      <c r="H553" t="s">
        <v>805</v>
      </c>
      <c r="I553">
        <v>34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34</v>
      </c>
      <c r="P553" s="44" t="e">
        <f>_xlfn.XLOOKUP(Tabla5[[#This Row],[EAN CORREGIDO]],'Tabla Articulos'!B:B,'Tabla Articulos'!D:D)</f>
        <v>#N/A</v>
      </c>
      <c r="Q553" s="44" t="e">
        <f>_xlfn.XLOOKUP(S553,'Tabla Articulos'!B:B,'Tabla Articulos'!E:E)</f>
        <v>#N/A</v>
      </c>
      <c r="R553" s="44" t="e">
        <f t="shared" si="16"/>
        <v>#N/A</v>
      </c>
      <c r="S553" s="45" t="str">
        <f t="shared" si="17"/>
        <v>UNIF000015</v>
      </c>
    </row>
    <row r="554" spans="1:19" hidden="1" x14ac:dyDescent="0.35">
      <c r="A554" s="22">
        <v>6</v>
      </c>
      <c r="B554" t="s">
        <v>801</v>
      </c>
      <c r="C554" t="s">
        <v>802</v>
      </c>
      <c r="D554" t="s">
        <v>920</v>
      </c>
      <c r="E554" t="s">
        <v>1839</v>
      </c>
      <c r="F554">
        <v>2006318</v>
      </c>
      <c r="G554" t="s">
        <v>1840</v>
      </c>
      <c r="H554" t="s">
        <v>805</v>
      </c>
      <c r="I554">
        <v>11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11</v>
      </c>
      <c r="P554" s="44" t="e">
        <f>_xlfn.XLOOKUP(Tabla5[[#This Row],[EAN CORREGIDO]],'Tabla Articulos'!B:B,'Tabla Articulos'!D:D)</f>
        <v>#N/A</v>
      </c>
      <c r="Q554" s="44" t="e">
        <f>_xlfn.XLOOKUP(S554,'Tabla Articulos'!B:B,'Tabla Articulos'!E:E)</f>
        <v>#N/A</v>
      </c>
      <c r="R554" s="44" t="e">
        <f t="shared" si="16"/>
        <v>#N/A</v>
      </c>
      <c r="S554" s="45" t="str">
        <f t="shared" si="17"/>
        <v>7798086000221</v>
      </c>
    </row>
    <row r="555" spans="1:19" hidden="1" x14ac:dyDescent="0.35">
      <c r="A555" s="22">
        <v>6</v>
      </c>
      <c r="B555" t="s">
        <v>801</v>
      </c>
      <c r="C555" t="s">
        <v>802</v>
      </c>
      <c r="E555" t="s">
        <v>1841</v>
      </c>
      <c r="F555">
        <v>9003065</v>
      </c>
      <c r="G555" t="s">
        <v>1842</v>
      </c>
      <c r="H555" t="s">
        <v>805</v>
      </c>
      <c r="I555">
        <v>13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13</v>
      </c>
      <c r="P555" s="44" t="e">
        <f>_xlfn.XLOOKUP(Tabla5[[#This Row],[EAN CORREGIDO]],'Tabla Articulos'!B:B,'Tabla Articulos'!D:D)</f>
        <v>#N/A</v>
      </c>
      <c r="Q555" s="44" t="e">
        <f>_xlfn.XLOOKUP(S555,'Tabla Articulos'!B:B,'Tabla Articulos'!E:E)</f>
        <v>#N/A</v>
      </c>
      <c r="R555" s="44" t="e">
        <f t="shared" si="16"/>
        <v>#N/A</v>
      </c>
      <c r="S555" s="45" t="str">
        <f t="shared" si="17"/>
        <v>UNIF000129</v>
      </c>
    </row>
    <row r="556" spans="1:19" hidden="1" x14ac:dyDescent="0.35">
      <c r="A556" s="22">
        <v>5</v>
      </c>
      <c r="B556" t="s">
        <v>829</v>
      </c>
      <c r="C556" t="s">
        <v>802</v>
      </c>
      <c r="D556" t="s">
        <v>1843</v>
      </c>
      <c r="E556" t="s">
        <v>1844</v>
      </c>
      <c r="F556">
        <v>4020655</v>
      </c>
      <c r="G556" t="s">
        <v>1845</v>
      </c>
      <c r="H556" t="s">
        <v>805</v>
      </c>
      <c r="I556">
        <v>9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 s="44" t="e">
        <f>_xlfn.XLOOKUP(Tabla5[[#This Row],[EAN CORREGIDO]],'Tabla Articulos'!B:B,'Tabla Articulos'!D:D)</f>
        <v>#N/A</v>
      </c>
      <c r="Q556" s="44" t="e">
        <f>_xlfn.XLOOKUP(S556,'Tabla Articulos'!B:B,'Tabla Articulos'!E:E)</f>
        <v>#N/A</v>
      </c>
      <c r="R556" s="44" t="e">
        <f t="shared" si="16"/>
        <v>#N/A</v>
      </c>
      <c r="S556" s="45" t="str">
        <f t="shared" si="17"/>
        <v>7791113003271</v>
      </c>
    </row>
    <row r="557" spans="1:19" hidden="1" x14ac:dyDescent="0.35">
      <c r="A557" s="22">
        <v>1</v>
      </c>
      <c r="B557" t="s">
        <v>812</v>
      </c>
      <c r="C557" t="s">
        <v>802</v>
      </c>
      <c r="D557" t="s">
        <v>1843</v>
      </c>
      <c r="E557" t="s">
        <v>1844</v>
      </c>
      <c r="F557">
        <v>4020655</v>
      </c>
      <c r="G557" t="s">
        <v>1845</v>
      </c>
      <c r="H557" t="s">
        <v>805</v>
      </c>
      <c r="I557">
        <v>117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117</v>
      </c>
      <c r="P557" s="44" t="e">
        <f>_xlfn.XLOOKUP(Tabla5[[#This Row],[EAN CORREGIDO]],'Tabla Articulos'!B:B,'Tabla Articulos'!D:D)</f>
        <v>#N/A</v>
      </c>
      <c r="Q557" s="44" t="e">
        <f>_xlfn.XLOOKUP(S557,'Tabla Articulos'!B:B,'Tabla Articulos'!E:E)</f>
        <v>#N/A</v>
      </c>
      <c r="R557" s="44" t="e">
        <f t="shared" si="16"/>
        <v>#N/A</v>
      </c>
      <c r="S557" s="45" t="str">
        <f t="shared" si="17"/>
        <v>7791113003271</v>
      </c>
    </row>
    <row r="558" spans="1:19" hidden="1" x14ac:dyDescent="0.35">
      <c r="A558" s="22">
        <v>6</v>
      </c>
      <c r="B558" t="s">
        <v>801</v>
      </c>
      <c r="C558" t="s">
        <v>802</v>
      </c>
      <c r="D558" s="11" t="s">
        <v>18</v>
      </c>
      <c r="E558" t="s">
        <v>1846</v>
      </c>
      <c r="F558">
        <v>2006151</v>
      </c>
      <c r="G558" t="s">
        <v>1847</v>
      </c>
      <c r="H558" t="s">
        <v>805</v>
      </c>
      <c r="I558">
        <v>192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192</v>
      </c>
      <c r="P558" s="44" t="str">
        <f>_xlfn.XLOOKUP(Tabla5[[#This Row],[EAN CORREGIDO]],'Tabla Articulos'!B:B,'Tabla Articulos'!D:D)</f>
        <v>AGITADOR</v>
      </c>
      <c r="Q558" s="44">
        <f>_xlfn.XLOOKUP(S558,'Tabla Articulos'!B:B,'Tabla Articulos'!E:E)</f>
        <v>1000</v>
      </c>
      <c r="R558" s="44">
        <f t="shared" si="16"/>
        <v>192000</v>
      </c>
      <c r="S558" s="45" t="str">
        <f t="shared" si="17"/>
        <v>13069000A</v>
      </c>
    </row>
    <row r="559" spans="1:19" hidden="1" x14ac:dyDescent="0.35">
      <c r="A559" s="22">
        <v>6</v>
      </c>
      <c r="B559" t="s">
        <v>801</v>
      </c>
      <c r="C559" t="s">
        <v>802</v>
      </c>
      <c r="D559" s="11" t="s">
        <v>841</v>
      </c>
      <c r="E559" t="s">
        <v>1848</v>
      </c>
      <c r="F559">
        <v>2006480</v>
      </c>
      <c r="G559" t="s">
        <v>1849</v>
      </c>
      <c r="H559" t="s">
        <v>805</v>
      </c>
      <c r="I559">
        <v>192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192</v>
      </c>
      <c r="P559" s="44" t="e">
        <f>_xlfn.XLOOKUP(Tabla5[[#This Row],[EAN CORREGIDO]],'Tabla Articulos'!B:B,'Tabla Articulos'!D:D)</f>
        <v>#N/A</v>
      </c>
      <c r="Q559" s="44" t="e">
        <f>_xlfn.XLOOKUP(S559,'Tabla Articulos'!B:B,'Tabla Articulos'!E:E)</f>
        <v>#N/A</v>
      </c>
      <c r="R559" s="44" t="e">
        <f t="shared" si="16"/>
        <v>#N/A</v>
      </c>
      <c r="S559" s="45" t="str">
        <f t="shared" si="17"/>
        <v>7896061971242</v>
      </c>
    </row>
    <row r="560" spans="1:19" hidden="1" x14ac:dyDescent="0.35">
      <c r="A560" s="22">
        <v>1</v>
      </c>
      <c r="B560" t="s">
        <v>812</v>
      </c>
      <c r="C560" t="s">
        <v>802</v>
      </c>
      <c r="D560" s="11" t="s">
        <v>824</v>
      </c>
      <c r="E560" t="s">
        <v>3387</v>
      </c>
      <c r="F560">
        <v>4020190</v>
      </c>
      <c r="G560" t="s">
        <v>3388</v>
      </c>
      <c r="H560" t="s">
        <v>805</v>
      </c>
      <c r="I560">
        <v>1460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1460</v>
      </c>
      <c r="P560" s="44" t="e">
        <f>_xlfn.XLOOKUP(Tabla5[[#This Row],[EAN CORREGIDO]],'Tabla Articulos'!B:B,'Tabla Articulos'!D:D)</f>
        <v>#N/A</v>
      </c>
      <c r="Q560" s="44" t="e">
        <f>_xlfn.XLOOKUP(S560,'Tabla Articulos'!B:B,'Tabla Articulos'!E:E)</f>
        <v>#N/A</v>
      </c>
      <c r="R560" s="44" t="e">
        <f t="shared" si="16"/>
        <v>#N/A</v>
      </c>
      <c r="S560" s="45" t="str">
        <f t="shared" si="17"/>
        <v>7793875360012</v>
      </c>
    </row>
    <row r="561" spans="1:19" hidden="1" x14ac:dyDescent="0.35">
      <c r="A561" s="22">
        <v>6</v>
      </c>
      <c r="B561" t="s">
        <v>801</v>
      </c>
      <c r="C561" t="s">
        <v>802</v>
      </c>
      <c r="E561" t="s">
        <v>3389</v>
      </c>
      <c r="F561">
        <v>2016492</v>
      </c>
      <c r="G561" t="s">
        <v>3390</v>
      </c>
      <c r="H561" t="s">
        <v>805</v>
      </c>
      <c r="I561">
        <v>254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254</v>
      </c>
      <c r="P561" s="44" t="e">
        <f>_xlfn.XLOOKUP(Tabla5[[#This Row],[EAN CORREGIDO]],'Tabla Articulos'!B:B,'Tabla Articulos'!D:D)</f>
        <v>#N/A</v>
      </c>
      <c r="Q561" s="44" t="e">
        <f>_xlfn.XLOOKUP(S561,'Tabla Articulos'!B:B,'Tabla Articulos'!E:E)</f>
        <v>#N/A</v>
      </c>
      <c r="R561" s="44" t="e">
        <f t="shared" si="16"/>
        <v>#N/A</v>
      </c>
      <c r="S561" s="45" t="str">
        <f t="shared" si="17"/>
        <v>7790520026088</v>
      </c>
    </row>
    <row r="562" spans="1:19" hidden="1" x14ac:dyDescent="0.35">
      <c r="A562" s="22">
        <v>1</v>
      </c>
      <c r="B562" t="s">
        <v>812</v>
      </c>
      <c r="C562" t="s">
        <v>802</v>
      </c>
      <c r="D562" t="s">
        <v>3391</v>
      </c>
      <c r="E562" t="s">
        <v>3392</v>
      </c>
      <c r="F562">
        <v>4020385</v>
      </c>
      <c r="G562" t="s">
        <v>3393</v>
      </c>
      <c r="H562" t="s">
        <v>805</v>
      </c>
      <c r="I562">
        <v>2090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2090</v>
      </c>
      <c r="P562" s="44" t="e">
        <f>_xlfn.XLOOKUP(Tabla5[[#This Row],[EAN CORREGIDO]],'Tabla Articulos'!B:B,'Tabla Articulos'!D:D)</f>
        <v>#N/A</v>
      </c>
      <c r="Q562" s="44" t="e">
        <f>_xlfn.XLOOKUP(S562,'Tabla Articulos'!B:B,'Tabla Articulos'!E:E)</f>
        <v>#N/A</v>
      </c>
      <c r="R562" s="44" t="e">
        <f t="shared" si="16"/>
        <v>#N/A</v>
      </c>
      <c r="S562" s="45" t="str">
        <f t="shared" si="17"/>
        <v>7798028020508</v>
      </c>
    </row>
    <row r="563" spans="1:19" hidden="1" x14ac:dyDescent="0.35">
      <c r="A563" s="22">
        <v>6</v>
      </c>
      <c r="B563" t="s">
        <v>801</v>
      </c>
      <c r="C563" t="s">
        <v>802</v>
      </c>
      <c r="E563" t="s">
        <v>3850</v>
      </c>
      <c r="F563">
        <v>9003756</v>
      </c>
      <c r="G563" t="s">
        <v>3851</v>
      </c>
      <c r="H563" t="s">
        <v>805</v>
      </c>
      <c r="I563">
        <v>1148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1148</v>
      </c>
      <c r="P563" s="44" t="e">
        <f>_xlfn.XLOOKUP(Tabla5[[#This Row],[EAN CORREGIDO]],'Tabla Articulos'!B:B,'Tabla Articulos'!D:D)</f>
        <v>#N/A</v>
      </c>
      <c r="Q563" s="44" t="e">
        <f>_xlfn.XLOOKUP(S563,'Tabla Articulos'!B:B,'Tabla Articulos'!E:E)</f>
        <v>#N/A</v>
      </c>
      <c r="R563" s="44" t="e">
        <f t="shared" si="16"/>
        <v>#N/A</v>
      </c>
      <c r="S563" s="45" t="str">
        <f t="shared" si="17"/>
        <v>BAZ001260</v>
      </c>
    </row>
    <row r="564" spans="1:19" hidden="1" x14ac:dyDescent="0.35">
      <c r="A564" s="22">
        <v>1</v>
      </c>
      <c r="B564" t="s">
        <v>812</v>
      </c>
      <c r="C564" t="s">
        <v>802</v>
      </c>
      <c r="D564" t="s">
        <v>3852</v>
      </c>
      <c r="E564" t="s">
        <v>3853</v>
      </c>
      <c r="F564">
        <v>4018065</v>
      </c>
      <c r="G564" t="s">
        <v>3854</v>
      </c>
      <c r="H564" t="s">
        <v>816</v>
      </c>
      <c r="I564">
        <v>8317.8799999999992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8317.8799999999992</v>
      </c>
      <c r="P564" s="44" t="e">
        <f>_xlfn.XLOOKUP(Tabla5[[#This Row],[EAN CORREGIDO]],'Tabla Articulos'!B:B,'Tabla Articulos'!D:D)</f>
        <v>#N/A</v>
      </c>
      <c r="Q564" s="44" t="e">
        <f>_xlfn.XLOOKUP(S564,'Tabla Articulos'!B:B,'Tabla Articulos'!E:E)</f>
        <v>#N/A</v>
      </c>
      <c r="R564" s="44" t="e">
        <f t="shared" si="16"/>
        <v>#N/A</v>
      </c>
      <c r="S564" s="45" t="str">
        <f t="shared" si="17"/>
        <v>7790216020114</v>
      </c>
    </row>
    <row r="565" spans="1:19" hidden="1" x14ac:dyDescent="0.35">
      <c r="A565" s="22">
        <v>6</v>
      </c>
      <c r="B565" t="s">
        <v>801</v>
      </c>
      <c r="C565" t="s">
        <v>802</v>
      </c>
      <c r="E565" t="s">
        <v>3855</v>
      </c>
      <c r="F565">
        <v>9003186</v>
      </c>
      <c r="G565" t="s">
        <v>3856</v>
      </c>
      <c r="H565" t="s">
        <v>805</v>
      </c>
      <c r="I565">
        <v>7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7</v>
      </c>
      <c r="P565" s="44" t="e">
        <f>_xlfn.XLOOKUP(Tabla5[[#This Row],[EAN CORREGIDO]],'Tabla Articulos'!B:B,'Tabla Articulos'!D:D)</f>
        <v>#N/A</v>
      </c>
      <c r="Q565" s="44" t="e">
        <f>_xlfn.XLOOKUP(S565,'Tabla Articulos'!B:B,'Tabla Articulos'!E:E)</f>
        <v>#N/A</v>
      </c>
      <c r="R565" s="44" t="e">
        <f t="shared" si="16"/>
        <v>#N/A</v>
      </c>
      <c r="S565" s="45" t="str">
        <f t="shared" si="17"/>
        <v>UNIF000312</v>
      </c>
    </row>
    <row r="566" spans="1:19" hidden="1" x14ac:dyDescent="0.35">
      <c r="A566" s="22">
        <v>1</v>
      </c>
      <c r="B566" t="s">
        <v>812</v>
      </c>
      <c r="C566" t="s">
        <v>802</v>
      </c>
      <c r="D566" t="s">
        <v>1252</v>
      </c>
      <c r="E566" t="s">
        <v>3857</v>
      </c>
      <c r="F566">
        <v>4024758</v>
      </c>
      <c r="G566" t="s">
        <v>3858</v>
      </c>
      <c r="H566" t="s">
        <v>805</v>
      </c>
      <c r="I566">
        <v>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</v>
      </c>
      <c r="P566" s="44" t="e">
        <f>_xlfn.XLOOKUP(Tabla5[[#This Row],[EAN CORREGIDO]],'Tabla Articulos'!B:B,'Tabla Articulos'!D:D)</f>
        <v>#N/A</v>
      </c>
      <c r="Q566" s="44" t="e">
        <f>_xlfn.XLOOKUP(S566,'Tabla Articulos'!B:B,'Tabla Articulos'!E:E)</f>
        <v>#N/A</v>
      </c>
      <c r="R566" s="44" t="e">
        <f t="shared" si="16"/>
        <v>#N/A</v>
      </c>
      <c r="S566" s="45" t="str">
        <f t="shared" si="17"/>
        <v>17792180006117</v>
      </c>
    </row>
    <row r="567" spans="1:19" hidden="1" x14ac:dyDescent="0.35">
      <c r="A567" s="22">
        <v>5</v>
      </c>
      <c r="B567" t="s">
        <v>829</v>
      </c>
      <c r="C567" t="s">
        <v>802</v>
      </c>
      <c r="D567" t="s">
        <v>874</v>
      </c>
      <c r="E567" t="s">
        <v>2240</v>
      </c>
      <c r="F567">
        <v>4049072</v>
      </c>
      <c r="G567" t="s">
        <v>2241</v>
      </c>
      <c r="H567" t="s">
        <v>805</v>
      </c>
      <c r="I567">
        <v>29573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29573</v>
      </c>
      <c r="P567" s="44" t="e">
        <f>_xlfn.XLOOKUP(Tabla5[[#This Row],[EAN CORREGIDO]],'Tabla Articulos'!B:B,'Tabla Articulos'!D:D)</f>
        <v>#N/A</v>
      </c>
      <c r="Q567" s="44" t="e">
        <f>_xlfn.XLOOKUP(S567,'Tabla Articulos'!B:B,'Tabla Articulos'!E:E)</f>
        <v>#N/A</v>
      </c>
      <c r="R567" s="44" t="e">
        <f t="shared" si="16"/>
        <v>#N/A</v>
      </c>
      <c r="S567" s="45" t="str">
        <f t="shared" si="17"/>
        <v>7798144480569</v>
      </c>
    </row>
    <row r="568" spans="1:19" hidden="1" x14ac:dyDescent="0.35">
      <c r="A568" s="22">
        <v>1</v>
      </c>
      <c r="B568" t="s">
        <v>812</v>
      </c>
      <c r="C568" t="s">
        <v>802</v>
      </c>
      <c r="D568" s="11" t="s">
        <v>1405</v>
      </c>
      <c r="E568" t="s">
        <v>2242</v>
      </c>
      <c r="F568">
        <v>4048918</v>
      </c>
      <c r="G568" t="s">
        <v>2243</v>
      </c>
      <c r="H568" t="s">
        <v>805</v>
      </c>
      <c r="I568">
        <v>16</v>
      </c>
      <c r="J568">
        <v>0</v>
      </c>
      <c r="K568">
        <v>0</v>
      </c>
      <c r="L568">
        <v>0</v>
      </c>
      <c r="M568">
        <v>4</v>
      </c>
      <c r="N568">
        <v>0</v>
      </c>
      <c r="O568">
        <v>12</v>
      </c>
      <c r="P568" s="44" t="e">
        <f>_xlfn.XLOOKUP(Tabla5[[#This Row],[EAN CORREGIDO]],'Tabla Articulos'!B:B,'Tabla Articulos'!D:D)</f>
        <v>#N/A</v>
      </c>
      <c r="Q568" s="44" t="e">
        <f>_xlfn.XLOOKUP(S568,'Tabla Articulos'!B:B,'Tabla Articulos'!E:E)</f>
        <v>#N/A</v>
      </c>
      <c r="R568" s="44" t="e">
        <f t="shared" si="16"/>
        <v>#N/A</v>
      </c>
      <c r="S568" s="45" t="str">
        <f t="shared" si="17"/>
        <v>7790000000618</v>
      </c>
    </row>
    <row r="569" spans="1:19" hidden="1" x14ac:dyDescent="0.35">
      <c r="A569" s="22">
        <v>5</v>
      </c>
      <c r="B569" t="s">
        <v>829</v>
      </c>
      <c r="C569" t="s">
        <v>802</v>
      </c>
      <c r="D569" t="s">
        <v>229</v>
      </c>
      <c r="E569" t="s">
        <v>2244</v>
      </c>
      <c r="F569">
        <v>2006279</v>
      </c>
      <c r="G569" t="s">
        <v>2245</v>
      </c>
      <c r="H569" t="s">
        <v>805</v>
      </c>
      <c r="I569">
        <v>16576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16576</v>
      </c>
      <c r="P569" s="44" t="e">
        <f>_xlfn.XLOOKUP(Tabla5[[#This Row],[EAN CORREGIDO]],'Tabla Articulos'!B:B,'Tabla Articulos'!D:D)</f>
        <v>#N/A</v>
      </c>
      <c r="Q569" s="44" t="e">
        <f>_xlfn.XLOOKUP(S569,'Tabla Articulos'!B:B,'Tabla Articulos'!E:E)</f>
        <v>#N/A</v>
      </c>
      <c r="R569" s="44" t="e">
        <f t="shared" si="16"/>
        <v>#N/A</v>
      </c>
      <c r="S569" s="45" t="str">
        <f t="shared" si="17"/>
        <v>7795323141172</v>
      </c>
    </row>
    <row r="570" spans="1:19" hidden="1" x14ac:dyDescent="0.35">
      <c r="A570" s="22">
        <v>1</v>
      </c>
      <c r="B570" t="s">
        <v>812</v>
      </c>
      <c r="C570" t="s">
        <v>802</v>
      </c>
      <c r="D570" s="11" t="s">
        <v>2978</v>
      </c>
      <c r="E570" t="s">
        <v>3616</v>
      </c>
      <c r="F570">
        <v>4019834</v>
      </c>
      <c r="G570" t="s">
        <v>3617</v>
      </c>
      <c r="H570" t="s">
        <v>805</v>
      </c>
      <c r="I570">
        <v>198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198</v>
      </c>
      <c r="P570" s="44" t="e">
        <f>_xlfn.XLOOKUP(Tabla5[[#This Row],[EAN CORREGIDO]],'Tabla Articulos'!B:B,'Tabla Articulos'!D:D)</f>
        <v>#N/A</v>
      </c>
      <c r="Q570" s="44" t="e">
        <f>_xlfn.XLOOKUP(S570,'Tabla Articulos'!B:B,'Tabla Articulos'!E:E)</f>
        <v>#N/A</v>
      </c>
      <c r="R570" s="44" t="e">
        <f t="shared" si="16"/>
        <v>#N/A</v>
      </c>
      <c r="S570" s="45" t="str">
        <f t="shared" si="17"/>
        <v>7792198006539</v>
      </c>
    </row>
    <row r="571" spans="1:19" hidden="1" x14ac:dyDescent="0.35">
      <c r="A571" s="22">
        <v>5</v>
      </c>
      <c r="B571" t="s">
        <v>829</v>
      </c>
      <c r="C571" t="s">
        <v>802</v>
      </c>
      <c r="D571" t="s">
        <v>2978</v>
      </c>
      <c r="E571" t="s">
        <v>3616</v>
      </c>
      <c r="F571">
        <v>4019834</v>
      </c>
      <c r="G571" t="s">
        <v>3617</v>
      </c>
      <c r="H571" t="s">
        <v>805</v>
      </c>
      <c r="I571">
        <v>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8</v>
      </c>
      <c r="P571" s="44" t="e">
        <f>_xlfn.XLOOKUP(Tabla5[[#This Row],[EAN CORREGIDO]],'Tabla Articulos'!B:B,'Tabla Articulos'!D:D)</f>
        <v>#N/A</v>
      </c>
      <c r="Q571" s="44" t="e">
        <f>_xlfn.XLOOKUP(S571,'Tabla Articulos'!B:B,'Tabla Articulos'!E:E)</f>
        <v>#N/A</v>
      </c>
      <c r="R571" s="44" t="e">
        <f t="shared" si="16"/>
        <v>#N/A</v>
      </c>
      <c r="S571" s="45" t="str">
        <f t="shared" si="17"/>
        <v>7792198006539</v>
      </c>
    </row>
    <row r="572" spans="1:19" hidden="1" x14ac:dyDescent="0.35">
      <c r="A572" s="22">
        <v>6</v>
      </c>
      <c r="B572" t="s">
        <v>801</v>
      </c>
      <c r="C572" t="s">
        <v>802</v>
      </c>
      <c r="D572" t="s">
        <v>1874</v>
      </c>
      <c r="E572" t="s">
        <v>3618</v>
      </c>
      <c r="F572">
        <v>2006369</v>
      </c>
      <c r="G572" t="s">
        <v>3619</v>
      </c>
      <c r="H572" t="s">
        <v>805</v>
      </c>
      <c r="I572">
        <v>357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357</v>
      </c>
      <c r="P572" s="44" t="e">
        <f>_xlfn.XLOOKUP(Tabla5[[#This Row],[EAN CORREGIDO]],'Tabla Articulos'!B:B,'Tabla Articulos'!D:D)</f>
        <v>#N/A</v>
      </c>
      <c r="Q572" s="44" t="e">
        <f>_xlfn.XLOOKUP(S572,'Tabla Articulos'!B:B,'Tabla Articulos'!E:E)</f>
        <v>#N/A</v>
      </c>
      <c r="R572" s="44" t="e">
        <f t="shared" si="16"/>
        <v>#N/A</v>
      </c>
      <c r="S572" s="45" t="str">
        <f t="shared" si="17"/>
        <v>7796791200714</v>
      </c>
    </row>
    <row r="573" spans="1:19" hidden="1" x14ac:dyDescent="0.35">
      <c r="A573" s="22">
        <v>6</v>
      </c>
      <c r="B573" t="s">
        <v>801</v>
      </c>
      <c r="C573" t="s">
        <v>802</v>
      </c>
      <c r="E573" t="s">
        <v>3620</v>
      </c>
      <c r="F573">
        <v>9003767</v>
      </c>
      <c r="G573" t="s">
        <v>3621</v>
      </c>
      <c r="H573" t="s">
        <v>805</v>
      </c>
      <c r="I573">
        <v>2048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2048</v>
      </c>
      <c r="P573" s="44" t="e">
        <f>_xlfn.XLOOKUP(Tabla5[[#This Row],[EAN CORREGIDO]],'Tabla Articulos'!B:B,'Tabla Articulos'!D:D)</f>
        <v>#N/A</v>
      </c>
      <c r="Q573" s="44" t="e">
        <f>_xlfn.XLOOKUP(S573,'Tabla Articulos'!B:B,'Tabla Articulos'!E:E)</f>
        <v>#N/A</v>
      </c>
      <c r="R573" s="44" t="e">
        <f t="shared" si="16"/>
        <v>#N/A</v>
      </c>
      <c r="S573" s="45" t="str">
        <f t="shared" si="17"/>
        <v>BAZ001359</v>
      </c>
    </row>
    <row r="574" spans="1:19" hidden="1" x14ac:dyDescent="0.35">
      <c r="A574" s="22">
        <v>6</v>
      </c>
      <c r="B574" t="s">
        <v>801</v>
      </c>
      <c r="C574" t="s">
        <v>802</v>
      </c>
      <c r="E574" t="s">
        <v>3622</v>
      </c>
      <c r="F574">
        <v>2011389</v>
      </c>
      <c r="G574" t="s">
        <v>3623</v>
      </c>
      <c r="H574" t="s">
        <v>805</v>
      </c>
      <c r="I574">
        <v>75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75</v>
      </c>
      <c r="P574" s="44" t="e">
        <f>_xlfn.XLOOKUP(Tabla5[[#This Row],[EAN CORREGIDO]],'Tabla Articulos'!B:B,'Tabla Articulos'!D:D)</f>
        <v>#N/A</v>
      </c>
      <c r="Q574" s="44" t="e">
        <f>_xlfn.XLOOKUP(S574,'Tabla Articulos'!B:B,'Tabla Articulos'!E:E)</f>
        <v>#N/A</v>
      </c>
      <c r="R574" s="44" t="e">
        <f t="shared" si="16"/>
        <v>#N/A</v>
      </c>
      <c r="S574" s="45" t="str">
        <f t="shared" si="17"/>
        <v>7798188650546</v>
      </c>
    </row>
    <row r="575" spans="1:19" hidden="1" x14ac:dyDescent="0.35">
      <c r="A575" s="22">
        <v>1</v>
      </c>
      <c r="B575" t="s">
        <v>812</v>
      </c>
      <c r="C575" t="s">
        <v>802</v>
      </c>
      <c r="D575" t="s">
        <v>3493</v>
      </c>
      <c r="E575" t="s">
        <v>3494</v>
      </c>
      <c r="F575">
        <v>4021533</v>
      </c>
      <c r="G575" t="s">
        <v>3495</v>
      </c>
      <c r="H575" t="s">
        <v>805</v>
      </c>
      <c r="I575">
        <v>200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200</v>
      </c>
      <c r="P575" s="44" t="e">
        <f>_xlfn.XLOOKUP(Tabla5[[#This Row],[EAN CORREGIDO]],'Tabla Articulos'!B:B,'Tabla Articulos'!D:D)</f>
        <v>#N/A</v>
      </c>
      <c r="Q575" s="44" t="e">
        <f>_xlfn.XLOOKUP(S575,'Tabla Articulos'!B:B,'Tabla Articulos'!E:E)</f>
        <v>#N/A</v>
      </c>
      <c r="R575" s="44" t="e">
        <f t="shared" si="16"/>
        <v>#N/A</v>
      </c>
      <c r="S575" s="45" t="str">
        <f t="shared" si="17"/>
        <v>7790580144142</v>
      </c>
    </row>
    <row r="576" spans="1:19" hidden="1" x14ac:dyDescent="0.35">
      <c r="A576" s="22">
        <v>6</v>
      </c>
      <c r="B576" t="s">
        <v>801</v>
      </c>
      <c r="C576" t="s">
        <v>802</v>
      </c>
      <c r="D576" t="s">
        <v>322</v>
      </c>
      <c r="E576" t="s">
        <v>3496</v>
      </c>
      <c r="F576">
        <v>2006475</v>
      </c>
      <c r="G576" t="s">
        <v>3497</v>
      </c>
      <c r="H576" t="s">
        <v>805</v>
      </c>
      <c r="I576">
        <v>110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110</v>
      </c>
      <c r="P576" s="44" t="str">
        <f>_xlfn.XLOOKUP(Tabla5[[#This Row],[EAN CORREGIDO]],'Tabla Articulos'!B:B,'Tabla Articulos'!D:D)</f>
        <v>VASO PLASTICO 180</v>
      </c>
      <c r="Q576" s="44">
        <f>_xlfn.XLOOKUP(S576,'Tabla Articulos'!B:B,'Tabla Articulos'!E:E)</f>
        <v>100</v>
      </c>
      <c r="R576" s="44">
        <f t="shared" si="16"/>
        <v>11000</v>
      </c>
      <c r="S576" s="45" t="str">
        <f t="shared" si="17"/>
        <v>7790321020346</v>
      </c>
    </row>
    <row r="577" spans="1:19" hidden="1" x14ac:dyDescent="0.35">
      <c r="A577" s="22">
        <v>6</v>
      </c>
      <c r="B577" t="s">
        <v>801</v>
      </c>
      <c r="C577" t="s">
        <v>802</v>
      </c>
      <c r="D577"/>
      <c r="E577" t="s">
        <v>3498</v>
      </c>
      <c r="F577">
        <v>9003570</v>
      </c>
      <c r="G577" t="s">
        <v>3499</v>
      </c>
      <c r="H577" t="s">
        <v>805</v>
      </c>
      <c r="I577">
        <v>48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48</v>
      </c>
      <c r="P577" s="44" t="e">
        <f>_xlfn.XLOOKUP(Tabla5[[#This Row],[EAN CORREGIDO]],'Tabla Articulos'!B:B,'Tabla Articulos'!D:D)</f>
        <v>#N/A</v>
      </c>
      <c r="Q577" s="44" t="e">
        <f>_xlfn.XLOOKUP(S577,'Tabla Articulos'!B:B,'Tabla Articulos'!E:E)</f>
        <v>#N/A</v>
      </c>
      <c r="R577" s="44" t="e">
        <f t="shared" ref="R577:R640" si="18">O577*Q577</f>
        <v>#N/A</v>
      </c>
      <c r="S577" s="45" t="str">
        <f t="shared" ref="S577:S640" si="19">TRIM(E577)</f>
        <v>UNIF000153</v>
      </c>
    </row>
    <row r="578" spans="1:19" hidden="1" x14ac:dyDescent="0.35">
      <c r="A578" s="22">
        <v>6</v>
      </c>
      <c r="B578" t="s">
        <v>801</v>
      </c>
      <c r="C578" t="s">
        <v>802</v>
      </c>
      <c r="D578" s="11" t="s">
        <v>301</v>
      </c>
      <c r="E578" t="s">
        <v>3500</v>
      </c>
      <c r="F578">
        <v>2016510</v>
      </c>
      <c r="G578" t="s">
        <v>3501</v>
      </c>
      <c r="H578" t="s">
        <v>805</v>
      </c>
      <c r="I578">
        <v>40</v>
      </c>
      <c r="J578">
        <v>0</v>
      </c>
      <c r="K578">
        <v>0</v>
      </c>
      <c r="L578">
        <v>20</v>
      </c>
      <c r="M578">
        <v>20</v>
      </c>
      <c r="N578">
        <v>0</v>
      </c>
      <c r="O578">
        <v>0</v>
      </c>
      <c r="P578" s="44" t="str">
        <f>_xlfn.XLOOKUP(Tabla5[[#This Row],[EAN CORREGIDO]],'Tabla Articulos'!B:B,'Tabla Articulos'!D:D)</f>
        <v>INDIVIDUAL BLUE PERFECTO</v>
      </c>
      <c r="Q578" s="44">
        <f>_xlfn.XLOOKUP(S578,'Tabla Articulos'!B:B,'Tabla Articulos'!E:E)</f>
        <v>1000</v>
      </c>
      <c r="R578" s="44">
        <f t="shared" si="18"/>
        <v>0</v>
      </c>
      <c r="S578" s="45" t="str">
        <f t="shared" si="19"/>
        <v>7790000000710</v>
      </c>
    </row>
    <row r="579" spans="1:19" hidden="1" x14ac:dyDescent="0.35">
      <c r="A579" s="22">
        <v>1</v>
      </c>
      <c r="B579" t="s">
        <v>812</v>
      </c>
      <c r="C579" t="s">
        <v>802</v>
      </c>
      <c r="D579" s="11" t="s">
        <v>3502</v>
      </c>
      <c r="E579" t="s">
        <v>3503</v>
      </c>
      <c r="F579">
        <v>4020416</v>
      </c>
      <c r="G579" t="s">
        <v>3504</v>
      </c>
      <c r="H579" t="s">
        <v>805</v>
      </c>
      <c r="I579">
        <v>912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912</v>
      </c>
      <c r="P579" s="44" t="e">
        <f>_xlfn.XLOOKUP(Tabla5[[#This Row],[EAN CORREGIDO]],'Tabla Articulos'!B:B,'Tabla Articulos'!D:D)</f>
        <v>#N/A</v>
      </c>
      <c r="Q579" s="44" t="e">
        <f>_xlfn.XLOOKUP(S579,'Tabla Articulos'!B:B,'Tabla Articulos'!E:E)</f>
        <v>#N/A</v>
      </c>
      <c r="R579" s="44" t="e">
        <f t="shared" si="18"/>
        <v>#N/A</v>
      </c>
      <c r="S579" s="45" t="str">
        <f t="shared" si="19"/>
        <v>7793875360272</v>
      </c>
    </row>
    <row r="580" spans="1:19" hidden="1" x14ac:dyDescent="0.35">
      <c r="A580" s="22">
        <v>5</v>
      </c>
      <c r="B580" t="s">
        <v>829</v>
      </c>
      <c r="C580" t="s">
        <v>802</v>
      </c>
      <c r="D580" t="s">
        <v>3502</v>
      </c>
      <c r="E580" t="s">
        <v>3503</v>
      </c>
      <c r="F580">
        <v>4020416</v>
      </c>
      <c r="G580" t="s">
        <v>3504</v>
      </c>
      <c r="H580" t="s">
        <v>805</v>
      </c>
      <c r="I580">
        <v>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6</v>
      </c>
      <c r="P580" s="44" t="e">
        <f>_xlfn.XLOOKUP(Tabla5[[#This Row],[EAN CORREGIDO]],'Tabla Articulos'!B:B,'Tabla Articulos'!D:D)</f>
        <v>#N/A</v>
      </c>
      <c r="Q580" s="44" t="e">
        <f>_xlfn.XLOOKUP(S580,'Tabla Articulos'!B:B,'Tabla Articulos'!E:E)</f>
        <v>#N/A</v>
      </c>
      <c r="R580" s="44" t="e">
        <f t="shared" si="18"/>
        <v>#N/A</v>
      </c>
      <c r="S580" s="45" t="str">
        <f t="shared" si="19"/>
        <v>7793875360272</v>
      </c>
    </row>
    <row r="581" spans="1:19" hidden="1" x14ac:dyDescent="0.35">
      <c r="A581" s="22">
        <v>6</v>
      </c>
      <c r="B581" t="s">
        <v>801</v>
      </c>
      <c r="C581" t="s">
        <v>802</v>
      </c>
      <c r="D581" t="s">
        <v>2600</v>
      </c>
      <c r="E581" t="s">
        <v>3505</v>
      </c>
      <c r="F581">
        <v>2007427</v>
      </c>
      <c r="G581" t="s">
        <v>3506</v>
      </c>
      <c r="H581" t="s">
        <v>805</v>
      </c>
      <c r="I581">
        <v>143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143</v>
      </c>
      <c r="P581" s="44" t="e">
        <f>_xlfn.XLOOKUP(Tabla5[[#This Row],[EAN CORREGIDO]],'Tabla Articulos'!B:B,'Tabla Articulos'!D:D)</f>
        <v>#N/A</v>
      </c>
      <c r="Q581" s="44" t="e">
        <f>_xlfn.XLOOKUP(S581,'Tabla Articulos'!B:B,'Tabla Articulos'!E:E)</f>
        <v>#N/A</v>
      </c>
      <c r="R581" s="44" t="e">
        <f t="shared" si="18"/>
        <v>#N/A</v>
      </c>
      <c r="S581" s="45" t="str">
        <f t="shared" si="19"/>
        <v>7792205105224</v>
      </c>
    </row>
    <row r="582" spans="1:19" hidden="1" x14ac:dyDescent="0.35">
      <c r="A582" s="22">
        <v>1</v>
      </c>
      <c r="B582" t="s">
        <v>812</v>
      </c>
      <c r="C582" t="s">
        <v>802</v>
      </c>
      <c r="D582" t="s">
        <v>4225</v>
      </c>
      <c r="E582" t="s">
        <v>4348</v>
      </c>
      <c r="F582">
        <v>4017997</v>
      </c>
      <c r="G582" t="s">
        <v>4349</v>
      </c>
      <c r="H582" t="s">
        <v>816</v>
      </c>
      <c r="I582">
        <v>282.53500000000003</v>
      </c>
      <c r="J582">
        <v>0</v>
      </c>
      <c r="K582">
        <v>0</v>
      </c>
      <c r="L582">
        <v>0</v>
      </c>
      <c r="M582">
        <v>3.6080000000000001</v>
      </c>
      <c r="N582">
        <v>0</v>
      </c>
      <c r="O582">
        <v>278.92700000000002</v>
      </c>
      <c r="P582" s="44" t="e">
        <f>_xlfn.XLOOKUP(Tabla5[[#This Row],[EAN CORREGIDO]],'Tabla Articulos'!B:B,'Tabla Articulos'!D:D)</f>
        <v>#N/A</v>
      </c>
      <c r="Q582" s="44" t="e">
        <f>_xlfn.XLOOKUP(S582,'Tabla Articulos'!B:B,'Tabla Articulos'!E:E)</f>
        <v>#N/A</v>
      </c>
      <c r="R582" s="44" t="e">
        <f t="shared" si="18"/>
        <v>#N/A</v>
      </c>
      <c r="S582" s="45" t="str">
        <f t="shared" si="19"/>
        <v>7790216010032</v>
      </c>
    </row>
    <row r="583" spans="1:19" hidden="1" x14ac:dyDescent="0.35">
      <c r="A583" s="22">
        <v>6</v>
      </c>
      <c r="B583" t="s">
        <v>801</v>
      </c>
      <c r="C583" t="s">
        <v>802</v>
      </c>
      <c r="D583" s="11" t="s">
        <v>841</v>
      </c>
      <c r="E583" t="s">
        <v>2794</v>
      </c>
      <c r="F583">
        <v>2006213</v>
      </c>
      <c r="G583" t="s">
        <v>2795</v>
      </c>
      <c r="H583" t="s">
        <v>1034</v>
      </c>
      <c r="I583">
        <v>2287</v>
      </c>
      <c r="J583">
        <v>1752</v>
      </c>
      <c r="K583">
        <v>0</v>
      </c>
      <c r="L583">
        <v>0</v>
      </c>
      <c r="M583">
        <v>0</v>
      </c>
      <c r="N583">
        <v>0</v>
      </c>
      <c r="O583">
        <v>4039</v>
      </c>
      <c r="P583" s="44" t="e">
        <f>_xlfn.XLOOKUP(Tabla5[[#This Row],[EAN CORREGIDO]],'Tabla Articulos'!B:B,'Tabla Articulos'!D:D)</f>
        <v>#N/A</v>
      </c>
      <c r="Q583" s="44" t="e">
        <f>_xlfn.XLOOKUP(S583,'Tabla Articulos'!B:B,'Tabla Articulos'!E:E)</f>
        <v>#N/A</v>
      </c>
      <c r="R583" s="44" t="e">
        <f t="shared" si="18"/>
        <v>#N/A</v>
      </c>
      <c r="S583" s="45" t="str">
        <f t="shared" si="19"/>
        <v>7798188651180</v>
      </c>
    </row>
    <row r="584" spans="1:19" hidden="1" x14ac:dyDescent="0.35">
      <c r="A584" s="22">
        <v>1</v>
      </c>
      <c r="B584" t="s">
        <v>812</v>
      </c>
      <c r="C584" t="s">
        <v>802</v>
      </c>
      <c r="D584" t="s">
        <v>2796</v>
      </c>
      <c r="E584" t="s">
        <v>2797</v>
      </c>
      <c r="F584">
        <v>4076795</v>
      </c>
      <c r="G584" t="s">
        <v>2798</v>
      </c>
      <c r="H584" t="s">
        <v>805</v>
      </c>
      <c r="I584">
        <v>168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168</v>
      </c>
      <c r="P584" s="44" t="e">
        <f>_xlfn.XLOOKUP(Tabla5[[#This Row],[EAN CORREGIDO]],'Tabla Articulos'!B:B,'Tabla Articulos'!D:D)</f>
        <v>#N/A</v>
      </c>
      <c r="Q584" s="44" t="e">
        <f>_xlfn.XLOOKUP(S584,'Tabla Articulos'!B:B,'Tabla Articulos'!E:E)</f>
        <v>#N/A</v>
      </c>
      <c r="R584" s="44" t="e">
        <f t="shared" si="18"/>
        <v>#N/A</v>
      </c>
      <c r="S584" s="45" t="str">
        <f t="shared" si="19"/>
        <v>7798128000684</v>
      </c>
    </row>
    <row r="585" spans="1:19" hidden="1" x14ac:dyDescent="0.35">
      <c r="A585" s="22">
        <v>1</v>
      </c>
      <c r="B585" t="s">
        <v>812</v>
      </c>
      <c r="C585" t="s">
        <v>802</v>
      </c>
      <c r="D585" s="11" t="s">
        <v>2226</v>
      </c>
      <c r="E585" t="s">
        <v>2799</v>
      </c>
      <c r="F585">
        <v>4018223</v>
      </c>
      <c r="G585" t="s">
        <v>2800</v>
      </c>
      <c r="H585" t="s">
        <v>805</v>
      </c>
      <c r="I585">
        <v>52</v>
      </c>
      <c r="J585">
        <v>0</v>
      </c>
      <c r="K585">
        <v>0</v>
      </c>
      <c r="L585">
        <v>8</v>
      </c>
      <c r="M585">
        <v>8</v>
      </c>
      <c r="N585">
        <v>0</v>
      </c>
      <c r="O585">
        <v>36</v>
      </c>
      <c r="P585" s="44" t="e">
        <f>_xlfn.XLOOKUP(Tabla5[[#This Row],[EAN CORREGIDO]],'Tabla Articulos'!B:B,'Tabla Articulos'!D:D)</f>
        <v>#N/A</v>
      </c>
      <c r="Q585" s="44" t="e">
        <f>_xlfn.XLOOKUP(S585,'Tabla Articulos'!B:B,'Tabla Articulos'!E:E)</f>
        <v>#N/A</v>
      </c>
      <c r="R585" s="44" t="e">
        <f t="shared" si="18"/>
        <v>#N/A</v>
      </c>
      <c r="S585" s="45" t="str">
        <f t="shared" si="19"/>
        <v>7794990879731</v>
      </c>
    </row>
    <row r="586" spans="1:19" hidden="1" x14ac:dyDescent="0.35">
      <c r="A586" s="22">
        <v>1</v>
      </c>
      <c r="B586" t="s">
        <v>812</v>
      </c>
      <c r="C586" t="s">
        <v>802</v>
      </c>
      <c r="D586" s="11" t="s">
        <v>2158</v>
      </c>
      <c r="E586" t="s">
        <v>2801</v>
      </c>
      <c r="F586">
        <v>4019380</v>
      </c>
      <c r="G586" t="s">
        <v>2802</v>
      </c>
      <c r="H586" t="s">
        <v>805</v>
      </c>
      <c r="I586">
        <v>390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390</v>
      </c>
      <c r="P586" s="44" t="e">
        <f>_xlfn.XLOOKUP(Tabla5[[#This Row],[EAN CORREGIDO]],'Tabla Articulos'!B:B,'Tabla Articulos'!D:D)</f>
        <v>#N/A</v>
      </c>
      <c r="Q586" s="44" t="e">
        <f>_xlfn.XLOOKUP(S586,'Tabla Articulos'!B:B,'Tabla Articulos'!E:E)</f>
        <v>#N/A</v>
      </c>
      <c r="R586" s="44" t="e">
        <f t="shared" si="18"/>
        <v>#N/A</v>
      </c>
      <c r="S586" s="45" t="str">
        <f t="shared" si="19"/>
        <v>7790503000029</v>
      </c>
    </row>
    <row r="587" spans="1:19" hidden="1" x14ac:dyDescent="0.35">
      <c r="A587" s="22">
        <v>1</v>
      </c>
      <c r="B587" t="s">
        <v>812</v>
      </c>
      <c r="C587" t="s">
        <v>802</v>
      </c>
      <c r="D587" s="11" t="s">
        <v>2803</v>
      </c>
      <c r="E587" t="s">
        <v>2804</v>
      </c>
      <c r="F587">
        <v>4019311</v>
      </c>
      <c r="G587" t="s">
        <v>2805</v>
      </c>
      <c r="H587" t="s">
        <v>805</v>
      </c>
      <c r="I587">
        <v>44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44</v>
      </c>
      <c r="P587" s="44" t="e">
        <f>_xlfn.XLOOKUP(Tabla5[[#This Row],[EAN CORREGIDO]],'Tabla Articulos'!B:B,'Tabla Articulos'!D:D)</f>
        <v>#N/A</v>
      </c>
      <c r="Q587" s="44" t="e">
        <f>_xlfn.XLOOKUP(S587,'Tabla Articulos'!B:B,'Tabla Articulos'!E:E)</f>
        <v>#N/A</v>
      </c>
      <c r="R587" s="44" t="e">
        <f t="shared" si="18"/>
        <v>#N/A</v>
      </c>
      <c r="S587" s="45" t="str">
        <f t="shared" si="19"/>
        <v>7790150240175</v>
      </c>
    </row>
    <row r="588" spans="1:19" hidden="1" x14ac:dyDescent="0.35">
      <c r="A588" s="22">
        <v>5</v>
      </c>
      <c r="B588" t="s">
        <v>829</v>
      </c>
      <c r="C588" t="s">
        <v>802</v>
      </c>
      <c r="D588" t="s">
        <v>2803</v>
      </c>
      <c r="E588" t="s">
        <v>2804</v>
      </c>
      <c r="F588">
        <v>4019311</v>
      </c>
      <c r="G588" t="s">
        <v>2805</v>
      </c>
      <c r="H588" t="s">
        <v>805</v>
      </c>
      <c r="I588">
        <v>10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10</v>
      </c>
      <c r="P588" s="44" t="e">
        <f>_xlfn.XLOOKUP(Tabla5[[#This Row],[EAN CORREGIDO]],'Tabla Articulos'!B:B,'Tabla Articulos'!D:D)</f>
        <v>#N/A</v>
      </c>
      <c r="Q588" s="44" t="e">
        <f>_xlfn.XLOOKUP(S588,'Tabla Articulos'!B:B,'Tabla Articulos'!E:E)</f>
        <v>#N/A</v>
      </c>
      <c r="R588" s="44" t="e">
        <f t="shared" si="18"/>
        <v>#N/A</v>
      </c>
      <c r="S588" s="45" t="str">
        <f t="shared" si="19"/>
        <v>7790150240175</v>
      </c>
    </row>
    <row r="589" spans="1:19" hidden="1" x14ac:dyDescent="0.35">
      <c r="A589" s="22">
        <v>1</v>
      </c>
      <c r="B589" t="s">
        <v>812</v>
      </c>
      <c r="C589" t="s">
        <v>802</v>
      </c>
      <c r="D589" t="s">
        <v>1896</v>
      </c>
      <c r="E589" t="s">
        <v>2092</v>
      </c>
      <c r="F589">
        <v>4019816</v>
      </c>
      <c r="G589" t="s">
        <v>2093</v>
      </c>
      <c r="H589" t="s">
        <v>805</v>
      </c>
      <c r="I589">
        <v>436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436</v>
      </c>
      <c r="P589" s="44" t="e">
        <f>_xlfn.XLOOKUP(Tabla5[[#This Row],[EAN CORREGIDO]],'Tabla Articulos'!B:B,'Tabla Articulos'!D:D)</f>
        <v>#N/A</v>
      </c>
      <c r="Q589" s="44" t="e">
        <f>_xlfn.XLOOKUP(S589,'Tabla Articulos'!B:B,'Tabla Articulos'!E:E)</f>
        <v>#N/A</v>
      </c>
      <c r="R589" s="44" t="e">
        <f t="shared" si="18"/>
        <v>#N/A</v>
      </c>
      <c r="S589" s="45" t="str">
        <f t="shared" si="19"/>
        <v>7791254186710</v>
      </c>
    </row>
    <row r="590" spans="1:19" hidden="1" x14ac:dyDescent="0.35">
      <c r="A590" s="22">
        <v>5</v>
      </c>
      <c r="B590" t="s">
        <v>829</v>
      </c>
      <c r="C590" t="s">
        <v>802</v>
      </c>
      <c r="D590" t="s">
        <v>1896</v>
      </c>
      <c r="E590" t="s">
        <v>2092</v>
      </c>
      <c r="F590">
        <v>4019816</v>
      </c>
      <c r="G590" t="s">
        <v>2093</v>
      </c>
      <c r="H590" t="s">
        <v>805</v>
      </c>
      <c r="I590">
        <v>5016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5016</v>
      </c>
      <c r="P590" s="44" t="e">
        <f>_xlfn.XLOOKUP(Tabla5[[#This Row],[EAN CORREGIDO]],'Tabla Articulos'!B:B,'Tabla Articulos'!D:D)</f>
        <v>#N/A</v>
      </c>
      <c r="Q590" s="44" t="e">
        <f>_xlfn.XLOOKUP(S590,'Tabla Articulos'!B:B,'Tabla Articulos'!E:E)</f>
        <v>#N/A</v>
      </c>
      <c r="R590" s="44" t="e">
        <f t="shared" si="18"/>
        <v>#N/A</v>
      </c>
      <c r="S590" s="45" t="str">
        <f t="shared" si="19"/>
        <v>7791254186710</v>
      </c>
    </row>
    <row r="591" spans="1:19" hidden="1" x14ac:dyDescent="0.35">
      <c r="A591" s="22">
        <v>6</v>
      </c>
      <c r="B591" t="s">
        <v>801</v>
      </c>
      <c r="C591" t="s">
        <v>802</v>
      </c>
      <c r="D591" t="s">
        <v>2094</v>
      </c>
      <c r="E591" t="s">
        <v>2095</v>
      </c>
      <c r="F591">
        <v>2007021</v>
      </c>
      <c r="G591" t="s">
        <v>2096</v>
      </c>
      <c r="H591" t="s">
        <v>805</v>
      </c>
      <c r="I591">
        <v>6738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6738</v>
      </c>
      <c r="P591" s="44" t="e">
        <f>_xlfn.XLOOKUP(Tabla5[[#This Row],[EAN CORREGIDO]],'Tabla Articulos'!B:B,'Tabla Articulos'!D:D)</f>
        <v>#N/A</v>
      </c>
      <c r="Q591" s="44" t="e">
        <f>_xlfn.XLOOKUP(S591,'Tabla Articulos'!B:B,'Tabla Articulos'!E:E)</f>
        <v>#N/A</v>
      </c>
      <c r="R591" s="44" t="e">
        <f t="shared" si="18"/>
        <v>#N/A</v>
      </c>
      <c r="S591" s="45" t="str">
        <f t="shared" si="19"/>
        <v>7798035491049</v>
      </c>
    </row>
    <row r="592" spans="1:19" hidden="1" x14ac:dyDescent="0.35">
      <c r="A592" s="22">
        <v>1</v>
      </c>
      <c r="B592" t="s">
        <v>812</v>
      </c>
      <c r="C592" t="s">
        <v>802</v>
      </c>
      <c r="D592" t="s">
        <v>2859</v>
      </c>
      <c r="E592" t="s">
        <v>6825</v>
      </c>
      <c r="F592">
        <v>4049171</v>
      </c>
      <c r="G592" t="s">
        <v>6826</v>
      </c>
      <c r="H592" t="s">
        <v>805</v>
      </c>
      <c r="I592">
        <v>3</v>
      </c>
      <c r="J592">
        <v>0</v>
      </c>
      <c r="K592">
        <v>0</v>
      </c>
      <c r="L592">
        <v>0</v>
      </c>
      <c r="M592">
        <v>3</v>
      </c>
      <c r="N592">
        <v>0</v>
      </c>
      <c r="O592">
        <v>0</v>
      </c>
      <c r="P592" s="44" t="e">
        <f>_xlfn.XLOOKUP(Tabla5[[#This Row],[EAN CORREGIDO]],'Tabla Articulos'!B:B,'Tabla Articulos'!D:D)</f>
        <v>#N/A</v>
      </c>
      <c r="Q592" s="44" t="e">
        <f>_xlfn.XLOOKUP(S592,'Tabla Articulos'!B:B,'Tabla Articulos'!E:E)</f>
        <v>#N/A</v>
      </c>
      <c r="R592" s="44" t="e">
        <f t="shared" si="18"/>
        <v>#N/A</v>
      </c>
      <c r="S592" s="45" t="str">
        <f t="shared" si="19"/>
        <v>7793123160548</v>
      </c>
    </row>
    <row r="593" spans="1:19" hidden="1" x14ac:dyDescent="0.35">
      <c r="A593" s="22">
        <v>6</v>
      </c>
      <c r="B593" t="s">
        <v>801</v>
      </c>
      <c r="C593" t="s">
        <v>802</v>
      </c>
      <c r="D593" t="s">
        <v>196</v>
      </c>
      <c r="E593" t="s">
        <v>2558</v>
      </c>
      <c r="F593">
        <v>2007183</v>
      </c>
      <c r="G593" t="s">
        <v>2559</v>
      </c>
      <c r="H593" t="s">
        <v>805</v>
      </c>
      <c r="I593">
        <v>1144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1144</v>
      </c>
      <c r="P593" s="44" t="str">
        <f>_xlfn.XLOOKUP(Tabla5[[#This Row],[EAN CORREGIDO]],'Tabla Articulos'!B:B,'Tabla Articulos'!D:D)</f>
        <v>FILM PVC 30</v>
      </c>
      <c r="Q593" s="44">
        <f>_xlfn.XLOOKUP(S593,'Tabla Articulos'!B:B,'Tabla Articulos'!E:E)</f>
        <v>1</v>
      </c>
      <c r="R593" s="44">
        <f t="shared" si="18"/>
        <v>1144</v>
      </c>
      <c r="S593" s="45" t="str">
        <f t="shared" si="19"/>
        <v>7790000000227</v>
      </c>
    </row>
    <row r="594" spans="1:19" hidden="1" x14ac:dyDescent="0.35">
      <c r="A594" s="22">
        <v>1</v>
      </c>
      <c r="B594" t="s">
        <v>812</v>
      </c>
      <c r="C594" t="s">
        <v>802</v>
      </c>
      <c r="D594" t="s">
        <v>1266</v>
      </c>
      <c r="E594" t="s">
        <v>3331</v>
      </c>
      <c r="F594">
        <v>4017687</v>
      </c>
      <c r="G594" t="s">
        <v>3332</v>
      </c>
      <c r="H594" t="s">
        <v>816</v>
      </c>
      <c r="I594">
        <v>30.88</v>
      </c>
      <c r="J594">
        <v>0</v>
      </c>
      <c r="K594">
        <v>0</v>
      </c>
      <c r="L594">
        <v>0</v>
      </c>
      <c r="M594">
        <v>4</v>
      </c>
      <c r="N594">
        <v>3764.29</v>
      </c>
      <c r="O594">
        <v>-3737.41</v>
      </c>
      <c r="P594" s="44" t="e">
        <f>_xlfn.XLOOKUP(Tabla5[[#This Row],[EAN CORREGIDO]],'Tabla Articulos'!B:B,'Tabla Articulos'!D:D)</f>
        <v>#N/A</v>
      </c>
      <c r="Q594" s="44" t="e">
        <f>_xlfn.XLOOKUP(S594,'Tabla Articulos'!B:B,'Tabla Articulos'!E:E)</f>
        <v>#N/A</v>
      </c>
      <c r="R594" s="44" t="e">
        <f t="shared" si="18"/>
        <v>#N/A</v>
      </c>
      <c r="S594" s="45" t="str">
        <f t="shared" si="19"/>
        <v>7790212030022</v>
      </c>
    </row>
    <row r="595" spans="1:19" hidden="1" x14ac:dyDescent="0.35">
      <c r="A595" s="22">
        <v>6</v>
      </c>
      <c r="B595" t="s">
        <v>801</v>
      </c>
      <c r="C595" t="s">
        <v>802</v>
      </c>
      <c r="E595" t="s">
        <v>3333</v>
      </c>
      <c r="F595">
        <v>9003538</v>
      </c>
      <c r="G595" t="s">
        <v>3334</v>
      </c>
      <c r="H595" t="s">
        <v>805</v>
      </c>
      <c r="I595">
        <v>8</v>
      </c>
      <c r="J595">
        <v>50</v>
      </c>
      <c r="K595">
        <v>0</v>
      </c>
      <c r="L595">
        <v>0</v>
      </c>
      <c r="M595">
        <v>0</v>
      </c>
      <c r="N595">
        <v>0</v>
      </c>
      <c r="O595">
        <v>58</v>
      </c>
      <c r="P595" s="44" t="e">
        <f>_xlfn.XLOOKUP(Tabla5[[#This Row],[EAN CORREGIDO]],'Tabla Articulos'!B:B,'Tabla Articulos'!D:D)</f>
        <v>#N/A</v>
      </c>
      <c r="Q595" s="44" t="e">
        <f>_xlfn.XLOOKUP(S595,'Tabla Articulos'!B:B,'Tabla Articulos'!E:E)</f>
        <v>#N/A</v>
      </c>
      <c r="R595" s="44" t="e">
        <f t="shared" si="18"/>
        <v>#N/A</v>
      </c>
      <c r="S595" s="45" t="str">
        <f t="shared" si="19"/>
        <v>UNIF000077</v>
      </c>
    </row>
    <row r="596" spans="1:19" hidden="1" x14ac:dyDescent="0.35">
      <c r="A596" s="22">
        <v>1</v>
      </c>
      <c r="B596" t="s">
        <v>812</v>
      </c>
      <c r="C596" t="s">
        <v>802</v>
      </c>
      <c r="D596" s="11" t="s">
        <v>3335</v>
      </c>
      <c r="E596" t="s">
        <v>3336</v>
      </c>
      <c r="F596">
        <v>4022811</v>
      </c>
      <c r="G596" t="s">
        <v>3337</v>
      </c>
      <c r="H596" t="s">
        <v>805</v>
      </c>
      <c r="I596">
        <v>20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20</v>
      </c>
      <c r="P596" s="44" t="e">
        <f>_xlfn.XLOOKUP(Tabla5[[#This Row],[EAN CORREGIDO]],'Tabla Articulos'!B:B,'Tabla Articulos'!D:D)</f>
        <v>#N/A</v>
      </c>
      <c r="Q596" s="44" t="e">
        <f>_xlfn.XLOOKUP(S596,'Tabla Articulos'!B:B,'Tabla Articulos'!E:E)</f>
        <v>#N/A</v>
      </c>
      <c r="R596" s="44" t="e">
        <f t="shared" si="18"/>
        <v>#N/A</v>
      </c>
      <c r="S596" s="45" t="str">
        <f t="shared" si="19"/>
        <v>7793323024886</v>
      </c>
    </row>
    <row r="597" spans="1:19" hidden="1" x14ac:dyDescent="0.35">
      <c r="A597" s="22">
        <v>1</v>
      </c>
      <c r="B597" t="s">
        <v>812</v>
      </c>
      <c r="C597" t="s">
        <v>802</v>
      </c>
      <c r="D597" t="s">
        <v>3391</v>
      </c>
      <c r="E597" t="s">
        <v>5016</v>
      </c>
      <c r="F597">
        <v>4020783</v>
      </c>
      <c r="G597" t="s">
        <v>5017</v>
      </c>
      <c r="H597" t="s">
        <v>805</v>
      </c>
      <c r="I597">
        <v>2012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2012</v>
      </c>
      <c r="P597" s="44" t="e">
        <f>_xlfn.XLOOKUP(Tabla5[[#This Row],[EAN CORREGIDO]],'Tabla Articulos'!B:B,'Tabla Articulos'!D:D)</f>
        <v>#N/A</v>
      </c>
      <c r="Q597" s="44" t="e">
        <f>_xlfn.XLOOKUP(S597,'Tabla Articulos'!B:B,'Tabla Articulos'!E:E)</f>
        <v>#N/A</v>
      </c>
      <c r="R597" s="44" t="e">
        <f t="shared" si="18"/>
        <v>#N/A</v>
      </c>
      <c r="S597" s="45" t="str">
        <f t="shared" si="19"/>
        <v>7798028021598</v>
      </c>
    </row>
    <row r="598" spans="1:19" hidden="1" x14ac:dyDescent="0.35">
      <c r="A598" s="22">
        <v>6</v>
      </c>
      <c r="B598" t="s">
        <v>801</v>
      </c>
      <c r="C598" t="s">
        <v>802</v>
      </c>
      <c r="E598" t="s">
        <v>5018</v>
      </c>
      <c r="F598">
        <v>9003252</v>
      </c>
      <c r="G598" t="s">
        <v>5019</v>
      </c>
      <c r="H598" t="s">
        <v>805</v>
      </c>
      <c r="I598">
        <v>132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132</v>
      </c>
      <c r="P598" s="44" t="e">
        <f>_xlfn.XLOOKUP(Tabla5[[#This Row],[EAN CORREGIDO]],'Tabla Articulos'!B:B,'Tabla Articulos'!D:D)</f>
        <v>#N/A</v>
      </c>
      <c r="Q598" s="44" t="e">
        <f>_xlfn.XLOOKUP(S598,'Tabla Articulos'!B:B,'Tabla Articulos'!E:E)</f>
        <v>#N/A</v>
      </c>
      <c r="R598" s="44" t="e">
        <f t="shared" si="18"/>
        <v>#N/A</v>
      </c>
      <c r="S598" s="45" t="str">
        <f t="shared" si="19"/>
        <v>UNIF000480</v>
      </c>
    </row>
    <row r="599" spans="1:19" hidden="1" x14ac:dyDescent="0.35">
      <c r="A599" s="22">
        <v>6</v>
      </c>
      <c r="B599" t="s">
        <v>801</v>
      </c>
      <c r="C599" t="s">
        <v>802</v>
      </c>
      <c r="E599" t="s">
        <v>5020</v>
      </c>
      <c r="F599">
        <v>9003574</v>
      </c>
      <c r="G599" t="s">
        <v>5021</v>
      </c>
      <c r="H599" t="s">
        <v>805</v>
      </c>
      <c r="I599">
        <v>27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 s="44" t="e">
        <f>_xlfn.XLOOKUP(Tabla5[[#This Row],[EAN CORREGIDO]],'Tabla Articulos'!B:B,'Tabla Articulos'!D:D)</f>
        <v>#N/A</v>
      </c>
      <c r="Q599" s="44" t="e">
        <f>_xlfn.XLOOKUP(S599,'Tabla Articulos'!B:B,'Tabla Articulos'!E:E)</f>
        <v>#N/A</v>
      </c>
      <c r="R599" s="44" t="e">
        <f t="shared" si="18"/>
        <v>#N/A</v>
      </c>
      <c r="S599" s="45" t="str">
        <f t="shared" si="19"/>
        <v>UNIF000157</v>
      </c>
    </row>
    <row r="600" spans="1:19" hidden="1" x14ac:dyDescent="0.35">
      <c r="A600" s="22">
        <v>6</v>
      </c>
      <c r="B600" t="s">
        <v>801</v>
      </c>
      <c r="C600" t="s">
        <v>802</v>
      </c>
      <c r="D600" s="11" t="s">
        <v>1031</v>
      </c>
      <c r="E600" t="s">
        <v>5022</v>
      </c>
      <c r="F600">
        <v>2006221</v>
      </c>
      <c r="G600" t="s">
        <v>5023</v>
      </c>
      <c r="H600" t="s">
        <v>805</v>
      </c>
      <c r="I600">
        <v>190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190</v>
      </c>
      <c r="P600" s="44" t="e">
        <f>_xlfn.XLOOKUP(Tabla5[[#This Row],[EAN CORREGIDO]],'Tabla Articulos'!B:B,'Tabla Articulos'!D:D)</f>
        <v>#N/A</v>
      </c>
      <c r="Q600" s="44" t="e">
        <f>_xlfn.XLOOKUP(S600,'Tabla Articulos'!B:B,'Tabla Articulos'!E:E)</f>
        <v>#N/A</v>
      </c>
      <c r="R600" s="44" t="e">
        <f t="shared" si="18"/>
        <v>#N/A</v>
      </c>
      <c r="S600" s="45" t="str">
        <f t="shared" si="19"/>
        <v>7790321000042</v>
      </c>
    </row>
    <row r="601" spans="1:19" hidden="1" x14ac:dyDescent="0.35">
      <c r="A601" s="22">
        <v>5</v>
      </c>
      <c r="B601" t="s">
        <v>829</v>
      </c>
      <c r="C601" t="s">
        <v>802</v>
      </c>
      <c r="D601" s="11" t="s">
        <v>1207</v>
      </c>
      <c r="E601" t="s">
        <v>5024</v>
      </c>
      <c r="F601">
        <v>4019486</v>
      </c>
      <c r="G601" t="s">
        <v>5025</v>
      </c>
      <c r="H601" t="s">
        <v>805</v>
      </c>
      <c r="I601">
        <v>182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182</v>
      </c>
      <c r="P601" s="44" t="e">
        <f>_xlfn.XLOOKUP(Tabla5[[#This Row],[EAN CORREGIDO]],'Tabla Articulos'!B:B,'Tabla Articulos'!D:D)</f>
        <v>#N/A</v>
      </c>
      <c r="Q601" s="44" t="e">
        <f>_xlfn.XLOOKUP(S601,'Tabla Articulos'!B:B,'Tabla Articulos'!E:E)</f>
        <v>#N/A</v>
      </c>
      <c r="R601" s="44" t="e">
        <f t="shared" si="18"/>
        <v>#N/A</v>
      </c>
      <c r="S601" s="45" t="str">
        <f t="shared" si="19"/>
        <v>7790503199082</v>
      </c>
    </row>
    <row r="602" spans="1:19" hidden="1" x14ac:dyDescent="0.35">
      <c r="A602" s="22">
        <v>6</v>
      </c>
      <c r="B602" t="s">
        <v>801</v>
      </c>
      <c r="C602" t="s">
        <v>802</v>
      </c>
      <c r="D602"/>
      <c r="E602" t="s">
        <v>5026</v>
      </c>
      <c r="F602">
        <v>9003307</v>
      </c>
      <c r="G602" t="s">
        <v>5027</v>
      </c>
      <c r="H602" t="s">
        <v>805</v>
      </c>
      <c r="I602">
        <v>0</v>
      </c>
      <c r="J602">
        <v>100</v>
      </c>
      <c r="K602">
        <v>0</v>
      </c>
      <c r="L602">
        <v>0</v>
      </c>
      <c r="M602">
        <v>0</v>
      </c>
      <c r="N602">
        <v>0</v>
      </c>
      <c r="O602">
        <v>100</v>
      </c>
      <c r="P602" s="44" t="e">
        <f>_xlfn.XLOOKUP(Tabla5[[#This Row],[EAN CORREGIDO]],'Tabla Articulos'!B:B,'Tabla Articulos'!D:D)</f>
        <v>#N/A</v>
      </c>
      <c r="Q602" s="44" t="e">
        <f>_xlfn.XLOOKUP(S602,'Tabla Articulos'!B:B,'Tabla Articulos'!E:E)</f>
        <v>#N/A</v>
      </c>
      <c r="R602" s="44" t="e">
        <f t="shared" si="18"/>
        <v>#N/A</v>
      </c>
      <c r="S602" s="45" t="str">
        <f t="shared" si="19"/>
        <v>UNIF000054</v>
      </c>
    </row>
    <row r="603" spans="1:19" hidden="1" x14ac:dyDescent="0.35">
      <c r="A603" s="22">
        <v>6</v>
      </c>
      <c r="B603" t="s">
        <v>801</v>
      </c>
      <c r="C603" t="s">
        <v>802</v>
      </c>
      <c r="D603"/>
      <c r="E603" t="s">
        <v>5028</v>
      </c>
      <c r="F603">
        <v>9003863</v>
      </c>
      <c r="G603" t="s">
        <v>5029</v>
      </c>
      <c r="H603" t="s">
        <v>805</v>
      </c>
      <c r="I603">
        <v>21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21</v>
      </c>
      <c r="P603" s="44" t="e">
        <f>_xlfn.XLOOKUP(Tabla5[[#This Row],[EAN CORREGIDO]],'Tabla Articulos'!B:B,'Tabla Articulos'!D:D)</f>
        <v>#N/A</v>
      </c>
      <c r="Q603" s="44" t="e">
        <f>_xlfn.XLOOKUP(S603,'Tabla Articulos'!B:B,'Tabla Articulos'!E:E)</f>
        <v>#N/A</v>
      </c>
      <c r="R603" s="44" t="e">
        <f t="shared" si="18"/>
        <v>#N/A</v>
      </c>
      <c r="S603" s="45" t="str">
        <f t="shared" si="19"/>
        <v>BAZ001264</v>
      </c>
    </row>
    <row r="604" spans="1:19" hidden="1" x14ac:dyDescent="0.35">
      <c r="A604" s="22">
        <v>5</v>
      </c>
      <c r="B604" t="s">
        <v>829</v>
      </c>
      <c r="C604" t="s">
        <v>802</v>
      </c>
      <c r="D604" s="11" t="s">
        <v>229</v>
      </c>
      <c r="E604" t="s">
        <v>5030</v>
      </c>
      <c r="F604">
        <v>2006166</v>
      </c>
      <c r="G604" t="s">
        <v>5031</v>
      </c>
      <c r="H604" t="s">
        <v>805</v>
      </c>
      <c r="I604">
        <v>3672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3672</v>
      </c>
      <c r="P604" s="44" t="e">
        <f>_xlfn.XLOOKUP(Tabla5[[#This Row],[EAN CORREGIDO]],'Tabla Articulos'!B:B,'Tabla Articulos'!D:D)</f>
        <v>#N/A</v>
      </c>
      <c r="Q604" s="44" t="e">
        <f>_xlfn.XLOOKUP(S604,'Tabla Articulos'!B:B,'Tabla Articulos'!E:E)</f>
        <v>#N/A</v>
      </c>
      <c r="R604" s="44" t="e">
        <f t="shared" si="18"/>
        <v>#N/A</v>
      </c>
      <c r="S604" s="45" t="str">
        <f t="shared" si="19"/>
        <v>7790321719168</v>
      </c>
    </row>
    <row r="605" spans="1:19" hidden="1" x14ac:dyDescent="0.35">
      <c r="A605" s="22">
        <v>6</v>
      </c>
      <c r="B605" t="s">
        <v>801</v>
      </c>
      <c r="C605" t="s">
        <v>802</v>
      </c>
      <c r="D605"/>
      <c r="E605" t="s">
        <v>5032</v>
      </c>
      <c r="F605">
        <v>9003607</v>
      </c>
      <c r="G605" t="s">
        <v>5033</v>
      </c>
      <c r="H605" t="s">
        <v>805</v>
      </c>
      <c r="I605">
        <v>62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62</v>
      </c>
      <c r="P605" s="44" t="e">
        <f>_xlfn.XLOOKUP(Tabla5[[#This Row],[EAN CORREGIDO]],'Tabla Articulos'!B:B,'Tabla Articulos'!D:D)</f>
        <v>#N/A</v>
      </c>
      <c r="Q605" s="44" t="e">
        <f>_xlfn.XLOOKUP(S605,'Tabla Articulos'!B:B,'Tabla Articulos'!E:E)</f>
        <v>#N/A</v>
      </c>
      <c r="R605" s="44" t="e">
        <f t="shared" si="18"/>
        <v>#N/A</v>
      </c>
      <c r="S605" s="45" t="str">
        <f t="shared" si="19"/>
        <v>UNIF000446</v>
      </c>
    </row>
    <row r="606" spans="1:19" hidden="1" x14ac:dyDescent="0.35">
      <c r="A606" s="22">
        <v>6</v>
      </c>
      <c r="B606" t="s">
        <v>801</v>
      </c>
      <c r="C606" t="s">
        <v>802</v>
      </c>
      <c r="D606"/>
      <c r="E606" t="s">
        <v>5034</v>
      </c>
      <c r="F606">
        <v>9003263</v>
      </c>
      <c r="G606" t="s">
        <v>5035</v>
      </c>
      <c r="H606" t="s">
        <v>805</v>
      </c>
      <c r="I606">
        <v>24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24</v>
      </c>
      <c r="P606" s="44" t="e">
        <f>_xlfn.XLOOKUP(Tabla5[[#This Row],[EAN CORREGIDO]],'Tabla Articulos'!B:B,'Tabla Articulos'!D:D)</f>
        <v>#N/A</v>
      </c>
      <c r="Q606" s="44" t="e">
        <f>_xlfn.XLOOKUP(S606,'Tabla Articulos'!B:B,'Tabla Articulos'!E:E)</f>
        <v>#N/A</v>
      </c>
      <c r="R606" s="44" t="e">
        <f t="shared" si="18"/>
        <v>#N/A</v>
      </c>
      <c r="S606" s="45" t="str">
        <f t="shared" si="19"/>
        <v>UNIF000420</v>
      </c>
    </row>
    <row r="607" spans="1:19" hidden="1" x14ac:dyDescent="0.35">
      <c r="A607" s="22">
        <v>5</v>
      </c>
      <c r="B607" t="s">
        <v>829</v>
      </c>
      <c r="C607" t="s">
        <v>802</v>
      </c>
      <c r="D607" t="s">
        <v>5036</v>
      </c>
      <c r="E607" t="s">
        <v>5037</v>
      </c>
      <c r="F607">
        <v>4021665</v>
      </c>
      <c r="G607" t="s">
        <v>5038</v>
      </c>
      <c r="H607" t="s">
        <v>805</v>
      </c>
      <c r="I607">
        <v>470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470</v>
      </c>
      <c r="P607" s="44" t="e">
        <f>_xlfn.XLOOKUP(Tabla5[[#This Row],[EAN CORREGIDO]],'Tabla Articulos'!B:B,'Tabla Articulos'!D:D)</f>
        <v>#N/A</v>
      </c>
      <c r="Q607" s="44" t="e">
        <f>_xlfn.XLOOKUP(S607,'Tabla Articulos'!B:B,'Tabla Articulos'!E:E)</f>
        <v>#N/A</v>
      </c>
      <c r="R607" s="44" t="e">
        <f t="shared" si="18"/>
        <v>#N/A</v>
      </c>
      <c r="S607" s="45" t="str">
        <f t="shared" si="19"/>
        <v>7790580129972</v>
      </c>
    </row>
    <row r="608" spans="1:19" hidden="1" x14ac:dyDescent="0.35">
      <c r="A608" s="22">
        <v>6</v>
      </c>
      <c r="B608" t="s">
        <v>801</v>
      </c>
      <c r="C608" t="s">
        <v>802</v>
      </c>
      <c r="D608"/>
      <c r="E608" t="s">
        <v>1754</v>
      </c>
      <c r="F608">
        <v>9003873</v>
      </c>
      <c r="G608" t="s">
        <v>1755</v>
      </c>
      <c r="H608" t="s">
        <v>805</v>
      </c>
      <c r="I608">
        <v>336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336</v>
      </c>
      <c r="P608" s="44" t="e">
        <f>_xlfn.XLOOKUP(Tabla5[[#This Row],[EAN CORREGIDO]],'Tabla Articulos'!B:B,'Tabla Articulos'!D:D)</f>
        <v>#N/A</v>
      </c>
      <c r="Q608" s="44" t="e">
        <f>_xlfn.XLOOKUP(S608,'Tabla Articulos'!B:B,'Tabla Articulos'!E:E)</f>
        <v>#N/A</v>
      </c>
      <c r="R608" s="44" t="e">
        <f t="shared" si="18"/>
        <v>#N/A</v>
      </c>
      <c r="S608" s="45" t="str">
        <f t="shared" si="19"/>
        <v>BAZ001298</v>
      </c>
    </row>
    <row r="609" spans="1:19" hidden="1" x14ac:dyDescent="0.35">
      <c r="A609" s="22">
        <v>1</v>
      </c>
      <c r="B609" t="s">
        <v>812</v>
      </c>
      <c r="C609" t="s">
        <v>802</v>
      </c>
      <c r="D609" s="11" t="s">
        <v>2266</v>
      </c>
      <c r="E609" t="s">
        <v>2333</v>
      </c>
      <c r="F609">
        <v>4017658</v>
      </c>
      <c r="G609" t="s">
        <v>2334</v>
      </c>
      <c r="H609" t="s">
        <v>805</v>
      </c>
      <c r="I609">
        <v>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</v>
      </c>
      <c r="P609" s="44" t="e">
        <f>_xlfn.XLOOKUP(Tabla5[[#This Row],[EAN CORREGIDO]],'Tabla Articulos'!B:B,'Tabla Articulos'!D:D)</f>
        <v>#N/A</v>
      </c>
      <c r="Q609" s="44" t="e">
        <f>_xlfn.XLOOKUP(S609,'Tabla Articulos'!B:B,'Tabla Articulos'!E:E)</f>
        <v>#N/A</v>
      </c>
      <c r="R609" s="44" t="e">
        <f t="shared" si="18"/>
        <v>#N/A</v>
      </c>
      <c r="S609" s="45" t="str">
        <f t="shared" si="19"/>
        <v>7790212040029</v>
      </c>
    </row>
    <row r="610" spans="1:19" hidden="1" x14ac:dyDescent="0.35">
      <c r="A610" s="22">
        <v>6</v>
      </c>
      <c r="B610" t="s">
        <v>801</v>
      </c>
      <c r="C610" t="s">
        <v>802</v>
      </c>
      <c r="E610" t="s">
        <v>2335</v>
      </c>
      <c r="F610">
        <v>2005736</v>
      </c>
      <c r="G610" t="s">
        <v>2336</v>
      </c>
      <c r="H610" t="s">
        <v>805</v>
      </c>
      <c r="I610">
        <v>78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78</v>
      </c>
      <c r="P610" s="44" t="e">
        <f>_xlfn.XLOOKUP(Tabla5[[#This Row],[EAN CORREGIDO]],'Tabla Articulos'!B:B,'Tabla Articulos'!D:D)</f>
        <v>#N/A</v>
      </c>
      <c r="Q610" s="44" t="e">
        <f>_xlfn.XLOOKUP(S610,'Tabla Articulos'!B:B,'Tabla Articulos'!E:E)</f>
        <v>#N/A</v>
      </c>
      <c r="R610" s="44" t="e">
        <f t="shared" si="18"/>
        <v>#N/A</v>
      </c>
      <c r="S610" s="45" t="str">
        <f t="shared" si="19"/>
        <v>2005736</v>
      </c>
    </row>
    <row r="611" spans="1:19" hidden="1" x14ac:dyDescent="0.35">
      <c r="A611" s="22">
        <v>1</v>
      </c>
      <c r="B611" t="s">
        <v>812</v>
      </c>
      <c r="C611" t="s">
        <v>802</v>
      </c>
      <c r="D611" t="s">
        <v>2337</v>
      </c>
      <c r="E611" t="s">
        <v>2338</v>
      </c>
      <c r="F611">
        <v>4019427</v>
      </c>
      <c r="G611" t="s">
        <v>2339</v>
      </c>
      <c r="H611" t="s">
        <v>805</v>
      </c>
      <c r="I611">
        <v>89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89</v>
      </c>
      <c r="P611" s="44" t="e">
        <f>_xlfn.XLOOKUP(Tabla5[[#This Row],[EAN CORREGIDO]],'Tabla Articulos'!B:B,'Tabla Articulos'!D:D)</f>
        <v>#N/A</v>
      </c>
      <c r="Q611" s="44" t="e">
        <f>_xlfn.XLOOKUP(S611,'Tabla Articulos'!B:B,'Tabla Articulos'!E:E)</f>
        <v>#N/A</v>
      </c>
      <c r="R611" s="44" t="e">
        <f t="shared" si="18"/>
        <v>#N/A</v>
      </c>
      <c r="S611" s="45" t="str">
        <f t="shared" si="19"/>
        <v>7790150555446</v>
      </c>
    </row>
    <row r="612" spans="1:19" hidden="1" x14ac:dyDescent="0.35">
      <c r="A612" s="22">
        <v>1</v>
      </c>
      <c r="B612" t="s">
        <v>812</v>
      </c>
      <c r="C612" t="s">
        <v>802</v>
      </c>
      <c r="D612" t="s">
        <v>2340</v>
      </c>
      <c r="E612" t="s">
        <v>2341</v>
      </c>
      <c r="F612">
        <v>4023363</v>
      </c>
      <c r="G612" t="s">
        <v>2342</v>
      </c>
      <c r="H612" t="s">
        <v>805</v>
      </c>
      <c r="I612">
        <v>3</v>
      </c>
      <c r="J612">
        <v>5</v>
      </c>
      <c r="K612">
        <v>0</v>
      </c>
      <c r="L612">
        <v>0</v>
      </c>
      <c r="M612">
        <v>0</v>
      </c>
      <c r="N612">
        <v>0</v>
      </c>
      <c r="O612">
        <v>8</v>
      </c>
      <c r="P612" s="44" t="e">
        <f>_xlfn.XLOOKUP(Tabla5[[#This Row],[EAN CORREGIDO]],'Tabla Articulos'!B:B,'Tabla Articulos'!D:D)</f>
        <v>#N/A</v>
      </c>
      <c r="Q612" s="44" t="e">
        <f>_xlfn.XLOOKUP(S612,'Tabla Articulos'!B:B,'Tabla Articulos'!E:E)</f>
        <v>#N/A</v>
      </c>
      <c r="R612" s="44" t="e">
        <f t="shared" si="18"/>
        <v>#N/A</v>
      </c>
      <c r="S612" s="45" t="str">
        <f t="shared" si="19"/>
        <v>7790971000811</v>
      </c>
    </row>
    <row r="613" spans="1:19" hidden="1" x14ac:dyDescent="0.35">
      <c r="A613" s="22">
        <v>5</v>
      </c>
      <c r="B613" t="s">
        <v>829</v>
      </c>
      <c r="C613" t="s">
        <v>802</v>
      </c>
      <c r="D613" t="s">
        <v>2158</v>
      </c>
      <c r="E613" t="s">
        <v>2343</v>
      </c>
      <c r="F613">
        <v>4019353</v>
      </c>
      <c r="G613" t="s">
        <v>2344</v>
      </c>
      <c r="H613" t="s">
        <v>805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</v>
      </c>
      <c r="P613" s="44" t="e">
        <f>_xlfn.XLOOKUP(Tabla5[[#This Row],[EAN CORREGIDO]],'Tabla Articulos'!B:B,'Tabla Articulos'!D:D)</f>
        <v>#N/A</v>
      </c>
      <c r="Q613" s="44" t="e">
        <f>_xlfn.XLOOKUP(S613,'Tabla Articulos'!B:B,'Tabla Articulos'!E:E)</f>
        <v>#N/A</v>
      </c>
      <c r="R613" s="44" t="e">
        <f t="shared" si="18"/>
        <v>#N/A</v>
      </c>
      <c r="S613" s="45" t="str">
        <f t="shared" si="19"/>
        <v>7790503199099</v>
      </c>
    </row>
    <row r="614" spans="1:19" hidden="1" x14ac:dyDescent="0.35">
      <c r="A614" s="22">
        <v>1</v>
      </c>
      <c r="B614" t="s">
        <v>812</v>
      </c>
      <c r="C614" t="s">
        <v>802</v>
      </c>
      <c r="D614" t="s">
        <v>2191</v>
      </c>
      <c r="E614" t="s">
        <v>2695</v>
      </c>
      <c r="F614">
        <v>4019384</v>
      </c>
      <c r="G614" t="s">
        <v>2696</v>
      </c>
      <c r="H614" t="s">
        <v>805</v>
      </c>
      <c r="I614">
        <v>8836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8836</v>
      </c>
      <c r="P614" s="44" t="e">
        <f>_xlfn.XLOOKUP(Tabla5[[#This Row],[EAN CORREGIDO]],'Tabla Articulos'!B:B,'Tabla Articulos'!D:D)</f>
        <v>#N/A</v>
      </c>
      <c r="Q614" s="44" t="e">
        <f>_xlfn.XLOOKUP(S614,'Tabla Articulos'!B:B,'Tabla Articulos'!E:E)</f>
        <v>#N/A</v>
      </c>
      <c r="R614" s="44" t="e">
        <f t="shared" si="18"/>
        <v>#N/A</v>
      </c>
      <c r="S614" s="45" t="str">
        <f t="shared" si="19"/>
        <v>7790530085303</v>
      </c>
    </row>
    <row r="615" spans="1:19" hidden="1" x14ac:dyDescent="0.35">
      <c r="A615" s="22">
        <v>1</v>
      </c>
      <c r="B615" t="s">
        <v>812</v>
      </c>
      <c r="C615" t="s">
        <v>802</v>
      </c>
      <c r="D615" s="11" t="s">
        <v>1266</v>
      </c>
      <c r="E615" t="s">
        <v>2697</v>
      </c>
      <c r="F615">
        <v>4076854</v>
      </c>
      <c r="G615" t="s">
        <v>2698</v>
      </c>
      <c r="H615" t="s">
        <v>816</v>
      </c>
      <c r="I615">
        <v>497.78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497.78</v>
      </c>
      <c r="P615" s="44" t="e">
        <f>_xlfn.XLOOKUP(Tabla5[[#This Row],[EAN CORREGIDO]],'Tabla Articulos'!B:B,'Tabla Articulos'!D:D)</f>
        <v>#N/A</v>
      </c>
      <c r="Q615" s="44" t="e">
        <f>_xlfn.XLOOKUP(S615,'Tabla Articulos'!B:B,'Tabla Articulos'!E:E)</f>
        <v>#N/A</v>
      </c>
      <c r="R615" s="44" t="e">
        <f t="shared" si="18"/>
        <v>#N/A</v>
      </c>
      <c r="S615" s="45" t="str">
        <f t="shared" si="19"/>
        <v>00213902645824</v>
      </c>
    </row>
    <row r="616" spans="1:19" hidden="1" x14ac:dyDescent="0.35">
      <c r="A616" s="22">
        <v>6</v>
      </c>
      <c r="B616" t="s">
        <v>801</v>
      </c>
      <c r="C616" t="s">
        <v>802</v>
      </c>
      <c r="D616" t="s">
        <v>2495</v>
      </c>
      <c r="E616" t="s">
        <v>2699</v>
      </c>
      <c r="F616">
        <v>2006195</v>
      </c>
      <c r="G616" t="s">
        <v>2700</v>
      </c>
      <c r="H616" t="s">
        <v>805</v>
      </c>
      <c r="I616">
        <v>872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871</v>
      </c>
      <c r="P616" s="44" t="e">
        <f>_xlfn.XLOOKUP(Tabla5[[#This Row],[EAN CORREGIDO]],'Tabla Articulos'!B:B,'Tabla Articulos'!D:D)</f>
        <v>#N/A</v>
      </c>
      <c r="Q616" s="44" t="e">
        <f>_xlfn.XLOOKUP(S616,'Tabla Articulos'!B:B,'Tabla Articulos'!E:E)</f>
        <v>#N/A</v>
      </c>
      <c r="R616" s="44" t="e">
        <f t="shared" si="18"/>
        <v>#N/A</v>
      </c>
      <c r="S616" s="45" t="str">
        <f t="shared" si="19"/>
        <v>7798188650461</v>
      </c>
    </row>
    <row r="617" spans="1:19" hidden="1" x14ac:dyDescent="0.35">
      <c r="A617" s="22">
        <v>5</v>
      </c>
      <c r="B617" t="s">
        <v>829</v>
      </c>
      <c r="C617" t="s">
        <v>802</v>
      </c>
      <c r="D617"/>
      <c r="E617" t="s">
        <v>2450</v>
      </c>
      <c r="F617">
        <v>4023663</v>
      </c>
      <c r="G617" t="s">
        <v>2451</v>
      </c>
      <c r="H617" t="s">
        <v>1034</v>
      </c>
      <c r="I617">
        <v>8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8</v>
      </c>
      <c r="P617" s="44" t="e">
        <f>_xlfn.XLOOKUP(Tabla5[[#This Row],[EAN CORREGIDO]],'Tabla Articulos'!B:B,'Tabla Articulos'!D:D)</f>
        <v>#N/A</v>
      </c>
      <c r="Q617" s="44" t="e">
        <f>_xlfn.XLOOKUP(S617,'Tabla Articulos'!B:B,'Tabla Articulos'!E:E)</f>
        <v>#N/A</v>
      </c>
      <c r="R617" s="44" t="e">
        <f t="shared" si="18"/>
        <v>#N/A</v>
      </c>
      <c r="S617" s="45" t="str">
        <f t="shared" si="19"/>
        <v>7798113350169</v>
      </c>
    </row>
    <row r="618" spans="1:19" hidden="1" x14ac:dyDescent="0.35">
      <c r="A618" s="22">
        <v>6</v>
      </c>
      <c r="B618" t="s">
        <v>801</v>
      </c>
      <c r="C618" t="s">
        <v>802</v>
      </c>
      <c r="D618"/>
      <c r="E618" t="s">
        <v>2452</v>
      </c>
      <c r="F618">
        <v>2006952</v>
      </c>
      <c r="G618" t="s">
        <v>2453</v>
      </c>
      <c r="H618" t="s">
        <v>805</v>
      </c>
      <c r="I618">
        <v>88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88</v>
      </c>
      <c r="P618" s="44" t="e">
        <f>_xlfn.XLOOKUP(Tabla5[[#This Row],[EAN CORREGIDO]],'Tabla Articulos'!B:B,'Tabla Articulos'!D:D)</f>
        <v>#N/A</v>
      </c>
      <c r="Q618" s="44" t="e">
        <f>_xlfn.XLOOKUP(S618,'Tabla Articulos'!B:B,'Tabla Articulos'!E:E)</f>
        <v>#N/A</v>
      </c>
      <c r="R618" s="44" t="e">
        <f t="shared" si="18"/>
        <v>#N/A</v>
      </c>
      <c r="S618" s="45" t="str">
        <f t="shared" si="19"/>
        <v>7794297033034</v>
      </c>
    </row>
    <row r="619" spans="1:19" hidden="1" x14ac:dyDescent="0.35">
      <c r="A619" s="22">
        <v>1</v>
      </c>
      <c r="B619" t="s">
        <v>812</v>
      </c>
      <c r="C619" t="s">
        <v>802</v>
      </c>
      <c r="D619" t="s">
        <v>1005</v>
      </c>
      <c r="E619" t="s">
        <v>2454</v>
      </c>
      <c r="F619">
        <v>4023977</v>
      </c>
      <c r="G619" t="s">
        <v>2455</v>
      </c>
      <c r="H619" t="s">
        <v>805</v>
      </c>
      <c r="I619">
        <v>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7</v>
      </c>
      <c r="P619" s="44" t="e">
        <f>_xlfn.XLOOKUP(Tabla5[[#This Row],[EAN CORREGIDO]],'Tabla Articulos'!B:B,'Tabla Articulos'!D:D)</f>
        <v>#N/A</v>
      </c>
      <c r="Q619" s="44" t="e">
        <f>_xlfn.XLOOKUP(S619,'Tabla Articulos'!B:B,'Tabla Articulos'!E:E)</f>
        <v>#N/A</v>
      </c>
      <c r="R619" s="44" t="e">
        <f t="shared" si="18"/>
        <v>#N/A</v>
      </c>
      <c r="S619" s="45" t="str">
        <f t="shared" si="19"/>
        <v>7898921567824</v>
      </c>
    </row>
    <row r="620" spans="1:19" hidden="1" x14ac:dyDescent="0.35">
      <c r="A620" s="22">
        <v>1</v>
      </c>
      <c r="B620" t="s">
        <v>812</v>
      </c>
      <c r="C620" t="s">
        <v>802</v>
      </c>
      <c r="D620" s="11" t="s">
        <v>2456</v>
      </c>
      <c r="E620" t="s">
        <v>2457</v>
      </c>
      <c r="F620">
        <v>4077475</v>
      </c>
      <c r="G620" t="s">
        <v>2458</v>
      </c>
      <c r="H620" t="s">
        <v>805</v>
      </c>
      <c r="I620">
        <v>173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173</v>
      </c>
      <c r="P620" s="44" t="e">
        <f>_xlfn.XLOOKUP(Tabla5[[#This Row],[EAN CORREGIDO]],'Tabla Articulos'!B:B,'Tabla Articulos'!D:D)</f>
        <v>#N/A</v>
      </c>
      <c r="Q620" s="44" t="e">
        <f>_xlfn.XLOOKUP(S620,'Tabla Articulos'!B:B,'Tabla Articulos'!E:E)</f>
        <v>#N/A</v>
      </c>
      <c r="R620" s="44" t="e">
        <f t="shared" si="18"/>
        <v>#N/A</v>
      </c>
      <c r="S620" s="45" t="str">
        <f t="shared" si="19"/>
        <v>7795323775508</v>
      </c>
    </row>
    <row r="621" spans="1:19" hidden="1" x14ac:dyDescent="0.35">
      <c r="A621" s="22">
        <v>6</v>
      </c>
      <c r="B621" t="s">
        <v>801</v>
      </c>
      <c r="C621" t="s">
        <v>802</v>
      </c>
      <c r="D621" s="11" t="s">
        <v>1053</v>
      </c>
      <c r="E621" t="s">
        <v>2459</v>
      </c>
      <c r="F621">
        <v>2006344</v>
      </c>
      <c r="G621" t="s">
        <v>2460</v>
      </c>
      <c r="H621" t="s">
        <v>805</v>
      </c>
      <c r="I621">
        <v>443</v>
      </c>
      <c r="J621">
        <v>0</v>
      </c>
      <c r="K621">
        <v>0</v>
      </c>
      <c r="L621">
        <v>10</v>
      </c>
      <c r="M621">
        <v>57</v>
      </c>
      <c r="N621">
        <v>0</v>
      </c>
      <c r="O621">
        <v>376</v>
      </c>
      <c r="P621" s="44" t="e">
        <f>_xlfn.XLOOKUP(Tabla5[[#This Row],[EAN CORREGIDO]],'Tabla Articulos'!B:B,'Tabla Articulos'!D:D)</f>
        <v>#N/A</v>
      </c>
      <c r="Q621" s="44" t="e">
        <f>_xlfn.XLOOKUP(S621,'Tabla Articulos'!B:B,'Tabla Articulos'!E:E)</f>
        <v>#N/A</v>
      </c>
      <c r="R621" s="44" t="e">
        <f t="shared" si="18"/>
        <v>#N/A</v>
      </c>
      <c r="S621" s="45" t="str">
        <f t="shared" si="19"/>
        <v>7798040051918</v>
      </c>
    </row>
    <row r="622" spans="1:19" hidden="1" x14ac:dyDescent="0.35">
      <c r="A622" s="22">
        <v>5</v>
      </c>
      <c r="B622" t="s">
        <v>829</v>
      </c>
      <c r="C622" t="s">
        <v>802</v>
      </c>
      <c r="D622" s="11" t="s">
        <v>2461</v>
      </c>
      <c r="E622" t="s">
        <v>2462</v>
      </c>
      <c r="F622">
        <v>4020320</v>
      </c>
      <c r="G622" t="s">
        <v>2463</v>
      </c>
      <c r="H622" t="s">
        <v>805</v>
      </c>
      <c r="I622">
        <v>49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49</v>
      </c>
      <c r="P622" s="44" t="e">
        <f>_xlfn.XLOOKUP(Tabla5[[#This Row],[EAN CORREGIDO]],'Tabla Articulos'!B:B,'Tabla Articulos'!D:D)</f>
        <v>#N/A</v>
      </c>
      <c r="Q622" s="44" t="e">
        <f>_xlfn.XLOOKUP(S622,'Tabla Articulos'!B:B,'Tabla Articulos'!E:E)</f>
        <v>#N/A</v>
      </c>
      <c r="R622" s="44" t="e">
        <f t="shared" si="18"/>
        <v>#N/A</v>
      </c>
      <c r="S622" s="45" t="str">
        <f t="shared" si="19"/>
        <v>7798011976683</v>
      </c>
    </row>
    <row r="623" spans="1:19" hidden="1" x14ac:dyDescent="0.35">
      <c r="A623" s="22">
        <v>5</v>
      </c>
      <c r="B623" t="s">
        <v>829</v>
      </c>
      <c r="C623" t="s">
        <v>802</v>
      </c>
      <c r="D623" t="s">
        <v>874</v>
      </c>
      <c r="E623" t="s">
        <v>2464</v>
      </c>
      <c r="F623">
        <v>4024049</v>
      </c>
      <c r="G623" t="s">
        <v>2465</v>
      </c>
      <c r="H623" t="s">
        <v>805</v>
      </c>
      <c r="I623">
        <v>35337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35337</v>
      </c>
      <c r="P623" s="44" t="e">
        <f>_xlfn.XLOOKUP(Tabla5[[#This Row],[EAN CORREGIDO]],'Tabla Articulos'!B:B,'Tabla Articulos'!D:D)</f>
        <v>#N/A</v>
      </c>
      <c r="Q623" s="44" t="e">
        <f>_xlfn.XLOOKUP(S623,'Tabla Articulos'!B:B,'Tabla Articulos'!E:E)</f>
        <v>#N/A</v>
      </c>
      <c r="R623" s="44" t="e">
        <f t="shared" si="18"/>
        <v>#N/A</v>
      </c>
      <c r="S623" s="45" t="str">
        <f t="shared" si="19"/>
        <v>7798016190701</v>
      </c>
    </row>
    <row r="624" spans="1:19" hidden="1" x14ac:dyDescent="0.35">
      <c r="A624" s="22">
        <v>6</v>
      </c>
      <c r="B624" t="s">
        <v>801</v>
      </c>
      <c r="C624" t="s">
        <v>802</v>
      </c>
      <c r="D624" t="s">
        <v>1388</v>
      </c>
      <c r="E624" t="s">
        <v>3577</v>
      </c>
      <c r="F624">
        <v>2006802</v>
      </c>
      <c r="G624" t="s">
        <v>3578</v>
      </c>
      <c r="H624" t="s">
        <v>805</v>
      </c>
      <c r="I624">
        <v>140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140</v>
      </c>
      <c r="P624" s="44" t="e">
        <f>_xlfn.XLOOKUP(Tabla5[[#This Row],[EAN CORREGIDO]],'Tabla Articulos'!B:B,'Tabla Articulos'!D:D)</f>
        <v>#N/A</v>
      </c>
      <c r="Q624" s="44" t="e">
        <f>_xlfn.XLOOKUP(S624,'Tabla Articulos'!B:B,'Tabla Articulos'!E:E)</f>
        <v>#N/A</v>
      </c>
      <c r="R624" s="44" t="e">
        <f t="shared" si="18"/>
        <v>#N/A</v>
      </c>
      <c r="S624" s="45" t="str">
        <f t="shared" si="19"/>
        <v>7798040022782</v>
      </c>
    </row>
    <row r="625" spans="1:19" hidden="1" x14ac:dyDescent="0.35">
      <c r="A625" s="22">
        <v>5</v>
      </c>
      <c r="B625" t="s">
        <v>829</v>
      </c>
      <c r="C625" t="s">
        <v>802</v>
      </c>
      <c r="D625" s="11" t="s">
        <v>3579</v>
      </c>
      <c r="E625" t="s">
        <v>3580</v>
      </c>
      <c r="F625">
        <v>4019413</v>
      </c>
      <c r="G625" t="s">
        <v>3581</v>
      </c>
      <c r="H625" t="s">
        <v>805</v>
      </c>
      <c r="I625">
        <v>50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50</v>
      </c>
      <c r="P625" s="44" t="e">
        <f>_xlfn.XLOOKUP(Tabla5[[#This Row],[EAN CORREGIDO]],'Tabla Articulos'!B:B,'Tabla Articulos'!D:D)</f>
        <v>#N/A</v>
      </c>
      <c r="Q625" s="44" t="e">
        <f>_xlfn.XLOOKUP(S625,'Tabla Articulos'!B:B,'Tabla Articulos'!E:E)</f>
        <v>#N/A</v>
      </c>
      <c r="R625" s="44" t="e">
        <f t="shared" si="18"/>
        <v>#N/A</v>
      </c>
      <c r="S625" s="45" t="str">
        <f t="shared" si="19"/>
        <v>47790726000392</v>
      </c>
    </row>
    <row r="626" spans="1:19" hidden="1" x14ac:dyDescent="0.35">
      <c r="A626" s="22">
        <v>6</v>
      </c>
      <c r="B626" t="s">
        <v>801</v>
      </c>
      <c r="C626" t="s">
        <v>802</v>
      </c>
      <c r="E626" t="s">
        <v>5158</v>
      </c>
      <c r="F626">
        <v>9003793</v>
      </c>
      <c r="G626" t="s">
        <v>5159</v>
      </c>
      <c r="H626" t="s">
        <v>805</v>
      </c>
      <c r="I626">
        <v>45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45</v>
      </c>
      <c r="P626" s="44" t="e">
        <f>_xlfn.XLOOKUP(Tabla5[[#This Row],[EAN CORREGIDO]],'Tabla Articulos'!B:B,'Tabla Articulos'!D:D)</f>
        <v>#N/A</v>
      </c>
      <c r="Q626" s="44" t="e">
        <f>_xlfn.XLOOKUP(S626,'Tabla Articulos'!B:B,'Tabla Articulos'!E:E)</f>
        <v>#N/A</v>
      </c>
      <c r="R626" s="44" t="e">
        <f t="shared" si="18"/>
        <v>#N/A</v>
      </c>
      <c r="S626" s="45" t="str">
        <f t="shared" si="19"/>
        <v>BAZ001277</v>
      </c>
    </row>
    <row r="627" spans="1:19" hidden="1" x14ac:dyDescent="0.35">
      <c r="A627" s="22">
        <v>6</v>
      </c>
      <c r="B627" t="s">
        <v>801</v>
      </c>
      <c r="C627" t="s">
        <v>802</v>
      </c>
      <c r="D627"/>
      <c r="E627" t="s">
        <v>5160</v>
      </c>
      <c r="F627">
        <v>9004197</v>
      </c>
      <c r="G627" t="s">
        <v>5161</v>
      </c>
      <c r="H627" t="s">
        <v>805</v>
      </c>
      <c r="I627">
        <v>0</v>
      </c>
      <c r="J627">
        <v>100</v>
      </c>
      <c r="K627">
        <v>0</v>
      </c>
      <c r="L627">
        <v>0</v>
      </c>
      <c r="M627">
        <v>0</v>
      </c>
      <c r="N627">
        <v>0</v>
      </c>
      <c r="O627">
        <v>100</v>
      </c>
      <c r="P627" s="44" t="e">
        <f>_xlfn.XLOOKUP(Tabla5[[#This Row],[EAN CORREGIDO]],'Tabla Articulos'!B:B,'Tabla Articulos'!D:D)</f>
        <v>#N/A</v>
      </c>
      <c r="Q627" s="44" t="e">
        <f>_xlfn.XLOOKUP(S627,'Tabla Articulos'!B:B,'Tabla Articulos'!E:E)</f>
        <v>#N/A</v>
      </c>
      <c r="R627" s="44" t="e">
        <f t="shared" si="18"/>
        <v>#N/A</v>
      </c>
      <c r="S627" s="45" t="str">
        <f t="shared" si="19"/>
        <v>UNIF000743</v>
      </c>
    </row>
    <row r="628" spans="1:19" hidden="1" x14ac:dyDescent="0.35">
      <c r="A628" s="22">
        <v>6</v>
      </c>
      <c r="B628" t="s">
        <v>801</v>
      </c>
      <c r="C628" t="s">
        <v>802</v>
      </c>
      <c r="E628" t="s">
        <v>5162</v>
      </c>
      <c r="F628">
        <v>9003619</v>
      </c>
      <c r="G628" t="s">
        <v>5163</v>
      </c>
      <c r="H628" t="s">
        <v>805</v>
      </c>
      <c r="I628">
        <v>144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144</v>
      </c>
      <c r="P628" s="44" t="e">
        <f>_xlfn.XLOOKUP(Tabla5[[#This Row],[EAN CORREGIDO]],'Tabla Articulos'!B:B,'Tabla Articulos'!D:D)</f>
        <v>#N/A</v>
      </c>
      <c r="Q628" s="44" t="e">
        <f>_xlfn.XLOOKUP(S628,'Tabla Articulos'!B:B,'Tabla Articulos'!E:E)</f>
        <v>#N/A</v>
      </c>
      <c r="R628" s="44" t="e">
        <f t="shared" si="18"/>
        <v>#N/A</v>
      </c>
      <c r="S628" s="45" t="str">
        <f t="shared" si="19"/>
        <v>UNIF000458</v>
      </c>
    </row>
    <row r="629" spans="1:19" hidden="1" x14ac:dyDescent="0.35">
      <c r="A629" s="22">
        <v>6</v>
      </c>
      <c r="B629" t="s">
        <v>801</v>
      </c>
      <c r="C629" t="s">
        <v>802</v>
      </c>
      <c r="D629"/>
      <c r="E629" t="s">
        <v>5164</v>
      </c>
      <c r="F629">
        <v>9003618</v>
      </c>
      <c r="G629" t="s">
        <v>5165</v>
      </c>
      <c r="H629" t="s">
        <v>805</v>
      </c>
      <c r="I629">
        <v>87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87</v>
      </c>
      <c r="P629" s="44" t="e">
        <f>_xlfn.XLOOKUP(Tabla5[[#This Row],[EAN CORREGIDO]],'Tabla Articulos'!B:B,'Tabla Articulos'!D:D)</f>
        <v>#N/A</v>
      </c>
      <c r="Q629" s="44" t="e">
        <f>_xlfn.XLOOKUP(S629,'Tabla Articulos'!B:B,'Tabla Articulos'!E:E)</f>
        <v>#N/A</v>
      </c>
      <c r="R629" s="44" t="e">
        <f t="shared" si="18"/>
        <v>#N/A</v>
      </c>
      <c r="S629" s="45" t="str">
        <f t="shared" si="19"/>
        <v>UNIF000457</v>
      </c>
    </row>
    <row r="630" spans="1:19" hidden="1" x14ac:dyDescent="0.35">
      <c r="A630" s="22">
        <v>5</v>
      </c>
      <c r="B630" t="s">
        <v>829</v>
      </c>
      <c r="C630" t="s">
        <v>802</v>
      </c>
      <c r="E630" t="s">
        <v>6827</v>
      </c>
      <c r="F630">
        <v>4077375</v>
      </c>
      <c r="G630" t="s">
        <v>6828</v>
      </c>
      <c r="H630" t="s">
        <v>805</v>
      </c>
      <c r="I630">
        <v>412</v>
      </c>
      <c r="J630">
        <v>0</v>
      </c>
      <c r="K630">
        <v>0</v>
      </c>
      <c r="L630">
        <v>0</v>
      </c>
      <c r="M630">
        <v>412</v>
      </c>
      <c r="N630">
        <v>0</v>
      </c>
      <c r="O630">
        <v>0</v>
      </c>
      <c r="P630" s="44" t="e">
        <f>_xlfn.XLOOKUP(Tabla5[[#This Row],[EAN CORREGIDO]],'Tabla Articulos'!B:B,'Tabla Articulos'!D:D)</f>
        <v>#N/A</v>
      </c>
      <c r="Q630" s="44" t="e">
        <f>_xlfn.XLOOKUP(S630,'Tabla Articulos'!B:B,'Tabla Articulos'!E:E)</f>
        <v>#N/A</v>
      </c>
      <c r="R630" s="44" t="e">
        <f t="shared" si="18"/>
        <v>#N/A</v>
      </c>
      <c r="S630" s="45" t="str">
        <f t="shared" si="19"/>
        <v>MOD21134</v>
      </c>
    </row>
    <row r="631" spans="1:19" hidden="1" x14ac:dyDescent="0.35">
      <c r="A631" s="22">
        <v>1</v>
      </c>
      <c r="B631" t="s">
        <v>812</v>
      </c>
      <c r="C631" t="s">
        <v>802</v>
      </c>
      <c r="D631" t="s">
        <v>991</v>
      </c>
      <c r="E631" t="s">
        <v>5166</v>
      </c>
      <c r="F631">
        <v>4018351</v>
      </c>
      <c r="G631" t="s">
        <v>5167</v>
      </c>
      <c r="H631" t="s">
        <v>816</v>
      </c>
      <c r="I631">
        <v>325.08999999999997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325.08999999999997</v>
      </c>
      <c r="P631" s="44" t="e">
        <f>_xlfn.XLOOKUP(Tabla5[[#This Row],[EAN CORREGIDO]],'Tabla Articulos'!B:B,'Tabla Articulos'!D:D)</f>
        <v>#N/A</v>
      </c>
      <c r="Q631" s="44" t="e">
        <f>_xlfn.XLOOKUP(S631,'Tabla Articulos'!B:B,'Tabla Articulos'!E:E)</f>
        <v>#N/A</v>
      </c>
      <c r="R631" s="44" t="e">
        <f t="shared" si="18"/>
        <v>#N/A</v>
      </c>
      <c r="S631" s="45" t="str">
        <f t="shared" si="19"/>
        <v>7790212060879</v>
      </c>
    </row>
    <row r="632" spans="1:19" hidden="1" x14ac:dyDescent="0.35">
      <c r="A632" s="22">
        <v>6</v>
      </c>
      <c r="B632" t="s">
        <v>801</v>
      </c>
      <c r="C632" t="s">
        <v>802</v>
      </c>
      <c r="E632" t="s">
        <v>5168</v>
      </c>
      <c r="F632">
        <v>9004205</v>
      </c>
      <c r="G632" t="s">
        <v>5169</v>
      </c>
      <c r="H632" t="s">
        <v>805</v>
      </c>
      <c r="I632">
        <v>21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21</v>
      </c>
      <c r="P632" s="44" t="e">
        <f>_xlfn.XLOOKUP(Tabla5[[#This Row],[EAN CORREGIDO]],'Tabla Articulos'!B:B,'Tabla Articulos'!D:D)</f>
        <v>#N/A</v>
      </c>
      <c r="Q632" s="44" t="e">
        <f>_xlfn.XLOOKUP(S632,'Tabla Articulos'!B:B,'Tabla Articulos'!E:E)</f>
        <v>#N/A</v>
      </c>
      <c r="R632" s="44" t="e">
        <f t="shared" si="18"/>
        <v>#N/A</v>
      </c>
      <c r="S632" s="45" t="str">
        <f t="shared" si="19"/>
        <v>UNIF000751</v>
      </c>
    </row>
    <row r="633" spans="1:19" hidden="1" x14ac:dyDescent="0.35">
      <c r="A633" s="22">
        <v>6</v>
      </c>
      <c r="B633" t="s">
        <v>801</v>
      </c>
      <c r="C633" t="s">
        <v>802</v>
      </c>
      <c r="D633"/>
      <c r="E633" t="s">
        <v>5170</v>
      </c>
      <c r="F633">
        <v>5000753</v>
      </c>
      <c r="G633" t="s">
        <v>2828</v>
      </c>
      <c r="H633" t="s">
        <v>805</v>
      </c>
      <c r="I633">
        <v>80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80</v>
      </c>
      <c r="P633" s="44" t="e">
        <f>_xlfn.XLOOKUP(Tabla5[[#This Row],[EAN CORREGIDO]],'Tabla Articulos'!B:B,'Tabla Articulos'!D:D)</f>
        <v>#N/A</v>
      </c>
      <c r="Q633" s="44" t="e">
        <f>_xlfn.XLOOKUP(S633,'Tabla Articulos'!B:B,'Tabla Articulos'!E:E)</f>
        <v>#N/A</v>
      </c>
      <c r="R633" s="44" t="e">
        <f t="shared" si="18"/>
        <v>#N/A</v>
      </c>
      <c r="S633" s="45" t="str">
        <f t="shared" si="19"/>
        <v>5000753</v>
      </c>
    </row>
    <row r="634" spans="1:19" hidden="1" x14ac:dyDescent="0.35">
      <c r="A634" s="22">
        <v>1</v>
      </c>
      <c r="B634" t="s">
        <v>812</v>
      </c>
      <c r="C634" t="s">
        <v>802</v>
      </c>
      <c r="D634" t="s">
        <v>2124</v>
      </c>
      <c r="E634" t="s">
        <v>5171</v>
      </c>
      <c r="F634">
        <v>4020191</v>
      </c>
      <c r="G634" t="s">
        <v>5172</v>
      </c>
      <c r="H634" t="s">
        <v>805</v>
      </c>
      <c r="I634">
        <v>5388</v>
      </c>
      <c r="J634">
        <v>3500</v>
      </c>
      <c r="K634">
        <v>3500</v>
      </c>
      <c r="L634">
        <v>0</v>
      </c>
      <c r="M634">
        <v>5</v>
      </c>
      <c r="N634">
        <v>0</v>
      </c>
      <c r="O634">
        <v>5383</v>
      </c>
      <c r="P634" s="44" t="e">
        <f>_xlfn.XLOOKUP(Tabla5[[#This Row],[EAN CORREGIDO]],'Tabla Articulos'!B:B,'Tabla Articulos'!D:D)</f>
        <v>#N/A</v>
      </c>
      <c r="Q634" s="44" t="e">
        <f>_xlfn.XLOOKUP(S634,'Tabla Articulos'!B:B,'Tabla Articulos'!E:E)</f>
        <v>#N/A</v>
      </c>
      <c r="R634" s="44" t="e">
        <f t="shared" si="18"/>
        <v>#N/A</v>
      </c>
      <c r="S634" s="45" t="str">
        <f t="shared" si="19"/>
        <v>7793875360050</v>
      </c>
    </row>
    <row r="635" spans="1:19" hidden="1" x14ac:dyDescent="0.35">
      <c r="A635" s="22">
        <v>6</v>
      </c>
      <c r="B635" t="s">
        <v>801</v>
      </c>
      <c r="C635" t="s">
        <v>802</v>
      </c>
      <c r="E635" t="s">
        <v>5173</v>
      </c>
      <c r="F635">
        <v>2006808</v>
      </c>
      <c r="G635" t="s">
        <v>5174</v>
      </c>
      <c r="H635" t="s">
        <v>805</v>
      </c>
      <c r="I635">
        <v>2197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2197</v>
      </c>
      <c r="P635" s="44" t="e">
        <f>_xlfn.XLOOKUP(Tabla5[[#This Row],[EAN CORREGIDO]],'Tabla Articulos'!B:B,'Tabla Articulos'!D:D)</f>
        <v>#N/A</v>
      </c>
      <c r="Q635" s="44" t="e">
        <f>_xlfn.XLOOKUP(S635,'Tabla Articulos'!B:B,'Tabla Articulos'!E:E)</f>
        <v>#N/A</v>
      </c>
      <c r="R635" s="44" t="e">
        <f t="shared" si="18"/>
        <v>#N/A</v>
      </c>
      <c r="S635" s="45" t="str">
        <f t="shared" si="19"/>
        <v>LIM000248</v>
      </c>
    </row>
    <row r="636" spans="1:19" hidden="1" x14ac:dyDescent="0.35">
      <c r="A636" s="22">
        <v>6</v>
      </c>
      <c r="B636" t="s">
        <v>801</v>
      </c>
      <c r="C636" t="s">
        <v>802</v>
      </c>
      <c r="E636" t="s">
        <v>1340</v>
      </c>
      <c r="F636">
        <v>9003030</v>
      </c>
      <c r="G636" t="s">
        <v>1341</v>
      </c>
      <c r="H636" t="s">
        <v>805</v>
      </c>
      <c r="I636">
        <v>88</v>
      </c>
      <c r="J636">
        <v>60</v>
      </c>
      <c r="K636">
        <v>30</v>
      </c>
      <c r="L636">
        <v>0</v>
      </c>
      <c r="M636">
        <v>0</v>
      </c>
      <c r="N636">
        <v>0</v>
      </c>
      <c r="O636">
        <v>118</v>
      </c>
      <c r="P636" s="44" t="e">
        <f>_xlfn.XLOOKUP(Tabla5[[#This Row],[EAN CORREGIDO]],'Tabla Articulos'!B:B,'Tabla Articulos'!D:D)</f>
        <v>#N/A</v>
      </c>
      <c r="Q636" s="44" t="e">
        <f>_xlfn.XLOOKUP(S636,'Tabla Articulos'!B:B,'Tabla Articulos'!E:E)</f>
        <v>#N/A</v>
      </c>
      <c r="R636" s="44" t="e">
        <f t="shared" si="18"/>
        <v>#N/A</v>
      </c>
      <c r="S636" s="45" t="str">
        <f t="shared" si="19"/>
        <v>A1607C25T9</v>
      </c>
    </row>
    <row r="637" spans="1:19" hidden="1" x14ac:dyDescent="0.35">
      <c r="A637" s="22">
        <v>6</v>
      </c>
      <c r="B637" t="s">
        <v>801</v>
      </c>
      <c r="C637" t="s">
        <v>802</v>
      </c>
      <c r="D637"/>
      <c r="E637" t="s">
        <v>1342</v>
      </c>
      <c r="F637">
        <v>9003230</v>
      </c>
      <c r="G637" t="s">
        <v>1343</v>
      </c>
      <c r="H637" t="s">
        <v>805</v>
      </c>
      <c r="I637">
        <v>92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92</v>
      </c>
      <c r="P637" s="44" t="e">
        <f>_xlfn.XLOOKUP(Tabla5[[#This Row],[EAN CORREGIDO]],'Tabla Articulos'!B:B,'Tabla Articulos'!D:D)</f>
        <v>#N/A</v>
      </c>
      <c r="Q637" s="44" t="e">
        <f>_xlfn.XLOOKUP(S637,'Tabla Articulos'!B:B,'Tabla Articulos'!E:E)</f>
        <v>#N/A</v>
      </c>
      <c r="R637" s="44" t="e">
        <f t="shared" si="18"/>
        <v>#N/A</v>
      </c>
      <c r="S637" s="45" t="str">
        <f t="shared" si="19"/>
        <v>UNIF000243</v>
      </c>
    </row>
    <row r="638" spans="1:19" hidden="1" x14ac:dyDescent="0.35">
      <c r="A638" s="22">
        <v>6</v>
      </c>
      <c r="B638" t="s">
        <v>801</v>
      </c>
      <c r="C638" t="s">
        <v>802</v>
      </c>
      <c r="D638"/>
      <c r="E638" t="s">
        <v>1344</v>
      </c>
      <c r="F638">
        <v>9003535</v>
      </c>
      <c r="G638" t="s">
        <v>1345</v>
      </c>
      <c r="H638" t="s">
        <v>805</v>
      </c>
      <c r="I638">
        <v>0</v>
      </c>
      <c r="J638">
        <v>20</v>
      </c>
      <c r="K638">
        <v>0</v>
      </c>
      <c r="L638">
        <v>0</v>
      </c>
      <c r="M638">
        <v>0</v>
      </c>
      <c r="N638">
        <v>0</v>
      </c>
      <c r="O638">
        <v>20</v>
      </c>
      <c r="P638" s="44" t="e">
        <f>_xlfn.XLOOKUP(Tabla5[[#This Row],[EAN CORREGIDO]],'Tabla Articulos'!B:B,'Tabla Articulos'!D:D)</f>
        <v>#N/A</v>
      </c>
      <c r="Q638" s="44" t="e">
        <f>_xlfn.XLOOKUP(S638,'Tabla Articulos'!B:B,'Tabla Articulos'!E:E)</f>
        <v>#N/A</v>
      </c>
      <c r="R638" s="44" t="e">
        <f t="shared" si="18"/>
        <v>#N/A</v>
      </c>
      <c r="S638" s="45" t="str">
        <f t="shared" si="19"/>
        <v>UNIF000074</v>
      </c>
    </row>
    <row r="639" spans="1:19" hidden="1" x14ac:dyDescent="0.35">
      <c r="A639" s="22">
        <v>6</v>
      </c>
      <c r="B639" t="s">
        <v>801</v>
      </c>
      <c r="C639" t="s">
        <v>802</v>
      </c>
      <c r="E639" t="s">
        <v>1346</v>
      </c>
      <c r="F639">
        <v>9003670</v>
      </c>
      <c r="G639" t="s">
        <v>1347</v>
      </c>
      <c r="H639" t="s">
        <v>805</v>
      </c>
      <c r="I639">
        <v>20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20</v>
      </c>
      <c r="P639" s="44" t="e">
        <f>_xlfn.XLOOKUP(Tabla5[[#This Row],[EAN CORREGIDO]],'Tabla Articulos'!B:B,'Tabla Articulos'!D:D)</f>
        <v>#N/A</v>
      </c>
      <c r="Q639" s="44" t="e">
        <f>_xlfn.XLOOKUP(S639,'Tabla Articulos'!B:B,'Tabla Articulos'!E:E)</f>
        <v>#N/A</v>
      </c>
      <c r="R639" s="44" t="e">
        <f t="shared" si="18"/>
        <v>#N/A</v>
      </c>
      <c r="S639" s="45" t="str">
        <f t="shared" si="19"/>
        <v>UNIF000293</v>
      </c>
    </row>
    <row r="640" spans="1:19" hidden="1" x14ac:dyDescent="0.35">
      <c r="A640" s="22">
        <v>1</v>
      </c>
      <c r="B640" t="s">
        <v>812</v>
      </c>
      <c r="C640" t="s">
        <v>802</v>
      </c>
      <c r="D640" t="s">
        <v>1348</v>
      </c>
      <c r="E640" t="s">
        <v>1349</v>
      </c>
      <c r="F640">
        <v>4020554</v>
      </c>
      <c r="G640" t="s">
        <v>1350</v>
      </c>
      <c r="H640" t="s">
        <v>805</v>
      </c>
      <c r="I640">
        <v>35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35</v>
      </c>
      <c r="P640" s="44" t="e">
        <f>_xlfn.XLOOKUP(Tabla5[[#This Row],[EAN CORREGIDO]],'Tabla Articulos'!B:B,'Tabla Articulos'!D:D)</f>
        <v>#N/A</v>
      </c>
      <c r="Q640" s="44" t="e">
        <f>_xlfn.XLOOKUP(S640,'Tabla Articulos'!B:B,'Tabla Articulos'!E:E)</f>
        <v>#N/A</v>
      </c>
      <c r="R640" s="44" t="e">
        <f t="shared" si="18"/>
        <v>#N/A</v>
      </c>
      <c r="S640" s="45" t="str">
        <f t="shared" si="19"/>
        <v>7798011976676</v>
      </c>
    </row>
    <row r="641" spans="1:19" hidden="1" x14ac:dyDescent="0.35">
      <c r="A641" s="22">
        <v>5</v>
      </c>
      <c r="B641" t="s">
        <v>829</v>
      </c>
      <c r="C641" t="s">
        <v>802</v>
      </c>
      <c r="D641" t="s">
        <v>1348</v>
      </c>
      <c r="E641" t="s">
        <v>1349</v>
      </c>
      <c r="F641">
        <v>4020554</v>
      </c>
      <c r="G641" t="s">
        <v>1350</v>
      </c>
      <c r="H641" t="s">
        <v>805</v>
      </c>
      <c r="I641">
        <v>50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50</v>
      </c>
      <c r="P641" s="44" t="e">
        <f>_xlfn.XLOOKUP(Tabla5[[#This Row],[EAN CORREGIDO]],'Tabla Articulos'!B:B,'Tabla Articulos'!D:D)</f>
        <v>#N/A</v>
      </c>
      <c r="Q641" s="44" t="e">
        <f>_xlfn.XLOOKUP(S641,'Tabla Articulos'!B:B,'Tabla Articulos'!E:E)</f>
        <v>#N/A</v>
      </c>
      <c r="R641" s="44" t="e">
        <f t="shared" ref="R641:R704" si="20">O641*Q641</f>
        <v>#N/A</v>
      </c>
      <c r="S641" s="45" t="str">
        <f t="shared" ref="S641:S704" si="21">TRIM(E641)</f>
        <v>7798011976676</v>
      </c>
    </row>
    <row r="642" spans="1:19" hidden="1" x14ac:dyDescent="0.35">
      <c r="A642" s="22">
        <v>1</v>
      </c>
      <c r="B642" t="s">
        <v>812</v>
      </c>
      <c r="C642" t="s">
        <v>802</v>
      </c>
      <c r="D642" t="s">
        <v>2143</v>
      </c>
      <c r="E642" t="s">
        <v>5175</v>
      </c>
      <c r="F642">
        <v>4020627</v>
      </c>
      <c r="G642" t="s">
        <v>5176</v>
      </c>
      <c r="H642" t="s">
        <v>805</v>
      </c>
      <c r="I642">
        <v>16397</v>
      </c>
      <c r="J642">
        <v>140</v>
      </c>
      <c r="K642">
        <v>0</v>
      </c>
      <c r="L642">
        <v>0</v>
      </c>
      <c r="M642">
        <v>5</v>
      </c>
      <c r="N642">
        <v>0</v>
      </c>
      <c r="O642">
        <v>16532</v>
      </c>
      <c r="P642" s="44" t="e">
        <f>_xlfn.XLOOKUP(Tabla5[[#This Row],[EAN CORREGIDO]],'Tabla Articulos'!B:B,'Tabla Articulos'!D:D)</f>
        <v>#N/A</v>
      </c>
      <c r="Q642" s="44" t="e">
        <f>_xlfn.XLOOKUP(S642,'Tabla Articulos'!B:B,'Tabla Articulos'!E:E)</f>
        <v>#N/A</v>
      </c>
      <c r="R642" s="44" t="e">
        <f t="shared" si="20"/>
        <v>#N/A</v>
      </c>
      <c r="S642" s="45" t="str">
        <f t="shared" si="21"/>
        <v>7793875360074</v>
      </c>
    </row>
    <row r="643" spans="1:19" hidden="1" x14ac:dyDescent="0.35">
      <c r="A643" s="22">
        <v>6</v>
      </c>
      <c r="B643" t="s">
        <v>801</v>
      </c>
      <c r="C643" t="s">
        <v>802</v>
      </c>
      <c r="E643" t="s">
        <v>5210</v>
      </c>
      <c r="F643">
        <v>9003835</v>
      </c>
      <c r="G643" t="s">
        <v>5211</v>
      </c>
      <c r="H643" t="s">
        <v>805</v>
      </c>
      <c r="I643">
        <v>1740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1740</v>
      </c>
      <c r="P643" s="44" t="e">
        <f>_xlfn.XLOOKUP(Tabla5[[#This Row],[EAN CORREGIDO]],'Tabla Articulos'!B:B,'Tabla Articulos'!D:D)</f>
        <v>#N/A</v>
      </c>
      <c r="Q643" s="44" t="e">
        <f>_xlfn.XLOOKUP(S643,'Tabla Articulos'!B:B,'Tabla Articulos'!E:E)</f>
        <v>#N/A</v>
      </c>
      <c r="R643" s="44" t="e">
        <f t="shared" si="20"/>
        <v>#N/A</v>
      </c>
      <c r="S643" s="45" t="str">
        <f t="shared" si="21"/>
        <v>BAZ001169</v>
      </c>
    </row>
    <row r="644" spans="1:19" hidden="1" x14ac:dyDescent="0.35">
      <c r="A644" s="22">
        <v>6</v>
      </c>
      <c r="B644" t="s">
        <v>801</v>
      </c>
      <c r="C644" t="s">
        <v>802</v>
      </c>
      <c r="D644"/>
      <c r="E644" t="s">
        <v>5212</v>
      </c>
      <c r="F644">
        <v>9003205</v>
      </c>
      <c r="G644" t="s">
        <v>5213</v>
      </c>
      <c r="H644" t="s">
        <v>805</v>
      </c>
      <c r="I644">
        <v>71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71</v>
      </c>
      <c r="P644" s="44" t="e">
        <f>_xlfn.XLOOKUP(Tabla5[[#This Row],[EAN CORREGIDO]],'Tabla Articulos'!B:B,'Tabla Articulos'!D:D)</f>
        <v>#N/A</v>
      </c>
      <c r="Q644" s="44" t="e">
        <f>_xlfn.XLOOKUP(S644,'Tabla Articulos'!B:B,'Tabla Articulos'!E:E)</f>
        <v>#N/A</v>
      </c>
      <c r="R644" s="44" t="e">
        <f t="shared" si="20"/>
        <v>#N/A</v>
      </c>
      <c r="S644" s="45" t="str">
        <f t="shared" si="21"/>
        <v>UNIF000330</v>
      </c>
    </row>
    <row r="645" spans="1:19" hidden="1" x14ac:dyDescent="0.35">
      <c r="A645" s="22">
        <v>6</v>
      </c>
      <c r="B645" t="s">
        <v>801</v>
      </c>
      <c r="C645" t="s">
        <v>802</v>
      </c>
      <c r="E645" t="s">
        <v>5214</v>
      </c>
      <c r="F645">
        <v>9004125</v>
      </c>
      <c r="G645" t="s">
        <v>5215</v>
      </c>
      <c r="H645" t="s">
        <v>805</v>
      </c>
      <c r="I645">
        <v>13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13</v>
      </c>
      <c r="P645" s="44" t="e">
        <f>_xlfn.XLOOKUP(Tabla5[[#This Row],[EAN CORREGIDO]],'Tabla Articulos'!B:B,'Tabla Articulos'!D:D)</f>
        <v>#N/A</v>
      </c>
      <c r="Q645" s="44" t="e">
        <f>_xlfn.XLOOKUP(S645,'Tabla Articulos'!B:B,'Tabla Articulos'!E:E)</f>
        <v>#N/A</v>
      </c>
      <c r="R645" s="44" t="e">
        <f t="shared" si="20"/>
        <v>#N/A</v>
      </c>
      <c r="S645" s="45" t="str">
        <f t="shared" si="21"/>
        <v>4040337565359</v>
      </c>
    </row>
    <row r="646" spans="1:19" hidden="1" x14ac:dyDescent="0.35">
      <c r="A646" s="22">
        <v>5</v>
      </c>
      <c r="B646" t="s">
        <v>829</v>
      </c>
      <c r="C646" t="s">
        <v>802</v>
      </c>
      <c r="D646" s="11" t="s">
        <v>2057</v>
      </c>
      <c r="E646" t="s">
        <v>2058</v>
      </c>
      <c r="F646">
        <v>4023934</v>
      </c>
      <c r="G646" t="s">
        <v>2059</v>
      </c>
      <c r="H646" t="s">
        <v>805</v>
      </c>
      <c r="I646">
        <v>270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270</v>
      </c>
      <c r="P646" s="44" t="e">
        <f>_xlfn.XLOOKUP(Tabla5[[#This Row],[EAN CORREGIDO]],'Tabla Articulos'!B:B,'Tabla Articulos'!D:D)</f>
        <v>#N/A</v>
      </c>
      <c r="Q646" s="44" t="e">
        <f>_xlfn.XLOOKUP(S646,'Tabla Articulos'!B:B,'Tabla Articulos'!E:E)</f>
        <v>#N/A</v>
      </c>
      <c r="R646" s="44" t="e">
        <f t="shared" si="20"/>
        <v>#N/A</v>
      </c>
      <c r="S646" s="45" t="str">
        <f t="shared" si="21"/>
        <v>7790895647758</v>
      </c>
    </row>
    <row r="647" spans="1:19" hidden="1" x14ac:dyDescent="0.35">
      <c r="A647" s="22">
        <v>6</v>
      </c>
      <c r="B647" t="s">
        <v>801</v>
      </c>
      <c r="C647" t="s">
        <v>802</v>
      </c>
      <c r="E647" t="s">
        <v>2060</v>
      </c>
      <c r="F647">
        <v>9003414</v>
      </c>
      <c r="G647" t="s">
        <v>2061</v>
      </c>
      <c r="H647" t="s">
        <v>805</v>
      </c>
      <c r="I647">
        <v>18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18</v>
      </c>
      <c r="P647" s="44" t="e">
        <f>_xlfn.XLOOKUP(Tabla5[[#This Row],[EAN CORREGIDO]],'Tabla Articulos'!B:B,'Tabla Articulos'!D:D)</f>
        <v>#N/A</v>
      </c>
      <c r="Q647" s="44" t="e">
        <f>_xlfn.XLOOKUP(S647,'Tabla Articulos'!B:B,'Tabla Articulos'!E:E)</f>
        <v>#N/A</v>
      </c>
      <c r="R647" s="44" t="e">
        <f t="shared" si="20"/>
        <v>#N/A</v>
      </c>
      <c r="S647" s="45" t="str">
        <f t="shared" si="21"/>
        <v>UNIF000101</v>
      </c>
    </row>
    <row r="648" spans="1:19" hidden="1" x14ac:dyDescent="0.35">
      <c r="A648" s="22">
        <v>6</v>
      </c>
      <c r="B648" t="s">
        <v>801</v>
      </c>
      <c r="C648" t="s">
        <v>802</v>
      </c>
      <c r="E648" t="s">
        <v>2062</v>
      </c>
      <c r="F648">
        <v>9003247</v>
      </c>
      <c r="G648" t="s">
        <v>2063</v>
      </c>
      <c r="H648" t="s">
        <v>805</v>
      </c>
      <c r="I648">
        <v>26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26</v>
      </c>
      <c r="P648" s="44" t="e">
        <f>_xlfn.XLOOKUP(Tabla5[[#This Row],[EAN CORREGIDO]],'Tabla Articulos'!B:B,'Tabla Articulos'!D:D)</f>
        <v>#N/A</v>
      </c>
      <c r="Q648" s="44" t="e">
        <f>_xlfn.XLOOKUP(S648,'Tabla Articulos'!B:B,'Tabla Articulos'!E:E)</f>
        <v>#N/A</v>
      </c>
      <c r="R648" s="44" t="e">
        <f t="shared" si="20"/>
        <v>#N/A</v>
      </c>
      <c r="S648" s="45" t="str">
        <f t="shared" si="21"/>
        <v>UNIF000475</v>
      </c>
    </row>
    <row r="649" spans="1:19" hidden="1" x14ac:dyDescent="0.35">
      <c r="A649" s="22">
        <v>1</v>
      </c>
      <c r="B649" t="s">
        <v>812</v>
      </c>
      <c r="C649" t="s">
        <v>802</v>
      </c>
      <c r="D649" s="11" t="s">
        <v>1025</v>
      </c>
      <c r="E649" t="s">
        <v>2064</v>
      </c>
      <c r="F649">
        <v>4077140</v>
      </c>
      <c r="G649" t="s">
        <v>2065</v>
      </c>
      <c r="H649" t="s">
        <v>805</v>
      </c>
      <c r="I649">
        <v>20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20</v>
      </c>
      <c r="P649" s="44" t="e">
        <f>_xlfn.XLOOKUP(Tabla5[[#This Row],[EAN CORREGIDO]],'Tabla Articulos'!B:B,'Tabla Articulos'!D:D)</f>
        <v>#N/A</v>
      </c>
      <c r="Q649" s="44" t="e">
        <f>_xlfn.XLOOKUP(S649,'Tabla Articulos'!B:B,'Tabla Articulos'!E:E)</f>
        <v>#N/A</v>
      </c>
      <c r="R649" s="44" t="e">
        <f t="shared" si="20"/>
        <v>#N/A</v>
      </c>
      <c r="S649" s="45" t="str">
        <f t="shared" si="21"/>
        <v>17792180007022</v>
      </c>
    </row>
    <row r="650" spans="1:19" hidden="1" x14ac:dyDescent="0.35">
      <c r="A650" s="22">
        <v>1</v>
      </c>
      <c r="B650" t="s">
        <v>812</v>
      </c>
      <c r="C650" t="s">
        <v>802</v>
      </c>
      <c r="D650" t="s">
        <v>4615</v>
      </c>
      <c r="E650" t="s">
        <v>4616</v>
      </c>
      <c r="F650">
        <v>4019213</v>
      </c>
      <c r="G650" t="s">
        <v>4617</v>
      </c>
      <c r="H650" t="s">
        <v>805</v>
      </c>
      <c r="I650">
        <v>54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54</v>
      </c>
      <c r="P650" s="44" t="e">
        <f>_xlfn.XLOOKUP(Tabla5[[#This Row],[EAN CORREGIDO]],'Tabla Articulos'!B:B,'Tabla Articulos'!D:D)</f>
        <v>#N/A</v>
      </c>
      <c r="Q650" s="44" t="e">
        <f>_xlfn.XLOOKUP(S650,'Tabla Articulos'!B:B,'Tabla Articulos'!E:E)</f>
        <v>#N/A</v>
      </c>
      <c r="R650" s="44" t="e">
        <f t="shared" si="20"/>
        <v>#N/A</v>
      </c>
      <c r="S650" s="45" t="str">
        <f t="shared" si="21"/>
        <v>7790580697303</v>
      </c>
    </row>
    <row r="651" spans="1:19" hidden="1" x14ac:dyDescent="0.35">
      <c r="A651" s="22">
        <v>1</v>
      </c>
      <c r="B651" t="s">
        <v>812</v>
      </c>
      <c r="C651" t="s">
        <v>802</v>
      </c>
      <c r="D651" s="11" t="s">
        <v>1871</v>
      </c>
      <c r="E651" t="s">
        <v>5327</v>
      </c>
      <c r="F651">
        <v>4018545</v>
      </c>
      <c r="G651" t="s">
        <v>5328</v>
      </c>
      <c r="H651" t="s">
        <v>805</v>
      </c>
      <c r="I651">
        <v>2983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2983</v>
      </c>
      <c r="P651" s="44" t="e">
        <f>_xlfn.XLOOKUP(Tabla5[[#This Row],[EAN CORREGIDO]],'Tabla Articulos'!B:B,'Tabla Articulos'!D:D)</f>
        <v>#N/A</v>
      </c>
      <c r="Q651" s="44" t="e">
        <f>_xlfn.XLOOKUP(S651,'Tabla Articulos'!B:B,'Tabla Articulos'!E:E)</f>
        <v>#N/A</v>
      </c>
      <c r="R651" s="44" t="e">
        <f t="shared" si="20"/>
        <v>#N/A</v>
      </c>
      <c r="S651" s="45" t="str">
        <f t="shared" si="21"/>
        <v>7791473000019</v>
      </c>
    </row>
    <row r="652" spans="1:19" hidden="1" x14ac:dyDescent="0.35">
      <c r="A652" s="22">
        <v>5</v>
      </c>
      <c r="B652" t="s">
        <v>829</v>
      </c>
      <c r="C652" t="s">
        <v>802</v>
      </c>
      <c r="D652" s="11" t="s">
        <v>1672</v>
      </c>
      <c r="E652" t="s">
        <v>5329</v>
      </c>
      <c r="F652">
        <v>4022892</v>
      </c>
      <c r="G652" t="s">
        <v>5330</v>
      </c>
      <c r="H652" t="s">
        <v>805</v>
      </c>
      <c r="I652">
        <v>806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806</v>
      </c>
      <c r="P652" s="44" t="e">
        <f>_xlfn.XLOOKUP(Tabla5[[#This Row],[EAN CORREGIDO]],'Tabla Articulos'!B:B,'Tabla Articulos'!D:D)</f>
        <v>#N/A</v>
      </c>
      <c r="Q652" s="44" t="e">
        <f>_xlfn.XLOOKUP(S652,'Tabla Articulos'!B:B,'Tabla Articulos'!E:E)</f>
        <v>#N/A</v>
      </c>
      <c r="R652" s="44" t="e">
        <f t="shared" si="20"/>
        <v>#N/A</v>
      </c>
      <c r="S652" s="45" t="str">
        <f t="shared" si="21"/>
        <v>7792350067514</v>
      </c>
    </row>
    <row r="653" spans="1:19" hidden="1" x14ac:dyDescent="0.35">
      <c r="A653" s="22">
        <v>1</v>
      </c>
      <c r="B653" t="s">
        <v>812</v>
      </c>
      <c r="C653" t="s">
        <v>802</v>
      </c>
      <c r="D653" t="s">
        <v>2613</v>
      </c>
      <c r="E653" t="s">
        <v>5331</v>
      </c>
      <c r="F653">
        <v>4018036</v>
      </c>
      <c r="G653" t="s">
        <v>5332</v>
      </c>
      <c r="H653" t="s">
        <v>816</v>
      </c>
      <c r="I653">
        <v>1000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1000</v>
      </c>
      <c r="P653" s="44" t="e">
        <f>_xlfn.XLOOKUP(Tabla5[[#This Row],[EAN CORREGIDO]],'Tabla Articulos'!B:B,'Tabla Articulos'!D:D)</f>
        <v>#N/A</v>
      </c>
      <c r="Q653" s="44" t="e">
        <f>_xlfn.XLOOKUP(S653,'Tabla Articulos'!B:B,'Tabla Articulos'!E:E)</f>
        <v>#N/A</v>
      </c>
      <c r="R653" s="44" t="e">
        <f t="shared" si="20"/>
        <v>#N/A</v>
      </c>
      <c r="S653" s="45" t="str">
        <f t="shared" si="21"/>
        <v>7790216020080</v>
      </c>
    </row>
    <row r="654" spans="1:19" hidden="1" x14ac:dyDescent="0.35">
      <c r="A654" s="22">
        <v>5</v>
      </c>
      <c r="B654" t="s">
        <v>829</v>
      </c>
      <c r="C654" t="s">
        <v>802</v>
      </c>
      <c r="D654" s="11" t="s">
        <v>2613</v>
      </c>
      <c r="E654" t="s">
        <v>5331</v>
      </c>
      <c r="F654">
        <v>4018036</v>
      </c>
      <c r="G654" t="s">
        <v>5332</v>
      </c>
      <c r="H654" t="s">
        <v>816</v>
      </c>
      <c r="I654">
        <v>5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5</v>
      </c>
      <c r="P654" s="44" t="e">
        <f>_xlfn.XLOOKUP(Tabla5[[#This Row],[EAN CORREGIDO]],'Tabla Articulos'!B:B,'Tabla Articulos'!D:D)</f>
        <v>#N/A</v>
      </c>
      <c r="Q654" s="44" t="e">
        <f>_xlfn.XLOOKUP(S654,'Tabla Articulos'!B:B,'Tabla Articulos'!E:E)</f>
        <v>#N/A</v>
      </c>
      <c r="R654" s="44" t="e">
        <f t="shared" si="20"/>
        <v>#N/A</v>
      </c>
      <c r="S654" s="45" t="str">
        <f t="shared" si="21"/>
        <v>7790216020080</v>
      </c>
    </row>
    <row r="655" spans="1:19" hidden="1" x14ac:dyDescent="0.35">
      <c r="A655" s="22">
        <v>6</v>
      </c>
      <c r="B655" t="s">
        <v>801</v>
      </c>
      <c r="C655" t="s">
        <v>802</v>
      </c>
      <c r="D655"/>
      <c r="E655" t="s">
        <v>5414</v>
      </c>
      <c r="F655">
        <v>9003386</v>
      </c>
      <c r="G655" t="s">
        <v>5415</v>
      </c>
      <c r="H655" t="s">
        <v>805</v>
      </c>
      <c r="I655">
        <v>50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50</v>
      </c>
      <c r="P655" s="44" t="e">
        <f>_xlfn.XLOOKUP(Tabla5[[#This Row],[EAN CORREGIDO]],'Tabla Articulos'!B:B,'Tabla Articulos'!D:D)</f>
        <v>#N/A</v>
      </c>
      <c r="Q655" s="44" t="e">
        <f>_xlfn.XLOOKUP(S655,'Tabla Articulos'!B:B,'Tabla Articulos'!E:E)</f>
        <v>#N/A</v>
      </c>
      <c r="R655" s="44" t="e">
        <f t="shared" si="20"/>
        <v>#N/A</v>
      </c>
      <c r="S655" s="45" t="str">
        <f t="shared" si="21"/>
        <v>UNIF000503</v>
      </c>
    </row>
    <row r="656" spans="1:19" hidden="1" x14ac:dyDescent="0.35">
      <c r="A656" s="22">
        <v>1</v>
      </c>
      <c r="B656" t="s">
        <v>812</v>
      </c>
      <c r="C656" t="s">
        <v>802</v>
      </c>
      <c r="D656" t="s">
        <v>4051</v>
      </c>
      <c r="E656" t="s">
        <v>5416</v>
      </c>
      <c r="F656">
        <v>4023248</v>
      </c>
      <c r="G656" t="s">
        <v>5417</v>
      </c>
      <c r="H656" t="s">
        <v>805</v>
      </c>
      <c r="I656">
        <v>10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10</v>
      </c>
      <c r="P656" s="44" t="e">
        <f>_xlfn.XLOOKUP(Tabla5[[#This Row],[EAN CORREGIDO]],'Tabla Articulos'!B:B,'Tabla Articulos'!D:D)</f>
        <v>#N/A</v>
      </c>
      <c r="Q656" s="44" t="e">
        <f>_xlfn.XLOOKUP(S656,'Tabla Articulos'!B:B,'Tabla Articulos'!E:E)</f>
        <v>#N/A</v>
      </c>
      <c r="R656" s="44" t="e">
        <f t="shared" si="20"/>
        <v>#N/A</v>
      </c>
      <c r="S656" s="45" t="str">
        <f t="shared" si="21"/>
        <v>7797906054482</v>
      </c>
    </row>
    <row r="657" spans="1:19" hidden="1" x14ac:dyDescent="0.35">
      <c r="A657" s="22">
        <v>6</v>
      </c>
      <c r="B657" t="s">
        <v>801</v>
      </c>
      <c r="C657" t="s">
        <v>802</v>
      </c>
      <c r="D657"/>
      <c r="E657" t="s">
        <v>5418</v>
      </c>
      <c r="F657">
        <v>9003309</v>
      </c>
      <c r="G657" t="s">
        <v>5419</v>
      </c>
      <c r="H657" t="s">
        <v>805</v>
      </c>
      <c r="I657">
        <v>0</v>
      </c>
      <c r="J657">
        <v>160</v>
      </c>
      <c r="K657">
        <v>0</v>
      </c>
      <c r="L657">
        <v>0</v>
      </c>
      <c r="M657">
        <v>0</v>
      </c>
      <c r="N657">
        <v>0</v>
      </c>
      <c r="O657">
        <v>160</v>
      </c>
      <c r="P657" s="44" t="e">
        <f>_xlfn.XLOOKUP(Tabla5[[#This Row],[EAN CORREGIDO]],'Tabla Articulos'!B:B,'Tabla Articulos'!D:D)</f>
        <v>#N/A</v>
      </c>
      <c r="Q657" s="44" t="e">
        <f>_xlfn.XLOOKUP(S657,'Tabla Articulos'!B:B,'Tabla Articulos'!E:E)</f>
        <v>#N/A</v>
      </c>
      <c r="R657" s="44" t="e">
        <f t="shared" si="20"/>
        <v>#N/A</v>
      </c>
      <c r="S657" s="45" t="str">
        <f t="shared" si="21"/>
        <v>UNIF000056</v>
      </c>
    </row>
    <row r="658" spans="1:19" hidden="1" x14ac:dyDescent="0.35">
      <c r="A658" s="22">
        <v>1</v>
      </c>
      <c r="B658" t="s">
        <v>812</v>
      </c>
      <c r="C658" t="s">
        <v>802</v>
      </c>
      <c r="D658" t="s">
        <v>977</v>
      </c>
      <c r="E658" t="s">
        <v>5420</v>
      </c>
      <c r="F658">
        <v>4017756</v>
      </c>
      <c r="G658" t="s">
        <v>5421</v>
      </c>
      <c r="H658" t="s">
        <v>816</v>
      </c>
      <c r="I658">
        <v>347.2</v>
      </c>
      <c r="J658">
        <v>0</v>
      </c>
      <c r="K658">
        <v>0</v>
      </c>
      <c r="L658">
        <v>74</v>
      </c>
      <c r="M658">
        <v>74</v>
      </c>
      <c r="N658">
        <v>0</v>
      </c>
      <c r="O658">
        <v>199.2</v>
      </c>
      <c r="P658" s="44" t="e">
        <f>_xlfn.XLOOKUP(Tabla5[[#This Row],[EAN CORREGIDO]],'Tabla Articulos'!B:B,'Tabla Articulos'!D:D)</f>
        <v>#N/A</v>
      </c>
      <c r="Q658" s="44" t="e">
        <f>_xlfn.XLOOKUP(S658,'Tabla Articulos'!B:B,'Tabla Articulos'!E:E)</f>
        <v>#N/A</v>
      </c>
      <c r="R658" s="44" t="e">
        <f t="shared" si="20"/>
        <v>#N/A</v>
      </c>
      <c r="S658" s="45" t="str">
        <f t="shared" si="21"/>
        <v>7798256423459</v>
      </c>
    </row>
    <row r="659" spans="1:19" hidden="1" x14ac:dyDescent="0.35">
      <c r="A659" s="22">
        <v>1</v>
      </c>
      <c r="B659" t="s">
        <v>812</v>
      </c>
      <c r="C659" t="s">
        <v>802</v>
      </c>
      <c r="D659" t="s">
        <v>5422</v>
      </c>
      <c r="E659" t="s">
        <v>5423</v>
      </c>
      <c r="F659">
        <v>4022365</v>
      </c>
      <c r="G659" t="s">
        <v>5424</v>
      </c>
      <c r="H659" t="s">
        <v>805</v>
      </c>
      <c r="I659">
        <v>20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20</v>
      </c>
      <c r="P659" s="44" t="e">
        <f>_xlfn.XLOOKUP(Tabla5[[#This Row],[EAN CORREGIDO]],'Tabla Articulos'!B:B,'Tabla Articulos'!D:D)</f>
        <v>#N/A</v>
      </c>
      <c r="Q659" s="44" t="e">
        <f>_xlfn.XLOOKUP(S659,'Tabla Articulos'!B:B,'Tabla Articulos'!E:E)</f>
        <v>#N/A</v>
      </c>
      <c r="R659" s="44" t="e">
        <f t="shared" si="20"/>
        <v>#N/A</v>
      </c>
      <c r="S659" s="45" t="str">
        <f t="shared" si="21"/>
        <v>724751080226</v>
      </c>
    </row>
    <row r="660" spans="1:19" hidden="1" x14ac:dyDescent="0.35">
      <c r="A660" s="22">
        <v>5</v>
      </c>
      <c r="B660" t="s">
        <v>829</v>
      </c>
      <c r="C660" t="s">
        <v>802</v>
      </c>
      <c r="D660" t="s">
        <v>5422</v>
      </c>
      <c r="E660" t="s">
        <v>5423</v>
      </c>
      <c r="F660">
        <v>4022365</v>
      </c>
      <c r="G660" t="s">
        <v>5424</v>
      </c>
      <c r="H660" t="s">
        <v>805</v>
      </c>
      <c r="I660">
        <v>44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44</v>
      </c>
      <c r="P660" s="44" t="e">
        <f>_xlfn.XLOOKUP(Tabla5[[#This Row],[EAN CORREGIDO]],'Tabla Articulos'!B:B,'Tabla Articulos'!D:D)</f>
        <v>#N/A</v>
      </c>
      <c r="Q660" s="44" t="e">
        <f>_xlfn.XLOOKUP(S660,'Tabla Articulos'!B:B,'Tabla Articulos'!E:E)</f>
        <v>#N/A</v>
      </c>
      <c r="R660" s="44" t="e">
        <f t="shared" si="20"/>
        <v>#N/A</v>
      </c>
      <c r="S660" s="45" t="str">
        <f t="shared" si="21"/>
        <v>724751080226</v>
      </c>
    </row>
    <row r="661" spans="1:19" hidden="1" x14ac:dyDescent="0.35">
      <c r="A661" s="22">
        <v>6</v>
      </c>
      <c r="B661" t="s">
        <v>801</v>
      </c>
      <c r="C661" t="s">
        <v>802</v>
      </c>
      <c r="D661"/>
      <c r="E661" t="s">
        <v>5425</v>
      </c>
      <c r="F661">
        <v>9004201</v>
      </c>
      <c r="G661" t="s">
        <v>5426</v>
      </c>
      <c r="H661" t="s">
        <v>805</v>
      </c>
      <c r="I661">
        <v>29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29</v>
      </c>
      <c r="P661" s="44" t="e">
        <f>_xlfn.XLOOKUP(Tabla5[[#This Row],[EAN CORREGIDO]],'Tabla Articulos'!B:B,'Tabla Articulos'!D:D)</f>
        <v>#N/A</v>
      </c>
      <c r="Q661" s="44" t="e">
        <f>_xlfn.XLOOKUP(S661,'Tabla Articulos'!B:B,'Tabla Articulos'!E:E)</f>
        <v>#N/A</v>
      </c>
      <c r="R661" s="44" t="e">
        <f t="shared" si="20"/>
        <v>#N/A</v>
      </c>
      <c r="S661" s="45" t="str">
        <f t="shared" si="21"/>
        <v>UNIF000747</v>
      </c>
    </row>
    <row r="662" spans="1:19" hidden="1" x14ac:dyDescent="0.35">
      <c r="A662" s="22">
        <v>1</v>
      </c>
      <c r="B662" t="s">
        <v>812</v>
      </c>
      <c r="C662" t="s">
        <v>802</v>
      </c>
      <c r="D662" t="s">
        <v>2035</v>
      </c>
      <c r="E662" t="s">
        <v>4038</v>
      </c>
      <c r="F662">
        <v>4022066</v>
      </c>
      <c r="G662" t="s">
        <v>4039</v>
      </c>
      <c r="H662" t="s">
        <v>805</v>
      </c>
      <c r="I662">
        <v>89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89</v>
      </c>
      <c r="P662" s="44" t="e">
        <f>_xlfn.XLOOKUP(Tabla5[[#This Row],[EAN CORREGIDO]],'Tabla Articulos'!B:B,'Tabla Articulos'!D:D)</f>
        <v>#N/A</v>
      </c>
      <c r="Q662" s="44" t="e">
        <f>_xlfn.XLOOKUP(S662,'Tabla Articulos'!B:B,'Tabla Articulos'!E:E)</f>
        <v>#N/A</v>
      </c>
      <c r="R662" s="44" t="e">
        <f t="shared" si="20"/>
        <v>#N/A</v>
      </c>
      <c r="S662" s="45" t="str">
        <f t="shared" si="21"/>
        <v>7798224213278</v>
      </c>
    </row>
    <row r="663" spans="1:19" hidden="1" x14ac:dyDescent="0.35">
      <c r="A663" s="22">
        <v>6</v>
      </c>
      <c r="B663" t="s">
        <v>801</v>
      </c>
      <c r="C663" t="s">
        <v>802</v>
      </c>
      <c r="E663" t="s">
        <v>4040</v>
      </c>
      <c r="F663">
        <v>9003741</v>
      </c>
      <c r="G663" t="s">
        <v>4041</v>
      </c>
      <c r="H663" t="s">
        <v>805</v>
      </c>
      <c r="I663">
        <v>4952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4952</v>
      </c>
      <c r="P663" s="44" t="e">
        <f>_xlfn.XLOOKUP(Tabla5[[#This Row],[EAN CORREGIDO]],'Tabla Articulos'!B:B,'Tabla Articulos'!D:D)</f>
        <v>#N/A</v>
      </c>
      <c r="Q663" s="44" t="e">
        <f>_xlfn.XLOOKUP(S663,'Tabla Articulos'!B:B,'Tabla Articulos'!E:E)</f>
        <v>#N/A</v>
      </c>
      <c r="R663" s="44" t="e">
        <f t="shared" si="20"/>
        <v>#N/A</v>
      </c>
      <c r="S663" s="45" t="str">
        <f t="shared" si="21"/>
        <v>BAZ001157</v>
      </c>
    </row>
    <row r="664" spans="1:19" hidden="1" x14ac:dyDescent="0.35">
      <c r="A664" s="22">
        <v>6</v>
      </c>
      <c r="B664" t="s">
        <v>801</v>
      </c>
      <c r="C664" t="s">
        <v>802</v>
      </c>
      <c r="D664"/>
      <c r="E664" t="s">
        <v>4042</v>
      </c>
      <c r="F664">
        <v>9003707</v>
      </c>
      <c r="G664" t="s">
        <v>4043</v>
      </c>
      <c r="H664" t="s">
        <v>805</v>
      </c>
      <c r="I664">
        <v>926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926</v>
      </c>
      <c r="P664" s="44" t="e">
        <f>_xlfn.XLOOKUP(Tabla5[[#This Row],[EAN CORREGIDO]],'Tabla Articulos'!B:B,'Tabla Articulos'!D:D)</f>
        <v>#N/A</v>
      </c>
      <c r="Q664" s="44" t="e">
        <f>_xlfn.XLOOKUP(S664,'Tabla Articulos'!B:B,'Tabla Articulos'!E:E)</f>
        <v>#N/A</v>
      </c>
      <c r="R664" s="44" t="e">
        <f t="shared" si="20"/>
        <v>#N/A</v>
      </c>
      <c r="S664" s="45" t="str">
        <f t="shared" si="21"/>
        <v>BAZ001147</v>
      </c>
    </row>
    <row r="665" spans="1:19" hidden="1" x14ac:dyDescent="0.35">
      <c r="A665" s="22">
        <v>1</v>
      </c>
      <c r="B665" t="s">
        <v>812</v>
      </c>
      <c r="C665" t="s">
        <v>802</v>
      </c>
      <c r="D665" t="s">
        <v>4044</v>
      </c>
      <c r="E665" t="s">
        <v>4045</v>
      </c>
      <c r="F665">
        <v>4020380</v>
      </c>
      <c r="G665" t="s">
        <v>4046</v>
      </c>
      <c r="H665" t="s">
        <v>805</v>
      </c>
      <c r="I665">
        <v>14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14</v>
      </c>
      <c r="P665" s="44" t="e">
        <f>_xlfn.XLOOKUP(Tabla5[[#This Row],[EAN CORREGIDO]],'Tabla Articulos'!B:B,'Tabla Articulos'!D:D)</f>
        <v>#N/A</v>
      </c>
      <c r="Q665" s="44" t="e">
        <f>_xlfn.XLOOKUP(S665,'Tabla Articulos'!B:B,'Tabla Articulos'!E:E)</f>
        <v>#N/A</v>
      </c>
      <c r="R665" s="44" t="e">
        <f t="shared" si="20"/>
        <v>#N/A</v>
      </c>
      <c r="S665" s="45" t="str">
        <f t="shared" si="21"/>
        <v>7798011976690</v>
      </c>
    </row>
    <row r="666" spans="1:19" hidden="1" x14ac:dyDescent="0.35">
      <c r="A666" s="22">
        <v>6</v>
      </c>
      <c r="B666" t="s">
        <v>801</v>
      </c>
      <c r="C666" t="s">
        <v>802</v>
      </c>
      <c r="D666"/>
      <c r="E666" t="s">
        <v>4047</v>
      </c>
      <c r="F666">
        <v>9003296</v>
      </c>
      <c r="G666" t="s">
        <v>4048</v>
      </c>
      <c r="H666" t="s">
        <v>805</v>
      </c>
      <c r="I666">
        <v>33</v>
      </c>
      <c r="J666">
        <v>60</v>
      </c>
      <c r="K666">
        <v>0</v>
      </c>
      <c r="L666">
        <v>0</v>
      </c>
      <c r="M666">
        <v>0</v>
      </c>
      <c r="N666">
        <v>0</v>
      </c>
      <c r="O666">
        <v>93</v>
      </c>
      <c r="P666" s="44" t="e">
        <f>_xlfn.XLOOKUP(Tabla5[[#This Row],[EAN CORREGIDO]],'Tabla Articulos'!B:B,'Tabla Articulos'!D:D)</f>
        <v>#N/A</v>
      </c>
      <c r="Q666" s="44" t="e">
        <f>_xlfn.XLOOKUP(S666,'Tabla Articulos'!B:B,'Tabla Articulos'!E:E)</f>
        <v>#N/A</v>
      </c>
      <c r="R666" s="44" t="e">
        <f t="shared" si="20"/>
        <v>#N/A</v>
      </c>
      <c r="S666" s="45" t="str">
        <f t="shared" si="21"/>
        <v>UNIF000043</v>
      </c>
    </row>
    <row r="667" spans="1:19" hidden="1" x14ac:dyDescent="0.35">
      <c r="A667" s="22">
        <v>6</v>
      </c>
      <c r="B667" t="s">
        <v>801</v>
      </c>
      <c r="C667" t="s">
        <v>802</v>
      </c>
      <c r="E667" t="s">
        <v>4049</v>
      </c>
      <c r="F667">
        <v>9003068</v>
      </c>
      <c r="G667" t="s">
        <v>4050</v>
      </c>
      <c r="H667" t="s">
        <v>805</v>
      </c>
      <c r="I667">
        <v>25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25</v>
      </c>
      <c r="P667" s="44" t="e">
        <f>_xlfn.XLOOKUP(Tabla5[[#This Row],[EAN CORREGIDO]],'Tabla Articulos'!B:B,'Tabla Articulos'!D:D)</f>
        <v>#N/A</v>
      </c>
      <c r="Q667" s="44" t="e">
        <f>_xlfn.XLOOKUP(S667,'Tabla Articulos'!B:B,'Tabla Articulos'!E:E)</f>
        <v>#N/A</v>
      </c>
      <c r="R667" s="44" t="e">
        <f t="shared" si="20"/>
        <v>#N/A</v>
      </c>
      <c r="S667" s="45" t="str">
        <f t="shared" si="21"/>
        <v>UNIF000531</v>
      </c>
    </row>
    <row r="668" spans="1:19" hidden="1" x14ac:dyDescent="0.35">
      <c r="A668" s="22">
        <v>1</v>
      </c>
      <c r="B668" t="s">
        <v>812</v>
      </c>
      <c r="C668" t="s">
        <v>802</v>
      </c>
      <c r="D668" t="s">
        <v>4051</v>
      </c>
      <c r="E668" t="s">
        <v>4052</v>
      </c>
      <c r="F668">
        <v>4023798</v>
      </c>
      <c r="G668" t="s">
        <v>4053</v>
      </c>
      <c r="H668" t="s">
        <v>805</v>
      </c>
      <c r="I668">
        <v>18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18</v>
      </c>
      <c r="P668" s="44" t="e">
        <f>_xlfn.XLOOKUP(Tabla5[[#This Row],[EAN CORREGIDO]],'Tabla Articulos'!B:B,'Tabla Articulos'!D:D)</f>
        <v>#N/A</v>
      </c>
      <c r="Q668" s="44" t="e">
        <f>_xlfn.XLOOKUP(S668,'Tabla Articulos'!B:B,'Tabla Articulos'!E:E)</f>
        <v>#N/A</v>
      </c>
      <c r="R668" s="44" t="e">
        <f t="shared" si="20"/>
        <v>#N/A</v>
      </c>
      <c r="S668" s="45" t="str">
        <f t="shared" si="21"/>
        <v>7798184272902</v>
      </c>
    </row>
    <row r="669" spans="1:19" hidden="1" x14ac:dyDescent="0.35">
      <c r="A669" s="22">
        <v>5</v>
      </c>
      <c r="B669" t="s">
        <v>829</v>
      </c>
      <c r="C669" t="s">
        <v>802</v>
      </c>
      <c r="D669" t="s">
        <v>2522</v>
      </c>
      <c r="E669" t="s">
        <v>4054</v>
      </c>
      <c r="F669">
        <v>4020530</v>
      </c>
      <c r="G669" t="s">
        <v>4055</v>
      </c>
      <c r="H669" t="s">
        <v>805</v>
      </c>
      <c r="I669">
        <v>55411</v>
      </c>
      <c r="J669">
        <v>0</v>
      </c>
      <c r="K669">
        <v>5544</v>
      </c>
      <c r="L669">
        <v>0</v>
      </c>
      <c r="M669">
        <v>0</v>
      </c>
      <c r="N669">
        <v>0</v>
      </c>
      <c r="O669">
        <v>49867</v>
      </c>
      <c r="P669" s="44" t="e">
        <f>_xlfn.XLOOKUP(Tabla5[[#This Row],[EAN CORREGIDO]],'Tabla Articulos'!B:B,'Tabla Articulos'!D:D)</f>
        <v>#N/A</v>
      </c>
      <c r="Q669" s="44" t="e">
        <f>_xlfn.XLOOKUP(S669,'Tabla Articulos'!B:B,'Tabla Articulos'!E:E)</f>
        <v>#N/A</v>
      </c>
      <c r="R669" s="44" t="e">
        <f t="shared" si="20"/>
        <v>#N/A</v>
      </c>
      <c r="S669" s="45" t="str">
        <f t="shared" si="21"/>
        <v>7798156760024</v>
      </c>
    </row>
    <row r="670" spans="1:19" hidden="1" x14ac:dyDescent="0.35">
      <c r="A670" s="22">
        <v>1</v>
      </c>
      <c r="B670" t="s">
        <v>812</v>
      </c>
      <c r="C670" t="s">
        <v>802</v>
      </c>
      <c r="D670" s="11" t="s">
        <v>2522</v>
      </c>
      <c r="E670" t="s">
        <v>4054</v>
      </c>
      <c r="F670">
        <v>4020530</v>
      </c>
      <c r="G670" t="s">
        <v>4055</v>
      </c>
      <c r="H670" t="s">
        <v>805</v>
      </c>
      <c r="I670">
        <v>8091</v>
      </c>
      <c r="J670">
        <v>5544</v>
      </c>
      <c r="K670">
        <v>0</v>
      </c>
      <c r="L670">
        <v>0</v>
      </c>
      <c r="M670">
        <v>278</v>
      </c>
      <c r="N670">
        <v>0</v>
      </c>
      <c r="O670">
        <v>13357</v>
      </c>
      <c r="P670" s="44" t="e">
        <f>_xlfn.XLOOKUP(Tabla5[[#This Row],[EAN CORREGIDO]],'Tabla Articulos'!B:B,'Tabla Articulos'!D:D)</f>
        <v>#N/A</v>
      </c>
      <c r="Q670" s="44" t="e">
        <f>_xlfn.XLOOKUP(S670,'Tabla Articulos'!B:B,'Tabla Articulos'!E:E)</f>
        <v>#N/A</v>
      </c>
      <c r="R670" s="44" t="e">
        <f t="shared" si="20"/>
        <v>#N/A</v>
      </c>
      <c r="S670" s="45" t="str">
        <f t="shared" si="21"/>
        <v>7798156760024</v>
      </c>
    </row>
    <row r="671" spans="1:19" hidden="1" x14ac:dyDescent="0.35">
      <c r="A671" s="22">
        <v>6</v>
      </c>
      <c r="B671" t="s">
        <v>801</v>
      </c>
      <c r="C671" t="s">
        <v>802</v>
      </c>
      <c r="E671" t="s">
        <v>4056</v>
      </c>
      <c r="F671">
        <v>9003556</v>
      </c>
      <c r="G671" t="s">
        <v>4057</v>
      </c>
      <c r="H671" t="s">
        <v>805</v>
      </c>
      <c r="I671">
        <v>2</v>
      </c>
      <c r="J671">
        <v>120</v>
      </c>
      <c r="K671">
        <v>0</v>
      </c>
      <c r="L671">
        <v>0</v>
      </c>
      <c r="M671">
        <v>0</v>
      </c>
      <c r="N671">
        <v>0</v>
      </c>
      <c r="O671">
        <v>122</v>
      </c>
      <c r="P671" s="44" t="e">
        <f>_xlfn.XLOOKUP(Tabla5[[#This Row],[EAN CORREGIDO]],'Tabla Articulos'!B:B,'Tabla Articulos'!D:D)</f>
        <v>#N/A</v>
      </c>
      <c r="Q671" s="44" t="e">
        <f>_xlfn.XLOOKUP(S671,'Tabla Articulos'!B:B,'Tabla Articulos'!E:E)</f>
        <v>#N/A</v>
      </c>
      <c r="R671" s="44" t="e">
        <f t="shared" si="20"/>
        <v>#N/A</v>
      </c>
      <c r="S671" s="45" t="str">
        <f t="shared" si="21"/>
        <v>UNIF000139</v>
      </c>
    </row>
    <row r="672" spans="1:19" hidden="1" x14ac:dyDescent="0.35">
      <c r="A672" s="22">
        <v>6</v>
      </c>
      <c r="B672" t="s">
        <v>801</v>
      </c>
      <c r="C672" t="s">
        <v>802</v>
      </c>
      <c r="D672"/>
      <c r="E672" t="s">
        <v>4058</v>
      </c>
      <c r="F672">
        <v>9003474</v>
      </c>
      <c r="G672" t="s">
        <v>4059</v>
      </c>
      <c r="H672" t="s">
        <v>805</v>
      </c>
      <c r="I672">
        <v>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6</v>
      </c>
      <c r="P672" s="44" t="e">
        <f>_xlfn.XLOOKUP(Tabla5[[#This Row],[EAN CORREGIDO]],'Tabla Articulos'!B:B,'Tabla Articulos'!D:D)</f>
        <v>#N/A</v>
      </c>
      <c r="Q672" s="44" t="e">
        <f>_xlfn.XLOOKUP(S672,'Tabla Articulos'!B:B,'Tabla Articulos'!E:E)</f>
        <v>#N/A</v>
      </c>
      <c r="R672" s="44" t="e">
        <f t="shared" si="20"/>
        <v>#N/A</v>
      </c>
      <c r="S672" s="45" t="str">
        <f t="shared" si="21"/>
        <v>UNIF000206</v>
      </c>
    </row>
    <row r="673" spans="1:19" hidden="1" x14ac:dyDescent="0.35">
      <c r="A673" s="22">
        <v>6</v>
      </c>
      <c r="B673" t="s">
        <v>801</v>
      </c>
      <c r="C673" t="s">
        <v>802</v>
      </c>
      <c r="D673"/>
      <c r="E673" t="s">
        <v>4060</v>
      </c>
      <c r="F673">
        <v>2006723</v>
      </c>
      <c r="G673" t="s">
        <v>4061</v>
      </c>
      <c r="H673" t="s">
        <v>805</v>
      </c>
      <c r="I673">
        <v>107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107</v>
      </c>
      <c r="P673" s="44" t="e">
        <f>_xlfn.XLOOKUP(Tabla5[[#This Row],[EAN CORREGIDO]],'Tabla Articulos'!B:B,'Tabla Articulos'!D:D)</f>
        <v>#N/A</v>
      </c>
      <c r="Q673" s="44" t="e">
        <f>_xlfn.XLOOKUP(S673,'Tabla Articulos'!B:B,'Tabla Articulos'!E:E)</f>
        <v>#N/A</v>
      </c>
      <c r="R673" s="44" t="e">
        <f t="shared" si="20"/>
        <v>#N/A</v>
      </c>
      <c r="S673" s="45" t="str">
        <f t="shared" si="21"/>
        <v>LIM000175</v>
      </c>
    </row>
    <row r="674" spans="1:19" hidden="1" x14ac:dyDescent="0.35">
      <c r="A674" s="22">
        <v>6</v>
      </c>
      <c r="B674" t="s">
        <v>801</v>
      </c>
      <c r="C674" t="s">
        <v>802</v>
      </c>
      <c r="D674"/>
      <c r="E674" t="s">
        <v>941</v>
      </c>
      <c r="F674">
        <v>9003602</v>
      </c>
      <c r="G674" t="s">
        <v>942</v>
      </c>
      <c r="H674" t="s">
        <v>805</v>
      </c>
      <c r="I674">
        <v>39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39</v>
      </c>
      <c r="P674" s="44" t="e">
        <f>_xlfn.XLOOKUP(Tabla5[[#This Row],[EAN CORREGIDO]],'Tabla Articulos'!B:B,'Tabla Articulos'!D:D)</f>
        <v>#N/A</v>
      </c>
      <c r="Q674" s="44" t="e">
        <f>_xlfn.XLOOKUP(S674,'Tabla Articulos'!B:B,'Tabla Articulos'!E:E)</f>
        <v>#N/A</v>
      </c>
      <c r="R674" s="44" t="e">
        <f t="shared" si="20"/>
        <v>#N/A</v>
      </c>
      <c r="S674" s="45" t="str">
        <f t="shared" si="21"/>
        <v>UNIF000441</v>
      </c>
    </row>
    <row r="675" spans="1:19" hidden="1" x14ac:dyDescent="0.35">
      <c r="A675" s="22">
        <v>6</v>
      </c>
      <c r="B675" t="s">
        <v>801</v>
      </c>
      <c r="C675" t="s">
        <v>802</v>
      </c>
      <c r="D675"/>
      <c r="E675" t="s">
        <v>943</v>
      </c>
      <c r="F675">
        <v>9003837</v>
      </c>
      <c r="G675" t="s">
        <v>944</v>
      </c>
      <c r="H675" t="s">
        <v>805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</v>
      </c>
      <c r="P675" s="44" t="e">
        <f>_xlfn.XLOOKUP(Tabla5[[#This Row],[EAN CORREGIDO]],'Tabla Articulos'!B:B,'Tabla Articulos'!D:D)</f>
        <v>#N/A</v>
      </c>
      <c r="Q675" s="44" t="e">
        <f>_xlfn.XLOOKUP(S675,'Tabla Articulos'!B:B,'Tabla Articulos'!E:E)</f>
        <v>#N/A</v>
      </c>
      <c r="R675" s="44" t="e">
        <f t="shared" si="20"/>
        <v>#N/A</v>
      </c>
      <c r="S675" s="45" t="str">
        <f t="shared" si="21"/>
        <v>BAZ001175</v>
      </c>
    </row>
    <row r="676" spans="1:19" hidden="1" x14ac:dyDescent="0.35">
      <c r="A676" s="22">
        <v>6</v>
      </c>
      <c r="B676" t="s">
        <v>801</v>
      </c>
      <c r="C676" t="s">
        <v>802</v>
      </c>
      <c r="E676" t="s">
        <v>945</v>
      </c>
      <c r="F676">
        <v>2016498</v>
      </c>
      <c r="G676" t="s">
        <v>946</v>
      </c>
      <c r="H676" t="s">
        <v>805</v>
      </c>
      <c r="I676">
        <v>84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84</v>
      </c>
      <c r="P676" s="44" t="e">
        <f>_xlfn.XLOOKUP(Tabla5[[#This Row],[EAN CORREGIDO]],'Tabla Articulos'!B:B,'Tabla Articulos'!D:D)</f>
        <v>#N/A</v>
      </c>
      <c r="Q676" s="44" t="e">
        <f>_xlfn.XLOOKUP(S676,'Tabla Articulos'!B:B,'Tabla Articulos'!E:E)</f>
        <v>#N/A</v>
      </c>
      <c r="R676" s="44" t="e">
        <f t="shared" si="20"/>
        <v>#N/A</v>
      </c>
      <c r="S676" s="45" t="str">
        <f t="shared" si="21"/>
        <v>7790000000707</v>
      </c>
    </row>
    <row r="677" spans="1:19" hidden="1" x14ac:dyDescent="0.35">
      <c r="A677" s="22">
        <v>6</v>
      </c>
      <c r="B677" t="s">
        <v>801</v>
      </c>
      <c r="C677" t="s">
        <v>802</v>
      </c>
      <c r="D677" s="11" t="s">
        <v>947</v>
      </c>
      <c r="E677" t="s">
        <v>948</v>
      </c>
      <c r="F677">
        <v>2006803</v>
      </c>
      <c r="G677" t="s">
        <v>949</v>
      </c>
      <c r="H677" t="s">
        <v>805</v>
      </c>
      <c r="I677">
        <v>187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187</v>
      </c>
      <c r="P677" s="44" t="e">
        <f>_xlfn.XLOOKUP(Tabla5[[#This Row],[EAN CORREGIDO]],'Tabla Articulos'!B:B,'Tabla Articulos'!D:D)</f>
        <v>#N/A</v>
      </c>
      <c r="Q677" s="44" t="e">
        <f>_xlfn.XLOOKUP(S677,'Tabla Articulos'!B:B,'Tabla Articulos'!E:E)</f>
        <v>#N/A</v>
      </c>
      <c r="R677" s="44" t="e">
        <f t="shared" si="20"/>
        <v>#N/A</v>
      </c>
      <c r="S677" s="45" t="str">
        <f t="shared" si="21"/>
        <v>LIM000301</v>
      </c>
    </row>
    <row r="678" spans="1:19" hidden="1" x14ac:dyDescent="0.35">
      <c r="A678" s="22">
        <v>5</v>
      </c>
      <c r="B678" t="s">
        <v>829</v>
      </c>
      <c r="C678" t="s">
        <v>802</v>
      </c>
      <c r="D678" s="11" t="s">
        <v>950</v>
      </c>
      <c r="E678" t="s">
        <v>951</v>
      </c>
      <c r="F678">
        <v>4048893</v>
      </c>
      <c r="G678" t="s">
        <v>952</v>
      </c>
      <c r="H678" t="s">
        <v>805</v>
      </c>
      <c r="I678">
        <v>11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</v>
      </c>
      <c r="P678" s="44" t="e">
        <f>_xlfn.XLOOKUP(Tabla5[[#This Row],[EAN CORREGIDO]],'Tabla Articulos'!B:B,'Tabla Articulos'!D:D)</f>
        <v>#N/A</v>
      </c>
      <c r="Q678" s="44" t="e">
        <f>_xlfn.XLOOKUP(S678,'Tabla Articulos'!B:B,'Tabla Articulos'!E:E)</f>
        <v>#N/A</v>
      </c>
      <c r="R678" s="44" t="e">
        <f t="shared" si="20"/>
        <v>#N/A</v>
      </c>
      <c r="S678" s="45" t="str">
        <f t="shared" si="21"/>
        <v>7790787150632</v>
      </c>
    </row>
    <row r="679" spans="1:19" hidden="1" x14ac:dyDescent="0.35">
      <c r="A679" s="22">
        <v>6</v>
      </c>
      <c r="B679" t="s">
        <v>801</v>
      </c>
      <c r="C679" t="s">
        <v>802</v>
      </c>
      <c r="D679" s="11" t="s">
        <v>218</v>
      </c>
      <c r="E679" t="s">
        <v>953</v>
      </c>
      <c r="F679">
        <v>2016626</v>
      </c>
      <c r="G679" t="s">
        <v>482</v>
      </c>
      <c r="H679" t="s">
        <v>805</v>
      </c>
      <c r="I679">
        <v>284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284</v>
      </c>
      <c r="P679" s="44" t="str">
        <f>_xlfn.XLOOKUP(Tabla5[[#This Row],[EAN CORREGIDO]],'Tabla Articulos'!B:B,'Tabla Articulos'!D:D)</f>
        <v>SERVILLETA 30X30 S/LOGO</v>
      </c>
      <c r="Q679" s="44">
        <f>_xlfn.XLOOKUP(S679,'Tabla Articulos'!B:B,'Tabla Articulos'!E:E)</f>
        <v>1000</v>
      </c>
      <c r="R679" s="44">
        <f t="shared" si="20"/>
        <v>284000</v>
      </c>
      <c r="S679" s="45" t="str">
        <f t="shared" si="21"/>
        <v>7798188651727</v>
      </c>
    </row>
    <row r="680" spans="1:19" hidden="1" x14ac:dyDescent="0.35">
      <c r="A680" s="22">
        <v>6</v>
      </c>
      <c r="B680" t="s">
        <v>801</v>
      </c>
      <c r="C680" t="s">
        <v>802</v>
      </c>
      <c r="D680"/>
      <c r="E680" t="s">
        <v>954</v>
      </c>
      <c r="F680">
        <v>9003306</v>
      </c>
      <c r="G680" t="s">
        <v>955</v>
      </c>
      <c r="H680" t="s">
        <v>805</v>
      </c>
      <c r="I680">
        <v>0</v>
      </c>
      <c r="J680">
        <v>60</v>
      </c>
      <c r="K680">
        <v>0</v>
      </c>
      <c r="L680">
        <v>0</v>
      </c>
      <c r="M680">
        <v>0</v>
      </c>
      <c r="N680">
        <v>0</v>
      </c>
      <c r="O680">
        <v>60</v>
      </c>
      <c r="P680" s="44" t="e">
        <f>_xlfn.XLOOKUP(Tabla5[[#This Row],[EAN CORREGIDO]],'Tabla Articulos'!B:B,'Tabla Articulos'!D:D)</f>
        <v>#N/A</v>
      </c>
      <c r="Q680" s="44" t="e">
        <f>_xlfn.XLOOKUP(S680,'Tabla Articulos'!B:B,'Tabla Articulos'!E:E)</f>
        <v>#N/A</v>
      </c>
      <c r="R680" s="44" t="e">
        <f t="shared" si="20"/>
        <v>#N/A</v>
      </c>
      <c r="S680" s="45" t="str">
        <f t="shared" si="21"/>
        <v>UNIF000053</v>
      </c>
    </row>
    <row r="681" spans="1:19" hidden="1" x14ac:dyDescent="0.35">
      <c r="A681" s="22">
        <v>6</v>
      </c>
      <c r="B681" t="s">
        <v>801</v>
      </c>
      <c r="C681" t="s">
        <v>802</v>
      </c>
      <c r="D681" t="s">
        <v>3859</v>
      </c>
      <c r="E681" t="s">
        <v>3860</v>
      </c>
      <c r="F681">
        <v>2016764</v>
      </c>
      <c r="G681" t="s">
        <v>3861</v>
      </c>
      <c r="H681" t="s">
        <v>805</v>
      </c>
      <c r="I681">
        <v>0</v>
      </c>
      <c r="J681">
        <v>21</v>
      </c>
      <c r="K681">
        <v>0</v>
      </c>
      <c r="L681">
        <v>0</v>
      </c>
      <c r="M681">
        <v>0</v>
      </c>
      <c r="N681">
        <v>0</v>
      </c>
      <c r="O681">
        <v>21</v>
      </c>
      <c r="P681" s="44" t="e">
        <f>_xlfn.XLOOKUP(Tabla5[[#This Row],[EAN CORREGIDO]],'Tabla Articulos'!B:B,'Tabla Articulos'!D:D)</f>
        <v>#N/A</v>
      </c>
      <c r="Q681" s="44" t="e">
        <f>_xlfn.XLOOKUP(S681,'Tabla Articulos'!B:B,'Tabla Articulos'!E:E)</f>
        <v>#N/A</v>
      </c>
      <c r="R681" s="44" t="e">
        <f t="shared" si="20"/>
        <v>#N/A</v>
      </c>
      <c r="S681" s="45" t="str">
        <f t="shared" si="21"/>
        <v>7798057860205</v>
      </c>
    </row>
    <row r="682" spans="1:19" hidden="1" x14ac:dyDescent="0.35">
      <c r="A682" s="22">
        <v>5</v>
      </c>
      <c r="B682" t="s">
        <v>829</v>
      </c>
      <c r="C682" t="s">
        <v>802</v>
      </c>
      <c r="D682" t="s">
        <v>1615</v>
      </c>
      <c r="E682" t="s">
        <v>3862</v>
      </c>
      <c r="F682">
        <v>4021306</v>
      </c>
      <c r="G682" t="s">
        <v>3863</v>
      </c>
      <c r="H682" t="s">
        <v>805</v>
      </c>
      <c r="I682">
        <v>3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</v>
      </c>
      <c r="P682" s="44" t="e">
        <f>_xlfn.XLOOKUP(Tabla5[[#This Row],[EAN CORREGIDO]],'Tabla Articulos'!B:B,'Tabla Articulos'!D:D)</f>
        <v>#N/A</v>
      </c>
      <c r="Q682" s="44" t="e">
        <f>_xlfn.XLOOKUP(S682,'Tabla Articulos'!B:B,'Tabla Articulos'!E:E)</f>
        <v>#N/A</v>
      </c>
      <c r="R682" s="44" t="e">
        <f t="shared" si="20"/>
        <v>#N/A</v>
      </c>
      <c r="S682" s="45" t="str">
        <f t="shared" si="21"/>
        <v>7891167831087</v>
      </c>
    </row>
    <row r="683" spans="1:19" hidden="1" x14ac:dyDescent="0.35">
      <c r="A683" s="22">
        <v>6</v>
      </c>
      <c r="B683" t="s">
        <v>801</v>
      </c>
      <c r="C683" t="s">
        <v>802</v>
      </c>
      <c r="D683" s="11" t="s">
        <v>3749</v>
      </c>
      <c r="E683" t="s">
        <v>3864</v>
      </c>
      <c r="F683">
        <v>2007489</v>
      </c>
      <c r="G683" t="s">
        <v>3865</v>
      </c>
      <c r="H683" t="s">
        <v>805</v>
      </c>
      <c r="I683">
        <v>60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60</v>
      </c>
      <c r="P683" s="44" t="e">
        <f>_xlfn.XLOOKUP(Tabla5[[#This Row],[EAN CORREGIDO]],'Tabla Articulos'!B:B,'Tabla Articulos'!D:D)</f>
        <v>#N/A</v>
      </c>
      <c r="Q683" s="44" t="e">
        <f>_xlfn.XLOOKUP(S683,'Tabla Articulos'!B:B,'Tabla Articulos'!E:E)</f>
        <v>#N/A</v>
      </c>
      <c r="R683" s="44" t="e">
        <f t="shared" si="20"/>
        <v>#N/A</v>
      </c>
      <c r="S683" s="45" t="str">
        <f t="shared" si="21"/>
        <v>7798332280506</v>
      </c>
    </row>
    <row r="684" spans="1:19" hidden="1" x14ac:dyDescent="0.35">
      <c r="A684" s="22">
        <v>6</v>
      </c>
      <c r="B684" t="s">
        <v>801</v>
      </c>
      <c r="C684" t="s">
        <v>802</v>
      </c>
      <c r="D684"/>
      <c r="E684" t="s">
        <v>3866</v>
      </c>
      <c r="F684">
        <v>9003401</v>
      </c>
      <c r="G684" t="s">
        <v>3867</v>
      </c>
      <c r="H684" t="s">
        <v>805</v>
      </c>
      <c r="I684">
        <v>151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151</v>
      </c>
      <c r="P684" s="44" t="e">
        <f>_xlfn.XLOOKUP(Tabla5[[#This Row],[EAN CORREGIDO]],'Tabla Articulos'!B:B,'Tabla Articulos'!D:D)</f>
        <v>#N/A</v>
      </c>
      <c r="Q684" s="44" t="e">
        <f>_xlfn.XLOOKUP(S684,'Tabla Articulos'!B:B,'Tabla Articulos'!E:E)</f>
        <v>#N/A</v>
      </c>
      <c r="R684" s="44" t="e">
        <f t="shared" si="20"/>
        <v>#N/A</v>
      </c>
      <c r="S684" s="45" t="str">
        <f t="shared" si="21"/>
        <v>UNIF000522</v>
      </c>
    </row>
    <row r="685" spans="1:19" hidden="1" x14ac:dyDescent="0.35">
      <c r="A685" s="22">
        <v>1</v>
      </c>
      <c r="B685" t="s">
        <v>812</v>
      </c>
      <c r="C685" t="s">
        <v>802</v>
      </c>
      <c r="D685" t="s">
        <v>865</v>
      </c>
      <c r="E685" t="s">
        <v>866</v>
      </c>
      <c r="F685">
        <v>4076794</v>
      </c>
      <c r="G685" t="s">
        <v>867</v>
      </c>
      <c r="H685" t="s">
        <v>805</v>
      </c>
      <c r="I685">
        <v>167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167</v>
      </c>
      <c r="P685" s="44" t="e">
        <f>_xlfn.XLOOKUP(Tabla5[[#This Row],[EAN CORREGIDO]],'Tabla Articulos'!B:B,'Tabla Articulos'!D:D)</f>
        <v>#N/A</v>
      </c>
      <c r="Q685" s="44" t="e">
        <f>_xlfn.XLOOKUP(S685,'Tabla Articulos'!B:B,'Tabla Articulos'!E:E)</f>
        <v>#N/A</v>
      </c>
      <c r="R685" s="44" t="e">
        <f t="shared" si="20"/>
        <v>#N/A</v>
      </c>
      <c r="S685" s="45" t="str">
        <f t="shared" si="21"/>
        <v>7798128000691</v>
      </c>
    </row>
    <row r="686" spans="1:19" hidden="1" x14ac:dyDescent="0.35">
      <c r="A686" s="22">
        <v>6</v>
      </c>
      <c r="B686" t="s">
        <v>801</v>
      </c>
      <c r="C686" t="s">
        <v>802</v>
      </c>
      <c r="E686" t="s">
        <v>868</v>
      </c>
      <c r="F686">
        <v>9003126</v>
      </c>
      <c r="G686" t="s">
        <v>869</v>
      </c>
      <c r="H686" t="s">
        <v>805</v>
      </c>
      <c r="I686">
        <v>69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69</v>
      </c>
      <c r="P686" s="44" t="e">
        <f>_xlfn.XLOOKUP(Tabla5[[#This Row],[EAN CORREGIDO]],'Tabla Articulos'!B:B,'Tabla Articulos'!D:D)</f>
        <v>#N/A</v>
      </c>
      <c r="Q686" s="44" t="e">
        <f>_xlfn.XLOOKUP(S686,'Tabla Articulos'!B:B,'Tabla Articulos'!E:E)</f>
        <v>#N/A</v>
      </c>
      <c r="R686" s="44" t="e">
        <f t="shared" si="20"/>
        <v>#N/A</v>
      </c>
      <c r="S686" s="45" t="str">
        <f t="shared" si="21"/>
        <v>UNIF000588</v>
      </c>
    </row>
    <row r="687" spans="1:19" hidden="1" x14ac:dyDescent="0.35">
      <c r="A687" s="22">
        <v>6</v>
      </c>
      <c r="B687" t="s">
        <v>801</v>
      </c>
      <c r="C687" t="s">
        <v>802</v>
      </c>
      <c r="D687" t="s">
        <v>75</v>
      </c>
      <c r="E687" t="s">
        <v>870</v>
      </c>
      <c r="F687">
        <v>2006652</v>
      </c>
      <c r="G687" t="s">
        <v>871</v>
      </c>
      <c r="H687" t="s">
        <v>805</v>
      </c>
      <c r="I687">
        <v>612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612</v>
      </c>
      <c r="P687" s="44" t="str">
        <f>_xlfn.XLOOKUP(Tabla5[[#This Row],[EAN CORREGIDO]],'Tabla Articulos'!B:B,'Tabla Articulos'!D:D)</f>
        <v>TAPA 102</v>
      </c>
      <c r="Q687" s="44">
        <f>_xlfn.XLOOKUP(S687,'Tabla Articulos'!B:B,'Tabla Articulos'!E:E)</f>
        <v>50</v>
      </c>
      <c r="R687" s="44">
        <f t="shared" si="20"/>
        <v>30600</v>
      </c>
      <c r="S687" s="45" t="str">
        <f t="shared" si="21"/>
        <v>7790321020266</v>
      </c>
    </row>
    <row r="688" spans="1:19" hidden="1" x14ac:dyDescent="0.35">
      <c r="A688" s="22">
        <v>6</v>
      </c>
      <c r="B688" t="s">
        <v>801</v>
      </c>
      <c r="C688" t="s">
        <v>802</v>
      </c>
      <c r="D688"/>
      <c r="E688" t="s">
        <v>872</v>
      </c>
      <c r="F688">
        <v>2007609</v>
      </c>
      <c r="G688" t="s">
        <v>873</v>
      </c>
      <c r="H688" t="s">
        <v>805</v>
      </c>
      <c r="I688">
        <v>9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9</v>
      </c>
      <c r="P688" s="44" t="e">
        <f>_xlfn.XLOOKUP(Tabla5[[#This Row],[EAN CORREGIDO]],'Tabla Articulos'!B:B,'Tabla Articulos'!D:D)</f>
        <v>#N/A</v>
      </c>
      <c r="Q688" s="44" t="e">
        <f>_xlfn.XLOOKUP(S688,'Tabla Articulos'!B:B,'Tabla Articulos'!E:E)</f>
        <v>#N/A</v>
      </c>
      <c r="R688" s="44" t="e">
        <f t="shared" si="20"/>
        <v>#N/A</v>
      </c>
      <c r="S688" s="45" t="str">
        <f t="shared" si="21"/>
        <v>7798057861615</v>
      </c>
    </row>
    <row r="689" spans="1:19" hidden="1" x14ac:dyDescent="0.35">
      <c r="A689" s="22">
        <v>1</v>
      </c>
      <c r="B689" t="s">
        <v>812</v>
      </c>
      <c r="C689" t="s">
        <v>802</v>
      </c>
      <c r="D689" s="11" t="s">
        <v>874</v>
      </c>
      <c r="E689" t="s">
        <v>875</v>
      </c>
      <c r="F689">
        <v>4022848</v>
      </c>
      <c r="G689" t="s">
        <v>876</v>
      </c>
      <c r="H689" t="s">
        <v>805</v>
      </c>
      <c r="I689">
        <v>2210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2210</v>
      </c>
      <c r="P689" s="44" t="e">
        <f>_xlfn.XLOOKUP(Tabla5[[#This Row],[EAN CORREGIDO]],'Tabla Articulos'!B:B,'Tabla Articulos'!D:D)</f>
        <v>#N/A</v>
      </c>
      <c r="Q689" s="44" t="e">
        <f>_xlfn.XLOOKUP(S689,'Tabla Articulos'!B:B,'Tabla Articulos'!E:E)</f>
        <v>#N/A</v>
      </c>
      <c r="R689" s="44" t="e">
        <f t="shared" si="20"/>
        <v>#N/A</v>
      </c>
      <c r="S689" s="45" t="str">
        <f t="shared" si="21"/>
        <v>7791476009019</v>
      </c>
    </row>
    <row r="690" spans="1:19" hidden="1" x14ac:dyDescent="0.35">
      <c r="A690" s="22">
        <v>5</v>
      </c>
      <c r="B690" t="s">
        <v>829</v>
      </c>
      <c r="C690" t="s">
        <v>802</v>
      </c>
      <c r="D690" s="11" t="s">
        <v>874</v>
      </c>
      <c r="E690" t="s">
        <v>875</v>
      </c>
      <c r="F690">
        <v>4022848</v>
      </c>
      <c r="G690" t="s">
        <v>876</v>
      </c>
      <c r="H690" t="s">
        <v>805</v>
      </c>
      <c r="I690">
        <v>771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771</v>
      </c>
      <c r="P690" s="44" t="e">
        <f>_xlfn.XLOOKUP(Tabla5[[#This Row],[EAN CORREGIDO]],'Tabla Articulos'!B:B,'Tabla Articulos'!D:D)</f>
        <v>#N/A</v>
      </c>
      <c r="Q690" s="44" t="e">
        <f>_xlfn.XLOOKUP(S690,'Tabla Articulos'!B:B,'Tabla Articulos'!E:E)</f>
        <v>#N/A</v>
      </c>
      <c r="R690" s="44" t="e">
        <f t="shared" si="20"/>
        <v>#N/A</v>
      </c>
      <c r="S690" s="45" t="str">
        <f t="shared" si="21"/>
        <v>7791476009019</v>
      </c>
    </row>
    <row r="691" spans="1:19" hidden="1" x14ac:dyDescent="0.35">
      <c r="A691" s="22">
        <v>6</v>
      </c>
      <c r="B691" t="s">
        <v>801</v>
      </c>
      <c r="C691" t="s">
        <v>802</v>
      </c>
      <c r="D691"/>
      <c r="E691" t="s">
        <v>877</v>
      </c>
      <c r="F691">
        <v>9003312</v>
      </c>
      <c r="G691" t="s">
        <v>878</v>
      </c>
      <c r="H691" t="s">
        <v>805</v>
      </c>
      <c r="I691">
        <v>18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18</v>
      </c>
      <c r="P691" s="44" t="e">
        <f>_xlfn.XLOOKUP(Tabla5[[#This Row],[EAN CORREGIDO]],'Tabla Articulos'!B:B,'Tabla Articulos'!D:D)</f>
        <v>#N/A</v>
      </c>
      <c r="Q691" s="44" t="e">
        <f>_xlfn.XLOOKUP(S691,'Tabla Articulos'!B:B,'Tabla Articulos'!E:E)</f>
        <v>#N/A</v>
      </c>
      <c r="R691" s="44" t="e">
        <f t="shared" si="20"/>
        <v>#N/A</v>
      </c>
      <c r="S691" s="45" t="str">
        <f t="shared" si="21"/>
        <v>UNIF000059</v>
      </c>
    </row>
    <row r="692" spans="1:19" hidden="1" x14ac:dyDescent="0.35">
      <c r="A692" s="22">
        <v>1</v>
      </c>
      <c r="B692" t="s">
        <v>812</v>
      </c>
      <c r="C692" t="s">
        <v>802</v>
      </c>
      <c r="D692" t="s">
        <v>1975</v>
      </c>
      <c r="E692" t="s">
        <v>3868</v>
      </c>
      <c r="F692">
        <v>4020628</v>
      </c>
      <c r="G692" t="s">
        <v>3869</v>
      </c>
      <c r="H692" t="s">
        <v>805</v>
      </c>
      <c r="I692">
        <v>600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600</v>
      </c>
      <c r="P692" s="44" t="e">
        <f>_xlfn.XLOOKUP(Tabla5[[#This Row],[EAN CORREGIDO]],'Tabla Articulos'!B:B,'Tabla Articulos'!D:D)</f>
        <v>#N/A</v>
      </c>
      <c r="Q692" s="44" t="e">
        <f>_xlfn.XLOOKUP(S692,'Tabla Articulos'!B:B,'Tabla Articulos'!E:E)</f>
        <v>#N/A</v>
      </c>
      <c r="R692" s="44" t="e">
        <f t="shared" si="20"/>
        <v>#N/A</v>
      </c>
      <c r="S692" s="45" t="str">
        <f t="shared" si="21"/>
        <v>7793875360104</v>
      </c>
    </row>
    <row r="693" spans="1:19" hidden="1" x14ac:dyDescent="0.35">
      <c r="A693" s="22">
        <v>5</v>
      </c>
      <c r="B693" t="s">
        <v>829</v>
      </c>
      <c r="C693" t="s">
        <v>802</v>
      </c>
      <c r="D693" s="11" t="s">
        <v>1077</v>
      </c>
      <c r="E693" t="s">
        <v>3871</v>
      </c>
      <c r="F693">
        <v>2006677</v>
      </c>
      <c r="G693" t="s">
        <v>3872</v>
      </c>
      <c r="H693" t="s">
        <v>805</v>
      </c>
      <c r="I693">
        <v>9655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9655</v>
      </c>
      <c r="P693" s="44" t="e">
        <f>_xlfn.XLOOKUP(Tabla5[[#This Row],[EAN CORREGIDO]],'Tabla Articulos'!B:B,'Tabla Articulos'!D:D)</f>
        <v>#N/A</v>
      </c>
      <c r="Q693" s="44" t="e">
        <f>_xlfn.XLOOKUP(S693,'Tabla Articulos'!B:B,'Tabla Articulos'!E:E)</f>
        <v>#N/A</v>
      </c>
      <c r="R693" s="44" t="e">
        <f t="shared" si="20"/>
        <v>#N/A</v>
      </c>
      <c r="S693" s="45" t="str">
        <f t="shared" si="21"/>
        <v>7798094535580</v>
      </c>
    </row>
    <row r="694" spans="1:19" hidden="1" x14ac:dyDescent="0.35">
      <c r="A694" s="22">
        <v>6</v>
      </c>
      <c r="B694" t="s">
        <v>801</v>
      </c>
      <c r="C694" t="s">
        <v>802</v>
      </c>
      <c r="D694" s="11" t="s">
        <v>3873</v>
      </c>
      <c r="E694" t="s">
        <v>3874</v>
      </c>
      <c r="F694">
        <v>2006311</v>
      </c>
      <c r="G694" t="s">
        <v>3875</v>
      </c>
      <c r="H694" t="s">
        <v>805</v>
      </c>
      <c r="I694">
        <v>7866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7866</v>
      </c>
      <c r="P694" s="44" t="e">
        <f>_xlfn.XLOOKUP(Tabla5[[#This Row],[EAN CORREGIDO]],'Tabla Articulos'!B:B,'Tabla Articulos'!D:D)</f>
        <v>#N/A</v>
      </c>
      <c r="Q694" s="44" t="e">
        <f>_xlfn.XLOOKUP(S694,'Tabla Articulos'!B:B,'Tabla Articulos'!E:E)</f>
        <v>#N/A</v>
      </c>
      <c r="R694" s="44" t="e">
        <f t="shared" si="20"/>
        <v>#N/A</v>
      </c>
      <c r="S694" s="45" t="str">
        <f t="shared" si="21"/>
        <v>7798065720102</v>
      </c>
    </row>
    <row r="695" spans="1:19" hidden="1" x14ac:dyDescent="0.35">
      <c r="A695" s="22">
        <v>6</v>
      </c>
      <c r="B695" t="s">
        <v>801</v>
      </c>
      <c r="C695" t="s">
        <v>802</v>
      </c>
      <c r="D695"/>
      <c r="E695" t="s">
        <v>3876</v>
      </c>
      <c r="F695">
        <v>9003025</v>
      </c>
      <c r="G695" t="s">
        <v>3877</v>
      </c>
      <c r="H695" t="s">
        <v>805</v>
      </c>
      <c r="I695">
        <v>120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120</v>
      </c>
      <c r="P695" s="44" t="e">
        <f>_xlfn.XLOOKUP(Tabla5[[#This Row],[EAN CORREGIDO]],'Tabla Articulos'!B:B,'Tabla Articulos'!D:D)</f>
        <v>#N/A</v>
      </c>
      <c r="Q695" s="44" t="e">
        <f>_xlfn.XLOOKUP(S695,'Tabla Articulos'!B:B,'Tabla Articulos'!E:E)</f>
        <v>#N/A</v>
      </c>
      <c r="R695" s="44" t="e">
        <f t="shared" si="20"/>
        <v>#N/A</v>
      </c>
      <c r="S695" s="45" t="str">
        <f t="shared" si="21"/>
        <v>A1607C25T71</v>
      </c>
    </row>
    <row r="696" spans="1:19" hidden="1" x14ac:dyDescent="0.35">
      <c r="A696" s="22">
        <v>6</v>
      </c>
      <c r="B696" t="s">
        <v>801</v>
      </c>
      <c r="C696" t="s">
        <v>802</v>
      </c>
      <c r="D696" s="11" t="s">
        <v>3878</v>
      </c>
      <c r="E696" t="s">
        <v>3879</v>
      </c>
      <c r="F696">
        <v>2007411</v>
      </c>
      <c r="G696" t="s">
        <v>3880</v>
      </c>
      <c r="H696" t="s">
        <v>805</v>
      </c>
      <c r="I696">
        <v>19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19</v>
      </c>
      <c r="P696" s="44" t="e">
        <f>_xlfn.XLOOKUP(Tabla5[[#This Row],[EAN CORREGIDO]],'Tabla Articulos'!B:B,'Tabla Articulos'!D:D)</f>
        <v>#N/A</v>
      </c>
      <c r="Q696" s="44" t="e">
        <f>_xlfn.XLOOKUP(S696,'Tabla Articulos'!B:B,'Tabla Articulos'!E:E)</f>
        <v>#N/A</v>
      </c>
      <c r="R696" s="44" t="e">
        <f t="shared" si="20"/>
        <v>#N/A</v>
      </c>
      <c r="S696" s="45" t="str">
        <f t="shared" si="21"/>
        <v>7798057869604</v>
      </c>
    </row>
    <row r="697" spans="1:19" hidden="1" x14ac:dyDescent="0.35">
      <c r="A697" s="22">
        <v>6</v>
      </c>
      <c r="B697" t="s">
        <v>801</v>
      </c>
      <c r="C697" t="s">
        <v>802</v>
      </c>
      <c r="D697" t="s">
        <v>1484</v>
      </c>
      <c r="E697" t="s">
        <v>3881</v>
      </c>
      <c r="F697">
        <v>2006870</v>
      </c>
      <c r="G697" t="s">
        <v>3882</v>
      </c>
      <c r="H697" t="s">
        <v>805</v>
      </c>
      <c r="I697">
        <v>33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33</v>
      </c>
      <c r="P697" s="44" t="e">
        <f>_xlfn.XLOOKUP(Tabla5[[#This Row],[EAN CORREGIDO]],'Tabla Articulos'!B:B,'Tabla Articulos'!D:D)</f>
        <v>#N/A</v>
      </c>
      <c r="Q697" s="44" t="e">
        <f>_xlfn.XLOOKUP(S697,'Tabla Articulos'!B:B,'Tabla Articulos'!E:E)</f>
        <v>#N/A</v>
      </c>
      <c r="R697" s="44" t="e">
        <f t="shared" si="20"/>
        <v>#N/A</v>
      </c>
      <c r="S697" s="45" t="str">
        <f t="shared" si="21"/>
        <v>7790411001366</v>
      </c>
    </row>
    <row r="698" spans="1:19" hidden="1" x14ac:dyDescent="0.35">
      <c r="A698" s="22">
        <v>6</v>
      </c>
      <c r="B698" t="s">
        <v>801</v>
      </c>
      <c r="C698" t="s">
        <v>802</v>
      </c>
      <c r="E698" t="s">
        <v>3883</v>
      </c>
      <c r="F698">
        <v>9003868</v>
      </c>
      <c r="G698" t="s">
        <v>3884</v>
      </c>
      <c r="H698" t="s">
        <v>805</v>
      </c>
      <c r="I698">
        <v>498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498</v>
      </c>
      <c r="P698" s="44" t="e">
        <f>_xlfn.XLOOKUP(Tabla5[[#This Row],[EAN CORREGIDO]],'Tabla Articulos'!B:B,'Tabla Articulos'!D:D)</f>
        <v>#N/A</v>
      </c>
      <c r="Q698" s="44" t="e">
        <f>_xlfn.XLOOKUP(S698,'Tabla Articulos'!B:B,'Tabla Articulos'!E:E)</f>
        <v>#N/A</v>
      </c>
      <c r="R698" s="44" t="e">
        <f t="shared" si="20"/>
        <v>#N/A</v>
      </c>
      <c r="S698" s="45" t="str">
        <f t="shared" si="21"/>
        <v>BAZ001280</v>
      </c>
    </row>
    <row r="699" spans="1:19" hidden="1" x14ac:dyDescent="0.35">
      <c r="A699" s="22">
        <v>6</v>
      </c>
      <c r="B699" t="s">
        <v>801</v>
      </c>
      <c r="C699" t="s">
        <v>802</v>
      </c>
      <c r="E699" t="s">
        <v>3374</v>
      </c>
      <c r="F699">
        <v>9003069</v>
      </c>
      <c r="G699" t="s">
        <v>3375</v>
      </c>
      <c r="H699" t="s">
        <v>805</v>
      </c>
      <c r="I699">
        <v>69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69</v>
      </c>
      <c r="P699" s="44" t="e">
        <f>_xlfn.XLOOKUP(Tabla5[[#This Row],[EAN CORREGIDO]],'Tabla Articulos'!B:B,'Tabla Articulos'!D:D)</f>
        <v>#N/A</v>
      </c>
      <c r="Q699" s="44" t="e">
        <f>_xlfn.XLOOKUP(S699,'Tabla Articulos'!B:B,'Tabla Articulos'!E:E)</f>
        <v>#N/A</v>
      </c>
      <c r="R699" s="44" t="e">
        <f t="shared" si="20"/>
        <v>#N/A</v>
      </c>
      <c r="S699" s="45" t="str">
        <f t="shared" si="21"/>
        <v>UNIF000532</v>
      </c>
    </row>
    <row r="700" spans="1:19" hidden="1" x14ac:dyDescent="0.35">
      <c r="A700" s="22">
        <v>6</v>
      </c>
      <c r="B700" t="s">
        <v>801</v>
      </c>
      <c r="C700" t="s">
        <v>802</v>
      </c>
      <c r="D700" t="s">
        <v>920</v>
      </c>
      <c r="E700" t="s">
        <v>3376</v>
      </c>
      <c r="F700">
        <v>2006510</v>
      </c>
      <c r="G700" t="s">
        <v>3377</v>
      </c>
      <c r="H700" t="s">
        <v>805</v>
      </c>
      <c r="I700">
        <v>19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19</v>
      </c>
      <c r="P700" s="44" t="e">
        <f>_xlfn.XLOOKUP(Tabla5[[#This Row],[EAN CORREGIDO]],'Tabla Articulos'!B:B,'Tabla Articulos'!D:D)</f>
        <v>#N/A</v>
      </c>
      <c r="Q700" s="44" t="e">
        <f>_xlfn.XLOOKUP(S700,'Tabla Articulos'!B:B,'Tabla Articulos'!E:E)</f>
        <v>#N/A</v>
      </c>
      <c r="R700" s="44" t="e">
        <f t="shared" si="20"/>
        <v>#N/A</v>
      </c>
      <c r="S700" s="45" t="str">
        <f t="shared" si="21"/>
        <v>7798132459714</v>
      </c>
    </row>
    <row r="701" spans="1:19" hidden="1" x14ac:dyDescent="0.35">
      <c r="A701" s="22">
        <v>6</v>
      </c>
      <c r="B701" t="s">
        <v>801</v>
      </c>
      <c r="C701" t="s">
        <v>802</v>
      </c>
      <c r="D701"/>
      <c r="E701" t="s">
        <v>3378</v>
      </c>
      <c r="F701">
        <v>9003143</v>
      </c>
      <c r="G701" t="s">
        <v>3379</v>
      </c>
      <c r="H701" t="s">
        <v>805</v>
      </c>
      <c r="I701">
        <v>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</v>
      </c>
      <c r="P701" s="44" t="e">
        <f>_xlfn.XLOOKUP(Tabla5[[#This Row],[EAN CORREGIDO]],'Tabla Articulos'!B:B,'Tabla Articulos'!D:D)</f>
        <v>#N/A</v>
      </c>
      <c r="Q701" s="44" t="e">
        <f>_xlfn.XLOOKUP(S701,'Tabla Articulos'!B:B,'Tabla Articulos'!E:E)</f>
        <v>#N/A</v>
      </c>
      <c r="R701" s="44" t="e">
        <f t="shared" si="20"/>
        <v>#N/A</v>
      </c>
      <c r="S701" s="45" t="str">
        <f t="shared" si="21"/>
        <v>UNIF000605</v>
      </c>
    </row>
    <row r="702" spans="1:19" hidden="1" x14ac:dyDescent="0.35">
      <c r="A702" s="22">
        <v>1</v>
      </c>
      <c r="B702" t="s">
        <v>812</v>
      </c>
      <c r="C702" t="s">
        <v>802</v>
      </c>
      <c r="D702" t="s">
        <v>3108</v>
      </c>
      <c r="E702" t="s">
        <v>4350</v>
      </c>
      <c r="F702">
        <v>4020056</v>
      </c>
      <c r="G702" t="s">
        <v>4351</v>
      </c>
      <c r="H702" t="s">
        <v>805</v>
      </c>
      <c r="I702">
        <v>115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115</v>
      </c>
      <c r="P702" s="44" t="e">
        <f>_xlfn.XLOOKUP(Tabla5[[#This Row],[EAN CORREGIDO]],'Tabla Articulos'!B:B,'Tabla Articulos'!D:D)</f>
        <v>#N/A</v>
      </c>
      <c r="Q702" s="44" t="e">
        <f>_xlfn.XLOOKUP(S702,'Tabla Articulos'!B:B,'Tabla Articulos'!E:E)</f>
        <v>#N/A</v>
      </c>
      <c r="R702" s="44" t="e">
        <f t="shared" si="20"/>
        <v>#N/A</v>
      </c>
      <c r="S702" s="45" t="str">
        <f t="shared" si="21"/>
        <v>7793875314206</v>
      </c>
    </row>
    <row r="703" spans="1:19" hidden="1" x14ac:dyDescent="0.35">
      <c r="A703" s="22">
        <v>5</v>
      </c>
      <c r="B703" t="s">
        <v>829</v>
      </c>
      <c r="C703" t="s">
        <v>802</v>
      </c>
      <c r="D703" t="s">
        <v>3108</v>
      </c>
      <c r="E703" t="s">
        <v>4350</v>
      </c>
      <c r="F703">
        <v>4020056</v>
      </c>
      <c r="G703" t="s">
        <v>4351</v>
      </c>
      <c r="H703" t="s">
        <v>805</v>
      </c>
      <c r="I703">
        <v>12</v>
      </c>
      <c r="J703">
        <v>0</v>
      </c>
      <c r="K703">
        <v>0</v>
      </c>
      <c r="L703">
        <v>0</v>
      </c>
      <c r="M703">
        <v>10</v>
      </c>
      <c r="N703">
        <v>0</v>
      </c>
      <c r="O703">
        <v>2</v>
      </c>
      <c r="P703" s="44" t="e">
        <f>_xlfn.XLOOKUP(Tabla5[[#This Row],[EAN CORREGIDO]],'Tabla Articulos'!B:B,'Tabla Articulos'!D:D)</f>
        <v>#N/A</v>
      </c>
      <c r="Q703" s="44" t="e">
        <f>_xlfn.XLOOKUP(S703,'Tabla Articulos'!B:B,'Tabla Articulos'!E:E)</f>
        <v>#N/A</v>
      </c>
      <c r="R703" s="44" t="e">
        <f t="shared" si="20"/>
        <v>#N/A</v>
      </c>
      <c r="S703" s="45" t="str">
        <f t="shared" si="21"/>
        <v>7793875314206</v>
      </c>
    </row>
    <row r="704" spans="1:19" hidden="1" x14ac:dyDescent="0.35">
      <c r="A704" s="22">
        <v>1</v>
      </c>
      <c r="B704" t="s">
        <v>812</v>
      </c>
      <c r="C704" t="s">
        <v>802</v>
      </c>
      <c r="D704" t="s">
        <v>3626</v>
      </c>
      <c r="E704" t="s">
        <v>4352</v>
      </c>
      <c r="F704">
        <v>4020096</v>
      </c>
      <c r="G704" t="s">
        <v>4353</v>
      </c>
      <c r="H704" t="s">
        <v>805</v>
      </c>
      <c r="I704">
        <v>20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20</v>
      </c>
      <c r="P704" s="44" t="e">
        <f>_xlfn.XLOOKUP(Tabla5[[#This Row],[EAN CORREGIDO]],'Tabla Articulos'!B:B,'Tabla Articulos'!D:D)</f>
        <v>#N/A</v>
      </c>
      <c r="Q704" s="44" t="e">
        <f>_xlfn.XLOOKUP(S704,'Tabla Articulos'!B:B,'Tabla Articulos'!E:E)</f>
        <v>#N/A</v>
      </c>
      <c r="R704" s="44" t="e">
        <f t="shared" si="20"/>
        <v>#N/A</v>
      </c>
      <c r="S704" s="45" t="str">
        <f t="shared" si="21"/>
        <v>7793875316934</v>
      </c>
    </row>
    <row r="705" spans="1:19" hidden="1" x14ac:dyDescent="0.35">
      <c r="A705" s="22">
        <v>6</v>
      </c>
      <c r="B705" t="s">
        <v>801</v>
      </c>
      <c r="C705" t="s">
        <v>802</v>
      </c>
      <c r="D705" s="11" t="s">
        <v>923</v>
      </c>
      <c r="E705" t="s">
        <v>4770</v>
      </c>
      <c r="F705">
        <v>2006551</v>
      </c>
      <c r="G705" t="s">
        <v>4771</v>
      </c>
      <c r="H705" t="s">
        <v>805</v>
      </c>
      <c r="I705">
        <v>14</v>
      </c>
      <c r="J705">
        <v>0</v>
      </c>
      <c r="K705">
        <v>0</v>
      </c>
      <c r="L705">
        <v>0</v>
      </c>
      <c r="M705">
        <v>2</v>
      </c>
      <c r="N705">
        <v>0</v>
      </c>
      <c r="O705">
        <v>12</v>
      </c>
      <c r="P705" s="44" t="e">
        <f>_xlfn.XLOOKUP(Tabla5[[#This Row],[EAN CORREGIDO]],'Tabla Articulos'!B:B,'Tabla Articulos'!D:D)</f>
        <v>#N/A</v>
      </c>
      <c r="Q705" s="44" t="e">
        <f>_xlfn.XLOOKUP(S705,'Tabla Articulos'!B:B,'Tabla Articulos'!E:E)</f>
        <v>#N/A</v>
      </c>
      <c r="R705" s="44" t="e">
        <f t="shared" ref="R705:R768" si="22">O705*Q705</f>
        <v>#N/A</v>
      </c>
      <c r="S705" s="45" t="str">
        <f t="shared" ref="S705:S768" si="23">TRIM(E705)</f>
        <v>LIM000334</v>
      </c>
    </row>
    <row r="706" spans="1:19" hidden="1" x14ac:dyDescent="0.35">
      <c r="A706" s="22">
        <v>6</v>
      </c>
      <c r="B706" t="s">
        <v>801</v>
      </c>
      <c r="C706" t="s">
        <v>802</v>
      </c>
      <c r="D706"/>
      <c r="E706" t="s">
        <v>4772</v>
      </c>
      <c r="F706">
        <v>9003243</v>
      </c>
      <c r="G706" t="s">
        <v>4773</v>
      </c>
      <c r="H706" t="s">
        <v>805</v>
      </c>
      <c r="I706">
        <v>22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22</v>
      </c>
      <c r="P706" s="44" t="e">
        <f>_xlfn.XLOOKUP(Tabla5[[#This Row],[EAN CORREGIDO]],'Tabla Articulos'!B:B,'Tabla Articulos'!D:D)</f>
        <v>#N/A</v>
      </c>
      <c r="Q706" s="44" t="e">
        <f>_xlfn.XLOOKUP(S706,'Tabla Articulos'!B:B,'Tabla Articulos'!E:E)</f>
        <v>#N/A</v>
      </c>
      <c r="R706" s="44" t="e">
        <f t="shared" si="22"/>
        <v>#N/A</v>
      </c>
      <c r="S706" s="45" t="str">
        <f t="shared" si="23"/>
        <v>UNIF000471</v>
      </c>
    </row>
    <row r="707" spans="1:19" hidden="1" x14ac:dyDescent="0.35">
      <c r="A707" s="22">
        <v>6</v>
      </c>
      <c r="B707" t="s">
        <v>801</v>
      </c>
      <c r="C707" t="s">
        <v>802</v>
      </c>
      <c r="D707"/>
      <c r="E707" t="s">
        <v>4774</v>
      </c>
      <c r="F707">
        <v>9003212</v>
      </c>
      <c r="G707" t="s">
        <v>4775</v>
      </c>
      <c r="H707" t="s">
        <v>805</v>
      </c>
      <c r="I707">
        <v>30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30</v>
      </c>
      <c r="P707" s="44" t="e">
        <f>_xlfn.XLOOKUP(Tabla5[[#This Row],[EAN CORREGIDO]],'Tabla Articulos'!B:B,'Tabla Articulos'!D:D)</f>
        <v>#N/A</v>
      </c>
      <c r="Q707" s="44" t="e">
        <f>_xlfn.XLOOKUP(S707,'Tabla Articulos'!B:B,'Tabla Articulos'!E:E)</f>
        <v>#N/A</v>
      </c>
      <c r="R707" s="44" t="e">
        <f t="shared" si="22"/>
        <v>#N/A</v>
      </c>
      <c r="S707" s="45" t="str">
        <f t="shared" si="23"/>
        <v>UNIF000112</v>
      </c>
    </row>
    <row r="708" spans="1:19" hidden="1" x14ac:dyDescent="0.35">
      <c r="A708" s="22">
        <v>6</v>
      </c>
      <c r="B708" t="s">
        <v>801</v>
      </c>
      <c r="C708" t="s">
        <v>802</v>
      </c>
      <c r="D708" t="s">
        <v>4776</v>
      </c>
      <c r="E708" t="s">
        <v>4777</v>
      </c>
      <c r="F708">
        <v>2006904</v>
      </c>
      <c r="G708" t="s">
        <v>4778</v>
      </c>
      <c r="H708" t="s">
        <v>805</v>
      </c>
      <c r="I708">
        <v>33</v>
      </c>
      <c r="J708">
        <v>12</v>
      </c>
      <c r="K708">
        <v>12</v>
      </c>
      <c r="L708">
        <v>0</v>
      </c>
      <c r="M708">
        <v>0</v>
      </c>
      <c r="N708">
        <v>0</v>
      </c>
      <c r="O708">
        <v>33</v>
      </c>
      <c r="P708" s="44" t="e">
        <f>_xlfn.XLOOKUP(Tabla5[[#This Row],[EAN CORREGIDO]],'Tabla Articulos'!B:B,'Tabla Articulos'!D:D)</f>
        <v>#N/A</v>
      </c>
      <c r="Q708" s="44" t="e">
        <f>_xlfn.XLOOKUP(S708,'Tabla Articulos'!B:B,'Tabla Articulos'!E:E)</f>
        <v>#N/A</v>
      </c>
      <c r="R708" s="44" t="e">
        <f t="shared" si="22"/>
        <v>#N/A</v>
      </c>
      <c r="S708" s="45" t="str">
        <f t="shared" si="23"/>
        <v>LIM000477</v>
      </c>
    </row>
    <row r="709" spans="1:19" hidden="1" x14ac:dyDescent="0.35">
      <c r="A709" s="22">
        <v>6</v>
      </c>
      <c r="B709" t="s">
        <v>801</v>
      </c>
      <c r="C709" t="s">
        <v>802</v>
      </c>
      <c r="E709" t="s">
        <v>4779</v>
      </c>
      <c r="F709">
        <v>9003035</v>
      </c>
      <c r="G709" t="s">
        <v>4780</v>
      </c>
      <c r="H709" t="s">
        <v>805</v>
      </c>
      <c r="I709">
        <v>10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10</v>
      </c>
      <c r="P709" s="44" t="e">
        <f>_xlfn.XLOOKUP(Tabla5[[#This Row],[EAN CORREGIDO]],'Tabla Articulos'!B:B,'Tabla Articulos'!D:D)</f>
        <v>#N/A</v>
      </c>
      <c r="Q709" s="44" t="e">
        <f>_xlfn.XLOOKUP(S709,'Tabla Articulos'!B:B,'Tabla Articulos'!E:E)</f>
        <v>#N/A</v>
      </c>
      <c r="R709" s="44" t="e">
        <f t="shared" si="22"/>
        <v>#N/A</v>
      </c>
      <c r="S709" s="45" t="str">
        <f t="shared" si="23"/>
        <v>A1607C25T77</v>
      </c>
    </row>
    <row r="710" spans="1:19" hidden="1" x14ac:dyDescent="0.35">
      <c r="A710" s="22">
        <v>6</v>
      </c>
      <c r="B710" t="s">
        <v>801</v>
      </c>
      <c r="C710" t="s">
        <v>802</v>
      </c>
      <c r="D710" t="s">
        <v>920</v>
      </c>
      <c r="E710" t="s">
        <v>1542</v>
      </c>
      <c r="F710">
        <v>2006497</v>
      </c>
      <c r="G710" t="s">
        <v>1543</v>
      </c>
      <c r="H710" t="s">
        <v>805</v>
      </c>
      <c r="I710">
        <v>30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30</v>
      </c>
      <c r="P710" s="44" t="e">
        <f>_xlfn.XLOOKUP(Tabla5[[#This Row],[EAN CORREGIDO]],'Tabla Articulos'!B:B,'Tabla Articulos'!D:D)</f>
        <v>#N/A</v>
      </c>
      <c r="Q710" s="44" t="e">
        <f>_xlfn.XLOOKUP(S710,'Tabla Articulos'!B:B,'Tabla Articulos'!E:E)</f>
        <v>#N/A</v>
      </c>
      <c r="R710" s="44" t="e">
        <f t="shared" si="22"/>
        <v>#N/A</v>
      </c>
      <c r="S710" s="45" t="str">
        <f t="shared" si="23"/>
        <v>7791625008528</v>
      </c>
    </row>
    <row r="711" spans="1:19" hidden="1" x14ac:dyDescent="0.35">
      <c r="A711" s="22">
        <v>6</v>
      </c>
      <c r="B711" t="s">
        <v>801</v>
      </c>
      <c r="C711" t="s">
        <v>802</v>
      </c>
      <c r="D711"/>
      <c r="E711" t="s">
        <v>1544</v>
      </c>
      <c r="F711">
        <v>9003603</v>
      </c>
      <c r="G711" t="s">
        <v>1545</v>
      </c>
      <c r="H711" t="s">
        <v>805</v>
      </c>
      <c r="I711">
        <v>37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37</v>
      </c>
      <c r="P711" s="44" t="e">
        <f>_xlfn.XLOOKUP(Tabla5[[#This Row],[EAN CORREGIDO]],'Tabla Articulos'!B:B,'Tabla Articulos'!D:D)</f>
        <v>#N/A</v>
      </c>
      <c r="Q711" s="44" t="e">
        <f>_xlfn.XLOOKUP(S711,'Tabla Articulos'!B:B,'Tabla Articulos'!E:E)</f>
        <v>#N/A</v>
      </c>
      <c r="R711" s="44" t="e">
        <f t="shared" si="22"/>
        <v>#N/A</v>
      </c>
      <c r="S711" s="45" t="str">
        <f t="shared" si="23"/>
        <v>UNIF000442</v>
      </c>
    </row>
    <row r="712" spans="1:19" hidden="1" x14ac:dyDescent="0.35">
      <c r="A712" s="22">
        <v>6</v>
      </c>
      <c r="B712" t="s">
        <v>801</v>
      </c>
      <c r="C712" t="s">
        <v>802</v>
      </c>
      <c r="E712" t="s">
        <v>1546</v>
      </c>
      <c r="F712">
        <v>9004200</v>
      </c>
      <c r="G712" t="s">
        <v>1547</v>
      </c>
      <c r="H712" t="s">
        <v>805</v>
      </c>
      <c r="I712">
        <v>30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30</v>
      </c>
      <c r="P712" s="44" t="e">
        <f>_xlfn.XLOOKUP(Tabla5[[#This Row],[EAN CORREGIDO]],'Tabla Articulos'!B:B,'Tabla Articulos'!D:D)</f>
        <v>#N/A</v>
      </c>
      <c r="Q712" s="44" t="e">
        <f>_xlfn.XLOOKUP(S712,'Tabla Articulos'!B:B,'Tabla Articulos'!E:E)</f>
        <v>#N/A</v>
      </c>
      <c r="R712" s="44" t="e">
        <f t="shared" si="22"/>
        <v>#N/A</v>
      </c>
      <c r="S712" s="45" t="str">
        <f t="shared" si="23"/>
        <v>UNIF000746</v>
      </c>
    </row>
    <row r="713" spans="1:19" hidden="1" x14ac:dyDescent="0.35">
      <c r="A713" s="22">
        <v>6</v>
      </c>
      <c r="B713" t="s">
        <v>801</v>
      </c>
      <c r="C713" t="s">
        <v>802</v>
      </c>
      <c r="E713" t="s">
        <v>1548</v>
      </c>
      <c r="F713">
        <v>9003520</v>
      </c>
      <c r="G713" t="s">
        <v>1549</v>
      </c>
      <c r="H713" t="s">
        <v>805</v>
      </c>
      <c r="I713">
        <v>13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13</v>
      </c>
      <c r="P713" s="44" t="e">
        <f>_xlfn.XLOOKUP(Tabla5[[#This Row],[EAN CORREGIDO]],'Tabla Articulos'!B:B,'Tabla Articulos'!D:D)</f>
        <v>#N/A</v>
      </c>
      <c r="Q713" s="44" t="e">
        <f>_xlfn.XLOOKUP(S713,'Tabla Articulos'!B:B,'Tabla Articulos'!E:E)</f>
        <v>#N/A</v>
      </c>
      <c r="R713" s="44" t="e">
        <f t="shared" si="22"/>
        <v>#N/A</v>
      </c>
      <c r="S713" s="45" t="str">
        <f t="shared" si="23"/>
        <v>UNIF000347</v>
      </c>
    </row>
    <row r="714" spans="1:19" hidden="1" x14ac:dyDescent="0.35">
      <c r="A714" s="22">
        <v>6</v>
      </c>
      <c r="B714" t="s">
        <v>801</v>
      </c>
      <c r="C714" t="s">
        <v>802</v>
      </c>
      <c r="D714"/>
      <c r="E714" t="s">
        <v>1550</v>
      </c>
      <c r="F714">
        <v>9003250</v>
      </c>
      <c r="G714" t="s">
        <v>1551</v>
      </c>
      <c r="H714" t="s">
        <v>805</v>
      </c>
      <c r="I714">
        <v>94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94</v>
      </c>
      <c r="P714" s="44" t="e">
        <f>_xlfn.XLOOKUP(Tabla5[[#This Row],[EAN CORREGIDO]],'Tabla Articulos'!B:B,'Tabla Articulos'!D:D)</f>
        <v>#N/A</v>
      </c>
      <c r="Q714" s="44" t="e">
        <f>_xlfn.XLOOKUP(S714,'Tabla Articulos'!B:B,'Tabla Articulos'!E:E)</f>
        <v>#N/A</v>
      </c>
      <c r="R714" s="44" t="e">
        <f t="shared" si="22"/>
        <v>#N/A</v>
      </c>
      <c r="S714" s="45" t="str">
        <f t="shared" si="23"/>
        <v>UNIF000478</v>
      </c>
    </row>
    <row r="715" spans="1:19" hidden="1" x14ac:dyDescent="0.35">
      <c r="A715" s="22">
        <v>5</v>
      </c>
      <c r="B715" t="s">
        <v>829</v>
      </c>
      <c r="C715" t="s">
        <v>802</v>
      </c>
      <c r="D715" t="s">
        <v>896</v>
      </c>
      <c r="E715" t="s">
        <v>2510</v>
      </c>
      <c r="F715">
        <v>4020650</v>
      </c>
      <c r="G715" t="s">
        <v>2511</v>
      </c>
      <c r="H715" t="s">
        <v>805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 s="44" t="e">
        <f>_xlfn.XLOOKUP(Tabla5[[#This Row],[EAN CORREGIDO]],'Tabla Articulos'!B:B,'Tabla Articulos'!D:D)</f>
        <v>#N/A</v>
      </c>
      <c r="Q715" s="44" t="e">
        <f>_xlfn.XLOOKUP(S715,'Tabla Articulos'!B:B,'Tabla Articulos'!E:E)</f>
        <v>#N/A</v>
      </c>
      <c r="R715" s="44" t="e">
        <f t="shared" si="22"/>
        <v>#N/A</v>
      </c>
      <c r="S715" s="45" t="str">
        <f t="shared" si="23"/>
        <v>7790971001221</v>
      </c>
    </row>
    <row r="716" spans="1:19" hidden="1" x14ac:dyDescent="0.35">
      <c r="A716" s="22">
        <v>1</v>
      </c>
      <c r="B716" t="s">
        <v>812</v>
      </c>
      <c r="C716" t="s">
        <v>802</v>
      </c>
      <c r="D716" t="s">
        <v>2299</v>
      </c>
      <c r="E716" t="s">
        <v>2512</v>
      </c>
      <c r="F716">
        <v>4019771</v>
      </c>
      <c r="G716" t="s">
        <v>2513</v>
      </c>
      <c r="H716" t="s">
        <v>805</v>
      </c>
      <c r="I716">
        <v>663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663</v>
      </c>
      <c r="P716" s="44" t="e">
        <f>_xlfn.XLOOKUP(Tabla5[[#This Row],[EAN CORREGIDO]],'Tabla Articulos'!B:B,'Tabla Articulos'!D:D)</f>
        <v>#N/A</v>
      </c>
      <c r="Q716" s="44" t="e">
        <f>_xlfn.XLOOKUP(S716,'Tabla Articulos'!B:B,'Tabla Articulos'!E:E)</f>
        <v>#N/A</v>
      </c>
      <c r="R716" s="44" t="e">
        <f t="shared" si="22"/>
        <v>#N/A</v>
      </c>
      <c r="S716" s="45" t="str">
        <f t="shared" si="23"/>
        <v>7790580132774</v>
      </c>
    </row>
    <row r="717" spans="1:19" hidden="1" x14ac:dyDescent="0.35">
      <c r="A717" s="22">
        <v>5</v>
      </c>
      <c r="B717" t="s">
        <v>829</v>
      </c>
      <c r="C717" t="s">
        <v>802</v>
      </c>
      <c r="D717" s="11" t="s">
        <v>2514</v>
      </c>
      <c r="E717" t="s">
        <v>2515</v>
      </c>
      <c r="F717">
        <v>4019986</v>
      </c>
      <c r="G717" t="s">
        <v>2516</v>
      </c>
      <c r="H717" t="s">
        <v>805</v>
      </c>
      <c r="I717">
        <v>586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586</v>
      </c>
      <c r="P717" s="44" t="e">
        <f>_xlfn.XLOOKUP(Tabla5[[#This Row],[EAN CORREGIDO]],'Tabla Articulos'!B:B,'Tabla Articulos'!D:D)</f>
        <v>#N/A</v>
      </c>
      <c r="Q717" s="44" t="e">
        <f>_xlfn.XLOOKUP(S717,'Tabla Articulos'!B:B,'Tabla Articulos'!E:E)</f>
        <v>#N/A</v>
      </c>
      <c r="R717" s="44" t="e">
        <f t="shared" si="22"/>
        <v>#N/A</v>
      </c>
      <c r="S717" s="45" t="str">
        <f t="shared" si="23"/>
        <v>7792900950013</v>
      </c>
    </row>
    <row r="718" spans="1:19" hidden="1" x14ac:dyDescent="0.35">
      <c r="A718" s="22">
        <v>6</v>
      </c>
      <c r="B718" t="s">
        <v>801</v>
      </c>
      <c r="C718" t="s">
        <v>802</v>
      </c>
      <c r="D718"/>
      <c r="E718" t="s">
        <v>2517</v>
      </c>
      <c r="F718">
        <v>9003248</v>
      </c>
      <c r="G718" t="s">
        <v>2518</v>
      </c>
      <c r="H718" t="s">
        <v>805</v>
      </c>
      <c r="I718">
        <v>43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43</v>
      </c>
      <c r="P718" s="44" t="e">
        <f>_xlfn.XLOOKUP(Tabla5[[#This Row],[EAN CORREGIDO]],'Tabla Articulos'!B:B,'Tabla Articulos'!D:D)</f>
        <v>#N/A</v>
      </c>
      <c r="Q718" s="44" t="e">
        <f>_xlfn.XLOOKUP(S718,'Tabla Articulos'!B:B,'Tabla Articulos'!E:E)</f>
        <v>#N/A</v>
      </c>
      <c r="R718" s="44" t="e">
        <f t="shared" si="22"/>
        <v>#N/A</v>
      </c>
      <c r="S718" s="45" t="str">
        <f t="shared" si="23"/>
        <v>UNIF000476</v>
      </c>
    </row>
    <row r="719" spans="1:19" hidden="1" x14ac:dyDescent="0.35">
      <c r="A719" s="22">
        <v>1</v>
      </c>
      <c r="B719" t="s">
        <v>812</v>
      </c>
      <c r="C719" t="s">
        <v>802</v>
      </c>
      <c r="D719" s="11" t="s">
        <v>2519</v>
      </c>
      <c r="E719" t="s">
        <v>2520</v>
      </c>
      <c r="F719">
        <v>4020208</v>
      </c>
      <c r="G719" t="s">
        <v>2521</v>
      </c>
      <c r="H719" t="s">
        <v>805</v>
      </c>
      <c r="I719">
        <v>60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60</v>
      </c>
      <c r="P719" s="44" t="e">
        <f>_xlfn.XLOOKUP(Tabla5[[#This Row],[EAN CORREGIDO]],'Tabla Articulos'!B:B,'Tabla Articulos'!D:D)</f>
        <v>#N/A</v>
      </c>
      <c r="Q719" s="44" t="e">
        <f>_xlfn.XLOOKUP(S719,'Tabla Articulos'!B:B,'Tabla Articulos'!E:E)</f>
        <v>#N/A</v>
      </c>
      <c r="R719" s="44" t="e">
        <f t="shared" si="22"/>
        <v>#N/A</v>
      </c>
      <c r="S719" s="45" t="str">
        <f t="shared" si="23"/>
        <v>7797470004708</v>
      </c>
    </row>
    <row r="720" spans="1:19" hidden="1" x14ac:dyDescent="0.35">
      <c r="A720" s="22">
        <v>1</v>
      </c>
      <c r="B720" t="s">
        <v>812</v>
      </c>
      <c r="C720" t="s">
        <v>802</v>
      </c>
      <c r="D720" s="11" t="s">
        <v>2165</v>
      </c>
      <c r="E720" t="s">
        <v>2818</v>
      </c>
      <c r="F720">
        <v>4018402</v>
      </c>
      <c r="G720" t="s">
        <v>2819</v>
      </c>
      <c r="H720" t="s">
        <v>805</v>
      </c>
      <c r="I720">
        <v>15203</v>
      </c>
      <c r="J720">
        <v>928</v>
      </c>
      <c r="K720">
        <v>0</v>
      </c>
      <c r="L720">
        <v>0</v>
      </c>
      <c r="M720">
        <v>0</v>
      </c>
      <c r="N720">
        <v>0</v>
      </c>
      <c r="O720">
        <v>16131</v>
      </c>
      <c r="P720" s="44" t="e">
        <f>_xlfn.XLOOKUP(Tabla5[[#This Row],[EAN CORREGIDO]],'Tabla Articulos'!B:B,'Tabla Articulos'!D:D)</f>
        <v>#N/A</v>
      </c>
      <c r="Q720" s="44" t="e">
        <f>_xlfn.XLOOKUP(S720,'Tabla Articulos'!B:B,'Tabla Articulos'!E:E)</f>
        <v>#N/A</v>
      </c>
      <c r="R720" s="44" t="e">
        <f t="shared" si="22"/>
        <v>#N/A</v>
      </c>
      <c r="S720" s="45" t="str">
        <f t="shared" si="23"/>
        <v>7798181641435</v>
      </c>
    </row>
    <row r="721" spans="1:19" hidden="1" x14ac:dyDescent="0.35">
      <c r="A721" s="22">
        <v>6</v>
      </c>
      <c r="B721" t="s">
        <v>801</v>
      </c>
      <c r="C721" t="s">
        <v>802</v>
      </c>
      <c r="D721" t="s">
        <v>387</v>
      </c>
      <c r="E721" t="s">
        <v>2820</v>
      </c>
      <c r="F721">
        <v>2006692</v>
      </c>
      <c r="G721" t="s">
        <v>2821</v>
      </c>
      <c r="H721" t="s">
        <v>805</v>
      </c>
      <c r="I721">
        <v>0</v>
      </c>
      <c r="J721">
        <v>1000</v>
      </c>
      <c r="K721">
        <v>1000</v>
      </c>
      <c r="L721">
        <v>0</v>
      </c>
      <c r="M721">
        <v>0</v>
      </c>
      <c r="N721">
        <v>0</v>
      </c>
      <c r="O721">
        <v>0</v>
      </c>
      <c r="P721" s="44" t="str">
        <f>_xlfn.XLOOKUP(Tabla5[[#This Row],[EAN CORREGIDO]],'Tabla Articulos'!B:B,'Tabla Articulos'!D:D)</f>
        <v>BOLSA CUBIERTO 10X25</v>
      </c>
      <c r="Q721" s="44">
        <f>_xlfn.XLOOKUP(S721,'Tabla Articulos'!B:B,'Tabla Articulos'!E:E)</f>
        <v>100</v>
      </c>
      <c r="R721" s="44">
        <f t="shared" si="22"/>
        <v>0</v>
      </c>
      <c r="S721" s="45" t="str">
        <f t="shared" si="23"/>
        <v>7790321020992</v>
      </c>
    </row>
    <row r="722" spans="1:19" hidden="1" x14ac:dyDescent="0.35">
      <c r="A722" s="22">
        <v>6</v>
      </c>
      <c r="B722" t="s">
        <v>801</v>
      </c>
      <c r="C722" t="s">
        <v>802</v>
      </c>
      <c r="E722" t="s">
        <v>2822</v>
      </c>
      <c r="F722">
        <v>9003081</v>
      </c>
      <c r="G722" t="s">
        <v>2823</v>
      </c>
      <c r="H722" t="s">
        <v>805</v>
      </c>
      <c r="I722">
        <v>11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</v>
      </c>
      <c r="P722" s="44" t="e">
        <f>_xlfn.XLOOKUP(Tabla5[[#This Row],[EAN CORREGIDO]],'Tabla Articulos'!B:B,'Tabla Articulos'!D:D)</f>
        <v>#N/A</v>
      </c>
      <c r="Q722" s="44" t="e">
        <f>_xlfn.XLOOKUP(S722,'Tabla Articulos'!B:B,'Tabla Articulos'!E:E)</f>
        <v>#N/A</v>
      </c>
      <c r="R722" s="44" t="e">
        <f t="shared" si="22"/>
        <v>#N/A</v>
      </c>
      <c r="S722" s="45" t="str">
        <f t="shared" si="23"/>
        <v>UNIF000543</v>
      </c>
    </row>
    <row r="723" spans="1:19" hidden="1" x14ac:dyDescent="0.35">
      <c r="A723" s="22">
        <v>5</v>
      </c>
      <c r="B723" t="s">
        <v>829</v>
      </c>
      <c r="C723" t="s">
        <v>802</v>
      </c>
      <c r="D723" t="s">
        <v>2824</v>
      </c>
      <c r="E723" t="s">
        <v>2825</v>
      </c>
      <c r="F723">
        <v>4019416</v>
      </c>
      <c r="G723" t="s">
        <v>2826</v>
      </c>
      <c r="H723" t="s">
        <v>805</v>
      </c>
      <c r="I723">
        <v>263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263</v>
      </c>
      <c r="P723" s="44" t="e">
        <f>_xlfn.XLOOKUP(Tabla5[[#This Row],[EAN CORREGIDO]],'Tabla Articulos'!B:B,'Tabla Articulos'!D:D)</f>
        <v>#N/A</v>
      </c>
      <c r="Q723" s="44" t="e">
        <f>_xlfn.XLOOKUP(S723,'Tabla Articulos'!B:B,'Tabla Articulos'!E:E)</f>
        <v>#N/A</v>
      </c>
      <c r="R723" s="44" t="e">
        <f t="shared" si="22"/>
        <v>#N/A</v>
      </c>
      <c r="S723" s="45" t="str">
        <f t="shared" si="23"/>
        <v>7790045823575</v>
      </c>
    </row>
    <row r="724" spans="1:19" hidden="1" x14ac:dyDescent="0.35">
      <c r="A724" s="22">
        <v>1</v>
      </c>
      <c r="B724" t="s">
        <v>812</v>
      </c>
      <c r="C724" t="s">
        <v>802</v>
      </c>
      <c r="D724" t="s">
        <v>1363</v>
      </c>
      <c r="E724" t="s">
        <v>1364</v>
      </c>
      <c r="F724">
        <v>4020625</v>
      </c>
      <c r="G724" t="s">
        <v>1365</v>
      </c>
      <c r="H724" t="s">
        <v>805</v>
      </c>
      <c r="I724">
        <v>83</v>
      </c>
      <c r="J724">
        <v>0</v>
      </c>
      <c r="K724">
        <v>0</v>
      </c>
      <c r="L724">
        <v>2</v>
      </c>
      <c r="M724">
        <v>2</v>
      </c>
      <c r="N724">
        <v>0</v>
      </c>
      <c r="O724">
        <v>79</v>
      </c>
      <c r="P724" s="44" t="e">
        <f>_xlfn.XLOOKUP(Tabla5[[#This Row],[EAN CORREGIDO]],'Tabla Articulos'!B:B,'Tabla Articulos'!D:D)</f>
        <v>#N/A</v>
      </c>
      <c r="Q724" s="44" t="e">
        <f>_xlfn.XLOOKUP(S724,'Tabla Articulos'!B:B,'Tabla Articulos'!E:E)</f>
        <v>#N/A</v>
      </c>
      <c r="R724" s="44" t="e">
        <f t="shared" si="22"/>
        <v>#N/A</v>
      </c>
      <c r="S724" s="45" t="str">
        <f t="shared" si="23"/>
        <v>7793875321341</v>
      </c>
    </row>
    <row r="725" spans="1:19" hidden="1" x14ac:dyDescent="0.35">
      <c r="A725" s="22">
        <v>5</v>
      </c>
      <c r="B725" t="s">
        <v>829</v>
      </c>
      <c r="C725" t="s">
        <v>802</v>
      </c>
      <c r="D725" t="s">
        <v>1363</v>
      </c>
      <c r="E725" t="s">
        <v>1364</v>
      </c>
      <c r="F725">
        <v>4020625</v>
      </c>
      <c r="G725" t="s">
        <v>1365</v>
      </c>
      <c r="H725" t="s">
        <v>805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 s="44" t="e">
        <f>_xlfn.XLOOKUP(Tabla5[[#This Row],[EAN CORREGIDO]],'Tabla Articulos'!B:B,'Tabla Articulos'!D:D)</f>
        <v>#N/A</v>
      </c>
      <c r="Q725" s="44" t="e">
        <f>_xlfn.XLOOKUP(S725,'Tabla Articulos'!B:B,'Tabla Articulos'!E:E)</f>
        <v>#N/A</v>
      </c>
      <c r="R725" s="44" t="e">
        <f t="shared" si="22"/>
        <v>#N/A</v>
      </c>
      <c r="S725" s="45" t="str">
        <f t="shared" si="23"/>
        <v>7793875321341</v>
      </c>
    </row>
    <row r="726" spans="1:19" hidden="1" x14ac:dyDescent="0.35">
      <c r="A726" s="22">
        <v>5</v>
      </c>
      <c r="B726" t="s">
        <v>829</v>
      </c>
      <c r="C726" t="s">
        <v>802</v>
      </c>
      <c r="D726" t="s">
        <v>1366</v>
      </c>
      <c r="E726" t="s">
        <v>1367</v>
      </c>
      <c r="F726">
        <v>4017394</v>
      </c>
      <c r="G726" t="s">
        <v>1368</v>
      </c>
      <c r="H726" t="s">
        <v>805</v>
      </c>
      <c r="I726">
        <v>1564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1564</v>
      </c>
      <c r="P726" s="44" t="e">
        <f>_xlfn.XLOOKUP(Tabla5[[#This Row],[EAN CORREGIDO]],'Tabla Articulos'!B:B,'Tabla Articulos'!D:D)</f>
        <v>#N/A</v>
      </c>
      <c r="Q726" s="44" t="e">
        <f>_xlfn.XLOOKUP(S726,'Tabla Articulos'!B:B,'Tabla Articulos'!E:E)</f>
        <v>#N/A</v>
      </c>
      <c r="R726" s="44" t="e">
        <f t="shared" si="22"/>
        <v>#N/A</v>
      </c>
      <c r="S726" s="45" t="str">
        <f t="shared" si="23"/>
        <v>7790154008122</v>
      </c>
    </row>
    <row r="727" spans="1:19" hidden="1" x14ac:dyDescent="0.35">
      <c r="A727" s="22">
        <v>1</v>
      </c>
      <c r="B727" t="s">
        <v>812</v>
      </c>
      <c r="C727" t="s">
        <v>802</v>
      </c>
      <c r="D727" s="11" t="s">
        <v>1366</v>
      </c>
      <c r="E727" t="s">
        <v>1367</v>
      </c>
      <c r="F727">
        <v>4017394</v>
      </c>
      <c r="G727" t="s">
        <v>1368</v>
      </c>
      <c r="H727" t="s">
        <v>805</v>
      </c>
      <c r="I727">
        <v>12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12</v>
      </c>
      <c r="P727" s="44" t="e">
        <f>_xlfn.XLOOKUP(Tabla5[[#This Row],[EAN CORREGIDO]],'Tabla Articulos'!B:B,'Tabla Articulos'!D:D)</f>
        <v>#N/A</v>
      </c>
      <c r="Q727" s="44" t="e">
        <f>_xlfn.XLOOKUP(S727,'Tabla Articulos'!B:B,'Tabla Articulos'!E:E)</f>
        <v>#N/A</v>
      </c>
      <c r="R727" s="44" t="e">
        <f t="shared" si="22"/>
        <v>#N/A</v>
      </c>
      <c r="S727" s="45" t="str">
        <f t="shared" si="23"/>
        <v>7790154008122</v>
      </c>
    </row>
    <row r="728" spans="1:19" hidden="1" x14ac:dyDescent="0.35">
      <c r="A728" s="22">
        <v>5</v>
      </c>
      <c r="B728" t="s">
        <v>829</v>
      </c>
      <c r="C728" t="s">
        <v>802</v>
      </c>
      <c r="D728" s="11" t="s">
        <v>1369</v>
      </c>
      <c r="E728" t="s">
        <v>1370</v>
      </c>
      <c r="F728">
        <v>4020219</v>
      </c>
      <c r="G728" t="s">
        <v>1371</v>
      </c>
      <c r="H728" t="s">
        <v>805</v>
      </c>
      <c r="I728">
        <v>14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14</v>
      </c>
      <c r="P728" s="44" t="e">
        <f>_xlfn.XLOOKUP(Tabla5[[#This Row],[EAN CORREGIDO]],'Tabla Articulos'!B:B,'Tabla Articulos'!D:D)</f>
        <v>#N/A</v>
      </c>
      <c r="Q728" s="44" t="e">
        <f>_xlfn.XLOOKUP(S728,'Tabla Articulos'!B:B,'Tabla Articulos'!E:E)</f>
        <v>#N/A</v>
      </c>
      <c r="R728" s="44" t="e">
        <f t="shared" si="22"/>
        <v>#N/A</v>
      </c>
      <c r="S728" s="45" t="str">
        <f t="shared" si="23"/>
        <v>7793875312103</v>
      </c>
    </row>
    <row r="729" spans="1:19" hidden="1" x14ac:dyDescent="0.35">
      <c r="A729" s="22">
        <v>1</v>
      </c>
      <c r="B729" t="s">
        <v>812</v>
      </c>
      <c r="C729" t="s">
        <v>802</v>
      </c>
      <c r="D729" t="s">
        <v>1369</v>
      </c>
      <c r="E729" t="s">
        <v>1370</v>
      </c>
      <c r="F729">
        <v>4020219</v>
      </c>
      <c r="G729" t="s">
        <v>1371</v>
      </c>
      <c r="H729" t="s">
        <v>805</v>
      </c>
      <c r="I729">
        <v>0</v>
      </c>
      <c r="J729">
        <v>10</v>
      </c>
      <c r="K729">
        <v>0</v>
      </c>
      <c r="L729">
        <v>0</v>
      </c>
      <c r="M729">
        <v>0</v>
      </c>
      <c r="N729">
        <v>0</v>
      </c>
      <c r="O729">
        <v>10</v>
      </c>
      <c r="P729" s="44" t="e">
        <f>_xlfn.XLOOKUP(Tabla5[[#This Row],[EAN CORREGIDO]],'Tabla Articulos'!B:B,'Tabla Articulos'!D:D)</f>
        <v>#N/A</v>
      </c>
      <c r="Q729" s="44" t="e">
        <f>_xlfn.XLOOKUP(S729,'Tabla Articulos'!B:B,'Tabla Articulos'!E:E)</f>
        <v>#N/A</v>
      </c>
      <c r="R729" s="44" t="e">
        <f t="shared" si="22"/>
        <v>#N/A</v>
      </c>
      <c r="S729" s="45" t="str">
        <f t="shared" si="23"/>
        <v>7793875312103</v>
      </c>
    </row>
    <row r="730" spans="1:19" hidden="1" x14ac:dyDescent="0.35">
      <c r="A730" s="22">
        <v>6</v>
      </c>
      <c r="B730" t="s">
        <v>801</v>
      </c>
      <c r="C730" t="s">
        <v>802</v>
      </c>
      <c r="D730"/>
      <c r="E730" t="s">
        <v>1372</v>
      </c>
      <c r="F730">
        <v>9003507</v>
      </c>
      <c r="G730" t="s">
        <v>1373</v>
      </c>
      <c r="H730" t="s">
        <v>805</v>
      </c>
      <c r="I730">
        <v>81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81</v>
      </c>
      <c r="P730" s="44" t="e">
        <f>_xlfn.XLOOKUP(Tabla5[[#This Row],[EAN CORREGIDO]],'Tabla Articulos'!B:B,'Tabla Articulos'!D:D)</f>
        <v>#N/A</v>
      </c>
      <c r="Q730" s="44" t="e">
        <f>_xlfn.XLOOKUP(S730,'Tabla Articulos'!B:B,'Tabla Articulos'!E:E)</f>
        <v>#N/A</v>
      </c>
      <c r="R730" s="44" t="e">
        <f t="shared" si="22"/>
        <v>#N/A</v>
      </c>
      <c r="S730" s="45" t="str">
        <f t="shared" si="23"/>
        <v>UNIF000239</v>
      </c>
    </row>
    <row r="731" spans="1:19" hidden="1" x14ac:dyDescent="0.35">
      <c r="A731" s="22">
        <v>6</v>
      </c>
      <c r="B731" t="s">
        <v>801</v>
      </c>
      <c r="C731" t="s">
        <v>802</v>
      </c>
      <c r="D731" t="s">
        <v>1374</v>
      </c>
      <c r="E731" t="s">
        <v>1375</v>
      </c>
      <c r="F731">
        <v>2006726</v>
      </c>
      <c r="G731" t="s">
        <v>1376</v>
      </c>
      <c r="H731" t="s">
        <v>805</v>
      </c>
      <c r="I731">
        <v>134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134</v>
      </c>
      <c r="P731" s="44" t="e">
        <f>_xlfn.XLOOKUP(Tabla5[[#This Row],[EAN CORREGIDO]],'Tabla Articulos'!B:B,'Tabla Articulos'!D:D)</f>
        <v>#N/A</v>
      </c>
      <c r="Q731" s="44" t="e">
        <f>_xlfn.XLOOKUP(S731,'Tabla Articulos'!B:B,'Tabla Articulos'!E:E)</f>
        <v>#N/A</v>
      </c>
      <c r="R731" s="44" t="e">
        <f t="shared" si="22"/>
        <v>#N/A</v>
      </c>
      <c r="S731" s="45" t="str">
        <f t="shared" si="23"/>
        <v>7798011944130</v>
      </c>
    </row>
    <row r="732" spans="1:19" hidden="1" x14ac:dyDescent="0.35">
      <c r="A732" s="22">
        <v>1</v>
      </c>
      <c r="B732" t="s">
        <v>812</v>
      </c>
      <c r="C732" t="s">
        <v>802</v>
      </c>
      <c r="D732" t="s">
        <v>1377</v>
      </c>
      <c r="E732" t="s">
        <v>1378</v>
      </c>
      <c r="F732">
        <v>4076839</v>
      </c>
      <c r="G732" t="s">
        <v>1379</v>
      </c>
      <c r="H732" t="s">
        <v>805</v>
      </c>
      <c r="I732">
        <v>298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298</v>
      </c>
      <c r="P732" s="44" t="e">
        <f>_xlfn.XLOOKUP(Tabla5[[#This Row],[EAN CORREGIDO]],'Tabla Articulos'!B:B,'Tabla Articulos'!D:D)</f>
        <v>#N/A</v>
      </c>
      <c r="Q732" s="44" t="e">
        <f>_xlfn.XLOOKUP(S732,'Tabla Articulos'!B:B,'Tabla Articulos'!E:E)</f>
        <v>#N/A</v>
      </c>
      <c r="R732" s="44" t="e">
        <f t="shared" si="22"/>
        <v>#N/A</v>
      </c>
      <c r="S732" s="45" t="str">
        <f t="shared" si="23"/>
        <v>7790150600344</v>
      </c>
    </row>
    <row r="733" spans="1:19" hidden="1" x14ac:dyDescent="0.35">
      <c r="A733" s="22">
        <v>1</v>
      </c>
      <c r="B733" t="s">
        <v>812</v>
      </c>
      <c r="C733" t="s">
        <v>802</v>
      </c>
      <c r="D733" s="11" t="s">
        <v>1764</v>
      </c>
      <c r="E733" t="s">
        <v>1765</v>
      </c>
      <c r="F733">
        <v>4019337</v>
      </c>
      <c r="G733" t="s">
        <v>1766</v>
      </c>
      <c r="H733" t="s">
        <v>805</v>
      </c>
      <c r="I733">
        <v>12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12</v>
      </c>
      <c r="P733" s="44" t="e">
        <f>_xlfn.XLOOKUP(Tabla5[[#This Row],[EAN CORREGIDO]],'Tabla Articulos'!B:B,'Tabla Articulos'!D:D)</f>
        <v>#N/A</v>
      </c>
      <c r="Q733" s="44" t="e">
        <f>_xlfn.XLOOKUP(S733,'Tabla Articulos'!B:B,'Tabla Articulos'!E:E)</f>
        <v>#N/A</v>
      </c>
      <c r="R733" s="44" t="e">
        <f t="shared" si="22"/>
        <v>#N/A</v>
      </c>
      <c r="S733" s="45" t="str">
        <f t="shared" si="23"/>
        <v>7790150406915</v>
      </c>
    </row>
    <row r="734" spans="1:19" hidden="1" x14ac:dyDescent="0.35">
      <c r="A734" s="22">
        <v>6</v>
      </c>
      <c r="B734" t="s">
        <v>801</v>
      </c>
      <c r="C734" t="s">
        <v>802</v>
      </c>
      <c r="D734"/>
      <c r="E734" t="s">
        <v>1767</v>
      </c>
      <c r="F734">
        <v>9003973</v>
      </c>
      <c r="G734" t="s">
        <v>1768</v>
      </c>
      <c r="H734" t="s">
        <v>805</v>
      </c>
      <c r="I734">
        <v>14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14</v>
      </c>
      <c r="P734" s="44" t="e">
        <f>_xlfn.XLOOKUP(Tabla5[[#This Row],[EAN CORREGIDO]],'Tabla Articulos'!B:B,'Tabla Articulos'!D:D)</f>
        <v>#N/A</v>
      </c>
      <c r="Q734" s="44" t="e">
        <f>_xlfn.XLOOKUP(S734,'Tabla Articulos'!B:B,'Tabla Articulos'!E:E)</f>
        <v>#N/A</v>
      </c>
      <c r="R734" s="44" t="e">
        <f t="shared" si="22"/>
        <v>#N/A</v>
      </c>
      <c r="S734" s="45" t="str">
        <f t="shared" si="23"/>
        <v>UNIF000643</v>
      </c>
    </row>
    <row r="735" spans="1:19" hidden="1" x14ac:dyDescent="0.35">
      <c r="A735" s="22">
        <v>1</v>
      </c>
      <c r="B735" t="s">
        <v>812</v>
      </c>
      <c r="C735" t="s">
        <v>802</v>
      </c>
      <c r="D735" s="11" t="s">
        <v>1769</v>
      </c>
      <c r="E735" t="s">
        <v>1770</v>
      </c>
      <c r="F735">
        <v>4024533</v>
      </c>
      <c r="G735" t="s">
        <v>1771</v>
      </c>
      <c r="H735" t="s">
        <v>805</v>
      </c>
      <c r="I735">
        <v>82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82</v>
      </c>
      <c r="P735" s="44" t="e">
        <f>_xlfn.XLOOKUP(Tabla5[[#This Row],[EAN CORREGIDO]],'Tabla Articulos'!B:B,'Tabla Articulos'!D:D)</f>
        <v>#N/A</v>
      </c>
      <c r="Q735" s="44" t="e">
        <f>_xlfn.XLOOKUP(S735,'Tabla Articulos'!B:B,'Tabla Articulos'!E:E)</f>
        <v>#N/A</v>
      </c>
      <c r="R735" s="44" t="e">
        <f t="shared" si="22"/>
        <v>#N/A</v>
      </c>
      <c r="S735" s="45" t="str">
        <f t="shared" si="23"/>
        <v>7790199605690</v>
      </c>
    </row>
    <row r="736" spans="1:19" hidden="1" x14ac:dyDescent="0.35">
      <c r="A736" s="22">
        <v>5</v>
      </c>
      <c r="B736" t="s">
        <v>829</v>
      </c>
      <c r="C736" t="s">
        <v>802</v>
      </c>
      <c r="D736" s="11" t="s">
        <v>1769</v>
      </c>
      <c r="E736" t="s">
        <v>1770</v>
      </c>
      <c r="F736">
        <v>4024533</v>
      </c>
      <c r="G736" t="s">
        <v>1771</v>
      </c>
      <c r="H736" t="s">
        <v>805</v>
      </c>
      <c r="I736">
        <v>3972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3972</v>
      </c>
      <c r="P736" s="44" t="e">
        <f>_xlfn.XLOOKUP(Tabla5[[#This Row],[EAN CORREGIDO]],'Tabla Articulos'!B:B,'Tabla Articulos'!D:D)</f>
        <v>#N/A</v>
      </c>
      <c r="Q736" s="44" t="e">
        <f>_xlfn.XLOOKUP(S736,'Tabla Articulos'!B:B,'Tabla Articulos'!E:E)</f>
        <v>#N/A</v>
      </c>
      <c r="R736" s="44" t="e">
        <f t="shared" si="22"/>
        <v>#N/A</v>
      </c>
      <c r="S736" s="45" t="str">
        <f t="shared" si="23"/>
        <v>7790199605690</v>
      </c>
    </row>
    <row r="737" spans="1:19" hidden="1" x14ac:dyDescent="0.35">
      <c r="A737" s="22">
        <v>6</v>
      </c>
      <c r="B737" t="s">
        <v>801</v>
      </c>
      <c r="C737" t="s">
        <v>802</v>
      </c>
      <c r="D737"/>
      <c r="E737" t="s">
        <v>1772</v>
      </c>
      <c r="F737">
        <v>9003491</v>
      </c>
      <c r="G737" t="s">
        <v>1773</v>
      </c>
      <c r="H737" t="s">
        <v>805</v>
      </c>
      <c r="I737">
        <v>12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12</v>
      </c>
      <c r="P737" s="44" t="e">
        <f>_xlfn.XLOOKUP(Tabla5[[#This Row],[EAN CORREGIDO]],'Tabla Articulos'!B:B,'Tabla Articulos'!D:D)</f>
        <v>#N/A</v>
      </c>
      <c r="Q737" s="44" t="e">
        <f>_xlfn.XLOOKUP(S737,'Tabla Articulos'!B:B,'Tabla Articulos'!E:E)</f>
        <v>#N/A</v>
      </c>
      <c r="R737" s="44" t="e">
        <f t="shared" si="22"/>
        <v>#N/A</v>
      </c>
      <c r="S737" s="45" t="str">
        <f t="shared" si="23"/>
        <v>UNIF000223</v>
      </c>
    </row>
    <row r="738" spans="1:19" hidden="1" x14ac:dyDescent="0.35">
      <c r="A738" s="22">
        <v>6</v>
      </c>
      <c r="B738" t="s">
        <v>801</v>
      </c>
      <c r="C738" t="s">
        <v>802</v>
      </c>
      <c r="D738" t="s">
        <v>1774</v>
      </c>
      <c r="E738" t="s">
        <v>1775</v>
      </c>
      <c r="F738">
        <v>2006712</v>
      </c>
      <c r="G738" t="s">
        <v>1776</v>
      </c>
      <c r="H738" t="s">
        <v>805</v>
      </c>
      <c r="I738">
        <v>179</v>
      </c>
      <c r="J738">
        <v>0</v>
      </c>
      <c r="K738">
        <v>0</v>
      </c>
      <c r="L738">
        <v>0</v>
      </c>
      <c r="M738">
        <v>3</v>
      </c>
      <c r="N738">
        <v>0</v>
      </c>
      <c r="O738">
        <v>176</v>
      </c>
      <c r="P738" s="44" t="e">
        <f>_xlfn.XLOOKUP(Tabla5[[#This Row],[EAN CORREGIDO]],'Tabla Articulos'!B:B,'Tabla Articulos'!D:D)</f>
        <v>#N/A</v>
      </c>
      <c r="Q738" s="44" t="e">
        <f>_xlfn.XLOOKUP(S738,'Tabla Articulos'!B:B,'Tabla Articulos'!E:E)</f>
        <v>#N/A</v>
      </c>
      <c r="R738" s="44" t="e">
        <f t="shared" si="22"/>
        <v>#N/A</v>
      </c>
      <c r="S738" s="45" t="str">
        <f t="shared" si="23"/>
        <v>7798188650171</v>
      </c>
    </row>
    <row r="739" spans="1:19" hidden="1" x14ac:dyDescent="0.35">
      <c r="A739" s="22">
        <v>1</v>
      </c>
      <c r="B739" t="s">
        <v>812</v>
      </c>
      <c r="C739" t="s">
        <v>802</v>
      </c>
      <c r="D739" s="11" t="s">
        <v>1252</v>
      </c>
      <c r="E739" t="s">
        <v>1777</v>
      </c>
      <c r="F739">
        <v>4077142</v>
      </c>
      <c r="G739" t="s">
        <v>1778</v>
      </c>
      <c r="H739" t="s">
        <v>805</v>
      </c>
      <c r="I739">
        <v>13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13</v>
      </c>
      <c r="P739" s="44" t="e">
        <f>_xlfn.XLOOKUP(Tabla5[[#This Row],[EAN CORREGIDO]],'Tabla Articulos'!B:B,'Tabla Articulos'!D:D)</f>
        <v>#N/A</v>
      </c>
      <c r="Q739" s="44" t="e">
        <f>_xlfn.XLOOKUP(S739,'Tabla Articulos'!B:B,'Tabla Articulos'!E:E)</f>
        <v>#N/A</v>
      </c>
      <c r="R739" s="44" t="e">
        <f t="shared" si="22"/>
        <v>#N/A</v>
      </c>
      <c r="S739" s="45" t="str">
        <f t="shared" si="23"/>
        <v>17792180009101</v>
      </c>
    </row>
    <row r="740" spans="1:19" hidden="1" x14ac:dyDescent="0.35">
      <c r="A740" s="22">
        <v>6</v>
      </c>
      <c r="B740" t="s">
        <v>801</v>
      </c>
      <c r="C740" t="s">
        <v>802</v>
      </c>
      <c r="D740"/>
      <c r="E740" t="s">
        <v>1779</v>
      </c>
      <c r="F740">
        <v>9003050</v>
      </c>
      <c r="G740" t="s">
        <v>1780</v>
      </c>
      <c r="H740" t="s">
        <v>805</v>
      </c>
      <c r="I740">
        <v>30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30</v>
      </c>
      <c r="P740" s="44" t="e">
        <f>_xlfn.XLOOKUP(Tabla5[[#This Row],[EAN CORREGIDO]],'Tabla Articulos'!B:B,'Tabla Articulos'!D:D)</f>
        <v>#N/A</v>
      </c>
      <c r="Q740" s="44" t="e">
        <f>_xlfn.XLOOKUP(S740,'Tabla Articulos'!B:B,'Tabla Articulos'!E:E)</f>
        <v>#N/A</v>
      </c>
      <c r="R740" s="44" t="e">
        <f t="shared" si="22"/>
        <v>#N/A</v>
      </c>
      <c r="S740" s="45" t="str">
        <f t="shared" si="23"/>
        <v>UNIF000019</v>
      </c>
    </row>
    <row r="741" spans="1:19" hidden="1" x14ac:dyDescent="0.35">
      <c r="A741" s="22">
        <v>1</v>
      </c>
      <c r="B741" t="s">
        <v>812</v>
      </c>
      <c r="C741" t="s">
        <v>802</v>
      </c>
      <c r="D741" t="s">
        <v>1781</v>
      </c>
      <c r="E741" t="s">
        <v>1782</v>
      </c>
      <c r="F741">
        <v>4019907</v>
      </c>
      <c r="G741" t="s">
        <v>1783</v>
      </c>
      <c r="H741" t="s">
        <v>805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 s="44" t="e">
        <f>_xlfn.XLOOKUP(Tabla5[[#This Row],[EAN CORREGIDO]],'Tabla Articulos'!B:B,'Tabla Articulos'!D:D)</f>
        <v>#N/A</v>
      </c>
      <c r="Q741" s="44" t="e">
        <f>_xlfn.XLOOKUP(S741,'Tabla Articulos'!B:B,'Tabla Articulos'!E:E)</f>
        <v>#N/A</v>
      </c>
      <c r="R741" s="44" t="e">
        <f t="shared" si="22"/>
        <v>#N/A</v>
      </c>
      <c r="S741" s="45" t="str">
        <f t="shared" si="23"/>
        <v>7791885409332</v>
      </c>
    </row>
    <row r="742" spans="1:19" hidden="1" x14ac:dyDescent="0.35">
      <c r="A742" s="22">
        <v>5</v>
      </c>
      <c r="B742" t="s">
        <v>829</v>
      </c>
      <c r="C742" t="s">
        <v>802</v>
      </c>
      <c r="D742" s="11" t="s">
        <v>1784</v>
      </c>
      <c r="E742" t="s">
        <v>1785</v>
      </c>
      <c r="F742">
        <v>4020795</v>
      </c>
      <c r="G742" t="s">
        <v>1786</v>
      </c>
      <c r="H742" t="s">
        <v>805</v>
      </c>
      <c r="I742">
        <v>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9</v>
      </c>
      <c r="P742" s="44" t="e">
        <f>_xlfn.XLOOKUP(Tabla5[[#This Row],[EAN CORREGIDO]],'Tabla Articulos'!B:B,'Tabla Articulos'!D:D)</f>
        <v>#N/A</v>
      </c>
      <c r="Q742" s="44" t="e">
        <f>_xlfn.XLOOKUP(S742,'Tabla Articulos'!B:B,'Tabla Articulos'!E:E)</f>
        <v>#N/A</v>
      </c>
      <c r="R742" s="44" t="e">
        <f t="shared" si="22"/>
        <v>#N/A</v>
      </c>
      <c r="S742" s="45" t="str">
        <f t="shared" si="23"/>
        <v>7798082000294</v>
      </c>
    </row>
    <row r="743" spans="1:19" hidden="1" x14ac:dyDescent="0.35">
      <c r="A743" s="22">
        <v>6</v>
      </c>
      <c r="B743" t="s">
        <v>801</v>
      </c>
      <c r="C743" t="s">
        <v>802</v>
      </c>
      <c r="D743"/>
      <c r="E743" t="s">
        <v>1787</v>
      </c>
      <c r="F743">
        <v>9003650</v>
      </c>
      <c r="G743" t="s">
        <v>1788</v>
      </c>
      <c r="H743" t="s">
        <v>805</v>
      </c>
      <c r="I743">
        <v>14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14</v>
      </c>
      <c r="P743" s="44" t="e">
        <f>_xlfn.XLOOKUP(Tabla5[[#This Row],[EAN CORREGIDO]],'Tabla Articulos'!B:B,'Tabla Articulos'!D:D)</f>
        <v>#N/A</v>
      </c>
      <c r="Q743" s="44" t="e">
        <f>_xlfn.XLOOKUP(S743,'Tabla Articulos'!B:B,'Tabla Articulos'!E:E)</f>
        <v>#N/A</v>
      </c>
      <c r="R743" s="44" t="e">
        <f t="shared" si="22"/>
        <v>#N/A</v>
      </c>
      <c r="S743" s="45" t="str">
        <f t="shared" si="23"/>
        <v>UNIF000527</v>
      </c>
    </row>
    <row r="744" spans="1:19" hidden="1" x14ac:dyDescent="0.35">
      <c r="A744" s="22">
        <v>6</v>
      </c>
      <c r="B744" t="s">
        <v>801</v>
      </c>
      <c r="C744" t="s">
        <v>802</v>
      </c>
      <c r="D744" t="s">
        <v>262</v>
      </c>
      <c r="E744" t="s">
        <v>803</v>
      </c>
      <c r="F744">
        <v>2016703</v>
      </c>
      <c r="G744" t="s">
        <v>804</v>
      </c>
      <c r="H744" t="s">
        <v>805</v>
      </c>
      <c r="I744">
        <v>0</v>
      </c>
      <c r="J744">
        <v>50</v>
      </c>
      <c r="K744">
        <v>50</v>
      </c>
      <c r="L744">
        <v>0</v>
      </c>
      <c r="M744">
        <v>0</v>
      </c>
      <c r="N744">
        <v>0</v>
      </c>
      <c r="O744">
        <v>0</v>
      </c>
      <c r="P744" s="44" t="e">
        <f>_xlfn.XLOOKUP(Tabla5[[#This Row],[EAN CORREGIDO]],'Tabla Articulos'!B:B,'Tabla Articulos'!D:D)</f>
        <v>#N/A</v>
      </c>
      <c r="Q744" s="44" t="e">
        <f>_xlfn.XLOOKUP(S744,'Tabla Articulos'!B:B,'Tabla Articulos'!E:E)</f>
        <v>#N/A</v>
      </c>
      <c r="R744" s="44" t="e">
        <f t="shared" si="22"/>
        <v>#N/A</v>
      </c>
      <c r="S744" s="45" t="str">
        <f t="shared" si="23"/>
        <v>7798102570653</v>
      </c>
    </row>
    <row r="745" spans="1:19" hidden="1" x14ac:dyDescent="0.35">
      <c r="A745" s="22">
        <v>6</v>
      </c>
      <c r="B745" t="s">
        <v>801</v>
      </c>
      <c r="C745" t="s">
        <v>802</v>
      </c>
      <c r="E745" t="s">
        <v>806</v>
      </c>
      <c r="F745">
        <v>9003164</v>
      </c>
      <c r="G745" t="s">
        <v>807</v>
      </c>
      <c r="H745" t="s">
        <v>805</v>
      </c>
      <c r="I745">
        <v>38</v>
      </c>
      <c r="J745">
        <v>500</v>
      </c>
      <c r="K745">
        <v>0</v>
      </c>
      <c r="L745">
        <v>0</v>
      </c>
      <c r="M745">
        <v>0</v>
      </c>
      <c r="N745">
        <v>0</v>
      </c>
      <c r="O745">
        <v>538</v>
      </c>
      <c r="P745" s="44" t="e">
        <f>_xlfn.XLOOKUP(Tabla5[[#This Row],[EAN CORREGIDO]],'Tabla Articulos'!B:B,'Tabla Articulos'!D:D)</f>
        <v>#N/A</v>
      </c>
      <c r="Q745" s="44" t="e">
        <f>_xlfn.XLOOKUP(S745,'Tabla Articulos'!B:B,'Tabla Articulos'!E:E)</f>
        <v>#N/A</v>
      </c>
      <c r="R745" s="44" t="e">
        <f t="shared" si="22"/>
        <v>#N/A</v>
      </c>
      <c r="S745" s="45" t="str">
        <f t="shared" si="23"/>
        <v>UNIF000626</v>
      </c>
    </row>
    <row r="746" spans="1:19" hidden="1" x14ac:dyDescent="0.35">
      <c r="A746" s="22">
        <v>6</v>
      </c>
      <c r="B746" t="s">
        <v>801</v>
      </c>
      <c r="C746" t="s">
        <v>802</v>
      </c>
      <c r="E746" t="s">
        <v>808</v>
      </c>
      <c r="F746">
        <v>2011454</v>
      </c>
      <c r="G746" t="s">
        <v>809</v>
      </c>
      <c r="H746" t="s">
        <v>805</v>
      </c>
      <c r="I746">
        <v>26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26</v>
      </c>
      <c r="P746" s="44" t="e">
        <f>_xlfn.XLOOKUP(Tabla5[[#This Row],[EAN CORREGIDO]],'Tabla Articulos'!B:B,'Tabla Articulos'!D:D)</f>
        <v>#N/A</v>
      </c>
      <c r="Q746" s="44" t="e">
        <f>_xlfn.XLOOKUP(S746,'Tabla Articulos'!B:B,'Tabla Articulos'!E:E)</f>
        <v>#N/A</v>
      </c>
      <c r="R746" s="44" t="e">
        <f t="shared" si="22"/>
        <v>#N/A</v>
      </c>
      <c r="S746" s="45" t="str">
        <f t="shared" si="23"/>
        <v>7891172433719</v>
      </c>
    </row>
    <row r="747" spans="1:19" hidden="1" x14ac:dyDescent="0.35">
      <c r="A747" s="22">
        <v>6</v>
      </c>
      <c r="B747" t="s">
        <v>801</v>
      </c>
      <c r="C747" t="s">
        <v>802</v>
      </c>
      <c r="E747" t="s">
        <v>810</v>
      </c>
      <c r="F747">
        <v>9004206</v>
      </c>
      <c r="G747" t="s">
        <v>811</v>
      </c>
      <c r="H747" t="s">
        <v>805</v>
      </c>
      <c r="I747">
        <v>16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16</v>
      </c>
      <c r="P747" s="44" t="e">
        <f>_xlfn.XLOOKUP(Tabla5[[#This Row],[EAN CORREGIDO]],'Tabla Articulos'!B:B,'Tabla Articulos'!D:D)</f>
        <v>#N/A</v>
      </c>
      <c r="Q747" s="44" t="e">
        <f>_xlfn.XLOOKUP(S747,'Tabla Articulos'!B:B,'Tabla Articulos'!E:E)</f>
        <v>#N/A</v>
      </c>
      <c r="R747" s="44" t="e">
        <f t="shared" si="22"/>
        <v>#N/A</v>
      </c>
      <c r="S747" s="45" t="str">
        <f t="shared" si="23"/>
        <v>UNIF000752</v>
      </c>
    </row>
    <row r="748" spans="1:19" hidden="1" x14ac:dyDescent="0.35">
      <c r="A748" s="22">
        <v>5</v>
      </c>
      <c r="B748" t="s">
        <v>829</v>
      </c>
      <c r="C748" t="s">
        <v>802</v>
      </c>
      <c r="D748" t="s">
        <v>813</v>
      </c>
      <c r="E748" t="s">
        <v>814</v>
      </c>
      <c r="F748">
        <v>4018032</v>
      </c>
      <c r="G748" t="s">
        <v>815</v>
      </c>
      <c r="H748" t="s">
        <v>816</v>
      </c>
      <c r="I748">
        <v>105</v>
      </c>
      <c r="J748">
        <v>0</v>
      </c>
      <c r="K748">
        <v>0</v>
      </c>
      <c r="L748">
        <v>0</v>
      </c>
      <c r="M748">
        <v>0</v>
      </c>
      <c r="N748">
        <v>92.5</v>
      </c>
      <c r="O748">
        <v>12.5</v>
      </c>
      <c r="P748" s="44" t="e">
        <f>_xlfn.XLOOKUP(Tabla5[[#This Row],[EAN CORREGIDO]],'Tabla Articulos'!B:B,'Tabla Articulos'!D:D)</f>
        <v>#N/A</v>
      </c>
      <c r="Q748" s="44" t="e">
        <f>_xlfn.XLOOKUP(S748,'Tabla Articulos'!B:B,'Tabla Articulos'!E:E)</f>
        <v>#N/A</v>
      </c>
      <c r="R748" s="44" t="e">
        <f t="shared" si="22"/>
        <v>#N/A</v>
      </c>
      <c r="S748" s="45" t="str">
        <f t="shared" si="23"/>
        <v>7790216012641</v>
      </c>
    </row>
    <row r="749" spans="1:19" hidden="1" x14ac:dyDescent="0.35">
      <c r="A749" s="22">
        <v>1</v>
      </c>
      <c r="B749" t="s">
        <v>812</v>
      </c>
      <c r="C749" t="s">
        <v>802</v>
      </c>
      <c r="D749" s="11" t="s">
        <v>813</v>
      </c>
      <c r="E749" t="s">
        <v>814</v>
      </c>
      <c r="F749">
        <v>4018032</v>
      </c>
      <c r="G749" t="s">
        <v>815</v>
      </c>
      <c r="H749" t="s">
        <v>816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 s="44" t="e">
        <f>_xlfn.XLOOKUP(Tabla5[[#This Row],[EAN CORREGIDO]],'Tabla Articulos'!B:B,'Tabla Articulos'!D:D)</f>
        <v>#N/A</v>
      </c>
      <c r="Q749" s="44" t="e">
        <f>_xlfn.XLOOKUP(S749,'Tabla Articulos'!B:B,'Tabla Articulos'!E:E)</f>
        <v>#N/A</v>
      </c>
      <c r="R749" s="44" t="e">
        <f t="shared" si="22"/>
        <v>#N/A</v>
      </c>
      <c r="S749" s="45" t="str">
        <f t="shared" si="23"/>
        <v>7790216012641</v>
      </c>
    </row>
    <row r="750" spans="1:19" hidden="1" x14ac:dyDescent="0.35">
      <c r="A750" s="22">
        <v>6</v>
      </c>
      <c r="B750" t="s">
        <v>801</v>
      </c>
      <c r="C750" t="s">
        <v>802</v>
      </c>
      <c r="D750"/>
      <c r="E750" t="s">
        <v>2401</v>
      </c>
      <c r="F750">
        <v>9003214</v>
      </c>
      <c r="G750" t="s">
        <v>2402</v>
      </c>
      <c r="H750" t="s">
        <v>805</v>
      </c>
      <c r="I750">
        <v>20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20</v>
      </c>
      <c r="P750" s="44" t="e">
        <f>_xlfn.XLOOKUP(Tabla5[[#This Row],[EAN CORREGIDO]],'Tabla Articulos'!B:B,'Tabla Articulos'!D:D)</f>
        <v>#N/A</v>
      </c>
      <c r="Q750" s="44" t="e">
        <f>_xlfn.XLOOKUP(S750,'Tabla Articulos'!B:B,'Tabla Articulos'!E:E)</f>
        <v>#N/A</v>
      </c>
      <c r="R750" s="44" t="e">
        <f t="shared" si="22"/>
        <v>#N/A</v>
      </c>
      <c r="S750" s="45" t="str">
        <f t="shared" si="23"/>
        <v>UNIF000114</v>
      </c>
    </row>
    <row r="751" spans="1:19" hidden="1" x14ac:dyDescent="0.35">
      <c r="A751" s="22">
        <v>6</v>
      </c>
      <c r="B751" t="s">
        <v>801</v>
      </c>
      <c r="C751" t="s">
        <v>802</v>
      </c>
      <c r="D751"/>
      <c r="E751" t="s">
        <v>2749</v>
      </c>
      <c r="F751">
        <v>2016640</v>
      </c>
      <c r="G751" t="s">
        <v>2750</v>
      </c>
      <c r="H751" t="s">
        <v>805</v>
      </c>
      <c r="I751">
        <v>81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81</v>
      </c>
      <c r="P751" s="44" t="e">
        <f>_xlfn.XLOOKUP(Tabla5[[#This Row],[EAN CORREGIDO]],'Tabla Articulos'!B:B,'Tabla Articulos'!D:D)</f>
        <v>#N/A</v>
      </c>
      <c r="Q751" s="44" t="e">
        <f>_xlfn.XLOOKUP(S751,'Tabla Articulos'!B:B,'Tabla Articulos'!E:E)</f>
        <v>#N/A</v>
      </c>
      <c r="R751" s="44" t="e">
        <f t="shared" si="22"/>
        <v>#N/A</v>
      </c>
      <c r="S751" s="45" t="str">
        <f t="shared" si="23"/>
        <v>7798287510833</v>
      </c>
    </row>
    <row r="752" spans="1:19" hidden="1" x14ac:dyDescent="0.35">
      <c r="A752" s="22">
        <v>1</v>
      </c>
      <c r="B752" t="s">
        <v>812</v>
      </c>
      <c r="C752" t="s">
        <v>802</v>
      </c>
      <c r="D752" s="11" t="s">
        <v>2751</v>
      </c>
      <c r="E752" t="s">
        <v>2752</v>
      </c>
      <c r="F752">
        <v>4020654</v>
      </c>
      <c r="G752" t="s">
        <v>2753</v>
      </c>
      <c r="H752" t="s">
        <v>805</v>
      </c>
      <c r="I752">
        <v>1506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1506</v>
      </c>
      <c r="P752" s="44" t="e">
        <f>_xlfn.XLOOKUP(Tabla5[[#This Row],[EAN CORREGIDO]],'Tabla Articulos'!B:B,'Tabla Articulos'!D:D)</f>
        <v>#N/A</v>
      </c>
      <c r="Q752" s="44" t="e">
        <f>_xlfn.XLOOKUP(S752,'Tabla Articulos'!B:B,'Tabla Articulos'!E:E)</f>
        <v>#N/A</v>
      </c>
      <c r="R752" s="44" t="e">
        <f t="shared" si="22"/>
        <v>#N/A</v>
      </c>
      <c r="S752" s="45" t="str">
        <f t="shared" si="23"/>
        <v>7791113001178</v>
      </c>
    </row>
    <row r="753" spans="1:19" hidden="1" x14ac:dyDescent="0.35">
      <c r="A753" s="22">
        <v>5</v>
      </c>
      <c r="B753" t="s">
        <v>829</v>
      </c>
      <c r="C753" t="s">
        <v>802</v>
      </c>
      <c r="D753" s="11" t="s">
        <v>1975</v>
      </c>
      <c r="E753" t="s">
        <v>2754</v>
      </c>
      <c r="F753">
        <v>4020225</v>
      </c>
      <c r="G753" t="s">
        <v>2755</v>
      </c>
      <c r="H753" t="s">
        <v>805</v>
      </c>
      <c r="I753">
        <v>6</v>
      </c>
      <c r="J753">
        <v>0</v>
      </c>
      <c r="K753">
        <v>3</v>
      </c>
      <c r="L753">
        <v>0</v>
      </c>
      <c r="M753">
        <v>0</v>
      </c>
      <c r="N753">
        <v>0</v>
      </c>
      <c r="O753">
        <v>3</v>
      </c>
      <c r="P753" s="44" t="e">
        <f>_xlfn.XLOOKUP(Tabla5[[#This Row],[EAN CORREGIDO]],'Tabla Articulos'!B:B,'Tabla Articulos'!D:D)</f>
        <v>#N/A</v>
      </c>
      <c r="Q753" s="44" t="e">
        <f>_xlfn.XLOOKUP(S753,'Tabla Articulos'!B:B,'Tabla Articulos'!E:E)</f>
        <v>#N/A</v>
      </c>
      <c r="R753" s="44" t="e">
        <f t="shared" si="22"/>
        <v>#N/A</v>
      </c>
      <c r="S753" s="45" t="str">
        <f t="shared" si="23"/>
        <v>7793875360319</v>
      </c>
    </row>
    <row r="754" spans="1:19" hidden="1" x14ac:dyDescent="0.35">
      <c r="A754" s="22">
        <v>6</v>
      </c>
      <c r="B754" t="s">
        <v>801</v>
      </c>
      <c r="C754" t="s">
        <v>802</v>
      </c>
      <c r="D754" t="s">
        <v>213</v>
      </c>
      <c r="E754" t="s">
        <v>1218</v>
      </c>
      <c r="F754">
        <v>2007310</v>
      </c>
      <c r="G754" t="s">
        <v>1219</v>
      </c>
      <c r="H754" t="s">
        <v>816</v>
      </c>
      <c r="I754">
        <v>10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10</v>
      </c>
      <c r="P754" s="44" t="str">
        <f>_xlfn.XLOOKUP(Tabla5[[#This Row],[EAN CORREGIDO]],'Tabla Articulos'!B:B,'Tabla Articulos'!D:D)</f>
        <v>FOLEX</v>
      </c>
      <c r="Q754" s="44">
        <f>_xlfn.XLOOKUP(S754,'Tabla Articulos'!B:B,'Tabla Articulos'!E:E)</f>
        <v>1</v>
      </c>
      <c r="R754" s="44">
        <f t="shared" si="22"/>
        <v>10</v>
      </c>
      <c r="S754" s="45" t="str">
        <f t="shared" si="23"/>
        <v>7791101002132</v>
      </c>
    </row>
    <row r="755" spans="1:19" hidden="1" x14ac:dyDescent="0.35">
      <c r="A755" s="22">
        <v>6</v>
      </c>
      <c r="B755" t="s">
        <v>801</v>
      </c>
      <c r="C755" t="s">
        <v>802</v>
      </c>
      <c r="D755"/>
      <c r="E755" t="s">
        <v>1220</v>
      </c>
      <c r="F755">
        <v>9003452</v>
      </c>
      <c r="G755" t="s">
        <v>1221</v>
      </c>
      <c r="H755" t="s">
        <v>805</v>
      </c>
      <c r="I755">
        <v>4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4</v>
      </c>
      <c r="P755" s="44" t="e">
        <f>_xlfn.XLOOKUP(Tabla5[[#This Row],[EAN CORREGIDO]],'Tabla Articulos'!B:B,'Tabla Articulos'!D:D)</f>
        <v>#N/A</v>
      </c>
      <c r="Q755" s="44" t="e">
        <f>_xlfn.XLOOKUP(S755,'Tabla Articulos'!B:B,'Tabla Articulos'!E:E)</f>
        <v>#N/A</v>
      </c>
      <c r="R755" s="44" t="e">
        <f t="shared" si="22"/>
        <v>#N/A</v>
      </c>
      <c r="S755" s="45" t="str">
        <f t="shared" si="23"/>
        <v>UNIF000385</v>
      </c>
    </row>
    <row r="756" spans="1:19" hidden="1" x14ac:dyDescent="0.35">
      <c r="A756" s="22">
        <v>6</v>
      </c>
      <c r="B756" t="s">
        <v>801</v>
      </c>
      <c r="C756" t="s">
        <v>802</v>
      </c>
      <c r="E756" t="s">
        <v>1222</v>
      </c>
      <c r="F756">
        <v>9003273</v>
      </c>
      <c r="G756" t="s">
        <v>1223</v>
      </c>
      <c r="H756" t="s">
        <v>805</v>
      </c>
      <c r="I756">
        <v>20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20</v>
      </c>
      <c r="P756" s="44" t="e">
        <f>_xlfn.XLOOKUP(Tabla5[[#This Row],[EAN CORREGIDO]],'Tabla Articulos'!B:B,'Tabla Articulos'!D:D)</f>
        <v>#N/A</v>
      </c>
      <c r="Q756" s="44" t="e">
        <f>_xlfn.XLOOKUP(S756,'Tabla Articulos'!B:B,'Tabla Articulos'!E:E)</f>
        <v>#N/A</v>
      </c>
      <c r="R756" s="44" t="e">
        <f t="shared" si="22"/>
        <v>#N/A</v>
      </c>
      <c r="S756" s="45" t="str">
        <f t="shared" si="23"/>
        <v>UNIF000413</v>
      </c>
    </row>
    <row r="757" spans="1:19" hidden="1" x14ac:dyDescent="0.35">
      <c r="A757" s="22">
        <v>6</v>
      </c>
      <c r="B757" t="s">
        <v>801</v>
      </c>
      <c r="C757" t="s">
        <v>802</v>
      </c>
      <c r="E757" t="s">
        <v>1224</v>
      </c>
      <c r="F757">
        <v>9003197</v>
      </c>
      <c r="G757" t="s">
        <v>1225</v>
      </c>
      <c r="H757" t="s">
        <v>805</v>
      </c>
      <c r="I757">
        <v>50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50</v>
      </c>
      <c r="P757" s="44" t="e">
        <f>_xlfn.XLOOKUP(Tabla5[[#This Row],[EAN CORREGIDO]],'Tabla Articulos'!B:B,'Tabla Articulos'!D:D)</f>
        <v>#N/A</v>
      </c>
      <c r="Q757" s="44" t="e">
        <f>_xlfn.XLOOKUP(S757,'Tabla Articulos'!B:B,'Tabla Articulos'!E:E)</f>
        <v>#N/A</v>
      </c>
      <c r="R757" s="44" t="e">
        <f t="shared" si="22"/>
        <v>#N/A</v>
      </c>
      <c r="S757" s="45" t="str">
        <f t="shared" si="23"/>
        <v>UNIF000323</v>
      </c>
    </row>
    <row r="758" spans="1:19" hidden="1" x14ac:dyDescent="0.35">
      <c r="A758" s="22">
        <v>6</v>
      </c>
      <c r="B758" t="s">
        <v>801</v>
      </c>
      <c r="C758" t="s">
        <v>802</v>
      </c>
      <c r="D758"/>
      <c r="E758" t="s">
        <v>1226</v>
      </c>
      <c r="F758">
        <v>9004194</v>
      </c>
      <c r="G758" t="s">
        <v>1227</v>
      </c>
      <c r="H758" t="s">
        <v>805</v>
      </c>
      <c r="I758">
        <v>10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10</v>
      </c>
      <c r="P758" s="44" t="e">
        <f>_xlfn.XLOOKUP(Tabla5[[#This Row],[EAN CORREGIDO]],'Tabla Articulos'!B:B,'Tabla Articulos'!D:D)</f>
        <v>#N/A</v>
      </c>
      <c r="Q758" s="44" t="e">
        <f>_xlfn.XLOOKUP(S758,'Tabla Articulos'!B:B,'Tabla Articulos'!E:E)</f>
        <v>#N/A</v>
      </c>
      <c r="R758" s="44" t="e">
        <f t="shared" si="22"/>
        <v>#N/A</v>
      </c>
      <c r="S758" s="45" t="str">
        <f t="shared" si="23"/>
        <v>UNIF000740</v>
      </c>
    </row>
    <row r="759" spans="1:19" hidden="1" x14ac:dyDescent="0.35">
      <c r="A759" s="22">
        <v>6</v>
      </c>
      <c r="B759" t="s">
        <v>801</v>
      </c>
      <c r="C759" t="s">
        <v>802</v>
      </c>
      <c r="D759"/>
      <c r="E759" t="s">
        <v>1228</v>
      </c>
      <c r="F759">
        <v>9003074</v>
      </c>
      <c r="G759" t="s">
        <v>1229</v>
      </c>
      <c r="H759" t="s">
        <v>805</v>
      </c>
      <c r="I759">
        <v>94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94</v>
      </c>
      <c r="P759" s="44" t="e">
        <f>_xlfn.XLOOKUP(Tabla5[[#This Row],[EAN CORREGIDO]],'Tabla Articulos'!B:B,'Tabla Articulos'!D:D)</f>
        <v>#N/A</v>
      </c>
      <c r="Q759" s="44" t="e">
        <f>_xlfn.XLOOKUP(S759,'Tabla Articulos'!B:B,'Tabla Articulos'!E:E)</f>
        <v>#N/A</v>
      </c>
      <c r="R759" s="44" t="e">
        <f t="shared" si="22"/>
        <v>#N/A</v>
      </c>
      <c r="S759" s="45" t="str">
        <f t="shared" si="23"/>
        <v>UNIF000537</v>
      </c>
    </row>
    <row r="760" spans="1:19" hidden="1" x14ac:dyDescent="0.35">
      <c r="A760" s="22">
        <v>1</v>
      </c>
      <c r="B760" t="s">
        <v>812</v>
      </c>
      <c r="C760" t="s">
        <v>802</v>
      </c>
      <c r="D760" t="s">
        <v>1025</v>
      </c>
      <c r="E760" t="s">
        <v>1230</v>
      </c>
      <c r="F760">
        <v>4024760</v>
      </c>
      <c r="G760" t="s">
        <v>1231</v>
      </c>
      <c r="H760" t="s">
        <v>805</v>
      </c>
      <c r="I760">
        <v>123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123</v>
      </c>
      <c r="P760" s="44" t="e">
        <f>_xlfn.XLOOKUP(Tabla5[[#This Row],[EAN CORREGIDO]],'Tabla Articulos'!B:B,'Tabla Articulos'!D:D)</f>
        <v>#N/A</v>
      </c>
      <c r="Q760" s="44" t="e">
        <f>_xlfn.XLOOKUP(S760,'Tabla Articulos'!B:B,'Tabla Articulos'!E:E)</f>
        <v>#N/A</v>
      </c>
      <c r="R760" s="44" t="e">
        <f t="shared" si="22"/>
        <v>#N/A</v>
      </c>
      <c r="S760" s="45" t="str">
        <f t="shared" si="23"/>
        <v>17792180136838</v>
      </c>
    </row>
    <row r="761" spans="1:19" hidden="1" x14ac:dyDescent="0.35">
      <c r="A761" s="22">
        <v>5</v>
      </c>
      <c r="B761" t="s">
        <v>829</v>
      </c>
      <c r="C761" t="s">
        <v>802</v>
      </c>
      <c r="D761" t="s">
        <v>1232</v>
      </c>
      <c r="E761" t="s">
        <v>1233</v>
      </c>
      <c r="F761">
        <v>4019633</v>
      </c>
      <c r="G761" t="s">
        <v>1234</v>
      </c>
      <c r="H761" t="s">
        <v>805</v>
      </c>
      <c r="I761">
        <v>107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107</v>
      </c>
      <c r="P761" s="44" t="e">
        <f>_xlfn.XLOOKUP(Tabla5[[#This Row],[EAN CORREGIDO]],'Tabla Articulos'!B:B,'Tabla Articulos'!D:D)</f>
        <v>#N/A</v>
      </c>
      <c r="Q761" s="44" t="e">
        <f>_xlfn.XLOOKUP(S761,'Tabla Articulos'!B:B,'Tabla Articulos'!E:E)</f>
        <v>#N/A</v>
      </c>
      <c r="R761" s="44" t="e">
        <f t="shared" si="22"/>
        <v>#N/A</v>
      </c>
      <c r="S761" s="45" t="str">
        <f t="shared" si="23"/>
        <v>7790279000193</v>
      </c>
    </row>
    <row r="762" spans="1:19" hidden="1" x14ac:dyDescent="0.35">
      <c r="A762" s="22">
        <v>6</v>
      </c>
      <c r="B762" t="s">
        <v>801</v>
      </c>
      <c r="C762" t="s">
        <v>802</v>
      </c>
      <c r="D762"/>
      <c r="E762" t="s">
        <v>1235</v>
      </c>
      <c r="F762">
        <v>2007077</v>
      </c>
      <c r="G762" t="s">
        <v>1236</v>
      </c>
      <c r="H762" t="s">
        <v>805</v>
      </c>
      <c r="I762">
        <v>76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76</v>
      </c>
      <c r="P762" s="44" t="e">
        <f>_xlfn.XLOOKUP(Tabla5[[#This Row],[EAN CORREGIDO]],'Tabla Articulos'!B:B,'Tabla Articulos'!D:D)</f>
        <v>#N/A</v>
      </c>
      <c r="Q762" s="44" t="e">
        <f>_xlfn.XLOOKUP(S762,'Tabla Articulos'!B:B,'Tabla Articulos'!E:E)</f>
        <v>#N/A</v>
      </c>
      <c r="R762" s="44" t="e">
        <f t="shared" si="22"/>
        <v>#N/A</v>
      </c>
      <c r="S762" s="45" t="str">
        <f t="shared" si="23"/>
        <v>2007077</v>
      </c>
    </row>
    <row r="763" spans="1:19" hidden="1" x14ac:dyDescent="0.35">
      <c r="A763" s="22">
        <v>1</v>
      </c>
      <c r="B763" t="s">
        <v>812</v>
      </c>
      <c r="C763" t="s">
        <v>802</v>
      </c>
      <c r="D763" s="11" t="s">
        <v>2529</v>
      </c>
      <c r="E763" t="s">
        <v>3163</v>
      </c>
      <c r="F763">
        <v>4018870</v>
      </c>
      <c r="G763" t="s">
        <v>2531</v>
      </c>
      <c r="H763" t="s">
        <v>805</v>
      </c>
      <c r="I763">
        <v>480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480</v>
      </c>
      <c r="P763" s="44" t="e">
        <f>_xlfn.XLOOKUP(Tabla5[[#This Row],[EAN CORREGIDO]],'Tabla Articulos'!B:B,'Tabla Articulos'!D:D)</f>
        <v>#N/A</v>
      </c>
      <c r="Q763" s="44" t="e">
        <f>_xlfn.XLOOKUP(S763,'Tabla Articulos'!B:B,'Tabla Articulos'!E:E)</f>
        <v>#N/A</v>
      </c>
      <c r="R763" s="44" t="e">
        <f t="shared" si="22"/>
        <v>#N/A</v>
      </c>
      <c r="S763" s="45" t="str">
        <f t="shared" si="23"/>
        <v>7796624012026</v>
      </c>
    </row>
    <row r="764" spans="1:19" hidden="1" x14ac:dyDescent="0.35">
      <c r="A764" s="22">
        <v>5</v>
      </c>
      <c r="B764" t="s">
        <v>829</v>
      </c>
      <c r="C764" t="s">
        <v>802</v>
      </c>
      <c r="D764" s="11" t="s">
        <v>2529</v>
      </c>
      <c r="E764" t="s">
        <v>3163</v>
      </c>
      <c r="F764">
        <v>4018870</v>
      </c>
      <c r="G764" t="s">
        <v>2531</v>
      </c>
      <c r="H764" t="s">
        <v>805</v>
      </c>
      <c r="I764">
        <v>600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600</v>
      </c>
      <c r="P764" s="44" t="e">
        <f>_xlfn.XLOOKUP(Tabla5[[#This Row],[EAN CORREGIDO]],'Tabla Articulos'!B:B,'Tabla Articulos'!D:D)</f>
        <v>#N/A</v>
      </c>
      <c r="Q764" s="44" t="e">
        <f>_xlfn.XLOOKUP(S764,'Tabla Articulos'!B:B,'Tabla Articulos'!E:E)</f>
        <v>#N/A</v>
      </c>
      <c r="R764" s="44" t="e">
        <f t="shared" si="22"/>
        <v>#N/A</v>
      </c>
      <c r="S764" s="45" t="str">
        <f t="shared" si="23"/>
        <v>7796624012026</v>
      </c>
    </row>
    <row r="765" spans="1:19" hidden="1" x14ac:dyDescent="0.35">
      <c r="A765" s="22">
        <v>6</v>
      </c>
      <c r="B765" t="s">
        <v>801</v>
      </c>
      <c r="C765" t="s">
        <v>802</v>
      </c>
      <c r="D765"/>
      <c r="E765" t="s">
        <v>3164</v>
      </c>
      <c r="F765">
        <v>9003226</v>
      </c>
      <c r="G765" t="s">
        <v>3165</v>
      </c>
      <c r="H765" t="s">
        <v>805</v>
      </c>
      <c r="I765">
        <v>48</v>
      </c>
      <c r="J765">
        <v>23</v>
      </c>
      <c r="K765">
        <v>0</v>
      </c>
      <c r="L765">
        <v>0</v>
      </c>
      <c r="M765">
        <v>0</v>
      </c>
      <c r="N765">
        <v>0</v>
      </c>
      <c r="O765">
        <v>71</v>
      </c>
      <c r="P765" s="44" t="e">
        <f>_xlfn.XLOOKUP(Tabla5[[#This Row],[EAN CORREGIDO]],'Tabla Articulos'!B:B,'Tabla Articulos'!D:D)</f>
        <v>#N/A</v>
      </c>
      <c r="Q765" s="44" t="e">
        <f>_xlfn.XLOOKUP(S765,'Tabla Articulos'!B:B,'Tabla Articulos'!E:E)</f>
        <v>#N/A</v>
      </c>
      <c r="R765" s="44" t="e">
        <f t="shared" si="22"/>
        <v>#N/A</v>
      </c>
      <c r="S765" s="45" t="str">
        <f t="shared" si="23"/>
        <v>UNIF000126</v>
      </c>
    </row>
    <row r="766" spans="1:19" hidden="1" x14ac:dyDescent="0.35">
      <c r="A766" s="22">
        <v>1</v>
      </c>
      <c r="B766" t="s">
        <v>812</v>
      </c>
      <c r="C766" t="s">
        <v>802</v>
      </c>
      <c r="D766" s="11" t="s">
        <v>3166</v>
      </c>
      <c r="E766" t="s">
        <v>3167</v>
      </c>
      <c r="F766">
        <v>4020408</v>
      </c>
      <c r="G766" t="s">
        <v>3168</v>
      </c>
      <c r="H766" t="s">
        <v>805</v>
      </c>
      <c r="I766">
        <v>15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15</v>
      </c>
      <c r="P766" s="44" t="e">
        <f>_xlfn.XLOOKUP(Tabla5[[#This Row],[EAN CORREGIDO]],'Tabla Articulos'!B:B,'Tabla Articulos'!D:D)</f>
        <v>#N/A</v>
      </c>
      <c r="Q766" s="44" t="e">
        <f>_xlfn.XLOOKUP(S766,'Tabla Articulos'!B:B,'Tabla Articulos'!E:E)</f>
        <v>#N/A</v>
      </c>
      <c r="R766" s="44" t="e">
        <f t="shared" si="22"/>
        <v>#N/A</v>
      </c>
      <c r="S766" s="45" t="str">
        <f t="shared" si="23"/>
        <v>7793323003553</v>
      </c>
    </row>
    <row r="767" spans="1:19" hidden="1" x14ac:dyDescent="0.35">
      <c r="A767" s="22">
        <v>5</v>
      </c>
      <c r="B767" t="s">
        <v>829</v>
      </c>
      <c r="C767" t="s">
        <v>802</v>
      </c>
      <c r="D767" t="s">
        <v>3169</v>
      </c>
      <c r="E767" t="s">
        <v>3170</v>
      </c>
      <c r="F767">
        <v>4019607</v>
      </c>
      <c r="G767" t="s">
        <v>3171</v>
      </c>
      <c r="H767" t="s">
        <v>805</v>
      </c>
      <c r="I767">
        <v>0</v>
      </c>
      <c r="J767">
        <v>260</v>
      </c>
      <c r="K767">
        <v>0</v>
      </c>
      <c r="L767">
        <v>0</v>
      </c>
      <c r="M767">
        <v>0</v>
      </c>
      <c r="N767">
        <v>0</v>
      </c>
      <c r="O767">
        <v>260</v>
      </c>
      <c r="P767" s="44" t="e">
        <f>_xlfn.XLOOKUP(Tabla5[[#This Row],[EAN CORREGIDO]],'Tabla Articulos'!B:B,'Tabla Articulos'!D:D)</f>
        <v>#N/A</v>
      </c>
      <c r="Q767" s="44" t="e">
        <f>_xlfn.XLOOKUP(S767,'Tabla Articulos'!B:B,'Tabla Articulos'!E:E)</f>
        <v>#N/A</v>
      </c>
      <c r="R767" s="44" t="e">
        <f t="shared" si="22"/>
        <v>#N/A</v>
      </c>
      <c r="S767" s="45" t="str">
        <f t="shared" si="23"/>
        <v>7790199603368</v>
      </c>
    </row>
    <row r="768" spans="1:19" hidden="1" x14ac:dyDescent="0.35">
      <c r="A768" s="22">
        <v>6</v>
      </c>
      <c r="B768" t="s">
        <v>801</v>
      </c>
      <c r="C768" t="s">
        <v>802</v>
      </c>
      <c r="E768" t="s">
        <v>3172</v>
      </c>
      <c r="F768">
        <v>9003113</v>
      </c>
      <c r="G768" t="s">
        <v>3173</v>
      </c>
      <c r="H768" t="s">
        <v>805</v>
      </c>
      <c r="I768">
        <v>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9</v>
      </c>
      <c r="P768" s="44" t="e">
        <f>_xlfn.XLOOKUP(Tabla5[[#This Row],[EAN CORREGIDO]],'Tabla Articulos'!B:B,'Tabla Articulos'!D:D)</f>
        <v>#N/A</v>
      </c>
      <c r="Q768" s="44" t="e">
        <f>_xlfn.XLOOKUP(S768,'Tabla Articulos'!B:B,'Tabla Articulos'!E:E)</f>
        <v>#N/A</v>
      </c>
      <c r="R768" s="44" t="e">
        <f t="shared" si="22"/>
        <v>#N/A</v>
      </c>
      <c r="S768" s="45" t="str">
        <f t="shared" si="23"/>
        <v>UNIF000575</v>
      </c>
    </row>
    <row r="769" spans="1:19" hidden="1" x14ac:dyDescent="0.35">
      <c r="A769" s="22">
        <v>6</v>
      </c>
      <c r="B769" t="s">
        <v>801</v>
      </c>
      <c r="C769" t="s">
        <v>802</v>
      </c>
      <c r="D769" s="11" t="s">
        <v>2603</v>
      </c>
      <c r="E769" t="s">
        <v>2604</v>
      </c>
      <c r="F769">
        <v>2006493</v>
      </c>
      <c r="G769" t="s">
        <v>2605</v>
      </c>
      <c r="H769" t="s">
        <v>805</v>
      </c>
      <c r="I769">
        <v>173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173</v>
      </c>
      <c r="P769" s="44" t="e">
        <f>_xlfn.XLOOKUP(Tabla5[[#This Row],[EAN CORREGIDO]],'Tabla Articulos'!B:B,'Tabla Articulos'!D:D)</f>
        <v>#N/A</v>
      </c>
      <c r="Q769" s="44" t="e">
        <f>_xlfn.XLOOKUP(S769,'Tabla Articulos'!B:B,'Tabla Articulos'!E:E)</f>
        <v>#N/A</v>
      </c>
      <c r="R769" s="44" t="e">
        <f t="shared" ref="R769:R832" si="24">O769*Q769</f>
        <v>#N/A</v>
      </c>
      <c r="S769" s="45" t="str">
        <f t="shared" ref="S769:S832" si="25">TRIM(E769)</f>
        <v>LIM000183</v>
      </c>
    </row>
    <row r="770" spans="1:19" hidden="1" x14ac:dyDescent="0.35">
      <c r="A770" s="22">
        <v>1</v>
      </c>
      <c r="B770" t="s">
        <v>812</v>
      </c>
      <c r="C770" t="s">
        <v>802</v>
      </c>
      <c r="D770" t="s">
        <v>2606</v>
      </c>
      <c r="E770" t="s">
        <v>2607</v>
      </c>
      <c r="F770">
        <v>4049237</v>
      </c>
      <c r="G770" t="s">
        <v>2608</v>
      </c>
      <c r="H770" t="s">
        <v>805</v>
      </c>
      <c r="I770">
        <v>969</v>
      </c>
      <c r="J770">
        <v>0</v>
      </c>
      <c r="K770">
        <v>0</v>
      </c>
      <c r="L770">
        <v>0</v>
      </c>
      <c r="M770">
        <v>12</v>
      </c>
      <c r="N770">
        <v>0</v>
      </c>
      <c r="O770">
        <v>957</v>
      </c>
      <c r="P770" s="44" t="e">
        <f>_xlfn.XLOOKUP(Tabla5[[#This Row],[EAN CORREGIDO]],'Tabla Articulos'!B:B,'Tabla Articulos'!D:D)</f>
        <v>#N/A</v>
      </c>
      <c r="Q770" s="44" t="e">
        <f>_xlfn.XLOOKUP(S770,'Tabla Articulos'!B:B,'Tabla Articulos'!E:E)</f>
        <v>#N/A</v>
      </c>
      <c r="R770" s="44" t="e">
        <f t="shared" si="24"/>
        <v>#N/A</v>
      </c>
      <c r="S770" s="45" t="str">
        <f t="shared" si="25"/>
        <v>7798001563060</v>
      </c>
    </row>
    <row r="771" spans="1:19" hidden="1" x14ac:dyDescent="0.35">
      <c r="A771" s="22">
        <v>6</v>
      </c>
      <c r="B771" t="s">
        <v>801</v>
      </c>
      <c r="C771" t="s">
        <v>802</v>
      </c>
      <c r="D771"/>
      <c r="E771" t="s">
        <v>2609</v>
      </c>
      <c r="F771">
        <v>5003267</v>
      </c>
      <c r="G771" t="s">
        <v>2610</v>
      </c>
      <c r="H771" t="s">
        <v>805</v>
      </c>
      <c r="I771">
        <v>100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100</v>
      </c>
      <c r="P771" s="44" t="e">
        <f>_xlfn.XLOOKUP(Tabla5[[#This Row],[EAN CORREGIDO]],'Tabla Articulos'!B:B,'Tabla Articulos'!D:D)</f>
        <v>#N/A</v>
      </c>
      <c r="Q771" s="44" t="e">
        <f>_xlfn.XLOOKUP(S771,'Tabla Articulos'!B:B,'Tabla Articulos'!E:E)</f>
        <v>#N/A</v>
      </c>
      <c r="R771" s="44" t="e">
        <f t="shared" si="24"/>
        <v>#N/A</v>
      </c>
      <c r="S771" s="45" t="str">
        <f t="shared" si="25"/>
        <v>BA-835</v>
      </c>
    </row>
    <row r="772" spans="1:19" hidden="1" x14ac:dyDescent="0.35">
      <c r="A772" s="22">
        <v>6</v>
      </c>
      <c r="B772" t="s">
        <v>801</v>
      </c>
      <c r="C772" t="s">
        <v>802</v>
      </c>
      <c r="E772" t="s">
        <v>2611</v>
      </c>
      <c r="F772">
        <v>1000132</v>
      </c>
      <c r="G772" t="s">
        <v>2612</v>
      </c>
      <c r="H772" t="s">
        <v>805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 s="44" t="e">
        <f>_xlfn.XLOOKUP(Tabla5[[#This Row],[EAN CORREGIDO]],'Tabla Articulos'!B:B,'Tabla Articulos'!D:D)</f>
        <v>#N/A</v>
      </c>
      <c r="Q772" s="44" t="e">
        <f>_xlfn.XLOOKUP(S772,'Tabla Articulos'!B:B,'Tabla Articulos'!E:E)</f>
        <v>#N/A</v>
      </c>
      <c r="R772" s="44" t="e">
        <f t="shared" si="24"/>
        <v>#N/A</v>
      </c>
      <c r="S772" s="45" t="str">
        <f t="shared" si="25"/>
        <v>BUM310</v>
      </c>
    </row>
    <row r="773" spans="1:19" hidden="1" x14ac:dyDescent="0.35">
      <c r="A773" s="22">
        <v>5</v>
      </c>
      <c r="B773" t="s">
        <v>829</v>
      </c>
      <c r="C773" t="s">
        <v>802</v>
      </c>
      <c r="E773" t="s">
        <v>1014</v>
      </c>
      <c r="F773">
        <v>4077331</v>
      </c>
      <c r="G773" t="s">
        <v>1015</v>
      </c>
      <c r="H773" t="s">
        <v>805</v>
      </c>
      <c r="I773">
        <v>600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600</v>
      </c>
      <c r="P773" s="44" t="e">
        <f>_xlfn.XLOOKUP(Tabla5[[#This Row],[EAN CORREGIDO]],'Tabla Articulos'!B:B,'Tabla Articulos'!D:D)</f>
        <v>#N/A</v>
      </c>
      <c r="Q773" s="44" t="e">
        <f>_xlfn.XLOOKUP(S773,'Tabla Articulos'!B:B,'Tabla Articulos'!E:E)</f>
        <v>#N/A</v>
      </c>
      <c r="R773" s="44" t="e">
        <f t="shared" si="24"/>
        <v>#N/A</v>
      </c>
      <c r="S773" s="45" t="str">
        <f t="shared" si="25"/>
        <v>MOD21108</v>
      </c>
    </row>
    <row r="774" spans="1:19" hidden="1" x14ac:dyDescent="0.35">
      <c r="A774" s="22">
        <v>6</v>
      </c>
      <c r="B774" t="s">
        <v>801</v>
      </c>
      <c r="C774" t="s">
        <v>802</v>
      </c>
      <c r="D774"/>
      <c r="E774" t="s">
        <v>1016</v>
      </c>
      <c r="F774">
        <v>9003668</v>
      </c>
      <c r="G774" t="s">
        <v>1017</v>
      </c>
      <c r="H774" t="s">
        <v>805</v>
      </c>
      <c r="I774">
        <v>11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 s="44" t="e">
        <f>_xlfn.XLOOKUP(Tabla5[[#This Row],[EAN CORREGIDO]],'Tabla Articulos'!B:B,'Tabla Articulos'!D:D)</f>
        <v>#N/A</v>
      </c>
      <c r="Q774" s="44" t="e">
        <f>_xlfn.XLOOKUP(S774,'Tabla Articulos'!B:B,'Tabla Articulos'!E:E)</f>
        <v>#N/A</v>
      </c>
      <c r="R774" s="44" t="e">
        <f t="shared" si="24"/>
        <v>#N/A</v>
      </c>
      <c r="S774" s="45" t="str">
        <f t="shared" si="25"/>
        <v>UNIF000291</v>
      </c>
    </row>
    <row r="775" spans="1:19" hidden="1" x14ac:dyDescent="0.35">
      <c r="A775" s="22">
        <v>6</v>
      </c>
      <c r="B775" t="s">
        <v>801</v>
      </c>
      <c r="C775" t="s">
        <v>802</v>
      </c>
      <c r="D775" s="11" t="s">
        <v>841</v>
      </c>
      <c r="E775" t="s">
        <v>1018</v>
      </c>
      <c r="F775">
        <v>2006811</v>
      </c>
      <c r="G775" t="s">
        <v>1019</v>
      </c>
      <c r="H775" t="s">
        <v>805</v>
      </c>
      <c r="I775">
        <v>56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56</v>
      </c>
      <c r="P775" s="44" t="e">
        <f>_xlfn.XLOOKUP(Tabla5[[#This Row],[EAN CORREGIDO]],'Tabla Articulos'!B:B,'Tabla Articulos'!D:D)</f>
        <v>#N/A</v>
      </c>
      <c r="Q775" s="44" t="e">
        <f>_xlfn.XLOOKUP(S775,'Tabla Articulos'!B:B,'Tabla Articulos'!E:E)</f>
        <v>#N/A</v>
      </c>
      <c r="R775" s="44" t="e">
        <f t="shared" si="24"/>
        <v>#N/A</v>
      </c>
      <c r="S775" s="45" t="str">
        <f t="shared" si="25"/>
        <v>7798430440667</v>
      </c>
    </row>
    <row r="776" spans="1:19" hidden="1" x14ac:dyDescent="0.35">
      <c r="A776" s="22">
        <v>6</v>
      </c>
      <c r="B776" t="s">
        <v>801</v>
      </c>
      <c r="C776" t="s">
        <v>802</v>
      </c>
      <c r="D776"/>
      <c r="E776" t="s">
        <v>1020</v>
      </c>
      <c r="F776">
        <v>5002982</v>
      </c>
      <c r="G776" t="s">
        <v>1021</v>
      </c>
      <c r="H776" t="s">
        <v>805</v>
      </c>
      <c r="I776">
        <v>3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3</v>
      </c>
      <c r="P776" s="44" t="e">
        <f>_xlfn.XLOOKUP(Tabla5[[#This Row],[EAN CORREGIDO]],'Tabla Articulos'!B:B,'Tabla Articulos'!D:D)</f>
        <v>#N/A</v>
      </c>
      <c r="Q776" s="44" t="e">
        <f>_xlfn.XLOOKUP(S776,'Tabla Articulos'!B:B,'Tabla Articulos'!E:E)</f>
        <v>#N/A</v>
      </c>
      <c r="R776" s="44" t="e">
        <f t="shared" si="24"/>
        <v>#N/A</v>
      </c>
      <c r="S776" s="45" t="str">
        <f t="shared" si="25"/>
        <v>BAZ000886</v>
      </c>
    </row>
    <row r="777" spans="1:19" hidden="1" x14ac:dyDescent="0.35">
      <c r="A777" s="22">
        <v>6</v>
      </c>
      <c r="B777" t="s">
        <v>801</v>
      </c>
      <c r="C777" t="s">
        <v>802</v>
      </c>
      <c r="D777"/>
      <c r="E777" t="s">
        <v>4916</v>
      </c>
      <c r="F777">
        <v>9003057</v>
      </c>
      <c r="G777" t="s">
        <v>4917</v>
      </c>
      <c r="H777" t="s">
        <v>805</v>
      </c>
      <c r="I777">
        <v>20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20</v>
      </c>
      <c r="P777" s="44" t="e">
        <f>_xlfn.XLOOKUP(Tabla5[[#This Row],[EAN CORREGIDO]],'Tabla Articulos'!B:B,'Tabla Articulos'!D:D)</f>
        <v>#N/A</v>
      </c>
      <c r="Q777" s="44" t="e">
        <f>_xlfn.XLOOKUP(S777,'Tabla Articulos'!B:B,'Tabla Articulos'!E:E)</f>
        <v>#N/A</v>
      </c>
      <c r="R777" s="44" t="e">
        <f t="shared" si="24"/>
        <v>#N/A</v>
      </c>
      <c r="S777" s="45" t="str">
        <f t="shared" si="25"/>
        <v>UNIF000026</v>
      </c>
    </row>
    <row r="778" spans="1:19" hidden="1" x14ac:dyDescent="0.35">
      <c r="A778" s="22">
        <v>1</v>
      </c>
      <c r="B778" t="s">
        <v>812</v>
      </c>
      <c r="C778" t="s">
        <v>802</v>
      </c>
      <c r="D778" s="11" t="s">
        <v>1896</v>
      </c>
      <c r="E778" t="s">
        <v>4918</v>
      </c>
      <c r="F778">
        <v>4022834</v>
      </c>
      <c r="G778" t="s">
        <v>4919</v>
      </c>
      <c r="H778" t="s">
        <v>805</v>
      </c>
      <c r="I778">
        <v>12883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12883</v>
      </c>
      <c r="P778" s="44" t="e">
        <f>_xlfn.XLOOKUP(Tabla5[[#This Row],[EAN CORREGIDO]],'Tabla Articulos'!B:B,'Tabla Articulos'!D:D)</f>
        <v>#N/A</v>
      </c>
      <c r="Q778" s="44" t="e">
        <f>_xlfn.XLOOKUP(S778,'Tabla Articulos'!B:B,'Tabla Articulos'!E:E)</f>
        <v>#N/A</v>
      </c>
      <c r="R778" s="44" t="e">
        <f t="shared" si="24"/>
        <v>#N/A</v>
      </c>
      <c r="S778" s="45" t="str">
        <f t="shared" si="25"/>
        <v>7790981003291</v>
      </c>
    </row>
    <row r="779" spans="1:19" hidden="1" x14ac:dyDescent="0.35">
      <c r="A779" s="22">
        <v>6</v>
      </c>
      <c r="B779" t="s">
        <v>801</v>
      </c>
      <c r="C779" t="s">
        <v>802</v>
      </c>
      <c r="D779" t="s">
        <v>371</v>
      </c>
      <c r="E779" t="s">
        <v>4920</v>
      </c>
      <c r="F779">
        <v>2011502</v>
      </c>
      <c r="G779" t="s">
        <v>4921</v>
      </c>
      <c r="H779" t="s">
        <v>805</v>
      </c>
      <c r="I779">
        <v>996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996</v>
      </c>
      <c r="P779" s="44" t="str">
        <f>_xlfn.XLOOKUP(Tabla5[[#This Row],[EAN CORREGIDO]],'Tabla Articulos'!B:B,'Tabla Articulos'!D:D)</f>
        <v>BANDEJA 103</v>
      </c>
      <c r="Q779" s="44">
        <f>_xlfn.XLOOKUP(S779,'Tabla Articulos'!B:B,'Tabla Articulos'!E:E)</f>
        <v>100</v>
      </c>
      <c r="R779" s="44">
        <f t="shared" si="24"/>
        <v>99600</v>
      </c>
      <c r="S779" s="45" t="str">
        <f t="shared" si="25"/>
        <v>7798011210053</v>
      </c>
    </row>
    <row r="780" spans="1:19" hidden="1" x14ac:dyDescent="0.35">
      <c r="A780" s="22">
        <v>5</v>
      </c>
      <c r="B780" t="s">
        <v>829</v>
      </c>
      <c r="C780" t="s">
        <v>802</v>
      </c>
      <c r="D780" t="s">
        <v>4922</v>
      </c>
      <c r="E780" t="s">
        <v>4923</v>
      </c>
      <c r="F780">
        <v>4022436</v>
      </c>
      <c r="G780" t="s">
        <v>4924</v>
      </c>
      <c r="H780" t="s">
        <v>805</v>
      </c>
      <c r="I780">
        <v>45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45</v>
      </c>
      <c r="P780" s="44" t="e">
        <f>_xlfn.XLOOKUP(Tabla5[[#This Row],[EAN CORREGIDO]],'Tabla Articulos'!B:B,'Tabla Articulos'!D:D)</f>
        <v>#N/A</v>
      </c>
      <c r="Q780" s="44" t="e">
        <f>_xlfn.XLOOKUP(S780,'Tabla Articulos'!B:B,'Tabla Articulos'!E:E)</f>
        <v>#N/A</v>
      </c>
      <c r="R780" s="44" t="e">
        <f t="shared" si="24"/>
        <v>#N/A</v>
      </c>
      <c r="S780" s="45" t="str">
        <f t="shared" si="25"/>
        <v>7794000007826</v>
      </c>
    </row>
    <row r="781" spans="1:19" hidden="1" x14ac:dyDescent="0.35">
      <c r="A781" s="22">
        <v>6</v>
      </c>
      <c r="B781" t="s">
        <v>801</v>
      </c>
      <c r="C781" t="s">
        <v>802</v>
      </c>
      <c r="D781" s="11" t="s">
        <v>841</v>
      </c>
      <c r="E781" t="s">
        <v>4925</v>
      </c>
      <c r="F781">
        <v>2006660</v>
      </c>
      <c r="G781" t="s">
        <v>4926</v>
      </c>
      <c r="H781" t="s">
        <v>805</v>
      </c>
      <c r="I781">
        <v>11</v>
      </c>
      <c r="J781">
        <v>0</v>
      </c>
      <c r="K781">
        <v>11</v>
      </c>
      <c r="L781">
        <v>0</v>
      </c>
      <c r="M781">
        <v>0</v>
      </c>
      <c r="N781">
        <v>0</v>
      </c>
      <c r="O781">
        <v>0</v>
      </c>
      <c r="P781" s="44" t="e">
        <f>_xlfn.XLOOKUP(Tabla5[[#This Row],[EAN CORREGIDO]],'Tabla Articulos'!B:B,'Tabla Articulos'!D:D)</f>
        <v>#N/A</v>
      </c>
      <c r="Q781" s="44" t="e">
        <f>_xlfn.XLOOKUP(S781,'Tabla Articulos'!B:B,'Tabla Articulos'!E:E)</f>
        <v>#N/A</v>
      </c>
      <c r="R781" s="44" t="e">
        <f t="shared" si="24"/>
        <v>#N/A</v>
      </c>
      <c r="S781" s="45" t="str">
        <f t="shared" si="25"/>
        <v>7798188651178</v>
      </c>
    </row>
    <row r="782" spans="1:19" hidden="1" x14ac:dyDescent="0.35">
      <c r="A782" s="22">
        <v>1</v>
      </c>
      <c r="B782" t="s">
        <v>812</v>
      </c>
      <c r="C782" t="s">
        <v>802</v>
      </c>
      <c r="D782" t="s">
        <v>1363</v>
      </c>
      <c r="E782" t="s">
        <v>4927</v>
      </c>
      <c r="F782">
        <v>4023670</v>
      </c>
      <c r="G782" t="s">
        <v>4928</v>
      </c>
      <c r="H782" t="s">
        <v>805</v>
      </c>
      <c r="I782">
        <v>16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16</v>
      </c>
      <c r="P782" s="44" t="e">
        <f>_xlfn.XLOOKUP(Tabla5[[#This Row],[EAN CORREGIDO]],'Tabla Articulos'!B:B,'Tabla Articulos'!D:D)</f>
        <v>#N/A</v>
      </c>
      <c r="Q782" s="44" t="e">
        <f>_xlfn.XLOOKUP(S782,'Tabla Articulos'!B:B,'Tabla Articulos'!E:E)</f>
        <v>#N/A</v>
      </c>
      <c r="R782" s="44" t="e">
        <f t="shared" si="24"/>
        <v>#N/A</v>
      </c>
      <c r="S782" s="45" t="str">
        <f t="shared" si="25"/>
        <v>7797234000328</v>
      </c>
    </row>
    <row r="783" spans="1:19" hidden="1" x14ac:dyDescent="0.35">
      <c r="A783" s="22">
        <v>1</v>
      </c>
      <c r="B783" t="s">
        <v>812</v>
      </c>
      <c r="C783" t="s">
        <v>802</v>
      </c>
      <c r="D783" s="11" t="s">
        <v>2170</v>
      </c>
      <c r="E783" t="s">
        <v>2171</v>
      </c>
      <c r="F783">
        <v>4023648</v>
      </c>
      <c r="G783" t="s">
        <v>2172</v>
      </c>
      <c r="H783" t="s">
        <v>805</v>
      </c>
      <c r="I783">
        <v>28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28</v>
      </c>
      <c r="P783" s="44" t="e">
        <f>_xlfn.XLOOKUP(Tabla5[[#This Row],[EAN CORREGIDO]],'Tabla Articulos'!B:B,'Tabla Articulos'!D:D)</f>
        <v>#N/A</v>
      </c>
      <c r="Q783" s="44" t="e">
        <f>_xlfn.XLOOKUP(S783,'Tabla Articulos'!B:B,'Tabla Articulos'!E:E)</f>
        <v>#N/A</v>
      </c>
      <c r="R783" s="44" t="e">
        <f t="shared" si="24"/>
        <v>#N/A</v>
      </c>
      <c r="S783" s="45" t="str">
        <f t="shared" si="25"/>
        <v>7798184272919</v>
      </c>
    </row>
    <row r="784" spans="1:19" hidden="1" x14ac:dyDescent="0.35">
      <c r="A784" s="22">
        <v>6</v>
      </c>
      <c r="B784" t="s">
        <v>801</v>
      </c>
      <c r="C784" t="s">
        <v>802</v>
      </c>
      <c r="D784"/>
      <c r="E784" t="s">
        <v>2173</v>
      </c>
      <c r="F784">
        <v>9003586</v>
      </c>
      <c r="G784" t="s">
        <v>2174</v>
      </c>
      <c r="H784" t="s">
        <v>805</v>
      </c>
      <c r="I784">
        <v>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5</v>
      </c>
      <c r="P784" s="44" t="e">
        <f>_xlfn.XLOOKUP(Tabla5[[#This Row],[EAN CORREGIDO]],'Tabla Articulos'!B:B,'Tabla Articulos'!D:D)</f>
        <v>#N/A</v>
      </c>
      <c r="Q784" s="44" t="e">
        <f>_xlfn.XLOOKUP(S784,'Tabla Articulos'!B:B,'Tabla Articulos'!E:E)</f>
        <v>#N/A</v>
      </c>
      <c r="R784" s="44" t="e">
        <f t="shared" si="24"/>
        <v>#N/A</v>
      </c>
      <c r="S784" s="45" t="str">
        <f t="shared" si="25"/>
        <v>UNIF000498</v>
      </c>
    </row>
    <row r="785" spans="1:19" hidden="1" x14ac:dyDescent="0.35">
      <c r="A785" s="22">
        <v>1</v>
      </c>
      <c r="B785" t="s">
        <v>812</v>
      </c>
      <c r="C785" t="s">
        <v>802</v>
      </c>
      <c r="D785" t="s">
        <v>2175</v>
      </c>
      <c r="E785" t="s">
        <v>2176</v>
      </c>
      <c r="F785">
        <v>4017562</v>
      </c>
      <c r="G785" t="s">
        <v>2177</v>
      </c>
      <c r="H785" t="s">
        <v>805</v>
      </c>
      <c r="I785">
        <v>130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130</v>
      </c>
      <c r="P785" s="44" t="e">
        <f>_xlfn.XLOOKUP(Tabla5[[#This Row],[EAN CORREGIDO]],'Tabla Articulos'!B:B,'Tabla Articulos'!D:D)</f>
        <v>#N/A</v>
      </c>
      <c r="Q785" s="44" t="e">
        <f>_xlfn.XLOOKUP(S785,'Tabla Articulos'!B:B,'Tabla Articulos'!E:E)</f>
        <v>#N/A</v>
      </c>
      <c r="R785" s="44" t="e">
        <f t="shared" si="24"/>
        <v>#N/A</v>
      </c>
      <c r="S785" s="45" t="str">
        <f t="shared" si="25"/>
        <v>7790079010828</v>
      </c>
    </row>
    <row r="786" spans="1:19" hidden="1" x14ac:dyDescent="0.35">
      <c r="A786" s="22">
        <v>1</v>
      </c>
      <c r="B786" t="s">
        <v>812</v>
      </c>
      <c r="C786" t="s">
        <v>802</v>
      </c>
      <c r="D786" t="s">
        <v>2522</v>
      </c>
      <c r="E786" t="s">
        <v>2523</v>
      </c>
      <c r="F786">
        <v>4019665</v>
      </c>
      <c r="G786" t="s">
        <v>2524</v>
      </c>
      <c r="H786" t="s">
        <v>805</v>
      </c>
      <c r="I786">
        <v>20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20</v>
      </c>
      <c r="P786" s="44" t="e">
        <f>_xlfn.XLOOKUP(Tabla5[[#This Row],[EAN CORREGIDO]],'Tabla Articulos'!B:B,'Tabla Articulos'!D:D)</f>
        <v>#N/A</v>
      </c>
      <c r="Q786" s="44" t="e">
        <f>_xlfn.XLOOKUP(S786,'Tabla Articulos'!B:B,'Tabla Articulos'!E:E)</f>
        <v>#N/A</v>
      </c>
      <c r="R786" s="44" t="e">
        <f t="shared" si="24"/>
        <v>#N/A</v>
      </c>
      <c r="S786" s="45" t="str">
        <f t="shared" si="25"/>
        <v>7790790120257</v>
      </c>
    </row>
    <row r="787" spans="1:19" hidden="1" x14ac:dyDescent="0.35">
      <c r="A787" s="22">
        <v>6</v>
      </c>
      <c r="B787" t="s">
        <v>801</v>
      </c>
      <c r="C787" t="s">
        <v>802</v>
      </c>
      <c r="E787" t="s">
        <v>2525</v>
      </c>
      <c r="F787">
        <v>9003295</v>
      </c>
      <c r="G787" t="s">
        <v>2526</v>
      </c>
      <c r="H787" t="s">
        <v>805</v>
      </c>
      <c r="I787">
        <v>0</v>
      </c>
      <c r="J787">
        <v>160</v>
      </c>
      <c r="K787">
        <v>0</v>
      </c>
      <c r="L787">
        <v>0</v>
      </c>
      <c r="M787">
        <v>0</v>
      </c>
      <c r="N787">
        <v>0</v>
      </c>
      <c r="O787">
        <v>160</v>
      </c>
      <c r="P787" s="44" t="e">
        <f>_xlfn.XLOOKUP(Tabla5[[#This Row],[EAN CORREGIDO]],'Tabla Articulos'!B:B,'Tabla Articulos'!D:D)</f>
        <v>#N/A</v>
      </c>
      <c r="Q787" s="44" t="e">
        <f>_xlfn.XLOOKUP(S787,'Tabla Articulos'!B:B,'Tabla Articulos'!E:E)</f>
        <v>#N/A</v>
      </c>
      <c r="R787" s="44" t="e">
        <f t="shared" si="24"/>
        <v>#N/A</v>
      </c>
      <c r="S787" s="45" t="str">
        <f t="shared" si="25"/>
        <v>UNIF000042</v>
      </c>
    </row>
    <row r="788" spans="1:19" hidden="1" x14ac:dyDescent="0.35">
      <c r="A788" s="22">
        <v>6</v>
      </c>
      <c r="B788" t="s">
        <v>801</v>
      </c>
      <c r="C788" t="s">
        <v>802</v>
      </c>
      <c r="D788"/>
      <c r="E788" t="s">
        <v>2527</v>
      </c>
      <c r="F788">
        <v>9003232</v>
      </c>
      <c r="G788" t="s">
        <v>2528</v>
      </c>
      <c r="H788" t="s">
        <v>805</v>
      </c>
      <c r="I788">
        <v>333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333</v>
      </c>
      <c r="P788" s="44" t="e">
        <f>_xlfn.XLOOKUP(Tabla5[[#This Row],[EAN CORREGIDO]],'Tabla Articulos'!B:B,'Tabla Articulos'!D:D)</f>
        <v>#N/A</v>
      </c>
      <c r="Q788" s="44" t="e">
        <f>_xlfn.XLOOKUP(S788,'Tabla Articulos'!B:B,'Tabla Articulos'!E:E)</f>
        <v>#N/A</v>
      </c>
      <c r="R788" s="44" t="e">
        <f t="shared" si="24"/>
        <v>#N/A</v>
      </c>
      <c r="S788" s="45" t="str">
        <f t="shared" si="25"/>
        <v>UNIF000530</v>
      </c>
    </row>
    <row r="789" spans="1:19" hidden="1" x14ac:dyDescent="0.35">
      <c r="A789" s="22">
        <v>6</v>
      </c>
      <c r="B789" t="s">
        <v>801</v>
      </c>
      <c r="C789" t="s">
        <v>802</v>
      </c>
      <c r="D789"/>
      <c r="E789" t="s">
        <v>1056</v>
      </c>
      <c r="F789">
        <v>2007611</v>
      </c>
      <c r="G789" t="s">
        <v>1057</v>
      </c>
      <c r="H789" t="s">
        <v>805</v>
      </c>
      <c r="I789">
        <v>6</v>
      </c>
      <c r="J789">
        <v>7</v>
      </c>
      <c r="K789">
        <v>0</v>
      </c>
      <c r="L789">
        <v>0</v>
      </c>
      <c r="M789">
        <v>0</v>
      </c>
      <c r="N789">
        <v>0</v>
      </c>
      <c r="O789">
        <v>13</v>
      </c>
      <c r="P789" s="44" t="e">
        <f>_xlfn.XLOOKUP(Tabla5[[#This Row],[EAN CORREGIDO]],'Tabla Articulos'!B:B,'Tabla Articulos'!D:D)</f>
        <v>#N/A</v>
      </c>
      <c r="Q789" s="44" t="e">
        <f>_xlfn.XLOOKUP(S789,'Tabla Articulos'!B:B,'Tabla Articulos'!E:E)</f>
        <v>#N/A</v>
      </c>
      <c r="R789" s="44" t="e">
        <f t="shared" si="24"/>
        <v>#N/A</v>
      </c>
      <c r="S789" s="45" t="str">
        <f t="shared" si="25"/>
        <v>807174532708</v>
      </c>
    </row>
    <row r="790" spans="1:19" hidden="1" x14ac:dyDescent="0.35">
      <c r="A790" s="22">
        <v>6</v>
      </c>
      <c r="B790" t="s">
        <v>801</v>
      </c>
      <c r="C790" t="s">
        <v>802</v>
      </c>
      <c r="D790" s="11" t="s">
        <v>920</v>
      </c>
      <c r="E790" t="s">
        <v>1058</v>
      </c>
      <c r="F790">
        <v>2006547</v>
      </c>
      <c r="G790" t="s">
        <v>1059</v>
      </c>
      <c r="H790" t="s">
        <v>805</v>
      </c>
      <c r="I790">
        <v>8658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8658</v>
      </c>
      <c r="P790" s="44" t="e">
        <f>_xlfn.XLOOKUP(Tabla5[[#This Row],[EAN CORREGIDO]],'Tabla Articulos'!B:B,'Tabla Articulos'!D:D)</f>
        <v>#N/A</v>
      </c>
      <c r="Q790" s="44" t="e">
        <f>_xlfn.XLOOKUP(S790,'Tabla Articulos'!B:B,'Tabla Articulos'!E:E)</f>
        <v>#N/A</v>
      </c>
      <c r="R790" s="44" t="e">
        <f t="shared" si="24"/>
        <v>#N/A</v>
      </c>
      <c r="S790" s="45" t="str">
        <f t="shared" si="25"/>
        <v>7798012211417</v>
      </c>
    </row>
    <row r="791" spans="1:19" hidden="1" x14ac:dyDescent="0.35">
      <c r="A791" s="22">
        <v>6</v>
      </c>
      <c r="B791" t="s">
        <v>801</v>
      </c>
      <c r="C791" t="s">
        <v>802</v>
      </c>
      <c r="D791" s="11" t="s">
        <v>1060</v>
      </c>
      <c r="E791" t="s">
        <v>1061</v>
      </c>
      <c r="F791">
        <v>2006574</v>
      </c>
      <c r="G791" t="s">
        <v>1062</v>
      </c>
      <c r="H791" t="s">
        <v>805</v>
      </c>
      <c r="I791">
        <v>66</v>
      </c>
      <c r="J791">
        <v>1120</v>
      </c>
      <c r="K791">
        <v>1120</v>
      </c>
      <c r="L791">
        <v>0</v>
      </c>
      <c r="M791">
        <v>0</v>
      </c>
      <c r="N791">
        <v>0</v>
      </c>
      <c r="O791">
        <v>66</v>
      </c>
      <c r="P791" s="44" t="e">
        <f>_xlfn.XLOOKUP(Tabla5[[#This Row],[EAN CORREGIDO]],'Tabla Articulos'!B:B,'Tabla Articulos'!D:D)</f>
        <v>#N/A</v>
      </c>
      <c r="Q791" s="44" t="e">
        <f>_xlfn.XLOOKUP(S791,'Tabla Articulos'!B:B,'Tabla Articulos'!E:E)</f>
        <v>#N/A</v>
      </c>
      <c r="R791" s="44" t="e">
        <f t="shared" si="24"/>
        <v>#N/A</v>
      </c>
      <c r="S791" s="45" t="str">
        <f t="shared" si="25"/>
        <v>7798188650737</v>
      </c>
    </row>
    <row r="792" spans="1:19" hidden="1" x14ac:dyDescent="0.35">
      <c r="A792" s="22">
        <v>1</v>
      </c>
      <c r="B792" t="s">
        <v>812</v>
      </c>
      <c r="C792" t="s">
        <v>802</v>
      </c>
      <c r="D792" t="s">
        <v>1063</v>
      </c>
      <c r="E792" t="s">
        <v>1064</v>
      </c>
      <c r="F792">
        <v>4019727</v>
      </c>
      <c r="G792" t="s">
        <v>1065</v>
      </c>
      <c r="H792" t="s">
        <v>805</v>
      </c>
      <c r="I792">
        <v>26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26</v>
      </c>
      <c r="P792" s="44" t="e">
        <f>_xlfn.XLOOKUP(Tabla5[[#This Row],[EAN CORREGIDO]],'Tabla Articulos'!B:B,'Tabla Articulos'!D:D)</f>
        <v>#N/A</v>
      </c>
      <c r="Q792" s="44" t="e">
        <f>_xlfn.XLOOKUP(S792,'Tabla Articulos'!B:B,'Tabla Articulos'!E:E)</f>
        <v>#N/A</v>
      </c>
      <c r="R792" s="44" t="e">
        <f t="shared" si="24"/>
        <v>#N/A</v>
      </c>
      <c r="S792" s="45" t="str">
        <f t="shared" si="25"/>
        <v>7790398000326</v>
      </c>
    </row>
    <row r="793" spans="1:19" hidden="1" x14ac:dyDescent="0.35">
      <c r="A793" s="22">
        <v>1</v>
      </c>
      <c r="B793" t="s">
        <v>812</v>
      </c>
      <c r="C793" t="s">
        <v>802</v>
      </c>
      <c r="D793" s="11" t="s">
        <v>1066</v>
      </c>
      <c r="E793" t="s">
        <v>1067</v>
      </c>
      <c r="F793">
        <v>4048972</v>
      </c>
      <c r="G793" t="s">
        <v>1068</v>
      </c>
      <c r="H793" t="s">
        <v>805</v>
      </c>
      <c r="I793">
        <v>996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996</v>
      </c>
      <c r="P793" s="44" t="e">
        <f>_xlfn.XLOOKUP(Tabla5[[#This Row],[EAN CORREGIDO]],'Tabla Articulos'!B:B,'Tabla Articulos'!D:D)</f>
        <v>#N/A</v>
      </c>
      <c r="Q793" s="44" t="e">
        <f>_xlfn.XLOOKUP(S793,'Tabla Articulos'!B:B,'Tabla Articulos'!E:E)</f>
        <v>#N/A</v>
      </c>
      <c r="R793" s="44" t="e">
        <f t="shared" si="24"/>
        <v>#N/A</v>
      </c>
      <c r="S793" s="45" t="str">
        <f t="shared" si="25"/>
        <v>7798132920626</v>
      </c>
    </row>
    <row r="794" spans="1:19" hidden="1" x14ac:dyDescent="0.35">
      <c r="A794" s="22">
        <v>5</v>
      </c>
      <c r="B794" t="s">
        <v>829</v>
      </c>
      <c r="C794" t="s">
        <v>802</v>
      </c>
      <c r="D794" s="11" t="s">
        <v>1066</v>
      </c>
      <c r="E794" t="s">
        <v>1067</v>
      </c>
      <c r="F794">
        <v>4048972</v>
      </c>
      <c r="G794" t="s">
        <v>1068</v>
      </c>
      <c r="H794" t="s">
        <v>805</v>
      </c>
      <c r="I794">
        <v>9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9</v>
      </c>
      <c r="P794" s="44" t="e">
        <f>_xlfn.XLOOKUP(Tabla5[[#This Row],[EAN CORREGIDO]],'Tabla Articulos'!B:B,'Tabla Articulos'!D:D)</f>
        <v>#N/A</v>
      </c>
      <c r="Q794" s="44" t="e">
        <f>_xlfn.XLOOKUP(S794,'Tabla Articulos'!B:B,'Tabla Articulos'!E:E)</f>
        <v>#N/A</v>
      </c>
      <c r="R794" s="44" t="e">
        <f t="shared" si="24"/>
        <v>#N/A</v>
      </c>
      <c r="S794" s="45" t="str">
        <f t="shared" si="25"/>
        <v>7798132920626</v>
      </c>
    </row>
    <row r="795" spans="1:19" hidden="1" x14ac:dyDescent="0.35">
      <c r="A795" s="22">
        <v>1</v>
      </c>
      <c r="B795" t="s">
        <v>812</v>
      </c>
      <c r="C795" t="s">
        <v>802</v>
      </c>
      <c r="D795" t="s">
        <v>2284</v>
      </c>
      <c r="E795" t="s">
        <v>3729</v>
      </c>
      <c r="F795">
        <v>4018656</v>
      </c>
      <c r="G795" t="s">
        <v>3730</v>
      </c>
      <c r="H795" t="s">
        <v>805</v>
      </c>
      <c r="I795">
        <v>138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138</v>
      </c>
      <c r="P795" s="44" t="e">
        <f>_xlfn.XLOOKUP(Tabla5[[#This Row],[EAN CORREGIDO]],'Tabla Articulos'!B:B,'Tabla Articulos'!D:D)</f>
        <v>#N/A</v>
      </c>
      <c r="Q795" s="44" t="e">
        <f>_xlfn.XLOOKUP(S795,'Tabla Articulos'!B:B,'Tabla Articulos'!E:E)</f>
        <v>#N/A</v>
      </c>
      <c r="R795" s="44" t="e">
        <f t="shared" si="24"/>
        <v>#N/A</v>
      </c>
      <c r="S795" s="45" t="str">
        <f t="shared" si="25"/>
        <v>7791218122624</v>
      </c>
    </row>
    <row r="796" spans="1:19" hidden="1" x14ac:dyDescent="0.35">
      <c r="A796" s="22">
        <v>1</v>
      </c>
      <c r="B796" t="s">
        <v>812</v>
      </c>
      <c r="C796" t="s">
        <v>802</v>
      </c>
      <c r="D796" s="11" t="s">
        <v>2347</v>
      </c>
      <c r="E796" t="s">
        <v>3731</v>
      </c>
      <c r="F796">
        <v>4017579</v>
      </c>
      <c r="G796" t="s">
        <v>3732</v>
      </c>
      <c r="H796" t="s">
        <v>805</v>
      </c>
      <c r="I796">
        <v>28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28</v>
      </c>
      <c r="P796" s="44" t="e">
        <f>_xlfn.XLOOKUP(Tabla5[[#This Row],[EAN CORREGIDO]],'Tabla Articulos'!B:B,'Tabla Articulos'!D:D)</f>
        <v>#N/A</v>
      </c>
      <c r="Q796" s="44" t="e">
        <f>_xlfn.XLOOKUP(S796,'Tabla Articulos'!B:B,'Tabla Articulos'!E:E)</f>
        <v>#N/A</v>
      </c>
      <c r="R796" s="44" t="e">
        <f t="shared" si="24"/>
        <v>#N/A</v>
      </c>
      <c r="S796" s="45" t="str">
        <f t="shared" si="25"/>
        <v>2304631000001</v>
      </c>
    </row>
    <row r="797" spans="1:19" hidden="1" x14ac:dyDescent="0.35">
      <c r="A797" s="22">
        <v>1</v>
      </c>
      <c r="B797" t="s">
        <v>812</v>
      </c>
      <c r="C797" t="s">
        <v>802</v>
      </c>
      <c r="D797" t="s">
        <v>3733</v>
      </c>
      <c r="E797" t="s">
        <v>3734</v>
      </c>
      <c r="F797">
        <v>4020151</v>
      </c>
      <c r="G797" t="s">
        <v>3735</v>
      </c>
      <c r="H797" t="s">
        <v>805</v>
      </c>
      <c r="I797">
        <v>483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483</v>
      </c>
      <c r="P797" s="44" t="e">
        <f>_xlfn.XLOOKUP(Tabla5[[#This Row],[EAN CORREGIDO]],'Tabla Articulos'!B:B,'Tabla Articulos'!D:D)</f>
        <v>#N/A</v>
      </c>
      <c r="Q797" s="44" t="e">
        <f>_xlfn.XLOOKUP(S797,'Tabla Articulos'!B:B,'Tabla Articulos'!E:E)</f>
        <v>#N/A</v>
      </c>
      <c r="R797" s="44" t="e">
        <f t="shared" si="24"/>
        <v>#N/A</v>
      </c>
      <c r="S797" s="45" t="str">
        <f t="shared" si="25"/>
        <v>7791113000904</v>
      </c>
    </row>
    <row r="798" spans="1:19" hidden="1" x14ac:dyDescent="0.35">
      <c r="A798" s="22">
        <v>6</v>
      </c>
      <c r="B798" t="s">
        <v>801</v>
      </c>
      <c r="C798" t="s">
        <v>802</v>
      </c>
      <c r="D798" t="s">
        <v>358</v>
      </c>
      <c r="E798" t="s">
        <v>3736</v>
      </c>
      <c r="F798">
        <v>2006633</v>
      </c>
      <c r="G798" t="s">
        <v>3737</v>
      </c>
      <c r="H798" t="s">
        <v>805</v>
      </c>
      <c r="I798">
        <v>29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29</v>
      </c>
      <c r="P798" s="44" t="str">
        <f>_xlfn.XLOOKUP(Tabla5[[#This Row],[EAN CORREGIDO]],'Tabla Articulos'!B:B,'Tabla Articulos'!D:D)</f>
        <v>BROCHETTE</v>
      </c>
      <c r="Q798" s="44">
        <f>_xlfn.XLOOKUP(S798,'Tabla Articulos'!B:B,'Tabla Articulos'!E:E)</f>
        <v>80</v>
      </c>
      <c r="R798" s="44">
        <f t="shared" si="24"/>
        <v>2320</v>
      </c>
      <c r="S798" s="45" t="str">
        <f t="shared" si="25"/>
        <v>7790321123456</v>
      </c>
    </row>
    <row r="799" spans="1:19" hidden="1" x14ac:dyDescent="0.35">
      <c r="A799" s="22">
        <v>6</v>
      </c>
      <c r="B799" t="s">
        <v>801</v>
      </c>
      <c r="C799" t="s">
        <v>802</v>
      </c>
      <c r="D799"/>
      <c r="E799" t="s">
        <v>2731</v>
      </c>
      <c r="F799">
        <v>9003229</v>
      </c>
      <c r="G799" t="s">
        <v>2732</v>
      </c>
      <c r="H799" t="s">
        <v>805</v>
      </c>
      <c r="I799">
        <v>129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129</v>
      </c>
      <c r="P799" s="44" t="e">
        <f>_xlfn.XLOOKUP(Tabla5[[#This Row],[EAN CORREGIDO]],'Tabla Articulos'!B:B,'Tabla Articulos'!D:D)</f>
        <v>#N/A</v>
      </c>
      <c r="Q799" s="44" t="e">
        <f>_xlfn.XLOOKUP(S799,'Tabla Articulos'!B:B,'Tabla Articulos'!E:E)</f>
        <v>#N/A</v>
      </c>
      <c r="R799" s="44" t="e">
        <f t="shared" si="24"/>
        <v>#N/A</v>
      </c>
      <c r="S799" s="45" t="str">
        <f t="shared" si="25"/>
        <v>UNIF000242</v>
      </c>
    </row>
    <row r="800" spans="1:19" hidden="1" x14ac:dyDescent="0.35">
      <c r="A800" s="22">
        <v>5</v>
      </c>
      <c r="B800" t="s">
        <v>829</v>
      </c>
      <c r="C800" t="s">
        <v>802</v>
      </c>
      <c r="D800" s="11" t="s">
        <v>2733</v>
      </c>
      <c r="E800" t="s">
        <v>2734</v>
      </c>
      <c r="F800">
        <v>4019274</v>
      </c>
      <c r="G800" t="s">
        <v>2735</v>
      </c>
      <c r="H800" t="s">
        <v>805</v>
      </c>
      <c r="I800">
        <v>22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22</v>
      </c>
      <c r="P800" s="44" t="e">
        <f>_xlfn.XLOOKUP(Tabla5[[#This Row],[EAN CORREGIDO]],'Tabla Articulos'!B:B,'Tabla Articulos'!D:D)</f>
        <v>#N/A</v>
      </c>
      <c r="Q800" s="44" t="e">
        <f>_xlfn.XLOOKUP(S800,'Tabla Articulos'!B:B,'Tabla Articulos'!E:E)</f>
        <v>#N/A</v>
      </c>
      <c r="R800" s="44" t="e">
        <f t="shared" si="24"/>
        <v>#N/A</v>
      </c>
      <c r="S800" s="45" t="str">
        <f t="shared" si="25"/>
        <v>0724751080530</v>
      </c>
    </row>
    <row r="801" spans="1:19" hidden="1" x14ac:dyDescent="0.35">
      <c r="A801" s="22">
        <v>6</v>
      </c>
      <c r="B801" t="s">
        <v>801</v>
      </c>
      <c r="C801" t="s">
        <v>802</v>
      </c>
      <c r="E801" t="s">
        <v>2736</v>
      </c>
      <c r="F801">
        <v>9003300</v>
      </c>
      <c r="G801" t="s">
        <v>2737</v>
      </c>
      <c r="H801" t="s">
        <v>805</v>
      </c>
      <c r="I801">
        <v>275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275</v>
      </c>
      <c r="P801" s="44" t="e">
        <f>_xlfn.XLOOKUP(Tabla5[[#This Row],[EAN CORREGIDO]],'Tabla Articulos'!B:B,'Tabla Articulos'!D:D)</f>
        <v>#N/A</v>
      </c>
      <c r="Q801" s="44" t="e">
        <f>_xlfn.XLOOKUP(S801,'Tabla Articulos'!B:B,'Tabla Articulos'!E:E)</f>
        <v>#N/A</v>
      </c>
      <c r="R801" s="44" t="e">
        <f t="shared" si="24"/>
        <v>#N/A</v>
      </c>
      <c r="S801" s="45" t="str">
        <f t="shared" si="25"/>
        <v>UNIF000047</v>
      </c>
    </row>
    <row r="802" spans="1:19" hidden="1" x14ac:dyDescent="0.35">
      <c r="A802" s="22">
        <v>6</v>
      </c>
      <c r="B802" t="s">
        <v>801</v>
      </c>
      <c r="C802" t="s">
        <v>802</v>
      </c>
      <c r="D802"/>
      <c r="E802" t="s">
        <v>2738</v>
      </c>
      <c r="F802">
        <v>2007444</v>
      </c>
      <c r="G802" t="s">
        <v>2739</v>
      </c>
      <c r="H802" t="s">
        <v>805</v>
      </c>
      <c r="I802">
        <v>1012</v>
      </c>
      <c r="J802">
        <v>340</v>
      </c>
      <c r="K802">
        <v>340</v>
      </c>
      <c r="L802">
        <v>0</v>
      </c>
      <c r="M802">
        <v>0</v>
      </c>
      <c r="N802">
        <v>0</v>
      </c>
      <c r="O802">
        <v>1012</v>
      </c>
      <c r="P802" s="44" t="e">
        <f>_xlfn.XLOOKUP(Tabla5[[#This Row],[EAN CORREGIDO]],'Tabla Articulos'!B:B,'Tabla Articulos'!D:D)</f>
        <v>#N/A</v>
      </c>
      <c r="Q802" s="44" t="e">
        <f>_xlfn.XLOOKUP(S802,'Tabla Articulos'!B:B,'Tabla Articulos'!E:E)</f>
        <v>#N/A</v>
      </c>
      <c r="R802" s="44" t="e">
        <f t="shared" si="24"/>
        <v>#N/A</v>
      </c>
      <c r="S802" s="45" t="str">
        <f t="shared" si="25"/>
        <v>7790520995285</v>
      </c>
    </row>
    <row r="803" spans="1:19" hidden="1" x14ac:dyDescent="0.35">
      <c r="A803" s="22">
        <v>6</v>
      </c>
      <c r="B803" t="s">
        <v>801</v>
      </c>
      <c r="C803" t="s">
        <v>802</v>
      </c>
      <c r="D803"/>
      <c r="E803" t="s">
        <v>2740</v>
      </c>
      <c r="F803">
        <v>9003297</v>
      </c>
      <c r="G803" t="s">
        <v>2741</v>
      </c>
      <c r="H803" t="s">
        <v>805</v>
      </c>
      <c r="I803">
        <v>49</v>
      </c>
      <c r="J803">
        <v>40</v>
      </c>
      <c r="K803">
        <v>0</v>
      </c>
      <c r="L803">
        <v>0</v>
      </c>
      <c r="M803">
        <v>0</v>
      </c>
      <c r="N803">
        <v>0</v>
      </c>
      <c r="O803">
        <v>89</v>
      </c>
      <c r="P803" s="44" t="e">
        <f>_xlfn.XLOOKUP(Tabla5[[#This Row],[EAN CORREGIDO]],'Tabla Articulos'!B:B,'Tabla Articulos'!D:D)</f>
        <v>#N/A</v>
      </c>
      <c r="Q803" s="44" t="e">
        <f>_xlfn.XLOOKUP(S803,'Tabla Articulos'!B:B,'Tabla Articulos'!E:E)</f>
        <v>#N/A</v>
      </c>
      <c r="R803" s="44" t="e">
        <f t="shared" si="24"/>
        <v>#N/A</v>
      </c>
      <c r="S803" s="45" t="str">
        <f t="shared" si="25"/>
        <v>UNIF000044</v>
      </c>
    </row>
    <row r="804" spans="1:19" hidden="1" x14ac:dyDescent="0.35">
      <c r="A804" s="22">
        <v>6</v>
      </c>
      <c r="B804" t="s">
        <v>801</v>
      </c>
      <c r="C804" t="s">
        <v>802</v>
      </c>
      <c r="D804"/>
      <c r="E804" t="s">
        <v>2178</v>
      </c>
      <c r="F804">
        <v>2007610</v>
      </c>
      <c r="G804" t="s">
        <v>2179</v>
      </c>
      <c r="H804" t="s">
        <v>805</v>
      </c>
      <c r="I804">
        <v>12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12</v>
      </c>
      <c r="P804" s="44" t="e">
        <f>_xlfn.XLOOKUP(Tabla5[[#This Row],[EAN CORREGIDO]],'Tabla Articulos'!B:B,'Tabla Articulos'!D:D)</f>
        <v>#N/A</v>
      </c>
      <c r="Q804" s="44" t="e">
        <f>_xlfn.XLOOKUP(S804,'Tabla Articulos'!B:B,'Tabla Articulos'!E:E)</f>
        <v>#N/A</v>
      </c>
      <c r="R804" s="44" t="e">
        <f t="shared" si="24"/>
        <v>#N/A</v>
      </c>
      <c r="S804" s="45" t="str">
        <f t="shared" si="25"/>
        <v>7798057861622</v>
      </c>
    </row>
    <row r="805" spans="1:19" hidden="1" x14ac:dyDescent="0.35">
      <c r="A805" s="22">
        <v>6</v>
      </c>
      <c r="B805" t="s">
        <v>801</v>
      </c>
      <c r="C805" t="s">
        <v>802</v>
      </c>
      <c r="D805" s="11" t="s">
        <v>1583</v>
      </c>
      <c r="E805" t="s">
        <v>2180</v>
      </c>
      <c r="F805">
        <v>2006558</v>
      </c>
      <c r="G805" t="s">
        <v>2181</v>
      </c>
      <c r="H805" t="s">
        <v>805</v>
      </c>
      <c r="I805">
        <v>2200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2200</v>
      </c>
      <c r="P805" s="44" t="e">
        <f>_xlfn.XLOOKUP(Tabla5[[#This Row],[EAN CORREGIDO]],'Tabla Articulos'!B:B,'Tabla Articulos'!D:D)</f>
        <v>#N/A</v>
      </c>
      <c r="Q805" s="44" t="e">
        <f>_xlfn.XLOOKUP(S805,'Tabla Articulos'!B:B,'Tabla Articulos'!E:E)</f>
        <v>#N/A</v>
      </c>
      <c r="R805" s="44" t="e">
        <f t="shared" si="24"/>
        <v>#N/A</v>
      </c>
      <c r="S805" s="45" t="str">
        <f t="shared" si="25"/>
        <v>7798092965552</v>
      </c>
    </row>
    <row r="806" spans="1:19" hidden="1" x14ac:dyDescent="0.35">
      <c r="A806" s="22">
        <v>6</v>
      </c>
      <c r="B806" t="s">
        <v>801</v>
      </c>
      <c r="C806" t="s">
        <v>802</v>
      </c>
      <c r="D806" t="s">
        <v>1198</v>
      </c>
      <c r="E806" t="s">
        <v>2182</v>
      </c>
      <c r="F806">
        <v>2016670</v>
      </c>
      <c r="G806" t="s">
        <v>2183</v>
      </c>
      <c r="H806" t="s">
        <v>805</v>
      </c>
      <c r="I806">
        <v>5385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5385</v>
      </c>
      <c r="P806" s="44" t="e">
        <f>_xlfn.XLOOKUP(Tabla5[[#This Row],[EAN CORREGIDO]],'Tabla Articulos'!B:B,'Tabla Articulos'!D:D)</f>
        <v>#N/A</v>
      </c>
      <c r="Q806" s="44" t="e">
        <f>_xlfn.XLOOKUP(S806,'Tabla Articulos'!B:B,'Tabla Articulos'!E:E)</f>
        <v>#N/A</v>
      </c>
      <c r="R806" s="44" t="e">
        <f t="shared" si="24"/>
        <v>#N/A</v>
      </c>
      <c r="S806" s="45" t="str">
        <f t="shared" si="25"/>
        <v>7798092969789</v>
      </c>
    </row>
    <row r="807" spans="1:19" hidden="1" x14ac:dyDescent="0.35">
      <c r="A807" s="22">
        <v>6</v>
      </c>
      <c r="B807" t="s">
        <v>801</v>
      </c>
      <c r="C807" t="s">
        <v>802</v>
      </c>
      <c r="D807"/>
      <c r="E807" t="s">
        <v>2184</v>
      </c>
      <c r="F807">
        <v>2006987</v>
      </c>
      <c r="G807" t="s">
        <v>2185</v>
      </c>
      <c r="H807" t="s">
        <v>805</v>
      </c>
      <c r="I807">
        <v>45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45</v>
      </c>
      <c r="P807" s="44" t="e">
        <f>_xlfn.XLOOKUP(Tabla5[[#This Row],[EAN CORREGIDO]],'Tabla Articulos'!B:B,'Tabla Articulos'!D:D)</f>
        <v>#N/A</v>
      </c>
      <c r="Q807" s="44" t="e">
        <f>_xlfn.XLOOKUP(S807,'Tabla Articulos'!B:B,'Tabla Articulos'!E:E)</f>
        <v>#N/A</v>
      </c>
      <c r="R807" s="44" t="e">
        <f t="shared" si="24"/>
        <v>#N/A</v>
      </c>
      <c r="S807" s="45" t="str">
        <f t="shared" si="25"/>
        <v>BUE00274</v>
      </c>
    </row>
    <row r="808" spans="1:19" hidden="1" x14ac:dyDescent="0.35">
      <c r="A808" s="22">
        <v>6</v>
      </c>
      <c r="B808" t="s">
        <v>801</v>
      </c>
      <c r="C808" t="s">
        <v>802</v>
      </c>
      <c r="D808"/>
      <c r="E808" t="s">
        <v>2186</v>
      </c>
      <c r="F808">
        <v>9003475</v>
      </c>
      <c r="G808" t="s">
        <v>2187</v>
      </c>
      <c r="H808" t="s">
        <v>805</v>
      </c>
      <c r="I808">
        <v>7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7</v>
      </c>
      <c r="P808" s="44" t="e">
        <f>_xlfn.XLOOKUP(Tabla5[[#This Row],[EAN CORREGIDO]],'Tabla Articulos'!B:B,'Tabla Articulos'!D:D)</f>
        <v>#N/A</v>
      </c>
      <c r="Q808" s="44" t="e">
        <f>_xlfn.XLOOKUP(S808,'Tabla Articulos'!B:B,'Tabla Articulos'!E:E)</f>
        <v>#N/A</v>
      </c>
      <c r="R808" s="44" t="e">
        <f t="shared" si="24"/>
        <v>#N/A</v>
      </c>
      <c r="S808" s="45" t="str">
        <f t="shared" si="25"/>
        <v>UNIF000207</v>
      </c>
    </row>
    <row r="809" spans="1:19" hidden="1" x14ac:dyDescent="0.35">
      <c r="A809" s="22">
        <v>1</v>
      </c>
      <c r="B809" t="s">
        <v>812</v>
      </c>
      <c r="C809" t="s">
        <v>802</v>
      </c>
      <c r="D809" t="s">
        <v>2188</v>
      </c>
      <c r="E809" t="s">
        <v>2189</v>
      </c>
      <c r="F809">
        <v>4020369</v>
      </c>
      <c r="G809" t="s">
        <v>2190</v>
      </c>
      <c r="H809" t="s">
        <v>805</v>
      </c>
      <c r="I809">
        <v>58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58</v>
      </c>
      <c r="P809" s="44" t="e">
        <f>_xlfn.XLOOKUP(Tabla5[[#This Row],[EAN CORREGIDO]],'Tabla Articulos'!B:B,'Tabla Articulos'!D:D)</f>
        <v>#N/A</v>
      </c>
      <c r="Q809" s="44" t="e">
        <f>_xlfn.XLOOKUP(S809,'Tabla Articulos'!B:B,'Tabla Articulos'!E:E)</f>
        <v>#N/A</v>
      </c>
      <c r="R809" s="44" t="e">
        <f t="shared" si="24"/>
        <v>#N/A</v>
      </c>
      <c r="S809" s="45" t="str">
        <f t="shared" si="25"/>
        <v>7797470000816</v>
      </c>
    </row>
    <row r="810" spans="1:19" hidden="1" x14ac:dyDescent="0.35">
      <c r="A810" s="22">
        <v>1</v>
      </c>
      <c r="B810" t="s">
        <v>812</v>
      </c>
      <c r="C810" t="s">
        <v>802</v>
      </c>
      <c r="D810" s="11" t="s">
        <v>2191</v>
      </c>
      <c r="E810" t="s">
        <v>2192</v>
      </c>
      <c r="F810">
        <v>4020604</v>
      </c>
      <c r="G810" t="s">
        <v>2193</v>
      </c>
      <c r="H810" t="s">
        <v>805</v>
      </c>
      <c r="I810">
        <v>17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17</v>
      </c>
      <c r="P810" s="44" t="e">
        <f>_xlfn.XLOOKUP(Tabla5[[#This Row],[EAN CORREGIDO]],'Tabla Articulos'!B:B,'Tabla Articulos'!D:D)</f>
        <v>#N/A</v>
      </c>
      <c r="Q810" s="44" t="e">
        <f>_xlfn.XLOOKUP(S810,'Tabla Articulos'!B:B,'Tabla Articulos'!E:E)</f>
        <v>#N/A</v>
      </c>
      <c r="R810" s="44" t="e">
        <f t="shared" si="24"/>
        <v>#N/A</v>
      </c>
      <c r="S810" s="45" t="str">
        <f t="shared" si="25"/>
        <v>8445291388062</v>
      </c>
    </row>
    <row r="811" spans="1:19" hidden="1" x14ac:dyDescent="0.35">
      <c r="A811" s="22">
        <v>6</v>
      </c>
      <c r="B811" t="s">
        <v>801</v>
      </c>
      <c r="C811" t="s">
        <v>802</v>
      </c>
      <c r="D811"/>
      <c r="E811" t="s">
        <v>2194</v>
      </c>
      <c r="F811">
        <v>9004198</v>
      </c>
      <c r="G811" t="s">
        <v>2195</v>
      </c>
      <c r="H811" t="s">
        <v>805</v>
      </c>
      <c r="I811">
        <v>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3</v>
      </c>
      <c r="P811" s="44" t="e">
        <f>_xlfn.XLOOKUP(Tabla5[[#This Row],[EAN CORREGIDO]],'Tabla Articulos'!B:B,'Tabla Articulos'!D:D)</f>
        <v>#N/A</v>
      </c>
      <c r="Q811" s="44" t="e">
        <f>_xlfn.XLOOKUP(S811,'Tabla Articulos'!B:B,'Tabla Articulos'!E:E)</f>
        <v>#N/A</v>
      </c>
      <c r="R811" s="44" t="e">
        <f t="shared" si="24"/>
        <v>#N/A</v>
      </c>
      <c r="S811" s="45" t="str">
        <f t="shared" si="25"/>
        <v>UNIF000744</v>
      </c>
    </row>
    <row r="812" spans="1:19" hidden="1" x14ac:dyDescent="0.35">
      <c r="A812" s="22">
        <v>5</v>
      </c>
      <c r="B812" t="s">
        <v>829</v>
      </c>
      <c r="C812" t="s">
        <v>802</v>
      </c>
      <c r="D812" t="s">
        <v>3473</v>
      </c>
      <c r="E812" t="s">
        <v>3474</v>
      </c>
      <c r="F812">
        <v>4019906</v>
      </c>
      <c r="G812" t="s">
        <v>3475</v>
      </c>
      <c r="H812" t="s">
        <v>805</v>
      </c>
      <c r="I812">
        <v>119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119</v>
      </c>
      <c r="P812" s="44" t="e">
        <f>_xlfn.XLOOKUP(Tabla5[[#This Row],[EAN CORREGIDO]],'Tabla Articulos'!B:B,'Tabla Articulos'!D:D)</f>
        <v>#N/A</v>
      </c>
      <c r="Q812" s="44" t="e">
        <f>_xlfn.XLOOKUP(S812,'Tabla Articulos'!B:B,'Tabla Articulos'!E:E)</f>
        <v>#N/A</v>
      </c>
      <c r="R812" s="44" t="e">
        <f t="shared" si="24"/>
        <v>#N/A</v>
      </c>
      <c r="S812" s="45" t="str">
        <f t="shared" si="25"/>
        <v>7791885005459</v>
      </c>
    </row>
    <row r="813" spans="1:19" hidden="1" x14ac:dyDescent="0.35">
      <c r="A813" s="22">
        <v>6</v>
      </c>
      <c r="B813" t="s">
        <v>801</v>
      </c>
      <c r="C813" t="s">
        <v>802</v>
      </c>
      <c r="D813" t="s">
        <v>920</v>
      </c>
      <c r="E813" t="s">
        <v>3476</v>
      </c>
      <c r="F813">
        <v>2006513</v>
      </c>
      <c r="G813" t="s">
        <v>3477</v>
      </c>
      <c r="H813" t="s">
        <v>805</v>
      </c>
      <c r="I813">
        <v>139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139</v>
      </c>
      <c r="P813" s="44" t="e">
        <f>_xlfn.XLOOKUP(Tabla5[[#This Row],[EAN CORREGIDO]],'Tabla Articulos'!B:B,'Tabla Articulos'!D:D)</f>
        <v>#N/A</v>
      </c>
      <c r="Q813" s="44" t="e">
        <f>_xlfn.XLOOKUP(S813,'Tabla Articulos'!B:B,'Tabla Articulos'!E:E)</f>
        <v>#N/A</v>
      </c>
      <c r="R813" s="44" t="e">
        <f t="shared" si="24"/>
        <v>#N/A</v>
      </c>
      <c r="S813" s="45" t="str">
        <f t="shared" si="25"/>
        <v>LIM000437</v>
      </c>
    </row>
    <row r="814" spans="1:19" hidden="1" x14ac:dyDescent="0.35">
      <c r="A814" s="22">
        <v>1</v>
      </c>
      <c r="B814" t="s">
        <v>812</v>
      </c>
      <c r="C814" t="s">
        <v>802</v>
      </c>
      <c r="D814" s="11" t="s">
        <v>2522</v>
      </c>
      <c r="E814" t="s">
        <v>3478</v>
      </c>
      <c r="F814">
        <v>4019720</v>
      </c>
      <c r="G814" t="s">
        <v>3479</v>
      </c>
      <c r="H814" t="s">
        <v>805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 s="44" t="e">
        <f>_xlfn.XLOOKUP(Tabla5[[#This Row],[EAN CORREGIDO]],'Tabla Articulos'!B:B,'Tabla Articulos'!D:D)</f>
        <v>#N/A</v>
      </c>
      <c r="Q814" s="44" t="e">
        <f>_xlfn.XLOOKUP(S814,'Tabla Articulos'!B:B,'Tabla Articulos'!E:E)</f>
        <v>#N/A</v>
      </c>
      <c r="R814" s="44" t="e">
        <f t="shared" si="24"/>
        <v>#N/A</v>
      </c>
      <c r="S814" s="45" t="str">
        <f t="shared" si="25"/>
        <v>7792350067613</v>
      </c>
    </row>
    <row r="815" spans="1:19" hidden="1" x14ac:dyDescent="0.35">
      <c r="A815" s="22">
        <v>6</v>
      </c>
      <c r="B815" t="s">
        <v>801</v>
      </c>
      <c r="C815" t="s">
        <v>802</v>
      </c>
      <c r="D815"/>
      <c r="E815" t="s">
        <v>3480</v>
      </c>
      <c r="F815">
        <v>9003975</v>
      </c>
      <c r="G815" t="s">
        <v>3481</v>
      </c>
      <c r="H815" t="s">
        <v>805</v>
      </c>
      <c r="I815">
        <v>15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15</v>
      </c>
      <c r="P815" s="44" t="e">
        <f>_xlfn.XLOOKUP(Tabla5[[#This Row],[EAN CORREGIDO]],'Tabla Articulos'!B:B,'Tabla Articulos'!D:D)</f>
        <v>#N/A</v>
      </c>
      <c r="Q815" s="44" t="e">
        <f>_xlfn.XLOOKUP(S815,'Tabla Articulos'!B:B,'Tabla Articulos'!E:E)</f>
        <v>#N/A</v>
      </c>
      <c r="R815" s="44" t="e">
        <f t="shared" si="24"/>
        <v>#N/A</v>
      </c>
      <c r="S815" s="45" t="str">
        <f t="shared" si="25"/>
        <v>UNIF000645</v>
      </c>
    </row>
    <row r="816" spans="1:19" hidden="1" x14ac:dyDescent="0.35">
      <c r="A816" s="22">
        <v>5</v>
      </c>
      <c r="B816" t="s">
        <v>829</v>
      </c>
      <c r="C816" t="s">
        <v>802</v>
      </c>
      <c r="D816" t="s">
        <v>3335</v>
      </c>
      <c r="E816" t="s">
        <v>3336</v>
      </c>
      <c r="F816">
        <v>4022811</v>
      </c>
      <c r="G816" t="s">
        <v>3337</v>
      </c>
      <c r="H816" t="s">
        <v>805</v>
      </c>
      <c r="I816">
        <v>20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20</v>
      </c>
      <c r="P816" s="44" t="e">
        <f>_xlfn.XLOOKUP(Tabla5[[#This Row],[EAN CORREGIDO]],'Tabla Articulos'!B:B,'Tabla Articulos'!D:D)</f>
        <v>#N/A</v>
      </c>
      <c r="Q816" s="44" t="e">
        <f>_xlfn.XLOOKUP(S816,'Tabla Articulos'!B:B,'Tabla Articulos'!E:E)</f>
        <v>#N/A</v>
      </c>
      <c r="R816" s="44" t="e">
        <f t="shared" si="24"/>
        <v>#N/A</v>
      </c>
      <c r="S816" s="45" t="str">
        <f t="shared" si="25"/>
        <v>7793323024886</v>
      </c>
    </row>
    <row r="817" spans="1:19" hidden="1" x14ac:dyDescent="0.35">
      <c r="A817" s="22">
        <v>6</v>
      </c>
      <c r="B817" t="s">
        <v>801</v>
      </c>
      <c r="C817" t="s">
        <v>802</v>
      </c>
      <c r="D817"/>
      <c r="E817" t="s">
        <v>3338</v>
      </c>
      <c r="F817">
        <v>9003259</v>
      </c>
      <c r="G817" t="s">
        <v>3339</v>
      </c>
      <c r="H817" t="s">
        <v>805</v>
      </c>
      <c r="I817">
        <v>33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33</v>
      </c>
      <c r="P817" s="44" t="e">
        <f>_xlfn.XLOOKUP(Tabla5[[#This Row],[EAN CORREGIDO]],'Tabla Articulos'!B:B,'Tabla Articulos'!D:D)</f>
        <v>#N/A</v>
      </c>
      <c r="Q817" s="44" t="e">
        <f>_xlfn.XLOOKUP(S817,'Tabla Articulos'!B:B,'Tabla Articulos'!E:E)</f>
        <v>#N/A</v>
      </c>
      <c r="R817" s="44" t="e">
        <f t="shared" si="24"/>
        <v>#N/A</v>
      </c>
      <c r="S817" s="45" t="str">
        <f t="shared" si="25"/>
        <v>UNIF000487</v>
      </c>
    </row>
    <row r="818" spans="1:19" hidden="1" x14ac:dyDescent="0.35">
      <c r="A818" s="22">
        <v>6</v>
      </c>
      <c r="B818" t="s">
        <v>801</v>
      </c>
      <c r="C818" t="s">
        <v>802</v>
      </c>
      <c r="D818"/>
      <c r="E818" t="s">
        <v>3340</v>
      </c>
      <c r="F818">
        <v>9004207</v>
      </c>
      <c r="G818" t="s">
        <v>3341</v>
      </c>
      <c r="H818" t="s">
        <v>805</v>
      </c>
      <c r="I818">
        <v>18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18</v>
      </c>
      <c r="P818" s="44" t="e">
        <f>_xlfn.XLOOKUP(Tabla5[[#This Row],[EAN CORREGIDO]],'Tabla Articulos'!B:B,'Tabla Articulos'!D:D)</f>
        <v>#N/A</v>
      </c>
      <c r="Q818" s="44" t="e">
        <f>_xlfn.XLOOKUP(S818,'Tabla Articulos'!B:B,'Tabla Articulos'!E:E)</f>
        <v>#N/A</v>
      </c>
      <c r="R818" s="44" t="e">
        <f t="shared" si="24"/>
        <v>#N/A</v>
      </c>
      <c r="S818" s="45" t="str">
        <f t="shared" si="25"/>
        <v>UNIF000753</v>
      </c>
    </row>
    <row r="819" spans="1:19" hidden="1" x14ac:dyDescent="0.35">
      <c r="A819" s="22">
        <v>6</v>
      </c>
      <c r="B819" t="s">
        <v>801</v>
      </c>
      <c r="C819" t="s">
        <v>802</v>
      </c>
      <c r="D819"/>
      <c r="E819" t="s">
        <v>3342</v>
      </c>
      <c r="F819">
        <v>9003508</v>
      </c>
      <c r="G819" t="s">
        <v>3343</v>
      </c>
      <c r="H819" t="s">
        <v>805</v>
      </c>
      <c r="I819">
        <v>11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11</v>
      </c>
      <c r="P819" s="44" t="e">
        <f>_xlfn.XLOOKUP(Tabla5[[#This Row],[EAN CORREGIDO]],'Tabla Articulos'!B:B,'Tabla Articulos'!D:D)</f>
        <v>#N/A</v>
      </c>
      <c r="Q819" s="44" t="e">
        <f>_xlfn.XLOOKUP(S819,'Tabla Articulos'!B:B,'Tabla Articulos'!E:E)</f>
        <v>#N/A</v>
      </c>
      <c r="R819" s="44" t="e">
        <f t="shared" si="24"/>
        <v>#N/A</v>
      </c>
      <c r="S819" s="45" t="str">
        <f t="shared" si="25"/>
        <v>UNIF000389</v>
      </c>
    </row>
    <row r="820" spans="1:19" hidden="1" x14ac:dyDescent="0.35">
      <c r="A820" s="22">
        <v>6</v>
      </c>
      <c r="B820" t="s">
        <v>801</v>
      </c>
      <c r="C820" t="s">
        <v>802</v>
      </c>
      <c r="D820" t="s">
        <v>1198</v>
      </c>
      <c r="E820" t="s">
        <v>3344</v>
      </c>
      <c r="F820">
        <v>2011458</v>
      </c>
      <c r="G820" t="s">
        <v>3345</v>
      </c>
      <c r="H820" t="s">
        <v>805</v>
      </c>
      <c r="I820">
        <v>996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996</v>
      </c>
      <c r="P820" s="44" t="e">
        <f>_xlfn.XLOOKUP(Tabla5[[#This Row],[EAN CORREGIDO]],'Tabla Articulos'!B:B,'Tabla Articulos'!D:D)</f>
        <v>#N/A</v>
      </c>
      <c r="Q820" s="44" t="e">
        <f>_xlfn.XLOOKUP(S820,'Tabla Articulos'!B:B,'Tabla Articulos'!E:E)</f>
        <v>#N/A</v>
      </c>
      <c r="R820" s="44" t="e">
        <f t="shared" si="24"/>
        <v>#N/A</v>
      </c>
      <c r="S820" s="45" t="str">
        <f t="shared" si="25"/>
        <v>7798092962308</v>
      </c>
    </row>
    <row r="821" spans="1:19" hidden="1" x14ac:dyDescent="0.35">
      <c r="A821" s="22">
        <v>1</v>
      </c>
      <c r="B821" t="s">
        <v>812</v>
      </c>
      <c r="C821" t="s">
        <v>802</v>
      </c>
      <c r="D821" s="11" t="s">
        <v>1066</v>
      </c>
      <c r="E821" t="s">
        <v>3346</v>
      </c>
      <c r="F821">
        <v>4077388</v>
      </c>
      <c r="G821" t="s">
        <v>3347</v>
      </c>
      <c r="H821" t="s">
        <v>805</v>
      </c>
      <c r="I821">
        <v>859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859</v>
      </c>
      <c r="P821" s="44" t="e">
        <f>_xlfn.XLOOKUP(Tabla5[[#This Row],[EAN CORREGIDO]],'Tabla Articulos'!B:B,'Tabla Articulos'!D:D)</f>
        <v>#N/A</v>
      </c>
      <c r="Q821" s="44" t="e">
        <f>_xlfn.XLOOKUP(S821,'Tabla Articulos'!B:B,'Tabla Articulos'!E:E)</f>
        <v>#N/A</v>
      </c>
      <c r="R821" s="44" t="e">
        <f t="shared" si="24"/>
        <v>#N/A</v>
      </c>
      <c r="S821" s="45" t="str">
        <f t="shared" si="25"/>
        <v>7790500006512</v>
      </c>
    </row>
    <row r="822" spans="1:19" hidden="1" x14ac:dyDescent="0.35">
      <c r="A822" s="22">
        <v>5</v>
      </c>
      <c r="B822" t="s">
        <v>829</v>
      </c>
      <c r="C822" t="s">
        <v>802</v>
      </c>
      <c r="D822" s="11" t="s">
        <v>1066</v>
      </c>
      <c r="E822" t="s">
        <v>3346</v>
      </c>
      <c r="F822">
        <v>4077388</v>
      </c>
      <c r="G822" t="s">
        <v>3347</v>
      </c>
      <c r="H822" t="s">
        <v>805</v>
      </c>
      <c r="I822">
        <v>15829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15829</v>
      </c>
      <c r="P822" s="44" t="e">
        <f>_xlfn.XLOOKUP(Tabla5[[#This Row],[EAN CORREGIDO]],'Tabla Articulos'!B:B,'Tabla Articulos'!D:D)</f>
        <v>#N/A</v>
      </c>
      <c r="Q822" s="44" t="e">
        <f>_xlfn.XLOOKUP(S822,'Tabla Articulos'!B:B,'Tabla Articulos'!E:E)</f>
        <v>#N/A</v>
      </c>
      <c r="R822" s="44" t="e">
        <f t="shared" si="24"/>
        <v>#N/A</v>
      </c>
      <c r="S822" s="45" t="str">
        <f t="shared" si="25"/>
        <v>7790500006512</v>
      </c>
    </row>
    <row r="823" spans="1:19" hidden="1" x14ac:dyDescent="0.35">
      <c r="A823" s="22">
        <v>1</v>
      </c>
      <c r="B823" t="s">
        <v>812</v>
      </c>
      <c r="C823" t="s">
        <v>802</v>
      </c>
      <c r="D823" s="11" t="s">
        <v>991</v>
      </c>
      <c r="E823" t="s">
        <v>3348</v>
      </c>
      <c r="F823">
        <v>4018209</v>
      </c>
      <c r="G823" t="s">
        <v>3349</v>
      </c>
      <c r="H823" t="s">
        <v>816</v>
      </c>
      <c r="I823">
        <v>3953.855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3953.855</v>
      </c>
      <c r="P823" s="44" t="e">
        <f>_xlfn.XLOOKUP(Tabla5[[#This Row],[EAN CORREGIDO]],'Tabla Articulos'!B:B,'Tabla Articulos'!D:D)</f>
        <v>#N/A</v>
      </c>
      <c r="Q823" s="44" t="e">
        <f>_xlfn.XLOOKUP(S823,'Tabla Articulos'!B:B,'Tabla Articulos'!E:E)</f>
        <v>#N/A</v>
      </c>
      <c r="R823" s="44" t="e">
        <f t="shared" si="24"/>
        <v>#N/A</v>
      </c>
      <c r="S823" s="45" t="str">
        <f t="shared" si="25"/>
        <v>7798041132476</v>
      </c>
    </row>
    <row r="824" spans="1:19" hidden="1" x14ac:dyDescent="0.35">
      <c r="A824" s="22">
        <v>6</v>
      </c>
      <c r="B824" t="s">
        <v>801</v>
      </c>
      <c r="C824" t="s">
        <v>802</v>
      </c>
      <c r="E824" t="s">
        <v>3350</v>
      </c>
      <c r="F824">
        <v>9004190</v>
      </c>
      <c r="G824" t="s">
        <v>3351</v>
      </c>
      <c r="H824" t="s">
        <v>805</v>
      </c>
      <c r="I824">
        <v>10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10</v>
      </c>
      <c r="P824" s="44" t="e">
        <f>_xlfn.XLOOKUP(Tabla5[[#This Row],[EAN CORREGIDO]],'Tabla Articulos'!B:B,'Tabla Articulos'!D:D)</f>
        <v>#N/A</v>
      </c>
      <c r="Q824" s="44" t="e">
        <f>_xlfn.XLOOKUP(S824,'Tabla Articulos'!B:B,'Tabla Articulos'!E:E)</f>
        <v>#N/A</v>
      </c>
      <c r="R824" s="44" t="e">
        <f t="shared" si="24"/>
        <v>#N/A</v>
      </c>
      <c r="S824" s="45" t="str">
        <f t="shared" si="25"/>
        <v>UNIF000736</v>
      </c>
    </row>
    <row r="825" spans="1:19" hidden="1" x14ac:dyDescent="0.35">
      <c r="A825" s="22">
        <v>6</v>
      </c>
      <c r="B825" t="s">
        <v>801</v>
      </c>
      <c r="C825" t="s">
        <v>802</v>
      </c>
      <c r="D825"/>
      <c r="E825" t="s">
        <v>3352</v>
      </c>
      <c r="F825">
        <v>9002128</v>
      </c>
      <c r="G825" t="s">
        <v>3353</v>
      </c>
      <c r="H825" t="s">
        <v>805</v>
      </c>
      <c r="I825">
        <v>22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22</v>
      </c>
      <c r="P825" s="44" t="e">
        <f>_xlfn.XLOOKUP(Tabla5[[#This Row],[EAN CORREGIDO]],'Tabla Articulos'!B:B,'Tabla Articulos'!D:D)</f>
        <v>#N/A</v>
      </c>
      <c r="Q825" s="44" t="e">
        <f>_xlfn.XLOOKUP(S825,'Tabla Articulos'!B:B,'Tabla Articulos'!E:E)</f>
        <v>#N/A</v>
      </c>
      <c r="R825" s="44" t="e">
        <f t="shared" si="24"/>
        <v>#N/A</v>
      </c>
      <c r="S825" s="45" t="str">
        <f t="shared" si="25"/>
        <v>9002128</v>
      </c>
    </row>
    <row r="826" spans="1:19" hidden="1" x14ac:dyDescent="0.35">
      <c r="A826" s="22">
        <v>1</v>
      </c>
      <c r="B826" t="s">
        <v>812</v>
      </c>
      <c r="C826" t="s">
        <v>802</v>
      </c>
      <c r="D826" t="s">
        <v>2859</v>
      </c>
      <c r="E826" t="s">
        <v>4517</v>
      </c>
      <c r="F826">
        <v>4049170</v>
      </c>
      <c r="G826" t="s">
        <v>4518</v>
      </c>
      <c r="H826" t="s">
        <v>805</v>
      </c>
      <c r="I826">
        <v>9564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9564</v>
      </c>
      <c r="P826" s="44" t="e">
        <f>_xlfn.XLOOKUP(Tabla5[[#This Row],[EAN CORREGIDO]],'Tabla Articulos'!B:B,'Tabla Articulos'!D:D)</f>
        <v>#N/A</v>
      </c>
      <c r="Q826" s="44" t="e">
        <f>_xlfn.XLOOKUP(S826,'Tabla Articulos'!B:B,'Tabla Articulos'!E:E)</f>
        <v>#N/A</v>
      </c>
      <c r="R826" s="44" t="e">
        <f t="shared" si="24"/>
        <v>#N/A</v>
      </c>
      <c r="S826" s="45" t="str">
        <f t="shared" si="25"/>
        <v>7793123160289</v>
      </c>
    </row>
    <row r="827" spans="1:19" hidden="1" x14ac:dyDescent="0.35">
      <c r="A827" s="22">
        <v>6</v>
      </c>
      <c r="B827" t="s">
        <v>801</v>
      </c>
      <c r="C827" t="s">
        <v>802</v>
      </c>
      <c r="D827" t="s">
        <v>1374</v>
      </c>
      <c r="E827" t="s">
        <v>4519</v>
      </c>
      <c r="F827">
        <v>2006932</v>
      </c>
      <c r="G827" t="s">
        <v>4520</v>
      </c>
      <c r="H827" t="s">
        <v>805</v>
      </c>
      <c r="I827">
        <v>31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31</v>
      </c>
      <c r="P827" s="44" t="e">
        <f>_xlfn.XLOOKUP(Tabla5[[#This Row],[EAN CORREGIDO]],'Tabla Articulos'!B:B,'Tabla Articulos'!D:D)</f>
        <v>#N/A</v>
      </c>
      <c r="Q827" s="44" t="e">
        <f>_xlfn.XLOOKUP(S827,'Tabla Articulos'!B:B,'Tabla Articulos'!E:E)</f>
        <v>#N/A</v>
      </c>
      <c r="R827" s="44" t="e">
        <f t="shared" si="24"/>
        <v>#N/A</v>
      </c>
      <c r="S827" s="45" t="str">
        <f t="shared" si="25"/>
        <v>LIM000337</v>
      </c>
    </row>
    <row r="828" spans="1:19" hidden="1" x14ac:dyDescent="0.35">
      <c r="A828" s="22">
        <v>6</v>
      </c>
      <c r="B828" t="s">
        <v>801</v>
      </c>
      <c r="C828" t="s">
        <v>802</v>
      </c>
      <c r="D828" t="s">
        <v>189</v>
      </c>
      <c r="E828" t="s">
        <v>4521</v>
      </c>
      <c r="F828">
        <v>2016598</v>
      </c>
      <c r="G828" t="s">
        <v>4522</v>
      </c>
      <c r="H828" t="s">
        <v>805</v>
      </c>
      <c r="I828">
        <v>19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19</v>
      </c>
      <c r="P828" s="44" t="e">
        <f>_xlfn.XLOOKUP(Tabla5[[#This Row],[EAN CORREGIDO]],'Tabla Articulos'!B:B,'Tabla Articulos'!D:D)</f>
        <v>#N/A</v>
      </c>
      <c r="Q828" s="44" t="e">
        <f>_xlfn.XLOOKUP(S828,'Tabla Articulos'!B:B,'Tabla Articulos'!E:E)</f>
        <v>#N/A</v>
      </c>
      <c r="R828" s="44" t="e">
        <f t="shared" si="24"/>
        <v>#N/A</v>
      </c>
      <c r="S828" s="45" t="str">
        <f t="shared" si="25"/>
        <v>7794459001383</v>
      </c>
    </row>
    <row r="829" spans="1:19" hidden="1" x14ac:dyDescent="0.35">
      <c r="A829" s="22">
        <v>6</v>
      </c>
      <c r="B829" t="s">
        <v>801</v>
      </c>
      <c r="C829" t="s">
        <v>802</v>
      </c>
      <c r="D829"/>
      <c r="E829" t="s">
        <v>1505</v>
      </c>
      <c r="F829">
        <v>9003149</v>
      </c>
      <c r="G829" t="s">
        <v>1506</v>
      </c>
      <c r="H829" t="s">
        <v>805</v>
      </c>
      <c r="I829">
        <v>9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9</v>
      </c>
      <c r="P829" s="44" t="e">
        <f>_xlfn.XLOOKUP(Tabla5[[#This Row],[EAN CORREGIDO]],'Tabla Articulos'!B:B,'Tabla Articulos'!D:D)</f>
        <v>#N/A</v>
      </c>
      <c r="Q829" s="44" t="e">
        <f>_xlfn.XLOOKUP(S829,'Tabla Articulos'!B:B,'Tabla Articulos'!E:E)</f>
        <v>#N/A</v>
      </c>
      <c r="R829" s="44" t="e">
        <f t="shared" si="24"/>
        <v>#N/A</v>
      </c>
      <c r="S829" s="45" t="str">
        <f t="shared" si="25"/>
        <v>UNIF000611</v>
      </c>
    </row>
    <row r="830" spans="1:19" hidden="1" x14ac:dyDescent="0.35">
      <c r="A830" s="22">
        <v>6</v>
      </c>
      <c r="B830" t="s">
        <v>801</v>
      </c>
      <c r="C830" t="s">
        <v>802</v>
      </c>
      <c r="D830"/>
      <c r="E830" t="s">
        <v>1507</v>
      </c>
      <c r="F830">
        <v>9003280</v>
      </c>
      <c r="G830" t="s">
        <v>1508</v>
      </c>
      <c r="H830" t="s">
        <v>805</v>
      </c>
      <c r="I830">
        <v>11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11</v>
      </c>
      <c r="P830" s="44" t="e">
        <f>_xlfn.XLOOKUP(Tabla5[[#This Row],[EAN CORREGIDO]],'Tabla Articulos'!B:B,'Tabla Articulos'!D:D)</f>
        <v>#N/A</v>
      </c>
      <c r="Q830" s="44" t="e">
        <f>_xlfn.XLOOKUP(S830,'Tabla Articulos'!B:B,'Tabla Articulos'!E:E)</f>
        <v>#N/A</v>
      </c>
      <c r="R830" s="44" t="e">
        <f t="shared" si="24"/>
        <v>#N/A</v>
      </c>
      <c r="S830" s="45" t="str">
        <f t="shared" si="25"/>
        <v>UNIF000033</v>
      </c>
    </row>
    <row r="831" spans="1:19" hidden="1" x14ac:dyDescent="0.35">
      <c r="A831" s="22">
        <v>6</v>
      </c>
      <c r="B831" t="s">
        <v>801</v>
      </c>
      <c r="C831" t="s">
        <v>802</v>
      </c>
      <c r="E831" t="s">
        <v>1509</v>
      </c>
      <c r="F831">
        <v>9003548</v>
      </c>
      <c r="G831" t="s">
        <v>1510</v>
      </c>
      <c r="H831" t="s">
        <v>805</v>
      </c>
      <c r="I831">
        <v>27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27</v>
      </c>
      <c r="P831" s="44" t="e">
        <f>_xlfn.XLOOKUP(Tabla5[[#This Row],[EAN CORREGIDO]],'Tabla Articulos'!B:B,'Tabla Articulos'!D:D)</f>
        <v>#N/A</v>
      </c>
      <c r="Q831" s="44" t="e">
        <f>_xlfn.XLOOKUP(S831,'Tabla Articulos'!B:B,'Tabla Articulos'!E:E)</f>
        <v>#N/A</v>
      </c>
      <c r="R831" s="44" t="e">
        <f t="shared" si="24"/>
        <v>#N/A</v>
      </c>
      <c r="S831" s="45" t="str">
        <f t="shared" si="25"/>
        <v>UNIF000087</v>
      </c>
    </row>
    <row r="832" spans="1:19" hidden="1" x14ac:dyDescent="0.35">
      <c r="A832" s="22">
        <v>5</v>
      </c>
      <c r="B832" t="s">
        <v>829</v>
      </c>
      <c r="C832" t="s">
        <v>802</v>
      </c>
      <c r="D832" s="11" t="s">
        <v>4523</v>
      </c>
      <c r="E832" t="s">
        <v>4524</v>
      </c>
      <c r="F832">
        <v>4023830</v>
      </c>
      <c r="G832" t="s">
        <v>4525</v>
      </c>
      <c r="H832" t="s">
        <v>805</v>
      </c>
      <c r="I832">
        <v>94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94</v>
      </c>
      <c r="P832" s="44" t="e">
        <f>_xlfn.XLOOKUP(Tabla5[[#This Row],[EAN CORREGIDO]],'Tabla Articulos'!B:B,'Tabla Articulos'!D:D)</f>
        <v>#N/A</v>
      </c>
      <c r="Q832" s="44" t="e">
        <f>_xlfn.XLOOKUP(S832,'Tabla Articulos'!B:B,'Tabla Articulos'!E:E)</f>
        <v>#N/A</v>
      </c>
      <c r="R832" s="44" t="e">
        <f t="shared" si="24"/>
        <v>#N/A</v>
      </c>
      <c r="S832" s="45" t="str">
        <f t="shared" si="25"/>
        <v>7792260640227</v>
      </c>
    </row>
    <row r="833" spans="1:19" hidden="1" x14ac:dyDescent="0.35">
      <c r="A833" s="22">
        <v>6</v>
      </c>
      <c r="B833" t="s">
        <v>801</v>
      </c>
      <c r="C833" t="s">
        <v>802</v>
      </c>
      <c r="D833"/>
      <c r="E833" t="s">
        <v>4526</v>
      </c>
      <c r="F833">
        <v>9003162</v>
      </c>
      <c r="G833" t="s">
        <v>4527</v>
      </c>
      <c r="H833" t="s">
        <v>805</v>
      </c>
      <c r="I833">
        <v>34</v>
      </c>
      <c r="J833">
        <v>900</v>
      </c>
      <c r="K833">
        <v>0</v>
      </c>
      <c r="L833">
        <v>0</v>
      </c>
      <c r="M833">
        <v>0</v>
      </c>
      <c r="N833">
        <v>0</v>
      </c>
      <c r="O833">
        <v>934</v>
      </c>
      <c r="P833" s="44" t="e">
        <f>_xlfn.XLOOKUP(Tabla5[[#This Row],[EAN CORREGIDO]],'Tabla Articulos'!B:B,'Tabla Articulos'!D:D)</f>
        <v>#N/A</v>
      </c>
      <c r="Q833" s="44" t="e">
        <f>_xlfn.XLOOKUP(S833,'Tabla Articulos'!B:B,'Tabla Articulos'!E:E)</f>
        <v>#N/A</v>
      </c>
      <c r="R833" s="44" t="e">
        <f t="shared" ref="R833:R896" si="26">O833*Q833</f>
        <v>#N/A</v>
      </c>
      <c r="S833" s="45" t="str">
        <f t="shared" ref="S833:S896" si="27">TRIM(E833)</f>
        <v>UNIF000624</v>
      </c>
    </row>
    <row r="834" spans="1:19" hidden="1" x14ac:dyDescent="0.35">
      <c r="A834" s="22">
        <v>1</v>
      </c>
      <c r="B834" t="s">
        <v>812</v>
      </c>
      <c r="C834" t="s">
        <v>802</v>
      </c>
      <c r="D834" t="s">
        <v>2124</v>
      </c>
      <c r="E834" t="s">
        <v>4528</v>
      </c>
      <c r="F834">
        <v>4019878</v>
      </c>
      <c r="G834" t="s">
        <v>4529</v>
      </c>
      <c r="H834" t="s">
        <v>805</v>
      </c>
      <c r="I834">
        <v>97</v>
      </c>
      <c r="J834">
        <v>0</v>
      </c>
      <c r="K834">
        <v>0</v>
      </c>
      <c r="L834">
        <v>6</v>
      </c>
      <c r="M834">
        <v>6</v>
      </c>
      <c r="N834">
        <v>0</v>
      </c>
      <c r="O834">
        <v>85</v>
      </c>
      <c r="P834" s="44" t="e">
        <f>_xlfn.XLOOKUP(Tabla5[[#This Row],[EAN CORREGIDO]],'Tabla Articulos'!B:B,'Tabla Articulos'!D:D)</f>
        <v>#N/A</v>
      </c>
      <c r="Q834" s="44" t="e">
        <f>_xlfn.XLOOKUP(S834,'Tabla Articulos'!B:B,'Tabla Articulos'!E:E)</f>
        <v>#N/A</v>
      </c>
      <c r="R834" s="44" t="e">
        <f t="shared" si="26"/>
        <v>#N/A</v>
      </c>
      <c r="S834" s="45" t="str">
        <f t="shared" si="27"/>
        <v>7790530900767</v>
      </c>
    </row>
    <row r="835" spans="1:19" hidden="1" x14ac:dyDescent="0.35">
      <c r="A835" s="22">
        <v>5</v>
      </c>
      <c r="B835" t="s">
        <v>829</v>
      </c>
      <c r="C835" t="s">
        <v>802</v>
      </c>
      <c r="D835" t="s">
        <v>2124</v>
      </c>
      <c r="E835" t="s">
        <v>4528</v>
      </c>
      <c r="F835">
        <v>4019878</v>
      </c>
      <c r="G835" t="s">
        <v>4529</v>
      </c>
      <c r="H835" t="s">
        <v>805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 s="44" t="e">
        <f>_xlfn.XLOOKUP(Tabla5[[#This Row],[EAN CORREGIDO]],'Tabla Articulos'!B:B,'Tabla Articulos'!D:D)</f>
        <v>#N/A</v>
      </c>
      <c r="Q835" s="44" t="e">
        <f>_xlfn.XLOOKUP(S835,'Tabla Articulos'!B:B,'Tabla Articulos'!E:E)</f>
        <v>#N/A</v>
      </c>
      <c r="R835" s="44" t="e">
        <f t="shared" si="26"/>
        <v>#N/A</v>
      </c>
      <c r="S835" s="45" t="str">
        <f t="shared" si="27"/>
        <v>7790530900767</v>
      </c>
    </row>
    <row r="836" spans="1:19" hidden="1" x14ac:dyDescent="0.35">
      <c r="A836" s="22">
        <v>6</v>
      </c>
      <c r="B836" t="s">
        <v>801</v>
      </c>
      <c r="C836" t="s">
        <v>802</v>
      </c>
      <c r="D836" t="s">
        <v>1957</v>
      </c>
      <c r="E836" t="s">
        <v>4530</v>
      </c>
      <c r="F836">
        <v>2006292</v>
      </c>
      <c r="G836" t="s">
        <v>4531</v>
      </c>
      <c r="H836" t="s">
        <v>805</v>
      </c>
      <c r="I836">
        <v>400</v>
      </c>
      <c r="J836">
        <v>160</v>
      </c>
      <c r="K836">
        <v>0</v>
      </c>
      <c r="L836">
        <v>0</v>
      </c>
      <c r="M836">
        <v>0</v>
      </c>
      <c r="N836">
        <v>0</v>
      </c>
      <c r="O836">
        <v>560</v>
      </c>
      <c r="P836" s="44" t="e">
        <f>_xlfn.XLOOKUP(Tabla5[[#This Row],[EAN CORREGIDO]],'Tabla Articulos'!B:B,'Tabla Articulos'!D:D)</f>
        <v>#N/A</v>
      </c>
      <c r="Q836" s="44" t="e">
        <f>_xlfn.XLOOKUP(S836,'Tabla Articulos'!B:B,'Tabla Articulos'!E:E)</f>
        <v>#N/A</v>
      </c>
      <c r="R836" s="44" t="e">
        <f t="shared" si="26"/>
        <v>#N/A</v>
      </c>
      <c r="S836" s="45" t="str">
        <f t="shared" si="27"/>
        <v>7798188650706</v>
      </c>
    </row>
    <row r="837" spans="1:19" hidden="1" x14ac:dyDescent="0.35">
      <c r="A837" s="22">
        <v>6</v>
      </c>
      <c r="B837" t="s">
        <v>801</v>
      </c>
      <c r="C837" t="s">
        <v>802</v>
      </c>
      <c r="D837"/>
      <c r="E837" t="s">
        <v>4532</v>
      </c>
      <c r="F837">
        <v>9003428</v>
      </c>
      <c r="G837" t="s">
        <v>4533</v>
      </c>
      <c r="H837" t="s">
        <v>805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4</v>
      </c>
      <c r="P837" s="44" t="e">
        <f>_xlfn.XLOOKUP(Tabla5[[#This Row],[EAN CORREGIDO]],'Tabla Articulos'!B:B,'Tabla Articulos'!D:D)</f>
        <v>#N/A</v>
      </c>
      <c r="Q837" s="44" t="e">
        <f>_xlfn.XLOOKUP(S837,'Tabla Articulos'!B:B,'Tabla Articulos'!E:E)</f>
        <v>#N/A</v>
      </c>
      <c r="R837" s="44" t="e">
        <f t="shared" si="26"/>
        <v>#N/A</v>
      </c>
      <c r="S837" s="45" t="str">
        <f t="shared" si="27"/>
        <v>UNIF000188</v>
      </c>
    </row>
    <row r="838" spans="1:19" hidden="1" x14ac:dyDescent="0.35">
      <c r="A838" s="22">
        <v>1</v>
      </c>
      <c r="B838" t="s">
        <v>812</v>
      </c>
      <c r="C838" t="s">
        <v>802</v>
      </c>
      <c r="D838" t="s">
        <v>1615</v>
      </c>
      <c r="E838" t="s">
        <v>4534</v>
      </c>
      <c r="F838">
        <v>4019886</v>
      </c>
      <c r="G838" t="s">
        <v>4535</v>
      </c>
      <c r="H838" t="s">
        <v>805</v>
      </c>
      <c r="I838">
        <v>364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364</v>
      </c>
      <c r="P838" s="44" t="e">
        <f>_xlfn.XLOOKUP(Tabla5[[#This Row],[EAN CORREGIDO]],'Tabla Articulos'!B:B,'Tabla Articulos'!D:D)</f>
        <v>#N/A</v>
      </c>
      <c r="Q838" s="44" t="e">
        <f>_xlfn.XLOOKUP(S838,'Tabla Articulos'!B:B,'Tabla Articulos'!E:E)</f>
        <v>#N/A</v>
      </c>
      <c r="R838" s="44" t="e">
        <f t="shared" si="26"/>
        <v>#N/A</v>
      </c>
      <c r="S838" s="45" t="str">
        <f t="shared" si="27"/>
        <v>7790645002363</v>
      </c>
    </row>
    <row r="839" spans="1:19" hidden="1" x14ac:dyDescent="0.35">
      <c r="A839" s="22">
        <v>6</v>
      </c>
      <c r="B839" t="s">
        <v>801</v>
      </c>
      <c r="C839" t="s">
        <v>802</v>
      </c>
      <c r="D839"/>
      <c r="E839" t="s">
        <v>4536</v>
      </c>
      <c r="F839">
        <v>9003617</v>
      </c>
      <c r="G839" t="s">
        <v>4537</v>
      </c>
      <c r="H839" t="s">
        <v>805</v>
      </c>
      <c r="I839">
        <v>43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43</v>
      </c>
      <c r="P839" s="44" t="e">
        <f>_xlfn.XLOOKUP(Tabla5[[#This Row],[EAN CORREGIDO]],'Tabla Articulos'!B:B,'Tabla Articulos'!D:D)</f>
        <v>#N/A</v>
      </c>
      <c r="Q839" s="44" t="e">
        <f>_xlfn.XLOOKUP(S839,'Tabla Articulos'!B:B,'Tabla Articulos'!E:E)</f>
        <v>#N/A</v>
      </c>
      <c r="R839" s="44" t="e">
        <f t="shared" si="26"/>
        <v>#N/A</v>
      </c>
      <c r="S839" s="45" t="str">
        <f t="shared" si="27"/>
        <v>UNIF000456</v>
      </c>
    </row>
    <row r="840" spans="1:19" hidden="1" x14ac:dyDescent="0.35">
      <c r="A840" s="22">
        <v>1</v>
      </c>
      <c r="B840" t="s">
        <v>812</v>
      </c>
      <c r="C840" t="s">
        <v>802</v>
      </c>
      <c r="D840" t="s">
        <v>1857</v>
      </c>
      <c r="E840" t="s">
        <v>4538</v>
      </c>
      <c r="F840">
        <v>4019016</v>
      </c>
      <c r="G840" t="s">
        <v>4539</v>
      </c>
      <c r="H840" t="s">
        <v>805</v>
      </c>
      <c r="I840">
        <v>2120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2120</v>
      </c>
      <c r="P840" s="44" t="e">
        <f>_xlfn.XLOOKUP(Tabla5[[#This Row],[EAN CORREGIDO]],'Tabla Articulos'!B:B,'Tabla Articulos'!D:D)</f>
        <v>#N/A</v>
      </c>
      <c r="Q840" s="44" t="e">
        <f>_xlfn.XLOOKUP(S840,'Tabla Articulos'!B:B,'Tabla Articulos'!E:E)</f>
        <v>#N/A</v>
      </c>
      <c r="R840" s="44" t="e">
        <f t="shared" si="26"/>
        <v>#N/A</v>
      </c>
      <c r="S840" s="45" t="str">
        <f t="shared" si="27"/>
        <v>77908193</v>
      </c>
    </row>
    <row r="841" spans="1:19" hidden="1" x14ac:dyDescent="0.35">
      <c r="A841" s="22">
        <v>6</v>
      </c>
      <c r="B841" t="s">
        <v>801</v>
      </c>
      <c r="C841" t="s">
        <v>802</v>
      </c>
      <c r="D841" t="s">
        <v>2000</v>
      </c>
      <c r="E841" t="s">
        <v>4540</v>
      </c>
      <c r="F841">
        <v>2007340</v>
      </c>
      <c r="G841" t="s">
        <v>4541</v>
      </c>
      <c r="H841" t="s">
        <v>805</v>
      </c>
      <c r="I841">
        <v>241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241</v>
      </c>
      <c r="P841" s="44" t="e">
        <f>_xlfn.XLOOKUP(Tabla5[[#This Row],[EAN CORREGIDO]],'Tabla Articulos'!B:B,'Tabla Articulos'!D:D)</f>
        <v>#N/A</v>
      </c>
      <c r="Q841" s="44" t="e">
        <f>_xlfn.XLOOKUP(S841,'Tabla Articulos'!B:B,'Tabla Articulos'!E:E)</f>
        <v>#N/A</v>
      </c>
      <c r="R841" s="44" t="e">
        <f t="shared" si="26"/>
        <v>#N/A</v>
      </c>
      <c r="S841" s="45" t="str">
        <f t="shared" si="27"/>
        <v>7798126371595</v>
      </c>
    </row>
    <row r="842" spans="1:19" hidden="1" x14ac:dyDescent="0.35">
      <c r="A842" s="22">
        <v>5</v>
      </c>
      <c r="B842" t="s">
        <v>829</v>
      </c>
      <c r="C842" t="s">
        <v>802</v>
      </c>
      <c r="D842" s="11" t="s">
        <v>4542</v>
      </c>
      <c r="E842" t="s">
        <v>4543</v>
      </c>
      <c r="F842">
        <v>4018838</v>
      </c>
      <c r="G842" t="s">
        <v>4544</v>
      </c>
      <c r="H842" t="s">
        <v>805</v>
      </c>
      <c r="I842">
        <v>15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15</v>
      </c>
      <c r="P842" s="44" t="e">
        <f>_xlfn.XLOOKUP(Tabla5[[#This Row],[EAN CORREGIDO]],'Tabla Articulos'!B:B,'Tabla Articulos'!D:D)</f>
        <v>#N/A</v>
      </c>
      <c r="Q842" s="44" t="e">
        <f>_xlfn.XLOOKUP(S842,'Tabla Articulos'!B:B,'Tabla Articulos'!E:E)</f>
        <v>#N/A</v>
      </c>
      <c r="R842" s="44" t="e">
        <f t="shared" si="26"/>
        <v>#N/A</v>
      </c>
      <c r="S842" s="45" t="str">
        <f t="shared" si="27"/>
        <v>7790726120023</v>
      </c>
    </row>
    <row r="843" spans="1:19" hidden="1" x14ac:dyDescent="0.35">
      <c r="A843" s="22">
        <v>6</v>
      </c>
      <c r="B843" t="s">
        <v>801</v>
      </c>
      <c r="C843" t="s">
        <v>802</v>
      </c>
      <c r="D843" t="s">
        <v>4545</v>
      </c>
      <c r="E843" t="s">
        <v>4546</v>
      </c>
      <c r="F843">
        <v>2006704</v>
      </c>
      <c r="G843" t="s">
        <v>4547</v>
      </c>
      <c r="H843" t="s">
        <v>805</v>
      </c>
      <c r="I843">
        <v>245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245</v>
      </c>
      <c r="P843" s="44" t="e">
        <f>_xlfn.XLOOKUP(Tabla5[[#This Row],[EAN CORREGIDO]],'Tabla Articulos'!B:B,'Tabla Articulos'!D:D)</f>
        <v>#N/A</v>
      </c>
      <c r="Q843" s="44" t="e">
        <f>_xlfn.XLOOKUP(S843,'Tabla Articulos'!B:B,'Tabla Articulos'!E:E)</f>
        <v>#N/A</v>
      </c>
      <c r="R843" s="44" t="e">
        <f t="shared" si="26"/>
        <v>#N/A</v>
      </c>
      <c r="S843" s="45" t="str">
        <f t="shared" si="27"/>
        <v>7798188650904</v>
      </c>
    </row>
    <row r="844" spans="1:19" hidden="1" x14ac:dyDescent="0.35">
      <c r="A844" s="22">
        <v>6</v>
      </c>
      <c r="B844" t="s">
        <v>801</v>
      </c>
      <c r="C844" t="s">
        <v>802</v>
      </c>
      <c r="D844"/>
      <c r="E844" t="s">
        <v>2922</v>
      </c>
      <c r="F844">
        <v>9003429</v>
      </c>
      <c r="G844" t="s">
        <v>2923</v>
      </c>
      <c r="H844" t="s">
        <v>805</v>
      </c>
      <c r="I844">
        <v>8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8</v>
      </c>
      <c r="P844" s="44" t="e">
        <f>_xlfn.XLOOKUP(Tabla5[[#This Row],[EAN CORREGIDO]],'Tabla Articulos'!B:B,'Tabla Articulos'!D:D)</f>
        <v>#N/A</v>
      </c>
      <c r="Q844" s="44" t="e">
        <f>_xlfn.XLOOKUP(S844,'Tabla Articulos'!B:B,'Tabla Articulos'!E:E)</f>
        <v>#N/A</v>
      </c>
      <c r="R844" s="44" t="e">
        <f t="shared" si="26"/>
        <v>#N/A</v>
      </c>
      <c r="S844" s="45" t="str">
        <f t="shared" si="27"/>
        <v>UNIF000189</v>
      </c>
    </row>
    <row r="845" spans="1:19" hidden="1" x14ac:dyDescent="0.35">
      <c r="A845" s="22">
        <v>5</v>
      </c>
      <c r="B845" t="s">
        <v>829</v>
      </c>
      <c r="C845" t="s">
        <v>802</v>
      </c>
      <c r="D845" t="s">
        <v>3313</v>
      </c>
      <c r="E845" t="s">
        <v>3314</v>
      </c>
      <c r="F845">
        <v>4023366</v>
      </c>
      <c r="G845" t="s">
        <v>3315</v>
      </c>
      <c r="H845" t="s">
        <v>805</v>
      </c>
      <c r="I845">
        <v>44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44</v>
      </c>
      <c r="P845" s="44" t="e">
        <f>_xlfn.XLOOKUP(Tabla5[[#This Row],[EAN CORREGIDO]],'Tabla Articulos'!B:B,'Tabla Articulos'!D:D)</f>
        <v>#N/A</v>
      </c>
      <c r="Q845" s="44" t="e">
        <f>_xlfn.XLOOKUP(S845,'Tabla Articulos'!B:B,'Tabla Articulos'!E:E)</f>
        <v>#N/A</v>
      </c>
      <c r="R845" s="44" t="e">
        <f t="shared" si="26"/>
        <v>#N/A</v>
      </c>
      <c r="S845" s="45" t="str">
        <f t="shared" si="27"/>
        <v>67794000006012</v>
      </c>
    </row>
    <row r="846" spans="1:19" hidden="1" x14ac:dyDescent="0.35">
      <c r="A846" s="22">
        <v>6</v>
      </c>
      <c r="B846" t="s">
        <v>801</v>
      </c>
      <c r="C846" t="s">
        <v>802</v>
      </c>
      <c r="D846"/>
      <c r="E846" t="s">
        <v>3316</v>
      </c>
      <c r="F846">
        <v>9003804</v>
      </c>
      <c r="G846" t="s">
        <v>3317</v>
      </c>
      <c r="H846" t="s">
        <v>805</v>
      </c>
      <c r="I846">
        <v>38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38</v>
      </c>
      <c r="P846" s="44" t="e">
        <f>_xlfn.XLOOKUP(Tabla5[[#This Row],[EAN CORREGIDO]],'Tabla Articulos'!B:B,'Tabla Articulos'!D:D)</f>
        <v>#N/A</v>
      </c>
      <c r="Q846" s="44" t="e">
        <f>_xlfn.XLOOKUP(S846,'Tabla Articulos'!B:B,'Tabla Articulos'!E:E)</f>
        <v>#N/A</v>
      </c>
      <c r="R846" s="44" t="e">
        <f t="shared" si="26"/>
        <v>#N/A</v>
      </c>
      <c r="S846" s="45" t="str">
        <f t="shared" si="27"/>
        <v>BAZ001215</v>
      </c>
    </row>
    <row r="847" spans="1:19" hidden="1" x14ac:dyDescent="0.35">
      <c r="A847" s="22">
        <v>6</v>
      </c>
      <c r="B847" t="s">
        <v>801</v>
      </c>
      <c r="C847" t="s">
        <v>802</v>
      </c>
      <c r="D847"/>
      <c r="E847" t="s">
        <v>3318</v>
      </c>
      <c r="F847">
        <v>9003163</v>
      </c>
      <c r="G847" t="s">
        <v>3319</v>
      </c>
      <c r="H847" t="s">
        <v>805</v>
      </c>
      <c r="I847">
        <v>80</v>
      </c>
      <c r="J847">
        <v>750</v>
      </c>
      <c r="K847">
        <v>0</v>
      </c>
      <c r="L847">
        <v>0</v>
      </c>
      <c r="M847">
        <v>0</v>
      </c>
      <c r="N847">
        <v>0</v>
      </c>
      <c r="O847">
        <v>830</v>
      </c>
      <c r="P847" s="44" t="e">
        <f>_xlfn.XLOOKUP(Tabla5[[#This Row],[EAN CORREGIDO]],'Tabla Articulos'!B:B,'Tabla Articulos'!D:D)</f>
        <v>#N/A</v>
      </c>
      <c r="Q847" s="44" t="e">
        <f>_xlfn.XLOOKUP(S847,'Tabla Articulos'!B:B,'Tabla Articulos'!E:E)</f>
        <v>#N/A</v>
      </c>
      <c r="R847" s="44" t="e">
        <f t="shared" si="26"/>
        <v>#N/A</v>
      </c>
      <c r="S847" s="45" t="str">
        <f t="shared" si="27"/>
        <v>UNIF000625</v>
      </c>
    </row>
    <row r="848" spans="1:19" hidden="1" x14ac:dyDescent="0.35">
      <c r="A848" s="22">
        <v>1</v>
      </c>
      <c r="B848" t="s">
        <v>812</v>
      </c>
      <c r="C848" t="s">
        <v>802</v>
      </c>
      <c r="D848" t="s">
        <v>1151</v>
      </c>
      <c r="E848" t="s">
        <v>3320</v>
      </c>
      <c r="F848">
        <v>4020274</v>
      </c>
      <c r="G848" t="s">
        <v>3321</v>
      </c>
      <c r="H848" t="s">
        <v>805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 s="44" t="e">
        <f>_xlfn.XLOOKUP(Tabla5[[#This Row],[EAN CORREGIDO]],'Tabla Articulos'!B:B,'Tabla Articulos'!D:D)</f>
        <v>#N/A</v>
      </c>
      <c r="Q848" s="44" t="e">
        <f>_xlfn.XLOOKUP(S848,'Tabla Articulos'!B:B,'Tabla Articulos'!E:E)</f>
        <v>#N/A</v>
      </c>
      <c r="R848" s="44" t="e">
        <f t="shared" si="26"/>
        <v>#N/A</v>
      </c>
      <c r="S848" s="45" t="str">
        <f t="shared" si="27"/>
        <v>7797470133620</v>
      </c>
    </row>
    <row r="849" spans="1:19" hidden="1" x14ac:dyDescent="0.35">
      <c r="A849" s="22">
        <v>6</v>
      </c>
      <c r="B849" t="s">
        <v>801</v>
      </c>
      <c r="C849" t="s">
        <v>802</v>
      </c>
      <c r="D849"/>
      <c r="E849" t="s">
        <v>3322</v>
      </c>
      <c r="F849">
        <v>9003423</v>
      </c>
      <c r="G849" t="s">
        <v>3323</v>
      </c>
      <c r="H849" t="s">
        <v>805</v>
      </c>
      <c r="I849">
        <v>9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9</v>
      </c>
      <c r="P849" s="44" t="e">
        <f>_xlfn.XLOOKUP(Tabla5[[#This Row],[EAN CORREGIDO]],'Tabla Articulos'!B:B,'Tabla Articulos'!D:D)</f>
        <v>#N/A</v>
      </c>
      <c r="Q849" s="44" t="e">
        <f>_xlfn.XLOOKUP(S849,'Tabla Articulos'!B:B,'Tabla Articulos'!E:E)</f>
        <v>#N/A</v>
      </c>
      <c r="R849" s="44" t="e">
        <f t="shared" si="26"/>
        <v>#N/A</v>
      </c>
      <c r="S849" s="45" t="str">
        <f t="shared" si="27"/>
        <v>UNIF000110</v>
      </c>
    </row>
    <row r="850" spans="1:19" hidden="1" x14ac:dyDescent="0.35">
      <c r="A850" s="22">
        <v>6</v>
      </c>
      <c r="B850" t="s">
        <v>801</v>
      </c>
      <c r="C850" t="s">
        <v>802</v>
      </c>
      <c r="D850" t="s">
        <v>304</v>
      </c>
      <c r="E850" t="s">
        <v>3324</v>
      </c>
      <c r="F850">
        <v>2006393</v>
      </c>
      <c r="G850" t="s">
        <v>3325</v>
      </c>
      <c r="H850" t="s">
        <v>805</v>
      </c>
      <c r="I850">
        <v>239</v>
      </c>
      <c r="J850">
        <v>0</v>
      </c>
      <c r="K850">
        <v>0</v>
      </c>
      <c r="L850">
        <v>90</v>
      </c>
      <c r="M850">
        <v>90</v>
      </c>
      <c r="N850">
        <v>0</v>
      </c>
      <c r="O850">
        <v>59</v>
      </c>
      <c r="P850" s="44" t="str">
        <f>_xlfn.XLOOKUP(Tabla5[[#This Row],[EAN CORREGIDO]],'Tabla Articulos'!B:B,'Tabla Articulos'!D:D)</f>
        <v>TAPA VASO TERMICO 240</v>
      </c>
      <c r="Q850" s="44">
        <f>_xlfn.XLOOKUP(S850,'Tabla Articulos'!B:B,'Tabla Articulos'!E:E)</f>
        <v>100</v>
      </c>
      <c r="R850" s="44">
        <f t="shared" si="26"/>
        <v>5900</v>
      </c>
      <c r="S850" s="45" t="str">
        <f t="shared" si="27"/>
        <v>7790321020326</v>
      </c>
    </row>
    <row r="851" spans="1:19" hidden="1" x14ac:dyDescent="0.35">
      <c r="A851" s="22">
        <v>6</v>
      </c>
      <c r="B851" t="s">
        <v>801</v>
      </c>
      <c r="C851" t="s">
        <v>802</v>
      </c>
      <c r="E851" t="s">
        <v>3326</v>
      </c>
      <c r="F851">
        <v>9003420</v>
      </c>
      <c r="G851" t="s">
        <v>3327</v>
      </c>
      <c r="H851" t="s">
        <v>805</v>
      </c>
      <c r="I851">
        <v>89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89</v>
      </c>
      <c r="P851" s="44" t="e">
        <f>_xlfn.XLOOKUP(Tabla5[[#This Row],[EAN CORREGIDO]],'Tabla Articulos'!B:B,'Tabla Articulos'!D:D)</f>
        <v>#N/A</v>
      </c>
      <c r="Q851" s="44" t="e">
        <f>_xlfn.XLOOKUP(S851,'Tabla Articulos'!B:B,'Tabla Articulos'!E:E)</f>
        <v>#N/A</v>
      </c>
      <c r="R851" s="44" t="e">
        <f t="shared" si="26"/>
        <v>#N/A</v>
      </c>
      <c r="S851" s="45" t="str">
        <f t="shared" si="27"/>
        <v>UNIF000107</v>
      </c>
    </row>
    <row r="852" spans="1:19" hidden="1" x14ac:dyDescent="0.35">
      <c r="A852" s="22">
        <v>5</v>
      </c>
      <c r="B852" t="s">
        <v>829</v>
      </c>
      <c r="C852" t="s">
        <v>802</v>
      </c>
      <c r="D852" t="s">
        <v>3328</v>
      </c>
      <c r="E852" t="s">
        <v>3329</v>
      </c>
      <c r="F852">
        <v>4076620</v>
      </c>
      <c r="G852" t="s">
        <v>3330</v>
      </c>
      <c r="H852" t="s">
        <v>805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 s="44" t="e">
        <f>_xlfn.XLOOKUP(Tabla5[[#This Row],[EAN CORREGIDO]],'Tabla Articulos'!B:B,'Tabla Articulos'!D:D)</f>
        <v>#N/A</v>
      </c>
      <c r="Q852" s="44" t="e">
        <f>_xlfn.XLOOKUP(S852,'Tabla Articulos'!B:B,'Tabla Articulos'!E:E)</f>
        <v>#N/A</v>
      </c>
      <c r="R852" s="44" t="e">
        <f t="shared" si="26"/>
        <v>#N/A</v>
      </c>
      <c r="S852" s="45" t="str">
        <f t="shared" si="27"/>
        <v>7790198000311</v>
      </c>
    </row>
    <row r="853" spans="1:19" hidden="1" x14ac:dyDescent="0.35">
      <c r="A853" s="22">
        <v>6</v>
      </c>
      <c r="B853" t="s">
        <v>801</v>
      </c>
      <c r="C853" t="s">
        <v>802</v>
      </c>
      <c r="D853" s="11" t="s">
        <v>1819</v>
      </c>
      <c r="E853" t="s">
        <v>2573</v>
      </c>
      <c r="F853">
        <v>2006183</v>
      </c>
      <c r="G853" t="s">
        <v>2574</v>
      </c>
      <c r="H853" t="s">
        <v>805</v>
      </c>
      <c r="I853">
        <v>214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214</v>
      </c>
      <c r="P853" s="44" t="e">
        <f>_xlfn.XLOOKUP(Tabla5[[#This Row],[EAN CORREGIDO]],'Tabla Articulos'!B:B,'Tabla Articulos'!D:D)</f>
        <v>#N/A</v>
      </c>
      <c r="Q853" s="44" t="e">
        <f>_xlfn.XLOOKUP(S853,'Tabla Articulos'!B:B,'Tabla Articulos'!E:E)</f>
        <v>#N/A</v>
      </c>
      <c r="R853" s="44" t="e">
        <f t="shared" si="26"/>
        <v>#N/A</v>
      </c>
      <c r="S853" s="45" t="str">
        <f t="shared" si="27"/>
        <v>7798040051919</v>
      </c>
    </row>
    <row r="854" spans="1:19" hidden="1" x14ac:dyDescent="0.35">
      <c r="A854" s="22">
        <v>6</v>
      </c>
      <c r="B854" t="s">
        <v>801</v>
      </c>
      <c r="C854" t="s">
        <v>802</v>
      </c>
      <c r="E854" t="s">
        <v>2575</v>
      </c>
      <c r="F854">
        <v>9003345</v>
      </c>
      <c r="G854" t="s">
        <v>2576</v>
      </c>
      <c r="H854" t="s">
        <v>805</v>
      </c>
      <c r="I854">
        <v>9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9</v>
      </c>
      <c r="P854" s="44" t="e">
        <f>_xlfn.XLOOKUP(Tabla5[[#This Row],[EAN CORREGIDO]],'Tabla Articulos'!B:B,'Tabla Articulos'!D:D)</f>
        <v>#N/A</v>
      </c>
      <c r="Q854" s="44" t="e">
        <f>_xlfn.XLOOKUP(S854,'Tabla Articulos'!B:B,'Tabla Articulos'!E:E)</f>
        <v>#N/A</v>
      </c>
      <c r="R854" s="44" t="e">
        <f t="shared" si="26"/>
        <v>#N/A</v>
      </c>
      <c r="S854" s="45" t="str">
        <f t="shared" si="27"/>
        <v>UNIF000295</v>
      </c>
    </row>
    <row r="855" spans="1:19" hidden="1" x14ac:dyDescent="0.35">
      <c r="A855" s="22">
        <v>1</v>
      </c>
      <c r="B855" t="s">
        <v>812</v>
      </c>
      <c r="C855" t="s">
        <v>802</v>
      </c>
      <c r="D855" s="11" t="s">
        <v>3579</v>
      </c>
      <c r="E855" t="s">
        <v>3580</v>
      </c>
      <c r="F855">
        <v>4019413</v>
      </c>
      <c r="G855" t="s">
        <v>3581</v>
      </c>
      <c r="H855" t="s">
        <v>805</v>
      </c>
      <c r="I855">
        <v>19406</v>
      </c>
      <c r="J855">
        <v>4800</v>
      </c>
      <c r="K855">
        <v>0</v>
      </c>
      <c r="L855">
        <v>0</v>
      </c>
      <c r="M855">
        <v>96</v>
      </c>
      <c r="N855">
        <v>0</v>
      </c>
      <c r="O855">
        <v>24110</v>
      </c>
      <c r="P855" s="44" t="e">
        <f>_xlfn.XLOOKUP(Tabla5[[#This Row],[EAN CORREGIDO]],'Tabla Articulos'!B:B,'Tabla Articulos'!D:D)</f>
        <v>#N/A</v>
      </c>
      <c r="Q855" s="44" t="e">
        <f>_xlfn.XLOOKUP(S855,'Tabla Articulos'!B:B,'Tabla Articulos'!E:E)</f>
        <v>#N/A</v>
      </c>
      <c r="R855" s="44" t="e">
        <f t="shared" si="26"/>
        <v>#N/A</v>
      </c>
      <c r="S855" s="45" t="str">
        <f t="shared" si="27"/>
        <v>47790726000392</v>
      </c>
    </row>
    <row r="856" spans="1:19" hidden="1" x14ac:dyDescent="0.35">
      <c r="A856" s="22">
        <v>1</v>
      </c>
      <c r="B856" t="s">
        <v>812</v>
      </c>
      <c r="C856" t="s">
        <v>802</v>
      </c>
      <c r="D856" s="11" t="s">
        <v>3582</v>
      </c>
      <c r="E856" t="s">
        <v>3583</v>
      </c>
      <c r="F856">
        <v>4020211</v>
      </c>
      <c r="G856" t="s">
        <v>3584</v>
      </c>
      <c r="H856" t="s">
        <v>805</v>
      </c>
      <c r="I856">
        <v>8353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8352</v>
      </c>
      <c r="P856" s="44" t="e">
        <f>_xlfn.XLOOKUP(Tabla5[[#This Row],[EAN CORREGIDO]],'Tabla Articulos'!B:B,'Tabla Articulos'!D:D)</f>
        <v>#N/A</v>
      </c>
      <c r="Q856" s="44" t="e">
        <f>_xlfn.XLOOKUP(S856,'Tabla Articulos'!B:B,'Tabla Articulos'!E:E)</f>
        <v>#N/A</v>
      </c>
      <c r="R856" s="44" t="e">
        <f t="shared" si="26"/>
        <v>#N/A</v>
      </c>
      <c r="S856" s="45" t="str">
        <f t="shared" si="27"/>
        <v>7792198006652</v>
      </c>
    </row>
    <row r="857" spans="1:19" hidden="1" x14ac:dyDescent="0.35">
      <c r="A857" s="22">
        <v>5</v>
      </c>
      <c r="B857" t="s">
        <v>829</v>
      </c>
      <c r="C857" t="s">
        <v>802</v>
      </c>
      <c r="D857" t="s">
        <v>3391</v>
      </c>
      <c r="E857" t="s">
        <v>3585</v>
      </c>
      <c r="F857">
        <v>4048925</v>
      </c>
      <c r="G857" t="s">
        <v>3586</v>
      </c>
      <c r="H857" t="s">
        <v>805</v>
      </c>
      <c r="I857">
        <v>20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20</v>
      </c>
      <c r="P857" s="44" t="e">
        <f>_xlfn.XLOOKUP(Tabla5[[#This Row],[EAN CORREGIDO]],'Tabla Articulos'!B:B,'Tabla Articulos'!D:D)</f>
        <v>#N/A</v>
      </c>
      <c r="Q857" s="44" t="e">
        <f>_xlfn.XLOOKUP(S857,'Tabla Articulos'!B:B,'Tabla Articulos'!E:E)</f>
        <v>#N/A</v>
      </c>
      <c r="R857" s="44" t="e">
        <f t="shared" si="26"/>
        <v>#N/A</v>
      </c>
      <c r="S857" s="45" t="str">
        <f t="shared" si="27"/>
        <v>7790387013627</v>
      </c>
    </row>
    <row r="858" spans="1:19" hidden="1" x14ac:dyDescent="0.35">
      <c r="A858" s="22">
        <v>5</v>
      </c>
      <c r="B858" t="s">
        <v>829</v>
      </c>
      <c r="C858" t="s">
        <v>802</v>
      </c>
      <c r="D858" t="s">
        <v>2308</v>
      </c>
      <c r="E858" t="s">
        <v>3587</v>
      </c>
      <c r="F858">
        <v>4024735</v>
      </c>
      <c r="G858" t="s">
        <v>3588</v>
      </c>
      <c r="H858" t="s">
        <v>805</v>
      </c>
      <c r="I858">
        <v>10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</v>
      </c>
      <c r="P858" s="44" t="e">
        <f>_xlfn.XLOOKUP(Tabla5[[#This Row],[EAN CORREGIDO]],'Tabla Articulos'!B:B,'Tabla Articulos'!D:D)</f>
        <v>#N/A</v>
      </c>
      <c r="Q858" s="44" t="e">
        <f>_xlfn.XLOOKUP(S858,'Tabla Articulos'!B:B,'Tabla Articulos'!E:E)</f>
        <v>#N/A</v>
      </c>
      <c r="R858" s="44" t="e">
        <f t="shared" si="26"/>
        <v>#N/A</v>
      </c>
      <c r="S858" s="45" t="str">
        <f t="shared" si="27"/>
        <v>7798011976720</v>
      </c>
    </row>
    <row r="859" spans="1:19" hidden="1" x14ac:dyDescent="0.35">
      <c r="A859" s="22">
        <v>6</v>
      </c>
      <c r="B859" t="s">
        <v>801</v>
      </c>
      <c r="C859" t="s">
        <v>802</v>
      </c>
      <c r="E859" t="s">
        <v>3589</v>
      </c>
      <c r="F859">
        <v>9003329</v>
      </c>
      <c r="G859" t="s">
        <v>3590</v>
      </c>
      <c r="H859" t="s">
        <v>805</v>
      </c>
      <c r="I859">
        <v>42</v>
      </c>
      <c r="J859">
        <v>30</v>
      </c>
      <c r="K859">
        <v>0</v>
      </c>
      <c r="L859">
        <v>0</v>
      </c>
      <c r="M859">
        <v>0</v>
      </c>
      <c r="N859">
        <v>0</v>
      </c>
      <c r="O859">
        <v>72</v>
      </c>
      <c r="P859" s="44" t="e">
        <f>_xlfn.XLOOKUP(Tabla5[[#This Row],[EAN CORREGIDO]],'Tabla Articulos'!B:B,'Tabla Articulos'!D:D)</f>
        <v>#N/A</v>
      </c>
      <c r="Q859" s="44" t="e">
        <f>_xlfn.XLOOKUP(S859,'Tabla Articulos'!B:B,'Tabla Articulos'!E:E)</f>
        <v>#N/A</v>
      </c>
      <c r="R859" s="44" t="e">
        <f t="shared" si="26"/>
        <v>#N/A</v>
      </c>
      <c r="S859" s="45" t="str">
        <f t="shared" si="27"/>
        <v>UNIF000137</v>
      </c>
    </row>
    <row r="860" spans="1:19" hidden="1" x14ac:dyDescent="0.35">
      <c r="A860" s="22">
        <v>6</v>
      </c>
      <c r="B860" t="s">
        <v>801</v>
      </c>
      <c r="C860" t="s">
        <v>802</v>
      </c>
      <c r="E860" t="s">
        <v>3591</v>
      </c>
      <c r="F860">
        <v>2011418</v>
      </c>
      <c r="G860" t="s">
        <v>3592</v>
      </c>
      <c r="H860" t="s">
        <v>805</v>
      </c>
      <c r="I860">
        <v>148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148</v>
      </c>
      <c r="P860" s="44" t="e">
        <f>_xlfn.XLOOKUP(Tabla5[[#This Row],[EAN CORREGIDO]],'Tabla Articulos'!B:B,'Tabla Articulos'!D:D)</f>
        <v>#N/A</v>
      </c>
      <c r="Q860" s="44" t="e">
        <f>_xlfn.XLOOKUP(S860,'Tabla Articulos'!B:B,'Tabla Articulos'!E:E)</f>
        <v>#N/A</v>
      </c>
      <c r="R860" s="44" t="e">
        <f t="shared" si="26"/>
        <v>#N/A</v>
      </c>
      <c r="S860" s="45" t="str">
        <f t="shared" si="27"/>
        <v>7790000000663</v>
      </c>
    </row>
    <row r="861" spans="1:19" hidden="1" x14ac:dyDescent="0.35">
      <c r="A861" s="22">
        <v>6</v>
      </c>
      <c r="B861" t="s">
        <v>801</v>
      </c>
      <c r="C861" t="s">
        <v>802</v>
      </c>
      <c r="D861" t="s">
        <v>3593</v>
      </c>
      <c r="E861" t="s">
        <v>3594</v>
      </c>
      <c r="F861">
        <v>2006627</v>
      </c>
      <c r="G861" t="s">
        <v>3595</v>
      </c>
      <c r="H861" t="s">
        <v>805</v>
      </c>
      <c r="I861">
        <v>639</v>
      </c>
      <c r="J861">
        <v>400</v>
      </c>
      <c r="K861">
        <v>400</v>
      </c>
      <c r="L861">
        <v>0</v>
      </c>
      <c r="M861">
        <v>0</v>
      </c>
      <c r="N861">
        <v>0</v>
      </c>
      <c r="O861">
        <v>639</v>
      </c>
      <c r="P861" s="44" t="e">
        <f>_xlfn.XLOOKUP(Tabla5[[#This Row],[EAN CORREGIDO]],'Tabla Articulos'!B:B,'Tabla Articulos'!D:D)</f>
        <v>#N/A</v>
      </c>
      <c r="Q861" s="44" t="e">
        <f>_xlfn.XLOOKUP(S861,'Tabla Articulos'!B:B,'Tabla Articulos'!E:E)</f>
        <v>#N/A</v>
      </c>
      <c r="R861" s="44" t="e">
        <f t="shared" si="26"/>
        <v>#N/A</v>
      </c>
      <c r="S861" s="45" t="str">
        <f t="shared" si="27"/>
        <v>7790520028747</v>
      </c>
    </row>
    <row r="862" spans="1:19" hidden="1" x14ac:dyDescent="0.35">
      <c r="A862" s="22">
        <v>5</v>
      </c>
      <c r="B862" t="s">
        <v>829</v>
      </c>
      <c r="C862" t="s">
        <v>802</v>
      </c>
      <c r="D862" s="11" t="s">
        <v>3596</v>
      </c>
      <c r="E862" t="s">
        <v>3597</v>
      </c>
      <c r="F862">
        <v>4023151</v>
      </c>
      <c r="G862" t="s">
        <v>3598</v>
      </c>
      <c r="H862" t="s">
        <v>805</v>
      </c>
      <c r="I862">
        <v>60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60</v>
      </c>
      <c r="P862" s="44" t="e">
        <f>_xlfn.XLOOKUP(Tabla5[[#This Row],[EAN CORREGIDO]],'Tabla Articulos'!B:B,'Tabla Articulos'!D:D)</f>
        <v>#N/A</v>
      </c>
      <c r="Q862" s="44" t="e">
        <f>_xlfn.XLOOKUP(S862,'Tabla Articulos'!B:B,'Tabla Articulos'!E:E)</f>
        <v>#N/A</v>
      </c>
      <c r="R862" s="44" t="e">
        <f t="shared" si="26"/>
        <v>#N/A</v>
      </c>
      <c r="S862" s="45" t="str">
        <f t="shared" si="27"/>
        <v>7790787201303</v>
      </c>
    </row>
    <row r="863" spans="1:19" hidden="1" x14ac:dyDescent="0.35">
      <c r="A863" s="22">
        <v>1</v>
      </c>
      <c r="B863" t="s">
        <v>812</v>
      </c>
      <c r="C863" t="s">
        <v>802</v>
      </c>
      <c r="D863" s="11" t="s">
        <v>3596</v>
      </c>
      <c r="E863" t="s">
        <v>3597</v>
      </c>
      <c r="F863">
        <v>4023151</v>
      </c>
      <c r="G863" t="s">
        <v>3598</v>
      </c>
      <c r="H863" t="s">
        <v>805</v>
      </c>
      <c r="I863">
        <v>30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30</v>
      </c>
      <c r="P863" s="44" t="e">
        <f>_xlfn.XLOOKUP(Tabla5[[#This Row],[EAN CORREGIDO]],'Tabla Articulos'!B:B,'Tabla Articulos'!D:D)</f>
        <v>#N/A</v>
      </c>
      <c r="Q863" s="44" t="e">
        <f>_xlfn.XLOOKUP(S863,'Tabla Articulos'!B:B,'Tabla Articulos'!E:E)</f>
        <v>#N/A</v>
      </c>
      <c r="R863" s="44" t="e">
        <f t="shared" si="26"/>
        <v>#N/A</v>
      </c>
      <c r="S863" s="45" t="str">
        <f t="shared" si="27"/>
        <v>7790787201303</v>
      </c>
    </row>
    <row r="864" spans="1:19" hidden="1" x14ac:dyDescent="0.35">
      <c r="A864" s="22">
        <v>6</v>
      </c>
      <c r="B864" t="s">
        <v>801</v>
      </c>
      <c r="C864" t="s">
        <v>802</v>
      </c>
      <c r="D864"/>
      <c r="E864" t="s">
        <v>3599</v>
      </c>
      <c r="F864">
        <v>9004202</v>
      </c>
      <c r="G864" t="s">
        <v>3600</v>
      </c>
      <c r="H864" t="s">
        <v>805</v>
      </c>
      <c r="I864">
        <v>10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10</v>
      </c>
      <c r="P864" s="44" t="e">
        <f>_xlfn.XLOOKUP(Tabla5[[#This Row],[EAN CORREGIDO]],'Tabla Articulos'!B:B,'Tabla Articulos'!D:D)</f>
        <v>#N/A</v>
      </c>
      <c r="Q864" s="44" t="e">
        <f>_xlfn.XLOOKUP(S864,'Tabla Articulos'!B:B,'Tabla Articulos'!E:E)</f>
        <v>#N/A</v>
      </c>
      <c r="R864" s="44" t="e">
        <f t="shared" si="26"/>
        <v>#N/A</v>
      </c>
      <c r="S864" s="45" t="str">
        <f t="shared" si="27"/>
        <v>UNIF000748</v>
      </c>
    </row>
    <row r="865" spans="1:19" hidden="1" x14ac:dyDescent="0.35">
      <c r="A865" s="22">
        <v>6</v>
      </c>
      <c r="B865" t="s">
        <v>801</v>
      </c>
      <c r="C865" t="s">
        <v>802</v>
      </c>
      <c r="D865"/>
      <c r="E865" t="s">
        <v>3633</v>
      </c>
      <c r="F865">
        <v>9003079</v>
      </c>
      <c r="G865" t="s">
        <v>3634</v>
      </c>
      <c r="H865" t="s">
        <v>805</v>
      </c>
      <c r="I865">
        <v>4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4</v>
      </c>
      <c r="P865" s="44" t="e">
        <f>_xlfn.XLOOKUP(Tabla5[[#This Row],[EAN CORREGIDO]],'Tabla Articulos'!B:B,'Tabla Articulos'!D:D)</f>
        <v>#N/A</v>
      </c>
      <c r="Q865" s="44" t="e">
        <f>_xlfn.XLOOKUP(S865,'Tabla Articulos'!B:B,'Tabla Articulos'!E:E)</f>
        <v>#N/A</v>
      </c>
      <c r="R865" s="44" t="e">
        <f t="shared" si="26"/>
        <v>#N/A</v>
      </c>
      <c r="S865" s="45" t="str">
        <f t="shared" si="27"/>
        <v>UNIF000541</v>
      </c>
    </row>
    <row r="866" spans="1:19" hidden="1" x14ac:dyDescent="0.35">
      <c r="A866" s="22">
        <v>1</v>
      </c>
      <c r="B866" t="s">
        <v>812</v>
      </c>
      <c r="C866" t="s">
        <v>802</v>
      </c>
      <c r="D866" s="11" t="s">
        <v>3635</v>
      </c>
      <c r="E866" t="s">
        <v>3636</v>
      </c>
      <c r="F866">
        <v>4020082</v>
      </c>
      <c r="G866" t="s">
        <v>3637</v>
      </c>
      <c r="H866" t="s">
        <v>805</v>
      </c>
      <c r="I866">
        <v>53519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53519</v>
      </c>
      <c r="P866" s="44" t="e">
        <f>_xlfn.XLOOKUP(Tabla5[[#This Row],[EAN CORREGIDO]],'Tabla Articulos'!B:B,'Tabla Articulos'!D:D)</f>
        <v>#N/A</v>
      </c>
      <c r="Q866" s="44" t="e">
        <f>_xlfn.XLOOKUP(S866,'Tabla Articulos'!B:B,'Tabla Articulos'!E:E)</f>
        <v>#N/A</v>
      </c>
      <c r="R866" s="44" t="e">
        <f t="shared" si="26"/>
        <v>#N/A</v>
      </c>
      <c r="S866" s="45" t="str">
        <f t="shared" si="27"/>
        <v>7797470000939</v>
      </c>
    </row>
    <row r="867" spans="1:19" hidden="1" x14ac:dyDescent="0.35">
      <c r="A867" s="22">
        <v>1</v>
      </c>
      <c r="B867" t="s">
        <v>812</v>
      </c>
      <c r="C867" t="s">
        <v>802</v>
      </c>
      <c r="D867" t="s">
        <v>3181</v>
      </c>
      <c r="E867" t="s">
        <v>3638</v>
      </c>
      <c r="F867">
        <v>4022762</v>
      </c>
      <c r="G867" t="s">
        <v>3639</v>
      </c>
      <c r="H867" t="s">
        <v>805</v>
      </c>
      <c r="I867">
        <v>2690</v>
      </c>
      <c r="J867">
        <v>0</v>
      </c>
      <c r="K867">
        <v>1761</v>
      </c>
      <c r="L867">
        <v>0</v>
      </c>
      <c r="M867">
        <v>0</v>
      </c>
      <c r="N867">
        <v>0</v>
      </c>
      <c r="O867">
        <v>929</v>
      </c>
      <c r="P867" s="44" t="e">
        <f>_xlfn.XLOOKUP(Tabla5[[#This Row],[EAN CORREGIDO]],'Tabla Articulos'!B:B,'Tabla Articulos'!D:D)</f>
        <v>#N/A</v>
      </c>
      <c r="Q867" s="44" t="e">
        <f>_xlfn.XLOOKUP(S867,'Tabla Articulos'!B:B,'Tabla Articulos'!E:E)</f>
        <v>#N/A</v>
      </c>
      <c r="R867" s="44" t="e">
        <f t="shared" si="26"/>
        <v>#N/A</v>
      </c>
      <c r="S867" s="45" t="str">
        <f t="shared" si="27"/>
        <v>7791476022001</v>
      </c>
    </row>
    <row r="868" spans="1:19" hidden="1" x14ac:dyDescent="0.35">
      <c r="A868" s="22">
        <v>6</v>
      </c>
      <c r="B868" t="s">
        <v>801</v>
      </c>
      <c r="C868" t="s">
        <v>802</v>
      </c>
      <c r="E868" t="s">
        <v>3640</v>
      </c>
      <c r="F868">
        <v>9003172</v>
      </c>
      <c r="G868" t="s">
        <v>3641</v>
      </c>
      <c r="H868" t="s">
        <v>805</v>
      </c>
      <c r="I868">
        <v>146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146</v>
      </c>
      <c r="P868" s="44" t="e">
        <f>_xlfn.XLOOKUP(Tabla5[[#This Row],[EAN CORREGIDO]],'Tabla Articulos'!B:B,'Tabla Articulos'!D:D)</f>
        <v>#N/A</v>
      </c>
      <c r="Q868" s="44" t="e">
        <f>_xlfn.XLOOKUP(S868,'Tabla Articulos'!B:B,'Tabla Articulos'!E:E)</f>
        <v>#N/A</v>
      </c>
      <c r="R868" s="44" t="e">
        <f t="shared" si="26"/>
        <v>#N/A</v>
      </c>
      <c r="S868" s="45" t="str">
        <f t="shared" si="27"/>
        <v>UNIF000367</v>
      </c>
    </row>
    <row r="869" spans="1:19" hidden="1" x14ac:dyDescent="0.35">
      <c r="A869" s="22">
        <v>6</v>
      </c>
      <c r="B869" t="s">
        <v>801</v>
      </c>
      <c r="C869" t="s">
        <v>802</v>
      </c>
      <c r="D869" t="s">
        <v>1198</v>
      </c>
      <c r="E869" t="s">
        <v>1199</v>
      </c>
      <c r="F869">
        <v>2006630</v>
      </c>
      <c r="G869" t="s">
        <v>1200</v>
      </c>
      <c r="H869" t="s">
        <v>805</v>
      </c>
      <c r="I869">
        <v>45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45</v>
      </c>
      <c r="P869" s="44" t="e">
        <f>_xlfn.XLOOKUP(Tabla5[[#This Row],[EAN CORREGIDO]],'Tabla Articulos'!B:B,'Tabla Articulos'!D:D)</f>
        <v>#N/A</v>
      </c>
      <c r="Q869" s="44" t="e">
        <f>_xlfn.XLOOKUP(S869,'Tabla Articulos'!B:B,'Tabla Articulos'!E:E)</f>
        <v>#N/A</v>
      </c>
      <c r="R869" s="44" t="e">
        <f t="shared" si="26"/>
        <v>#N/A</v>
      </c>
      <c r="S869" s="45" t="str">
        <f t="shared" si="27"/>
        <v>LIM000293</v>
      </c>
    </row>
    <row r="870" spans="1:19" hidden="1" x14ac:dyDescent="0.35">
      <c r="A870" s="22">
        <v>1</v>
      </c>
      <c r="B870" t="s">
        <v>812</v>
      </c>
      <c r="C870" t="s">
        <v>802</v>
      </c>
      <c r="D870" s="11" t="s">
        <v>1201</v>
      </c>
      <c r="E870" t="s">
        <v>1202</v>
      </c>
      <c r="F870">
        <v>4019545</v>
      </c>
      <c r="G870" t="s">
        <v>1203</v>
      </c>
      <c r="H870" t="s">
        <v>805</v>
      </c>
      <c r="I870">
        <v>95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95</v>
      </c>
      <c r="P870" s="44" t="e">
        <f>_xlfn.XLOOKUP(Tabla5[[#This Row],[EAN CORREGIDO]],'Tabla Articulos'!B:B,'Tabla Articulos'!D:D)</f>
        <v>#N/A</v>
      </c>
      <c r="Q870" s="44" t="e">
        <f>_xlfn.XLOOKUP(S870,'Tabla Articulos'!B:B,'Tabla Articulos'!E:E)</f>
        <v>#N/A</v>
      </c>
      <c r="R870" s="44" t="e">
        <f t="shared" si="26"/>
        <v>#N/A</v>
      </c>
      <c r="S870" s="45" t="str">
        <f t="shared" si="27"/>
        <v>7790499002106</v>
      </c>
    </row>
    <row r="871" spans="1:19" hidden="1" x14ac:dyDescent="0.35">
      <c r="A871" s="22">
        <v>1</v>
      </c>
      <c r="B871" t="s">
        <v>812</v>
      </c>
      <c r="C871" t="s">
        <v>802</v>
      </c>
      <c r="D871" t="s">
        <v>1204</v>
      </c>
      <c r="E871" t="s">
        <v>1205</v>
      </c>
      <c r="F871">
        <v>4020343</v>
      </c>
      <c r="G871" t="s">
        <v>1206</v>
      </c>
      <c r="H871" t="s">
        <v>805</v>
      </c>
      <c r="I871">
        <v>10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10</v>
      </c>
      <c r="P871" s="44" t="e">
        <f>_xlfn.XLOOKUP(Tabla5[[#This Row],[EAN CORREGIDO]],'Tabla Articulos'!B:B,'Tabla Articulos'!D:D)</f>
        <v>#N/A</v>
      </c>
      <c r="Q871" s="44" t="e">
        <f>_xlfn.XLOOKUP(S871,'Tabla Articulos'!B:B,'Tabla Articulos'!E:E)</f>
        <v>#N/A</v>
      </c>
      <c r="R871" s="44" t="e">
        <f t="shared" si="26"/>
        <v>#N/A</v>
      </c>
      <c r="S871" s="45" t="str">
        <f t="shared" si="27"/>
        <v>7798011970063</v>
      </c>
    </row>
    <row r="872" spans="1:19" hidden="1" x14ac:dyDescent="0.35">
      <c r="A872" s="22">
        <v>5</v>
      </c>
      <c r="B872" t="s">
        <v>829</v>
      </c>
      <c r="C872" t="s">
        <v>802</v>
      </c>
      <c r="D872" s="11" t="s">
        <v>5216</v>
      </c>
      <c r="E872" t="s">
        <v>5217</v>
      </c>
      <c r="F872">
        <v>4018029</v>
      </c>
      <c r="G872" t="s">
        <v>5218</v>
      </c>
      <c r="H872" t="s">
        <v>816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 s="44" t="e">
        <f>_xlfn.XLOOKUP(Tabla5[[#This Row],[EAN CORREGIDO]],'Tabla Articulos'!B:B,'Tabla Articulos'!D:D)</f>
        <v>#N/A</v>
      </c>
      <c r="Q872" s="44" t="e">
        <f>_xlfn.XLOOKUP(S872,'Tabla Articulos'!B:B,'Tabla Articulos'!E:E)</f>
        <v>#N/A</v>
      </c>
      <c r="R872" s="44" t="e">
        <f t="shared" si="26"/>
        <v>#N/A</v>
      </c>
      <c r="S872" s="45" t="str">
        <f t="shared" si="27"/>
        <v>7790216012612</v>
      </c>
    </row>
    <row r="873" spans="1:19" hidden="1" x14ac:dyDescent="0.35">
      <c r="A873" s="22">
        <v>6</v>
      </c>
      <c r="B873" t="s">
        <v>801</v>
      </c>
      <c r="C873" t="s">
        <v>802</v>
      </c>
      <c r="D873"/>
      <c r="E873" t="s">
        <v>5219</v>
      </c>
      <c r="F873">
        <v>2016759</v>
      </c>
      <c r="G873" t="s">
        <v>5220</v>
      </c>
      <c r="H873" t="s">
        <v>805</v>
      </c>
      <c r="I873">
        <v>6240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6240</v>
      </c>
      <c r="P873" s="44" t="e">
        <f>_xlfn.XLOOKUP(Tabla5[[#This Row],[EAN CORREGIDO]],'Tabla Articulos'!B:B,'Tabla Articulos'!D:D)</f>
        <v>#N/A</v>
      </c>
      <c r="Q873" s="44" t="e">
        <f>_xlfn.XLOOKUP(S873,'Tabla Articulos'!B:B,'Tabla Articulos'!E:E)</f>
        <v>#N/A</v>
      </c>
      <c r="R873" s="44" t="e">
        <f t="shared" si="26"/>
        <v>#N/A</v>
      </c>
      <c r="S873" s="45" t="str">
        <f t="shared" si="27"/>
        <v>7798092964043</v>
      </c>
    </row>
    <row r="874" spans="1:19" hidden="1" x14ac:dyDescent="0.35">
      <c r="A874" s="22">
        <v>6</v>
      </c>
      <c r="B874" t="s">
        <v>801</v>
      </c>
      <c r="C874" t="s">
        <v>802</v>
      </c>
      <c r="D874"/>
      <c r="E874" t="s">
        <v>5221</v>
      </c>
      <c r="F874">
        <v>9003421</v>
      </c>
      <c r="G874" t="s">
        <v>5222</v>
      </c>
      <c r="H874" t="s">
        <v>805</v>
      </c>
      <c r="I874">
        <v>54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54</v>
      </c>
      <c r="P874" s="44" t="e">
        <f>_xlfn.XLOOKUP(Tabla5[[#This Row],[EAN CORREGIDO]],'Tabla Articulos'!B:B,'Tabla Articulos'!D:D)</f>
        <v>#N/A</v>
      </c>
      <c r="Q874" s="44" t="e">
        <f>_xlfn.XLOOKUP(S874,'Tabla Articulos'!B:B,'Tabla Articulos'!E:E)</f>
        <v>#N/A</v>
      </c>
      <c r="R874" s="44" t="e">
        <f t="shared" si="26"/>
        <v>#N/A</v>
      </c>
      <c r="S874" s="45" t="str">
        <f t="shared" si="27"/>
        <v>UNIF000108</v>
      </c>
    </row>
    <row r="875" spans="1:19" hidden="1" x14ac:dyDescent="0.35">
      <c r="A875" s="22">
        <v>6</v>
      </c>
      <c r="B875" t="s">
        <v>801</v>
      </c>
      <c r="C875" t="s">
        <v>802</v>
      </c>
      <c r="D875"/>
      <c r="E875" t="s">
        <v>5148</v>
      </c>
      <c r="F875">
        <v>9003044</v>
      </c>
      <c r="G875" t="s">
        <v>5149</v>
      </c>
      <c r="H875" t="s">
        <v>805</v>
      </c>
      <c r="I875">
        <v>91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91</v>
      </c>
      <c r="P875" s="44" t="e">
        <f>_xlfn.XLOOKUP(Tabla5[[#This Row],[EAN CORREGIDO]],'Tabla Articulos'!B:B,'Tabla Articulos'!D:D)</f>
        <v>#N/A</v>
      </c>
      <c r="Q875" s="44" t="e">
        <f>_xlfn.XLOOKUP(S875,'Tabla Articulos'!B:B,'Tabla Articulos'!E:E)</f>
        <v>#N/A</v>
      </c>
      <c r="R875" s="44" t="e">
        <f t="shared" si="26"/>
        <v>#N/A</v>
      </c>
      <c r="S875" s="45" t="str">
        <f t="shared" si="27"/>
        <v>UNIF000013</v>
      </c>
    </row>
    <row r="876" spans="1:19" hidden="1" x14ac:dyDescent="0.35">
      <c r="A876" s="22">
        <v>6</v>
      </c>
      <c r="B876" t="s">
        <v>801</v>
      </c>
      <c r="C876" t="s">
        <v>802</v>
      </c>
      <c r="D876"/>
      <c r="E876" t="s">
        <v>5150</v>
      </c>
      <c r="F876">
        <v>9004196</v>
      </c>
      <c r="G876" t="s">
        <v>5151</v>
      </c>
      <c r="H876" t="s">
        <v>805</v>
      </c>
      <c r="I876">
        <v>114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114</v>
      </c>
      <c r="P876" s="44" t="e">
        <f>_xlfn.XLOOKUP(Tabla5[[#This Row],[EAN CORREGIDO]],'Tabla Articulos'!B:B,'Tabla Articulos'!D:D)</f>
        <v>#N/A</v>
      </c>
      <c r="Q876" s="44" t="e">
        <f>_xlfn.XLOOKUP(S876,'Tabla Articulos'!B:B,'Tabla Articulos'!E:E)</f>
        <v>#N/A</v>
      </c>
      <c r="R876" s="44" t="e">
        <f t="shared" si="26"/>
        <v>#N/A</v>
      </c>
      <c r="S876" s="45" t="str">
        <f t="shared" si="27"/>
        <v>UNIF000742</v>
      </c>
    </row>
    <row r="877" spans="1:19" hidden="1" x14ac:dyDescent="0.35">
      <c r="A877" s="22">
        <v>5</v>
      </c>
      <c r="B877" t="s">
        <v>829</v>
      </c>
      <c r="C877" t="s">
        <v>802</v>
      </c>
      <c r="D877" s="11" t="s">
        <v>5152</v>
      </c>
      <c r="E877" t="s">
        <v>5153</v>
      </c>
      <c r="F877">
        <v>4020713</v>
      </c>
      <c r="G877" t="s">
        <v>5154</v>
      </c>
      <c r="H877" t="s">
        <v>805</v>
      </c>
      <c r="I877">
        <v>43002</v>
      </c>
      <c r="J877">
        <v>0</v>
      </c>
      <c r="K877">
        <v>0</v>
      </c>
      <c r="L877">
        <v>0</v>
      </c>
      <c r="M877">
        <v>40</v>
      </c>
      <c r="N877">
        <v>0</v>
      </c>
      <c r="O877">
        <v>42962</v>
      </c>
      <c r="P877" s="44" t="e">
        <f>_xlfn.XLOOKUP(Tabla5[[#This Row],[EAN CORREGIDO]],'Tabla Articulos'!B:B,'Tabla Articulos'!D:D)</f>
        <v>#N/A</v>
      </c>
      <c r="Q877" s="44" t="e">
        <f>_xlfn.XLOOKUP(S877,'Tabla Articulos'!B:B,'Tabla Articulos'!E:E)</f>
        <v>#N/A</v>
      </c>
      <c r="R877" s="44" t="e">
        <f t="shared" si="26"/>
        <v>#N/A</v>
      </c>
      <c r="S877" s="45" t="str">
        <f t="shared" si="27"/>
        <v>7798018850184</v>
      </c>
    </row>
    <row r="878" spans="1:19" hidden="1" x14ac:dyDescent="0.35">
      <c r="A878" s="22">
        <v>1</v>
      </c>
      <c r="B878" t="s">
        <v>812</v>
      </c>
      <c r="C878" t="s">
        <v>802</v>
      </c>
      <c r="D878" s="11" t="s">
        <v>5152</v>
      </c>
      <c r="E878" t="s">
        <v>5153</v>
      </c>
      <c r="F878">
        <v>4020713</v>
      </c>
      <c r="G878" t="s">
        <v>5154</v>
      </c>
      <c r="H878" t="s">
        <v>805</v>
      </c>
      <c r="I878">
        <v>38632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38632</v>
      </c>
      <c r="P878" s="44" t="e">
        <f>_xlfn.XLOOKUP(Tabla5[[#This Row],[EAN CORREGIDO]],'Tabla Articulos'!B:B,'Tabla Articulos'!D:D)</f>
        <v>#N/A</v>
      </c>
      <c r="Q878" s="44" t="e">
        <f>_xlfn.XLOOKUP(S878,'Tabla Articulos'!B:B,'Tabla Articulos'!E:E)</f>
        <v>#N/A</v>
      </c>
      <c r="R878" s="44" t="e">
        <f t="shared" si="26"/>
        <v>#N/A</v>
      </c>
      <c r="S878" s="45" t="str">
        <f t="shared" si="27"/>
        <v>7798018850184</v>
      </c>
    </row>
    <row r="879" spans="1:19" hidden="1" x14ac:dyDescent="0.35">
      <c r="A879" s="22">
        <v>5</v>
      </c>
      <c r="B879" t="s">
        <v>829</v>
      </c>
      <c r="C879" t="s">
        <v>802</v>
      </c>
      <c r="D879" s="11" t="s">
        <v>5155</v>
      </c>
      <c r="E879" t="s">
        <v>5156</v>
      </c>
      <c r="F879">
        <v>4020331</v>
      </c>
      <c r="G879" t="s">
        <v>5157</v>
      </c>
      <c r="H879" t="s">
        <v>805</v>
      </c>
      <c r="I879">
        <v>1200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1200</v>
      </c>
      <c r="P879" s="44" t="e">
        <f>_xlfn.XLOOKUP(Tabla5[[#This Row],[EAN CORREGIDO]],'Tabla Articulos'!B:B,'Tabla Articulos'!D:D)</f>
        <v>#N/A</v>
      </c>
      <c r="Q879" s="44" t="e">
        <f>_xlfn.XLOOKUP(S879,'Tabla Articulos'!B:B,'Tabla Articulos'!E:E)</f>
        <v>#N/A</v>
      </c>
      <c r="R879" s="44" t="e">
        <f t="shared" si="26"/>
        <v>#N/A</v>
      </c>
      <c r="S879" s="45" t="str">
        <f t="shared" si="27"/>
        <v>7798132920428</v>
      </c>
    </row>
    <row r="880" spans="1:19" hidden="1" x14ac:dyDescent="0.35">
      <c r="A880" s="22">
        <v>1</v>
      </c>
      <c r="B880" t="s">
        <v>812</v>
      </c>
      <c r="C880" t="s">
        <v>802</v>
      </c>
      <c r="D880" t="s">
        <v>5155</v>
      </c>
      <c r="E880" t="s">
        <v>5156</v>
      </c>
      <c r="F880">
        <v>4020331</v>
      </c>
      <c r="G880" t="s">
        <v>5157</v>
      </c>
      <c r="H880" t="s">
        <v>805</v>
      </c>
      <c r="I880">
        <v>320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320</v>
      </c>
      <c r="P880" s="44" t="e">
        <f>_xlfn.XLOOKUP(Tabla5[[#This Row],[EAN CORREGIDO]],'Tabla Articulos'!B:B,'Tabla Articulos'!D:D)</f>
        <v>#N/A</v>
      </c>
      <c r="Q880" s="44" t="e">
        <f>_xlfn.XLOOKUP(S880,'Tabla Articulos'!B:B,'Tabla Articulos'!E:E)</f>
        <v>#N/A</v>
      </c>
      <c r="R880" s="44" t="e">
        <f t="shared" si="26"/>
        <v>#N/A</v>
      </c>
      <c r="S880" s="45" t="str">
        <f t="shared" si="27"/>
        <v>7798132920428</v>
      </c>
    </row>
    <row r="881" spans="1:19" hidden="1" x14ac:dyDescent="0.35">
      <c r="A881" s="22">
        <v>6</v>
      </c>
      <c r="B881" t="s">
        <v>801</v>
      </c>
      <c r="C881" t="s">
        <v>802</v>
      </c>
      <c r="D881" s="11" t="s">
        <v>4392</v>
      </c>
      <c r="E881" t="s">
        <v>4393</v>
      </c>
      <c r="F881">
        <v>2006246</v>
      </c>
      <c r="G881" t="s">
        <v>4394</v>
      </c>
      <c r="H881" t="s">
        <v>805</v>
      </c>
      <c r="I881">
        <v>20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20</v>
      </c>
      <c r="P881" s="44" t="e">
        <f>_xlfn.XLOOKUP(Tabla5[[#This Row],[EAN CORREGIDO]],'Tabla Articulos'!B:B,'Tabla Articulos'!D:D)</f>
        <v>#N/A</v>
      </c>
      <c r="Q881" s="44" t="e">
        <f>_xlfn.XLOOKUP(S881,'Tabla Articulos'!B:B,'Tabla Articulos'!E:E)</f>
        <v>#N/A</v>
      </c>
      <c r="R881" s="44" t="e">
        <f t="shared" si="26"/>
        <v>#N/A</v>
      </c>
      <c r="S881" s="45" t="str">
        <f t="shared" si="27"/>
        <v>7798432966350</v>
      </c>
    </row>
    <row r="882" spans="1:19" hidden="1" x14ac:dyDescent="0.35">
      <c r="A882" s="22">
        <v>6</v>
      </c>
      <c r="B882" t="s">
        <v>801</v>
      </c>
      <c r="C882" t="s">
        <v>802</v>
      </c>
      <c r="E882" t="s">
        <v>4395</v>
      </c>
      <c r="F882">
        <v>5002913</v>
      </c>
      <c r="G882" t="s">
        <v>4396</v>
      </c>
      <c r="H882" t="s">
        <v>805</v>
      </c>
      <c r="I882">
        <v>1266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1266</v>
      </c>
      <c r="P882" s="44" t="e">
        <f>_xlfn.XLOOKUP(Tabla5[[#This Row],[EAN CORREGIDO]],'Tabla Articulos'!B:B,'Tabla Articulos'!D:D)</f>
        <v>#N/A</v>
      </c>
      <c r="Q882" s="44" t="e">
        <f>_xlfn.XLOOKUP(S882,'Tabla Articulos'!B:B,'Tabla Articulos'!E:E)</f>
        <v>#N/A</v>
      </c>
      <c r="R882" s="44" t="e">
        <f t="shared" si="26"/>
        <v>#N/A</v>
      </c>
      <c r="S882" s="45" t="str">
        <f t="shared" si="27"/>
        <v>BAZ000095</v>
      </c>
    </row>
    <row r="883" spans="1:19" hidden="1" x14ac:dyDescent="0.35">
      <c r="A883" s="22">
        <v>6</v>
      </c>
      <c r="B883" t="s">
        <v>801</v>
      </c>
      <c r="C883" t="s">
        <v>802</v>
      </c>
      <c r="E883" t="s">
        <v>4397</v>
      </c>
      <c r="F883">
        <v>9003579</v>
      </c>
      <c r="G883" t="s">
        <v>4398</v>
      </c>
      <c r="H883" t="s">
        <v>805</v>
      </c>
      <c r="I883">
        <v>14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14</v>
      </c>
      <c r="P883" s="44" t="e">
        <f>_xlfn.XLOOKUP(Tabla5[[#This Row],[EAN CORREGIDO]],'Tabla Articulos'!B:B,'Tabla Articulos'!D:D)</f>
        <v>#N/A</v>
      </c>
      <c r="Q883" s="44" t="e">
        <f>_xlfn.XLOOKUP(S883,'Tabla Articulos'!B:B,'Tabla Articulos'!E:E)</f>
        <v>#N/A</v>
      </c>
      <c r="R883" s="44" t="e">
        <f t="shared" si="26"/>
        <v>#N/A</v>
      </c>
      <c r="S883" s="45" t="str">
        <f t="shared" si="27"/>
        <v>UNIF000491</v>
      </c>
    </row>
    <row r="884" spans="1:19" hidden="1" x14ac:dyDescent="0.35">
      <c r="A884" s="22">
        <v>6</v>
      </c>
      <c r="B884" t="s">
        <v>801</v>
      </c>
      <c r="C884" t="s">
        <v>802</v>
      </c>
      <c r="E884" t="s">
        <v>4399</v>
      </c>
      <c r="F884">
        <v>9003419</v>
      </c>
      <c r="G884" t="s">
        <v>4400</v>
      </c>
      <c r="H884" t="s">
        <v>805</v>
      </c>
      <c r="I884">
        <v>81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81</v>
      </c>
      <c r="P884" s="44" t="e">
        <f>_xlfn.XLOOKUP(Tabla5[[#This Row],[EAN CORREGIDO]],'Tabla Articulos'!B:B,'Tabla Articulos'!D:D)</f>
        <v>#N/A</v>
      </c>
      <c r="Q884" s="44" t="e">
        <f>_xlfn.XLOOKUP(S884,'Tabla Articulos'!B:B,'Tabla Articulos'!E:E)</f>
        <v>#N/A</v>
      </c>
      <c r="R884" s="44" t="e">
        <f t="shared" si="26"/>
        <v>#N/A</v>
      </c>
      <c r="S884" s="45" t="str">
        <f t="shared" si="27"/>
        <v>UNIF000106</v>
      </c>
    </row>
    <row r="885" spans="1:19" hidden="1" x14ac:dyDescent="0.35">
      <c r="A885" s="22">
        <v>6</v>
      </c>
      <c r="B885" t="s">
        <v>801</v>
      </c>
      <c r="C885" t="s">
        <v>802</v>
      </c>
      <c r="E885" t="s">
        <v>4401</v>
      </c>
      <c r="F885">
        <v>9003480</v>
      </c>
      <c r="G885" t="s">
        <v>4402</v>
      </c>
      <c r="H885" t="s">
        <v>805</v>
      </c>
      <c r="I885">
        <v>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5</v>
      </c>
      <c r="P885" s="44" t="e">
        <f>_xlfn.XLOOKUP(Tabla5[[#This Row],[EAN CORREGIDO]],'Tabla Articulos'!B:B,'Tabla Articulos'!D:D)</f>
        <v>#N/A</v>
      </c>
      <c r="Q885" s="44" t="e">
        <f>_xlfn.XLOOKUP(S885,'Tabla Articulos'!B:B,'Tabla Articulos'!E:E)</f>
        <v>#N/A</v>
      </c>
      <c r="R885" s="44" t="e">
        <f t="shared" si="26"/>
        <v>#N/A</v>
      </c>
      <c r="S885" s="45" t="str">
        <f t="shared" si="27"/>
        <v>UNIF000212</v>
      </c>
    </row>
    <row r="886" spans="1:19" hidden="1" x14ac:dyDescent="0.35">
      <c r="A886" s="22">
        <v>6</v>
      </c>
      <c r="B886" t="s">
        <v>801</v>
      </c>
      <c r="C886" t="s">
        <v>802</v>
      </c>
      <c r="D886" t="s">
        <v>1351</v>
      </c>
      <c r="E886" t="s">
        <v>1352</v>
      </c>
      <c r="F886">
        <v>2006184</v>
      </c>
      <c r="G886" t="s">
        <v>1353</v>
      </c>
      <c r="H886" t="s">
        <v>805</v>
      </c>
      <c r="I886">
        <v>292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292</v>
      </c>
      <c r="P886" s="44" t="e">
        <f>_xlfn.XLOOKUP(Tabla5[[#This Row],[EAN CORREGIDO]],'Tabla Articulos'!B:B,'Tabla Articulos'!D:D)</f>
        <v>#N/A</v>
      </c>
      <c r="Q886" s="44" t="e">
        <f>_xlfn.XLOOKUP(S886,'Tabla Articulos'!B:B,'Tabla Articulos'!E:E)</f>
        <v>#N/A</v>
      </c>
      <c r="R886" s="44" t="e">
        <f t="shared" si="26"/>
        <v>#N/A</v>
      </c>
      <c r="S886" s="45" t="str">
        <f t="shared" si="27"/>
        <v>7790925000096</v>
      </c>
    </row>
    <row r="887" spans="1:19" hidden="1" x14ac:dyDescent="0.35">
      <c r="A887" s="22">
        <v>1</v>
      </c>
      <c r="B887" t="s">
        <v>812</v>
      </c>
      <c r="C887" t="s">
        <v>802</v>
      </c>
      <c r="D887" t="s">
        <v>1354</v>
      </c>
      <c r="E887" t="s">
        <v>1355</v>
      </c>
      <c r="F887">
        <v>4020538</v>
      </c>
      <c r="G887" t="s">
        <v>1356</v>
      </c>
      <c r="H887" t="s">
        <v>805</v>
      </c>
      <c r="I887">
        <v>584</v>
      </c>
      <c r="J887">
        <v>0</v>
      </c>
      <c r="K887">
        <v>584</v>
      </c>
      <c r="L887">
        <v>0</v>
      </c>
      <c r="M887">
        <v>0</v>
      </c>
      <c r="N887">
        <v>0</v>
      </c>
      <c r="O887">
        <v>0</v>
      </c>
      <c r="P887" s="44" t="e">
        <f>_xlfn.XLOOKUP(Tabla5[[#This Row],[EAN CORREGIDO]],'Tabla Articulos'!B:B,'Tabla Articulos'!D:D)</f>
        <v>#N/A</v>
      </c>
      <c r="Q887" s="44" t="e">
        <f>_xlfn.XLOOKUP(S887,'Tabla Articulos'!B:B,'Tabla Articulos'!E:E)</f>
        <v>#N/A</v>
      </c>
      <c r="R887" s="44" t="e">
        <f t="shared" si="26"/>
        <v>#N/A</v>
      </c>
      <c r="S887" s="45" t="str">
        <f t="shared" si="27"/>
        <v>7798314230833</v>
      </c>
    </row>
    <row r="888" spans="1:19" hidden="1" x14ac:dyDescent="0.35">
      <c r="A888" s="22">
        <v>1</v>
      </c>
      <c r="B888" t="s">
        <v>812</v>
      </c>
      <c r="C888" t="s">
        <v>802</v>
      </c>
      <c r="D888" t="s">
        <v>1357</v>
      </c>
      <c r="E888" t="s">
        <v>1358</v>
      </c>
      <c r="F888">
        <v>4018917</v>
      </c>
      <c r="G888" t="s">
        <v>1359</v>
      </c>
      <c r="H888" t="s">
        <v>805</v>
      </c>
      <c r="I888">
        <v>115643</v>
      </c>
      <c r="J888">
        <v>0</v>
      </c>
      <c r="K888">
        <v>0</v>
      </c>
      <c r="L888">
        <v>0</v>
      </c>
      <c r="M888">
        <v>24955</v>
      </c>
      <c r="N888">
        <v>0</v>
      </c>
      <c r="O888">
        <v>90688</v>
      </c>
      <c r="P888" s="44" t="e">
        <f>_xlfn.XLOOKUP(Tabla5[[#This Row],[EAN CORREGIDO]],'Tabla Articulos'!B:B,'Tabla Articulos'!D:D)</f>
        <v>#N/A</v>
      </c>
      <c r="Q888" s="44" t="e">
        <f>_xlfn.XLOOKUP(S888,'Tabla Articulos'!B:B,'Tabla Articulos'!E:E)</f>
        <v>#N/A</v>
      </c>
      <c r="R888" s="44" t="e">
        <f t="shared" si="26"/>
        <v>#N/A</v>
      </c>
      <c r="S888" s="45" t="str">
        <f t="shared" si="27"/>
        <v>7798188380177</v>
      </c>
    </row>
    <row r="889" spans="1:19" hidden="1" x14ac:dyDescent="0.35">
      <c r="A889" s="22">
        <v>6</v>
      </c>
      <c r="B889" t="s">
        <v>801</v>
      </c>
      <c r="C889" t="s">
        <v>802</v>
      </c>
      <c r="E889" t="s">
        <v>2345</v>
      </c>
      <c r="F889">
        <v>9003994</v>
      </c>
      <c r="G889" t="s">
        <v>2346</v>
      </c>
      <c r="H889" t="s">
        <v>805</v>
      </c>
      <c r="I889">
        <v>15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15</v>
      </c>
      <c r="P889" s="44" t="e">
        <f>_xlfn.XLOOKUP(Tabla5[[#This Row],[EAN CORREGIDO]],'Tabla Articulos'!B:B,'Tabla Articulos'!D:D)</f>
        <v>#N/A</v>
      </c>
      <c r="Q889" s="44" t="e">
        <f>_xlfn.XLOOKUP(S889,'Tabla Articulos'!B:B,'Tabla Articulos'!E:E)</f>
        <v>#N/A</v>
      </c>
      <c r="R889" s="44" t="e">
        <f t="shared" si="26"/>
        <v>#N/A</v>
      </c>
      <c r="S889" s="45" t="str">
        <f t="shared" si="27"/>
        <v>UNIF000658</v>
      </c>
    </row>
    <row r="890" spans="1:19" hidden="1" x14ac:dyDescent="0.35">
      <c r="A890" s="22">
        <v>1</v>
      </c>
      <c r="B890" t="s">
        <v>812</v>
      </c>
      <c r="C890" t="s">
        <v>802</v>
      </c>
      <c r="D890" s="11" t="s">
        <v>4503</v>
      </c>
      <c r="E890" t="s">
        <v>4504</v>
      </c>
      <c r="F890">
        <v>4020084</v>
      </c>
      <c r="G890" t="s">
        <v>4505</v>
      </c>
      <c r="H890" t="s">
        <v>805</v>
      </c>
      <c r="I890">
        <v>77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77</v>
      </c>
      <c r="P890" s="44" t="e">
        <f>_xlfn.XLOOKUP(Tabla5[[#This Row],[EAN CORREGIDO]],'Tabla Articulos'!B:B,'Tabla Articulos'!D:D)</f>
        <v>#N/A</v>
      </c>
      <c r="Q890" s="44" t="e">
        <f>_xlfn.XLOOKUP(S890,'Tabla Articulos'!B:B,'Tabla Articulos'!E:E)</f>
        <v>#N/A</v>
      </c>
      <c r="R890" s="44" t="e">
        <f t="shared" si="26"/>
        <v>#N/A</v>
      </c>
      <c r="S890" s="45" t="str">
        <f t="shared" si="27"/>
        <v>7792350067064</v>
      </c>
    </row>
    <row r="891" spans="1:19" hidden="1" x14ac:dyDescent="0.35">
      <c r="A891" s="22">
        <v>1</v>
      </c>
      <c r="B891" t="s">
        <v>812</v>
      </c>
      <c r="C891" t="s">
        <v>802</v>
      </c>
      <c r="D891" s="11" t="s">
        <v>3626</v>
      </c>
      <c r="E891" t="s">
        <v>4506</v>
      </c>
      <c r="F891">
        <v>4023660</v>
      </c>
      <c r="G891" t="s">
        <v>4507</v>
      </c>
      <c r="H891" t="s">
        <v>805</v>
      </c>
      <c r="I891">
        <v>10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10</v>
      </c>
      <c r="P891" s="44" t="e">
        <f>_xlfn.XLOOKUP(Tabla5[[#This Row],[EAN CORREGIDO]],'Tabla Articulos'!B:B,'Tabla Articulos'!D:D)</f>
        <v>#N/A</v>
      </c>
      <c r="Q891" s="44" t="e">
        <f>_xlfn.XLOOKUP(S891,'Tabla Articulos'!B:B,'Tabla Articulos'!E:E)</f>
        <v>#N/A</v>
      </c>
      <c r="R891" s="44" t="e">
        <f t="shared" si="26"/>
        <v>#N/A</v>
      </c>
      <c r="S891" s="45" t="str">
        <f t="shared" si="27"/>
        <v>7793875316958</v>
      </c>
    </row>
    <row r="892" spans="1:19" hidden="1" x14ac:dyDescent="0.35">
      <c r="A892" s="22">
        <v>5</v>
      </c>
      <c r="B892" t="s">
        <v>829</v>
      </c>
      <c r="C892" t="s">
        <v>802</v>
      </c>
      <c r="D892" t="s">
        <v>1663</v>
      </c>
      <c r="E892" t="s">
        <v>4508</v>
      </c>
      <c r="F892">
        <v>4019467</v>
      </c>
      <c r="G892" t="s">
        <v>4509</v>
      </c>
      <c r="H892" t="s">
        <v>805</v>
      </c>
      <c r="I892">
        <v>110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110</v>
      </c>
      <c r="P892" s="44" t="e">
        <f>_xlfn.XLOOKUP(Tabla5[[#This Row],[EAN CORREGIDO]],'Tabla Articulos'!B:B,'Tabla Articulos'!D:D)</f>
        <v>#N/A</v>
      </c>
      <c r="Q892" s="44" t="e">
        <f>_xlfn.XLOOKUP(S892,'Tabla Articulos'!B:B,'Tabla Articulos'!E:E)</f>
        <v>#N/A</v>
      </c>
      <c r="R892" s="44" t="e">
        <f t="shared" si="26"/>
        <v>#N/A</v>
      </c>
      <c r="S892" s="45" t="str">
        <f t="shared" si="27"/>
        <v>7790070336026</v>
      </c>
    </row>
    <row r="893" spans="1:19" hidden="1" x14ac:dyDescent="0.35">
      <c r="A893" s="22">
        <v>1</v>
      </c>
      <c r="B893" t="s">
        <v>812</v>
      </c>
      <c r="C893" t="s">
        <v>802</v>
      </c>
      <c r="D893" s="11" t="s">
        <v>1663</v>
      </c>
      <c r="E893" t="s">
        <v>4508</v>
      </c>
      <c r="F893">
        <v>4019467</v>
      </c>
      <c r="G893" t="s">
        <v>4509</v>
      </c>
      <c r="H893" t="s">
        <v>805</v>
      </c>
      <c r="I893">
        <v>50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50</v>
      </c>
      <c r="P893" s="44" t="e">
        <f>_xlfn.XLOOKUP(Tabla5[[#This Row],[EAN CORREGIDO]],'Tabla Articulos'!B:B,'Tabla Articulos'!D:D)</f>
        <v>#N/A</v>
      </c>
      <c r="Q893" s="44" t="e">
        <f>_xlfn.XLOOKUP(S893,'Tabla Articulos'!B:B,'Tabla Articulos'!E:E)</f>
        <v>#N/A</v>
      </c>
      <c r="R893" s="44" t="e">
        <f t="shared" si="26"/>
        <v>#N/A</v>
      </c>
      <c r="S893" s="45" t="str">
        <f t="shared" si="27"/>
        <v>7790070336026</v>
      </c>
    </row>
    <row r="894" spans="1:19" hidden="1" x14ac:dyDescent="0.35">
      <c r="A894" s="22">
        <v>6</v>
      </c>
      <c r="B894" t="s">
        <v>801</v>
      </c>
      <c r="C894" t="s">
        <v>802</v>
      </c>
      <c r="D894" s="11" t="s">
        <v>1002</v>
      </c>
      <c r="E894" t="s">
        <v>4510</v>
      </c>
      <c r="F894">
        <v>2007297</v>
      </c>
      <c r="G894" t="s">
        <v>4511</v>
      </c>
      <c r="H894" t="s">
        <v>805</v>
      </c>
      <c r="I894">
        <v>371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371</v>
      </c>
      <c r="P894" s="44" t="e">
        <f>_xlfn.XLOOKUP(Tabla5[[#This Row],[EAN CORREGIDO]],'Tabla Articulos'!B:B,'Tabla Articulos'!D:D)</f>
        <v>#N/A</v>
      </c>
      <c r="Q894" s="44" t="e">
        <f>_xlfn.XLOOKUP(S894,'Tabla Articulos'!B:B,'Tabla Articulos'!E:E)</f>
        <v>#N/A</v>
      </c>
      <c r="R894" s="44" t="e">
        <f t="shared" si="26"/>
        <v>#N/A</v>
      </c>
      <c r="S894" s="45" t="str">
        <f t="shared" si="27"/>
        <v>7792066003547</v>
      </c>
    </row>
    <row r="895" spans="1:19" hidden="1" x14ac:dyDescent="0.35">
      <c r="A895" s="22">
        <v>1</v>
      </c>
      <c r="B895" t="s">
        <v>812</v>
      </c>
      <c r="C895" t="s">
        <v>802</v>
      </c>
      <c r="D895" s="11" t="s">
        <v>4512</v>
      </c>
      <c r="E895" t="s">
        <v>4513</v>
      </c>
      <c r="F895">
        <v>4020532</v>
      </c>
      <c r="G895" t="s">
        <v>4514</v>
      </c>
      <c r="H895" t="s">
        <v>805</v>
      </c>
      <c r="I895">
        <v>420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420</v>
      </c>
      <c r="P895" s="44" t="e">
        <f>_xlfn.XLOOKUP(Tabla5[[#This Row],[EAN CORREGIDO]],'Tabla Articulos'!B:B,'Tabla Articulos'!D:D)</f>
        <v>#N/A</v>
      </c>
      <c r="Q895" s="44" t="e">
        <f>_xlfn.XLOOKUP(S895,'Tabla Articulos'!B:B,'Tabla Articulos'!E:E)</f>
        <v>#N/A</v>
      </c>
      <c r="R895" s="44" t="e">
        <f t="shared" si="26"/>
        <v>#N/A</v>
      </c>
      <c r="S895" s="45" t="str">
        <f t="shared" si="27"/>
        <v>7798156760987</v>
      </c>
    </row>
    <row r="896" spans="1:19" hidden="1" x14ac:dyDescent="0.35">
      <c r="A896" s="22">
        <v>1</v>
      </c>
      <c r="B896" t="s">
        <v>812</v>
      </c>
      <c r="C896" t="s">
        <v>802</v>
      </c>
      <c r="D896" t="s">
        <v>2432</v>
      </c>
      <c r="E896" t="s">
        <v>4515</v>
      </c>
      <c r="F896">
        <v>4020612</v>
      </c>
      <c r="G896" t="s">
        <v>4516</v>
      </c>
      <c r="H896" t="s">
        <v>805</v>
      </c>
      <c r="I896">
        <v>28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28</v>
      </c>
      <c r="P896" s="44" t="e">
        <f>_xlfn.XLOOKUP(Tabla5[[#This Row],[EAN CORREGIDO]],'Tabla Articulos'!B:B,'Tabla Articulos'!D:D)</f>
        <v>#N/A</v>
      </c>
      <c r="Q896" s="44" t="e">
        <f>_xlfn.XLOOKUP(S896,'Tabla Articulos'!B:B,'Tabla Articulos'!E:E)</f>
        <v>#N/A</v>
      </c>
      <c r="R896" s="44" t="e">
        <f t="shared" si="26"/>
        <v>#N/A</v>
      </c>
      <c r="S896" s="45" t="str">
        <f t="shared" si="27"/>
        <v>7792900092720</v>
      </c>
    </row>
    <row r="897" spans="1:19" hidden="1" x14ac:dyDescent="0.35">
      <c r="A897" s="22">
        <v>6</v>
      </c>
      <c r="B897" t="s">
        <v>801</v>
      </c>
      <c r="C897" t="s">
        <v>802</v>
      </c>
      <c r="E897" t="s">
        <v>5014</v>
      </c>
      <c r="F897">
        <v>9003326</v>
      </c>
      <c r="G897" t="s">
        <v>5015</v>
      </c>
      <c r="H897" t="s">
        <v>805</v>
      </c>
      <c r="I897">
        <v>244</v>
      </c>
      <c r="J897">
        <v>100</v>
      </c>
      <c r="K897">
        <v>0</v>
      </c>
      <c r="L897">
        <v>0</v>
      </c>
      <c r="M897">
        <v>0</v>
      </c>
      <c r="N897">
        <v>0</v>
      </c>
      <c r="O897">
        <v>344</v>
      </c>
      <c r="P897" s="44" t="e">
        <f>_xlfn.XLOOKUP(Tabla5[[#This Row],[EAN CORREGIDO]],'Tabla Articulos'!B:B,'Tabla Articulos'!D:D)</f>
        <v>#N/A</v>
      </c>
      <c r="Q897" s="44" t="e">
        <f>_xlfn.XLOOKUP(S897,'Tabla Articulos'!B:B,'Tabla Articulos'!E:E)</f>
        <v>#N/A</v>
      </c>
      <c r="R897" s="44" t="e">
        <f t="shared" ref="R897:R960" si="28">O897*Q897</f>
        <v>#N/A</v>
      </c>
      <c r="S897" s="45" t="str">
        <f t="shared" ref="S897:S960" si="29">TRIM(E897)</f>
        <v>UNIF000134</v>
      </c>
    </row>
    <row r="898" spans="1:19" hidden="1" x14ac:dyDescent="0.35">
      <c r="A898" s="22">
        <v>6</v>
      </c>
      <c r="B898" t="s">
        <v>801</v>
      </c>
      <c r="C898" t="s">
        <v>802</v>
      </c>
      <c r="E898" t="s">
        <v>2365</v>
      </c>
      <c r="F898">
        <v>9003468</v>
      </c>
      <c r="G898" t="s">
        <v>2366</v>
      </c>
      <c r="H898" t="s">
        <v>805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</v>
      </c>
      <c r="P898" s="44" t="e">
        <f>_xlfn.XLOOKUP(Tabla5[[#This Row],[EAN CORREGIDO]],'Tabla Articulos'!B:B,'Tabla Articulos'!D:D)</f>
        <v>#N/A</v>
      </c>
      <c r="Q898" s="44" t="e">
        <f>_xlfn.XLOOKUP(S898,'Tabla Articulos'!B:B,'Tabla Articulos'!E:E)</f>
        <v>#N/A</v>
      </c>
      <c r="R898" s="44" t="e">
        <f t="shared" si="28"/>
        <v>#N/A</v>
      </c>
      <c r="S898" s="45" t="str">
        <f t="shared" si="29"/>
        <v>UNIF000407</v>
      </c>
    </row>
    <row r="899" spans="1:19" hidden="1" x14ac:dyDescent="0.35">
      <c r="A899" s="22">
        <v>6</v>
      </c>
      <c r="B899" t="s">
        <v>801</v>
      </c>
      <c r="C899" t="s">
        <v>802</v>
      </c>
      <c r="E899" t="s">
        <v>2367</v>
      </c>
      <c r="F899">
        <v>1000213</v>
      </c>
      <c r="G899" t="s">
        <v>2368</v>
      </c>
      <c r="H899" t="s">
        <v>805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 s="44" t="e">
        <f>_xlfn.XLOOKUP(Tabla5[[#This Row],[EAN CORREGIDO]],'Tabla Articulos'!B:B,'Tabla Articulos'!D:D)</f>
        <v>#N/A</v>
      </c>
      <c r="Q899" s="44" t="e">
        <f>_xlfn.XLOOKUP(S899,'Tabla Articulos'!B:B,'Tabla Articulos'!E:E)</f>
        <v>#N/A</v>
      </c>
      <c r="R899" s="44" t="e">
        <f t="shared" si="28"/>
        <v>#N/A</v>
      </c>
      <c r="S899" s="45" t="str">
        <f t="shared" si="29"/>
        <v>BUM00248</v>
      </c>
    </row>
    <row r="900" spans="1:19" hidden="1" x14ac:dyDescent="0.35">
      <c r="A900" s="22">
        <v>1</v>
      </c>
      <c r="B900" t="s">
        <v>812</v>
      </c>
      <c r="C900" t="s">
        <v>802</v>
      </c>
      <c r="D900" t="s">
        <v>2924</v>
      </c>
      <c r="E900" t="s">
        <v>2925</v>
      </c>
      <c r="F900">
        <v>4021214</v>
      </c>
      <c r="G900" t="s">
        <v>2926</v>
      </c>
      <c r="H900" t="s">
        <v>805</v>
      </c>
      <c r="I900">
        <v>13</v>
      </c>
      <c r="J900">
        <v>25</v>
      </c>
      <c r="K900">
        <v>0</v>
      </c>
      <c r="L900">
        <v>0</v>
      </c>
      <c r="M900">
        <v>0</v>
      </c>
      <c r="N900">
        <v>0</v>
      </c>
      <c r="O900">
        <v>38</v>
      </c>
      <c r="P900" s="44" t="e">
        <f>_xlfn.XLOOKUP(Tabla5[[#This Row],[EAN CORREGIDO]],'Tabla Articulos'!B:B,'Tabla Articulos'!D:D)</f>
        <v>#N/A</v>
      </c>
      <c r="Q900" s="44" t="e">
        <f>_xlfn.XLOOKUP(S900,'Tabla Articulos'!B:B,'Tabla Articulos'!E:E)</f>
        <v>#N/A</v>
      </c>
      <c r="R900" s="44" t="e">
        <f t="shared" si="28"/>
        <v>#N/A</v>
      </c>
      <c r="S900" s="45" t="str">
        <f t="shared" si="29"/>
        <v>7794820000489</v>
      </c>
    </row>
    <row r="901" spans="1:19" hidden="1" x14ac:dyDescent="0.35">
      <c r="A901" s="22">
        <v>1</v>
      </c>
      <c r="B901" t="s">
        <v>812</v>
      </c>
      <c r="C901" t="s">
        <v>802</v>
      </c>
      <c r="D901" t="s">
        <v>2927</v>
      </c>
      <c r="E901" t="s">
        <v>2928</v>
      </c>
      <c r="F901">
        <v>4019422</v>
      </c>
      <c r="G901" t="s">
        <v>2929</v>
      </c>
      <c r="H901" t="s">
        <v>805</v>
      </c>
      <c r="I901">
        <v>17822</v>
      </c>
      <c r="J901">
        <v>0</v>
      </c>
      <c r="K901">
        <v>15008</v>
      </c>
      <c r="L901">
        <v>0</v>
      </c>
      <c r="M901">
        <v>0</v>
      </c>
      <c r="N901">
        <v>889</v>
      </c>
      <c r="O901">
        <v>1925</v>
      </c>
      <c r="P901" s="44" t="e">
        <f>_xlfn.XLOOKUP(Tabla5[[#This Row],[EAN CORREGIDO]],'Tabla Articulos'!B:B,'Tabla Articulos'!D:D)</f>
        <v>#N/A</v>
      </c>
      <c r="Q901" s="44" t="e">
        <f>_xlfn.XLOOKUP(S901,'Tabla Articulos'!B:B,'Tabla Articulos'!E:E)</f>
        <v>#N/A</v>
      </c>
      <c r="R901" s="44" t="e">
        <f t="shared" si="28"/>
        <v>#N/A</v>
      </c>
      <c r="S901" s="45" t="str">
        <f t="shared" si="29"/>
        <v>7790077000067</v>
      </c>
    </row>
    <row r="902" spans="1:19" hidden="1" x14ac:dyDescent="0.35">
      <c r="A902" s="22">
        <v>5</v>
      </c>
      <c r="B902" t="s">
        <v>829</v>
      </c>
      <c r="C902" t="s">
        <v>802</v>
      </c>
      <c r="D902" t="s">
        <v>2927</v>
      </c>
      <c r="E902" t="s">
        <v>2928</v>
      </c>
      <c r="F902">
        <v>4019422</v>
      </c>
      <c r="G902" t="s">
        <v>2929</v>
      </c>
      <c r="H902" t="s">
        <v>805</v>
      </c>
      <c r="I902">
        <v>165</v>
      </c>
      <c r="J902">
        <v>0</v>
      </c>
      <c r="K902">
        <v>0</v>
      </c>
      <c r="L902">
        <v>0</v>
      </c>
      <c r="M902">
        <v>9</v>
      </c>
      <c r="N902">
        <v>0</v>
      </c>
      <c r="O902">
        <v>156</v>
      </c>
      <c r="P902" s="44" t="e">
        <f>_xlfn.XLOOKUP(Tabla5[[#This Row],[EAN CORREGIDO]],'Tabla Articulos'!B:B,'Tabla Articulos'!D:D)</f>
        <v>#N/A</v>
      </c>
      <c r="Q902" s="44" t="e">
        <f>_xlfn.XLOOKUP(S902,'Tabla Articulos'!B:B,'Tabla Articulos'!E:E)</f>
        <v>#N/A</v>
      </c>
      <c r="R902" s="44" t="e">
        <f t="shared" si="28"/>
        <v>#N/A</v>
      </c>
      <c r="S902" s="45" t="str">
        <f t="shared" si="29"/>
        <v>7790077000067</v>
      </c>
    </row>
    <row r="903" spans="1:19" hidden="1" x14ac:dyDescent="0.35">
      <c r="A903" s="22">
        <v>5</v>
      </c>
      <c r="B903" t="s">
        <v>829</v>
      </c>
      <c r="C903" t="s">
        <v>802</v>
      </c>
      <c r="D903" s="11" t="s">
        <v>2930</v>
      </c>
      <c r="E903" t="s">
        <v>2931</v>
      </c>
      <c r="F903">
        <v>4024638</v>
      </c>
      <c r="G903" t="s">
        <v>2932</v>
      </c>
      <c r="H903" t="s">
        <v>805</v>
      </c>
      <c r="I903">
        <v>10</v>
      </c>
      <c r="J903">
        <v>0</v>
      </c>
      <c r="K903">
        <v>10</v>
      </c>
      <c r="L903">
        <v>0</v>
      </c>
      <c r="M903">
        <v>0</v>
      </c>
      <c r="N903">
        <v>0</v>
      </c>
      <c r="O903">
        <v>0</v>
      </c>
      <c r="P903" s="44" t="e">
        <f>_xlfn.XLOOKUP(Tabla5[[#This Row],[EAN CORREGIDO]],'Tabla Articulos'!B:B,'Tabla Articulos'!D:D)</f>
        <v>#N/A</v>
      </c>
      <c r="Q903" s="44" t="e">
        <f>_xlfn.XLOOKUP(S903,'Tabla Articulos'!B:B,'Tabla Articulos'!E:E)</f>
        <v>#N/A</v>
      </c>
      <c r="R903" s="44" t="e">
        <f t="shared" si="28"/>
        <v>#N/A</v>
      </c>
      <c r="S903" s="45" t="str">
        <f t="shared" si="29"/>
        <v>7798316700839</v>
      </c>
    </row>
    <row r="904" spans="1:19" hidden="1" x14ac:dyDescent="0.35">
      <c r="A904" s="22">
        <v>6</v>
      </c>
      <c r="B904" t="s">
        <v>801</v>
      </c>
      <c r="C904" t="s">
        <v>802</v>
      </c>
      <c r="E904" t="s">
        <v>2933</v>
      </c>
      <c r="F904">
        <v>9003712</v>
      </c>
      <c r="G904" t="s">
        <v>2934</v>
      </c>
      <c r="H904" t="s">
        <v>805</v>
      </c>
      <c r="I904">
        <v>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</v>
      </c>
      <c r="P904" s="44" t="e">
        <f>_xlfn.XLOOKUP(Tabla5[[#This Row],[EAN CORREGIDO]],'Tabla Articulos'!B:B,'Tabla Articulos'!D:D)</f>
        <v>#N/A</v>
      </c>
      <c r="Q904" s="44" t="e">
        <f>_xlfn.XLOOKUP(S904,'Tabla Articulos'!B:B,'Tabla Articulos'!E:E)</f>
        <v>#N/A</v>
      </c>
      <c r="R904" s="44" t="e">
        <f t="shared" si="28"/>
        <v>#N/A</v>
      </c>
      <c r="S904" s="45" t="str">
        <f t="shared" si="29"/>
        <v>BAZ001195</v>
      </c>
    </row>
    <row r="905" spans="1:19" hidden="1" x14ac:dyDescent="0.35">
      <c r="A905" s="22">
        <v>6</v>
      </c>
      <c r="B905" t="s">
        <v>801</v>
      </c>
      <c r="C905" t="s">
        <v>802</v>
      </c>
      <c r="D905"/>
      <c r="E905" t="s">
        <v>2935</v>
      </c>
      <c r="F905">
        <v>9003648</v>
      </c>
      <c r="G905" t="s">
        <v>2936</v>
      </c>
      <c r="H905" t="s">
        <v>805</v>
      </c>
      <c r="I905">
        <v>14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14</v>
      </c>
      <c r="P905" s="44" t="e">
        <f>_xlfn.XLOOKUP(Tabla5[[#This Row],[EAN CORREGIDO]],'Tabla Articulos'!B:B,'Tabla Articulos'!D:D)</f>
        <v>#N/A</v>
      </c>
      <c r="Q905" s="44" t="e">
        <f>_xlfn.XLOOKUP(S905,'Tabla Articulos'!B:B,'Tabla Articulos'!E:E)</f>
        <v>#N/A</v>
      </c>
      <c r="R905" s="44" t="e">
        <f t="shared" si="28"/>
        <v>#N/A</v>
      </c>
      <c r="S905" s="45" t="str">
        <f t="shared" si="29"/>
        <v>UNIF000384</v>
      </c>
    </row>
    <row r="906" spans="1:19" hidden="1" x14ac:dyDescent="0.35">
      <c r="A906" s="22">
        <v>1</v>
      </c>
      <c r="B906" t="s">
        <v>812</v>
      </c>
      <c r="C906" t="s">
        <v>802</v>
      </c>
      <c r="D906" t="s">
        <v>2937</v>
      </c>
      <c r="E906" t="s">
        <v>2938</v>
      </c>
      <c r="F906">
        <v>4077143</v>
      </c>
      <c r="G906" t="s">
        <v>2939</v>
      </c>
      <c r="H906" t="s">
        <v>805</v>
      </c>
      <c r="I906">
        <v>9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9</v>
      </c>
      <c r="P906" s="44" t="e">
        <f>_xlfn.XLOOKUP(Tabla5[[#This Row],[EAN CORREGIDO]],'Tabla Articulos'!B:B,'Tabla Articulos'!D:D)</f>
        <v>#N/A</v>
      </c>
      <c r="Q906" s="44" t="e">
        <f>_xlfn.XLOOKUP(S906,'Tabla Articulos'!B:B,'Tabla Articulos'!E:E)</f>
        <v>#N/A</v>
      </c>
      <c r="R906" s="44" t="e">
        <f t="shared" si="28"/>
        <v>#N/A</v>
      </c>
      <c r="S906" s="45" t="str">
        <f t="shared" si="29"/>
        <v>17792180009279</v>
      </c>
    </row>
    <row r="907" spans="1:19" hidden="1" x14ac:dyDescent="0.35">
      <c r="A907" s="22">
        <v>1</v>
      </c>
      <c r="B907" t="s">
        <v>812</v>
      </c>
      <c r="C907" t="s">
        <v>802</v>
      </c>
      <c r="D907" t="s">
        <v>2514</v>
      </c>
      <c r="E907" t="s">
        <v>2940</v>
      </c>
      <c r="F907">
        <v>4020531</v>
      </c>
      <c r="G907" t="s">
        <v>2941</v>
      </c>
      <c r="H907" t="s">
        <v>805</v>
      </c>
      <c r="I907">
        <v>401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401</v>
      </c>
      <c r="P907" s="44" t="e">
        <f>_xlfn.XLOOKUP(Tabla5[[#This Row],[EAN CORREGIDO]],'Tabla Articulos'!B:B,'Tabla Articulos'!D:D)</f>
        <v>#N/A</v>
      </c>
      <c r="Q907" s="44" t="e">
        <f>_xlfn.XLOOKUP(S907,'Tabla Articulos'!B:B,'Tabla Articulos'!E:E)</f>
        <v>#N/A</v>
      </c>
      <c r="R907" s="44" t="e">
        <f t="shared" si="28"/>
        <v>#N/A</v>
      </c>
      <c r="S907" s="45" t="str">
        <f t="shared" si="29"/>
        <v>7798156760970</v>
      </c>
    </row>
    <row r="908" spans="1:19" hidden="1" x14ac:dyDescent="0.35">
      <c r="A908" s="22">
        <v>6</v>
      </c>
      <c r="B908" t="s">
        <v>801</v>
      </c>
      <c r="C908" t="s">
        <v>802</v>
      </c>
      <c r="D908"/>
      <c r="E908" t="s">
        <v>2942</v>
      </c>
      <c r="F908">
        <v>9003221</v>
      </c>
      <c r="G908" t="s">
        <v>2943</v>
      </c>
      <c r="H908" t="s">
        <v>805</v>
      </c>
      <c r="I908">
        <v>0</v>
      </c>
      <c r="J908">
        <v>680</v>
      </c>
      <c r="K908">
        <v>0</v>
      </c>
      <c r="L908">
        <v>0</v>
      </c>
      <c r="M908">
        <v>0</v>
      </c>
      <c r="N908">
        <v>0</v>
      </c>
      <c r="O908">
        <v>680</v>
      </c>
      <c r="P908" s="44" t="e">
        <f>_xlfn.XLOOKUP(Tabla5[[#This Row],[EAN CORREGIDO]],'Tabla Articulos'!B:B,'Tabla Articulos'!D:D)</f>
        <v>#N/A</v>
      </c>
      <c r="Q908" s="44" t="e">
        <f>_xlfn.XLOOKUP(S908,'Tabla Articulos'!B:B,'Tabla Articulos'!E:E)</f>
        <v>#N/A</v>
      </c>
      <c r="R908" s="44" t="e">
        <f t="shared" si="28"/>
        <v>#N/A</v>
      </c>
      <c r="S908" s="45" t="str">
        <f t="shared" si="29"/>
        <v>UNIF000121</v>
      </c>
    </row>
    <row r="909" spans="1:19" hidden="1" x14ac:dyDescent="0.35">
      <c r="A909" s="22">
        <v>5</v>
      </c>
      <c r="B909" t="s">
        <v>829</v>
      </c>
      <c r="C909" t="s">
        <v>802</v>
      </c>
      <c r="D909" t="s">
        <v>1204</v>
      </c>
      <c r="E909" t="s">
        <v>1205</v>
      </c>
      <c r="F909">
        <v>4020343</v>
      </c>
      <c r="G909" t="s">
        <v>1206</v>
      </c>
      <c r="H909" t="s">
        <v>805</v>
      </c>
      <c r="I909">
        <v>30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30</v>
      </c>
      <c r="P909" s="44" t="e">
        <f>_xlfn.XLOOKUP(Tabla5[[#This Row],[EAN CORREGIDO]],'Tabla Articulos'!B:B,'Tabla Articulos'!D:D)</f>
        <v>#N/A</v>
      </c>
      <c r="Q909" s="44" t="e">
        <f>_xlfn.XLOOKUP(S909,'Tabla Articulos'!B:B,'Tabla Articulos'!E:E)</f>
        <v>#N/A</v>
      </c>
      <c r="R909" s="44" t="e">
        <f t="shared" si="28"/>
        <v>#N/A</v>
      </c>
      <c r="S909" s="45" t="str">
        <f t="shared" si="29"/>
        <v>7798011970063</v>
      </c>
    </row>
    <row r="910" spans="1:19" hidden="1" x14ac:dyDescent="0.35">
      <c r="A910" s="22">
        <v>5</v>
      </c>
      <c r="B910" t="s">
        <v>829</v>
      </c>
      <c r="C910" t="s">
        <v>802</v>
      </c>
      <c r="D910" t="s">
        <v>1207</v>
      </c>
      <c r="E910" t="s">
        <v>1208</v>
      </c>
      <c r="F910">
        <v>4049076</v>
      </c>
      <c r="G910" t="s">
        <v>1209</v>
      </c>
      <c r="H910" t="s">
        <v>805</v>
      </c>
      <c r="I910">
        <v>72118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72118</v>
      </c>
      <c r="P910" s="44" t="e">
        <f>_xlfn.XLOOKUP(Tabla5[[#This Row],[EAN CORREGIDO]],'Tabla Articulos'!B:B,'Tabla Articulos'!D:D)</f>
        <v>#N/A</v>
      </c>
      <c r="Q910" s="44" t="e">
        <f>_xlfn.XLOOKUP(S910,'Tabla Articulos'!B:B,'Tabla Articulos'!E:E)</f>
        <v>#N/A</v>
      </c>
      <c r="R910" s="44" t="e">
        <f t="shared" si="28"/>
        <v>#N/A</v>
      </c>
      <c r="S910" s="45" t="str">
        <f t="shared" si="29"/>
        <v>7793650000027</v>
      </c>
    </row>
    <row r="911" spans="1:19" hidden="1" x14ac:dyDescent="0.35">
      <c r="A911" s="22">
        <v>6</v>
      </c>
      <c r="B911" t="s">
        <v>801</v>
      </c>
      <c r="C911" t="s">
        <v>802</v>
      </c>
      <c r="D911" t="s">
        <v>1210</v>
      </c>
      <c r="E911" t="s">
        <v>1211</v>
      </c>
      <c r="F911">
        <v>2006864</v>
      </c>
      <c r="G911" t="s">
        <v>1212</v>
      </c>
      <c r="H911" t="s">
        <v>805</v>
      </c>
      <c r="I911">
        <v>1219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1219</v>
      </c>
      <c r="P911" s="44" t="e">
        <f>_xlfn.XLOOKUP(Tabla5[[#This Row],[EAN CORREGIDO]],'Tabla Articulos'!B:B,'Tabla Articulos'!D:D)</f>
        <v>#N/A</v>
      </c>
      <c r="Q911" s="44" t="e">
        <f>_xlfn.XLOOKUP(S911,'Tabla Articulos'!B:B,'Tabla Articulos'!E:E)</f>
        <v>#N/A</v>
      </c>
      <c r="R911" s="44" t="e">
        <f t="shared" si="28"/>
        <v>#N/A</v>
      </c>
      <c r="S911" s="45" t="str">
        <f t="shared" si="29"/>
        <v>779032100039</v>
      </c>
    </row>
    <row r="912" spans="1:19" hidden="1" x14ac:dyDescent="0.35">
      <c r="A912" s="22">
        <v>5</v>
      </c>
      <c r="B912" t="s">
        <v>829</v>
      </c>
      <c r="C912" t="s">
        <v>802</v>
      </c>
      <c r="D912" t="s">
        <v>3642</v>
      </c>
      <c r="E912" t="s">
        <v>3643</v>
      </c>
      <c r="F912">
        <v>4018043</v>
      </c>
      <c r="G912" t="s">
        <v>3644</v>
      </c>
      <c r="H912" t="s">
        <v>816</v>
      </c>
      <c r="I912">
        <v>31.5</v>
      </c>
      <c r="J912">
        <v>0</v>
      </c>
      <c r="K912">
        <v>0</v>
      </c>
      <c r="L912">
        <v>0</v>
      </c>
      <c r="M912">
        <v>25</v>
      </c>
      <c r="N912">
        <v>0</v>
      </c>
      <c r="O912">
        <v>6.5</v>
      </c>
      <c r="P912" s="44" t="e">
        <f>_xlfn.XLOOKUP(Tabla5[[#This Row],[EAN CORREGIDO]],'Tabla Articulos'!B:B,'Tabla Articulos'!D:D)</f>
        <v>#N/A</v>
      </c>
      <c r="Q912" s="44" t="e">
        <f>_xlfn.XLOOKUP(S912,'Tabla Articulos'!B:B,'Tabla Articulos'!E:E)</f>
        <v>#N/A</v>
      </c>
      <c r="R912" s="44" t="e">
        <f t="shared" si="28"/>
        <v>#N/A</v>
      </c>
      <c r="S912" s="45" t="str">
        <f t="shared" si="29"/>
        <v>7790216010132</v>
      </c>
    </row>
    <row r="913" spans="1:19" hidden="1" x14ac:dyDescent="0.35">
      <c r="A913" s="22">
        <v>1</v>
      </c>
      <c r="B913" t="s">
        <v>812</v>
      </c>
      <c r="C913" t="s">
        <v>802</v>
      </c>
      <c r="D913" t="s">
        <v>3642</v>
      </c>
      <c r="E913" t="s">
        <v>3643</v>
      </c>
      <c r="F913">
        <v>4018043</v>
      </c>
      <c r="G913" t="s">
        <v>3644</v>
      </c>
      <c r="H913" t="s">
        <v>816</v>
      </c>
      <c r="I913">
        <v>7.11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7.11</v>
      </c>
      <c r="P913" s="44" t="e">
        <f>_xlfn.XLOOKUP(Tabla5[[#This Row],[EAN CORREGIDO]],'Tabla Articulos'!B:B,'Tabla Articulos'!D:D)</f>
        <v>#N/A</v>
      </c>
      <c r="Q913" s="44" t="e">
        <f>_xlfn.XLOOKUP(S913,'Tabla Articulos'!B:B,'Tabla Articulos'!E:E)</f>
        <v>#N/A</v>
      </c>
      <c r="R913" s="44" t="e">
        <f t="shared" si="28"/>
        <v>#N/A</v>
      </c>
      <c r="S913" s="45" t="str">
        <f t="shared" si="29"/>
        <v>7790216010132</v>
      </c>
    </row>
    <row r="914" spans="1:19" hidden="1" x14ac:dyDescent="0.35">
      <c r="A914" s="22">
        <v>6</v>
      </c>
      <c r="B914" t="s">
        <v>801</v>
      </c>
      <c r="C914" t="s">
        <v>802</v>
      </c>
      <c r="D914"/>
      <c r="E914" t="s">
        <v>3645</v>
      </c>
      <c r="F914">
        <v>9003557</v>
      </c>
      <c r="G914" t="s">
        <v>3646</v>
      </c>
      <c r="H914" t="s">
        <v>805</v>
      </c>
      <c r="I914">
        <v>0</v>
      </c>
      <c r="J914">
        <v>100</v>
      </c>
      <c r="K914">
        <v>0</v>
      </c>
      <c r="L914">
        <v>0</v>
      </c>
      <c r="M914">
        <v>0</v>
      </c>
      <c r="N914">
        <v>0</v>
      </c>
      <c r="O914">
        <v>100</v>
      </c>
      <c r="P914" s="44" t="e">
        <f>_xlfn.XLOOKUP(Tabla5[[#This Row],[EAN CORREGIDO]],'Tabla Articulos'!B:B,'Tabla Articulos'!D:D)</f>
        <v>#N/A</v>
      </c>
      <c r="Q914" s="44" t="e">
        <f>_xlfn.XLOOKUP(S914,'Tabla Articulos'!B:B,'Tabla Articulos'!E:E)</f>
        <v>#N/A</v>
      </c>
      <c r="R914" s="44" t="e">
        <f t="shared" si="28"/>
        <v>#N/A</v>
      </c>
      <c r="S914" s="45" t="str">
        <f t="shared" si="29"/>
        <v>UNIF000140</v>
      </c>
    </row>
    <row r="915" spans="1:19" hidden="1" x14ac:dyDescent="0.35">
      <c r="A915" s="22">
        <v>6</v>
      </c>
      <c r="B915" t="s">
        <v>801</v>
      </c>
      <c r="C915" t="s">
        <v>802</v>
      </c>
      <c r="D915" s="11" t="s">
        <v>1031</v>
      </c>
      <c r="E915" t="s">
        <v>3647</v>
      </c>
      <c r="F915">
        <v>2006222</v>
      </c>
      <c r="G915" t="s">
        <v>3648</v>
      </c>
      <c r="H915" t="s">
        <v>805</v>
      </c>
      <c r="I915">
        <v>1051</v>
      </c>
      <c r="J915">
        <v>0</v>
      </c>
      <c r="K915">
        <v>0</v>
      </c>
      <c r="L915">
        <v>0</v>
      </c>
      <c r="M915">
        <v>2</v>
      </c>
      <c r="N915">
        <v>0</v>
      </c>
      <c r="O915">
        <v>1049</v>
      </c>
      <c r="P915" s="44" t="e">
        <f>_xlfn.XLOOKUP(Tabla5[[#This Row],[EAN CORREGIDO]],'Tabla Articulos'!B:B,'Tabla Articulos'!D:D)</f>
        <v>#N/A</v>
      </c>
      <c r="Q915" s="44" t="e">
        <f>_xlfn.XLOOKUP(S915,'Tabla Articulos'!B:B,'Tabla Articulos'!E:E)</f>
        <v>#N/A</v>
      </c>
      <c r="R915" s="44" t="e">
        <f t="shared" si="28"/>
        <v>#N/A</v>
      </c>
      <c r="S915" s="45" t="str">
        <f t="shared" si="29"/>
        <v>7790321000060</v>
      </c>
    </row>
    <row r="916" spans="1:19" hidden="1" x14ac:dyDescent="0.35">
      <c r="A916" s="22">
        <v>1</v>
      </c>
      <c r="B916" t="s">
        <v>812</v>
      </c>
      <c r="C916" t="s">
        <v>802</v>
      </c>
      <c r="D916" s="11" t="s">
        <v>3649</v>
      </c>
      <c r="E916" t="s">
        <v>3650</v>
      </c>
      <c r="F916">
        <v>4020694</v>
      </c>
      <c r="G916" t="s">
        <v>3651</v>
      </c>
      <c r="H916" t="s">
        <v>805</v>
      </c>
      <c r="I916">
        <v>171</v>
      </c>
      <c r="J916">
        <v>0</v>
      </c>
      <c r="K916">
        <v>0</v>
      </c>
      <c r="L916">
        <v>0</v>
      </c>
      <c r="M916">
        <v>0</v>
      </c>
      <c r="N916">
        <v>2</v>
      </c>
      <c r="O916">
        <v>169</v>
      </c>
      <c r="P916" s="44" t="e">
        <f>_xlfn.XLOOKUP(Tabla5[[#This Row],[EAN CORREGIDO]],'Tabla Articulos'!B:B,'Tabla Articulos'!D:D)</f>
        <v>#N/A</v>
      </c>
      <c r="Q916" s="44" t="e">
        <f>_xlfn.XLOOKUP(S916,'Tabla Articulos'!B:B,'Tabla Articulos'!E:E)</f>
        <v>#N/A</v>
      </c>
      <c r="R916" s="44" t="e">
        <f t="shared" si="28"/>
        <v>#N/A</v>
      </c>
      <c r="S916" s="45" t="str">
        <f t="shared" si="29"/>
        <v>7792350067026</v>
      </c>
    </row>
    <row r="917" spans="1:19" hidden="1" x14ac:dyDescent="0.35">
      <c r="A917" s="22">
        <v>5</v>
      </c>
      <c r="B917" t="s">
        <v>829</v>
      </c>
      <c r="C917" t="s">
        <v>802</v>
      </c>
      <c r="D917" s="11" t="s">
        <v>3652</v>
      </c>
      <c r="E917" t="s">
        <v>3653</v>
      </c>
      <c r="F917">
        <v>4020152</v>
      </c>
      <c r="G917" t="s">
        <v>3654</v>
      </c>
      <c r="H917" t="s">
        <v>805</v>
      </c>
      <c r="I917">
        <v>150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150</v>
      </c>
      <c r="P917" s="44" t="e">
        <f>_xlfn.XLOOKUP(Tabla5[[#This Row],[EAN CORREGIDO]],'Tabla Articulos'!B:B,'Tabla Articulos'!D:D)</f>
        <v>#N/A</v>
      </c>
      <c r="Q917" s="44" t="e">
        <f>_xlfn.XLOOKUP(S917,'Tabla Articulos'!B:B,'Tabla Articulos'!E:E)</f>
        <v>#N/A</v>
      </c>
      <c r="R917" s="44" t="e">
        <f t="shared" si="28"/>
        <v>#N/A</v>
      </c>
      <c r="S917" s="45" t="str">
        <f t="shared" si="29"/>
        <v>7791113001215</v>
      </c>
    </row>
    <row r="918" spans="1:19" hidden="1" x14ac:dyDescent="0.35">
      <c r="A918" s="22">
        <v>6</v>
      </c>
      <c r="B918" t="s">
        <v>801</v>
      </c>
      <c r="C918" t="s">
        <v>802</v>
      </c>
      <c r="D918"/>
      <c r="E918" t="s">
        <v>3655</v>
      </c>
      <c r="F918">
        <v>9003335</v>
      </c>
      <c r="G918" t="s">
        <v>3656</v>
      </c>
      <c r="H918" t="s">
        <v>805</v>
      </c>
      <c r="I918">
        <v>10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10</v>
      </c>
      <c r="P918" s="44" t="e">
        <f>_xlfn.XLOOKUP(Tabla5[[#This Row],[EAN CORREGIDO]],'Tabla Articulos'!B:B,'Tabla Articulos'!D:D)</f>
        <v>#N/A</v>
      </c>
      <c r="Q918" s="44" t="e">
        <f>_xlfn.XLOOKUP(S918,'Tabla Articulos'!B:B,'Tabla Articulos'!E:E)</f>
        <v>#N/A</v>
      </c>
      <c r="R918" s="44" t="e">
        <f t="shared" si="28"/>
        <v>#N/A</v>
      </c>
      <c r="S918" s="45" t="str">
        <f t="shared" si="29"/>
        <v>UNIF000099</v>
      </c>
    </row>
    <row r="919" spans="1:19" hidden="1" x14ac:dyDescent="0.35">
      <c r="A919" s="22">
        <v>1</v>
      </c>
      <c r="B919" t="s">
        <v>812</v>
      </c>
      <c r="C919" t="s">
        <v>802</v>
      </c>
      <c r="D919" t="s">
        <v>3657</v>
      </c>
      <c r="E919" t="s">
        <v>3658</v>
      </c>
      <c r="F919">
        <v>4017769</v>
      </c>
      <c r="G919" t="s">
        <v>3659</v>
      </c>
      <c r="H919" t="s">
        <v>816</v>
      </c>
      <c r="I919">
        <v>4.16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4.16</v>
      </c>
      <c r="P919" s="44" t="e">
        <f>_xlfn.XLOOKUP(Tabla5[[#This Row],[EAN CORREGIDO]],'Tabla Articulos'!B:B,'Tabla Articulos'!D:D)</f>
        <v>#N/A</v>
      </c>
      <c r="Q919" s="44" t="e">
        <f>_xlfn.XLOOKUP(S919,'Tabla Articulos'!B:B,'Tabla Articulos'!E:E)</f>
        <v>#N/A</v>
      </c>
      <c r="R919" s="44" t="e">
        <f t="shared" si="28"/>
        <v>#N/A</v>
      </c>
      <c r="S919" s="45" t="str">
        <f t="shared" si="29"/>
        <v>7790212031241</v>
      </c>
    </row>
    <row r="920" spans="1:19" hidden="1" x14ac:dyDescent="0.35">
      <c r="A920" s="22">
        <v>1</v>
      </c>
      <c r="B920" t="s">
        <v>812</v>
      </c>
      <c r="C920" t="s">
        <v>802</v>
      </c>
      <c r="D920" s="11" t="s">
        <v>3660</v>
      </c>
      <c r="E920" t="s">
        <v>3661</v>
      </c>
      <c r="F920">
        <v>4019507</v>
      </c>
      <c r="G920" t="s">
        <v>3662</v>
      </c>
      <c r="H920" t="s">
        <v>805</v>
      </c>
      <c r="I920">
        <v>186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186</v>
      </c>
      <c r="P920" s="44" t="e">
        <f>_xlfn.XLOOKUP(Tabla5[[#This Row],[EAN CORREGIDO]],'Tabla Articulos'!B:B,'Tabla Articulos'!D:D)</f>
        <v>#N/A</v>
      </c>
      <c r="Q920" s="44" t="e">
        <f>_xlfn.XLOOKUP(S920,'Tabla Articulos'!B:B,'Tabla Articulos'!E:E)</f>
        <v>#N/A</v>
      </c>
      <c r="R920" s="44" t="e">
        <f t="shared" si="28"/>
        <v>#N/A</v>
      </c>
      <c r="S920" s="45" t="str">
        <f t="shared" si="29"/>
        <v>7790045000624</v>
      </c>
    </row>
    <row r="921" spans="1:19" hidden="1" x14ac:dyDescent="0.35">
      <c r="A921" s="22">
        <v>5</v>
      </c>
      <c r="B921" t="s">
        <v>829</v>
      </c>
      <c r="C921" t="s">
        <v>802</v>
      </c>
      <c r="D921" t="s">
        <v>2522</v>
      </c>
      <c r="E921" t="s">
        <v>3663</v>
      </c>
      <c r="F921">
        <v>4020120</v>
      </c>
      <c r="G921" t="s">
        <v>3664</v>
      </c>
      <c r="H921" t="s">
        <v>805</v>
      </c>
      <c r="I921">
        <v>4153</v>
      </c>
      <c r="J921">
        <v>0</v>
      </c>
      <c r="K921">
        <v>4114</v>
      </c>
      <c r="L921">
        <v>0</v>
      </c>
      <c r="M921">
        <v>0</v>
      </c>
      <c r="N921">
        <v>0</v>
      </c>
      <c r="O921">
        <v>39</v>
      </c>
      <c r="P921" s="44" t="e">
        <f>_xlfn.XLOOKUP(Tabla5[[#This Row],[EAN CORREGIDO]],'Tabla Articulos'!B:B,'Tabla Articulos'!D:D)</f>
        <v>#N/A</v>
      </c>
      <c r="Q921" s="44" t="e">
        <f>_xlfn.XLOOKUP(S921,'Tabla Articulos'!B:B,'Tabla Articulos'!E:E)</f>
        <v>#N/A</v>
      </c>
      <c r="R921" s="44" t="e">
        <f t="shared" si="28"/>
        <v>#N/A</v>
      </c>
      <c r="S921" s="45" t="str">
        <f t="shared" si="29"/>
        <v>7792350067507</v>
      </c>
    </row>
    <row r="922" spans="1:19" hidden="1" x14ac:dyDescent="0.35">
      <c r="A922" s="22">
        <v>1</v>
      </c>
      <c r="B922" t="s">
        <v>812</v>
      </c>
      <c r="C922" t="s">
        <v>802</v>
      </c>
      <c r="D922" t="s">
        <v>2522</v>
      </c>
      <c r="E922" t="s">
        <v>3663</v>
      </c>
      <c r="F922">
        <v>4020120</v>
      </c>
      <c r="G922" t="s">
        <v>3664</v>
      </c>
      <c r="H922" t="s">
        <v>805</v>
      </c>
      <c r="I922">
        <v>248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248</v>
      </c>
      <c r="P922" s="44" t="e">
        <f>_xlfn.XLOOKUP(Tabla5[[#This Row],[EAN CORREGIDO]],'Tabla Articulos'!B:B,'Tabla Articulos'!D:D)</f>
        <v>#N/A</v>
      </c>
      <c r="Q922" s="44" t="e">
        <f>_xlfn.XLOOKUP(S922,'Tabla Articulos'!B:B,'Tabla Articulos'!E:E)</f>
        <v>#N/A</v>
      </c>
      <c r="R922" s="44" t="e">
        <f t="shared" si="28"/>
        <v>#N/A</v>
      </c>
      <c r="S922" s="45" t="str">
        <f t="shared" si="29"/>
        <v>7792350067507</v>
      </c>
    </row>
    <row r="923" spans="1:19" hidden="1" x14ac:dyDescent="0.35">
      <c r="A923" s="22">
        <v>6</v>
      </c>
      <c r="B923" t="s">
        <v>801</v>
      </c>
      <c r="C923" t="s">
        <v>802</v>
      </c>
      <c r="D923" t="s">
        <v>1002</v>
      </c>
      <c r="E923" t="s">
        <v>3665</v>
      </c>
      <c r="F923">
        <v>2006520</v>
      </c>
      <c r="G923" t="s">
        <v>3666</v>
      </c>
      <c r="H923" t="s">
        <v>805</v>
      </c>
      <c r="I923">
        <v>326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326</v>
      </c>
      <c r="P923" s="44" t="e">
        <f>_xlfn.XLOOKUP(Tabla5[[#This Row],[EAN CORREGIDO]],'Tabla Articulos'!B:B,'Tabla Articulos'!D:D)</f>
        <v>#N/A</v>
      </c>
      <c r="Q923" s="44" t="e">
        <f>_xlfn.XLOOKUP(S923,'Tabla Articulos'!B:B,'Tabla Articulos'!E:E)</f>
        <v>#N/A</v>
      </c>
      <c r="R923" s="44" t="e">
        <f t="shared" si="28"/>
        <v>#N/A</v>
      </c>
      <c r="S923" s="45" t="str">
        <f t="shared" si="29"/>
        <v>7791624000035</v>
      </c>
    </row>
    <row r="924" spans="1:19" hidden="1" x14ac:dyDescent="0.35">
      <c r="A924" s="22">
        <v>6</v>
      </c>
      <c r="B924" t="s">
        <v>801</v>
      </c>
      <c r="C924" t="s">
        <v>802</v>
      </c>
      <c r="D924"/>
      <c r="E924" t="s">
        <v>3667</v>
      </c>
      <c r="F924">
        <v>9003808</v>
      </c>
      <c r="G924" t="s">
        <v>3668</v>
      </c>
      <c r="H924" t="s">
        <v>805</v>
      </c>
      <c r="I924">
        <v>30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30</v>
      </c>
      <c r="P924" s="44" t="e">
        <f>_xlfn.XLOOKUP(Tabla5[[#This Row],[EAN CORREGIDO]],'Tabla Articulos'!B:B,'Tabla Articulos'!D:D)</f>
        <v>#N/A</v>
      </c>
      <c r="Q924" s="44" t="e">
        <f>_xlfn.XLOOKUP(S924,'Tabla Articulos'!B:B,'Tabla Articulos'!E:E)</f>
        <v>#N/A</v>
      </c>
      <c r="R924" s="44" t="e">
        <f t="shared" si="28"/>
        <v>#N/A</v>
      </c>
      <c r="S924" s="45" t="str">
        <f t="shared" si="29"/>
        <v>BAZ001229</v>
      </c>
    </row>
    <row r="925" spans="1:19" hidden="1" x14ac:dyDescent="0.35">
      <c r="A925" s="22">
        <v>6</v>
      </c>
      <c r="B925" t="s">
        <v>801</v>
      </c>
      <c r="C925" t="s">
        <v>802</v>
      </c>
      <c r="D925" t="s">
        <v>1374</v>
      </c>
      <c r="E925" t="s">
        <v>3669</v>
      </c>
      <c r="F925">
        <v>2006772</v>
      </c>
      <c r="G925" t="s">
        <v>3670</v>
      </c>
      <c r="H925" t="s">
        <v>805</v>
      </c>
      <c r="I925">
        <v>172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172</v>
      </c>
      <c r="P925" s="44" t="e">
        <f>_xlfn.XLOOKUP(Tabla5[[#This Row],[EAN CORREGIDO]],'Tabla Articulos'!B:B,'Tabla Articulos'!D:D)</f>
        <v>#N/A</v>
      </c>
      <c r="Q925" s="44" t="e">
        <f>_xlfn.XLOOKUP(S925,'Tabla Articulos'!B:B,'Tabla Articulos'!E:E)</f>
        <v>#N/A</v>
      </c>
      <c r="R925" s="44" t="e">
        <f t="shared" si="28"/>
        <v>#N/A</v>
      </c>
      <c r="S925" s="45" t="str">
        <f t="shared" si="29"/>
        <v>LIM000504</v>
      </c>
    </row>
    <row r="926" spans="1:19" hidden="1" x14ac:dyDescent="0.35">
      <c r="A926" s="22">
        <v>1</v>
      </c>
      <c r="B926" t="s">
        <v>812</v>
      </c>
      <c r="C926" t="s">
        <v>802</v>
      </c>
      <c r="D926" t="s">
        <v>3181</v>
      </c>
      <c r="E926" t="s">
        <v>3671</v>
      </c>
      <c r="F926">
        <v>4019518</v>
      </c>
      <c r="G926" t="s">
        <v>3672</v>
      </c>
      <c r="H926" t="s">
        <v>805</v>
      </c>
      <c r="I926">
        <v>550</v>
      </c>
      <c r="J926">
        <v>0</v>
      </c>
      <c r="K926">
        <v>0</v>
      </c>
      <c r="L926">
        <v>150</v>
      </c>
      <c r="M926">
        <v>150</v>
      </c>
      <c r="N926">
        <v>0</v>
      </c>
      <c r="O926">
        <v>250</v>
      </c>
      <c r="P926" s="44" t="e">
        <f>_xlfn.XLOOKUP(Tabla5[[#This Row],[EAN CORREGIDO]],'Tabla Articulos'!B:B,'Tabla Articulos'!D:D)</f>
        <v>#N/A</v>
      </c>
      <c r="Q926" s="44" t="e">
        <f>_xlfn.XLOOKUP(S926,'Tabla Articulos'!B:B,'Tabla Articulos'!E:E)</f>
        <v>#N/A</v>
      </c>
      <c r="R926" s="44" t="e">
        <f t="shared" si="28"/>
        <v>#N/A</v>
      </c>
      <c r="S926" s="45" t="str">
        <f t="shared" si="29"/>
        <v>7790199603214</v>
      </c>
    </row>
    <row r="927" spans="1:19" hidden="1" x14ac:dyDescent="0.35">
      <c r="A927" s="22">
        <v>6</v>
      </c>
      <c r="B927" t="s">
        <v>801</v>
      </c>
      <c r="C927" t="s">
        <v>802</v>
      </c>
      <c r="D927"/>
      <c r="E927" t="s">
        <v>3564</v>
      </c>
      <c r="F927">
        <v>9003253</v>
      </c>
      <c r="G927" t="s">
        <v>3565</v>
      </c>
      <c r="H927" t="s">
        <v>805</v>
      </c>
      <c r="I927">
        <v>31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31</v>
      </c>
      <c r="P927" s="44" t="e">
        <f>_xlfn.XLOOKUP(Tabla5[[#This Row],[EAN CORREGIDO]],'Tabla Articulos'!B:B,'Tabla Articulos'!D:D)</f>
        <v>#N/A</v>
      </c>
      <c r="Q927" s="44" t="e">
        <f>_xlfn.XLOOKUP(S927,'Tabla Articulos'!B:B,'Tabla Articulos'!E:E)</f>
        <v>#N/A</v>
      </c>
      <c r="R927" s="44" t="e">
        <f t="shared" si="28"/>
        <v>#N/A</v>
      </c>
      <c r="S927" s="45" t="str">
        <f t="shared" si="29"/>
        <v>UNIF000481</v>
      </c>
    </row>
    <row r="928" spans="1:19" hidden="1" x14ac:dyDescent="0.35">
      <c r="A928" s="22">
        <v>6</v>
      </c>
      <c r="B928" t="s">
        <v>801</v>
      </c>
      <c r="C928" t="s">
        <v>802</v>
      </c>
      <c r="E928" t="s">
        <v>3566</v>
      </c>
      <c r="F928">
        <v>2007137</v>
      </c>
      <c r="G928" t="s">
        <v>3567</v>
      </c>
      <c r="H928" t="s">
        <v>805</v>
      </c>
      <c r="I928">
        <v>50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50</v>
      </c>
      <c r="P928" s="44" t="str">
        <f>_xlfn.XLOOKUP(Tabla5[[#This Row],[EAN CORREGIDO]],'Tabla Articulos'!B:B,'Tabla Articulos'!D:D)</f>
        <v>VASO TERMICO 240</v>
      </c>
      <c r="Q928" s="44">
        <f>_xlfn.XLOOKUP(S928,'Tabla Articulos'!B:B,'Tabla Articulos'!E:E)</f>
        <v>1000</v>
      </c>
      <c r="R928" s="44">
        <f t="shared" si="28"/>
        <v>50000</v>
      </c>
      <c r="S928" s="45" t="str">
        <f t="shared" si="29"/>
        <v>17798038127102</v>
      </c>
    </row>
    <row r="929" spans="1:19" hidden="1" x14ac:dyDescent="0.35">
      <c r="A929" s="22">
        <v>6</v>
      </c>
      <c r="B929" t="s">
        <v>801</v>
      </c>
      <c r="C929" t="s">
        <v>802</v>
      </c>
      <c r="E929" t="s">
        <v>3568</v>
      </c>
      <c r="F929">
        <v>9003530</v>
      </c>
      <c r="G929" t="s">
        <v>3569</v>
      </c>
      <c r="H929" t="s">
        <v>805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 s="44" t="e">
        <f>_xlfn.XLOOKUP(Tabla5[[#This Row],[EAN CORREGIDO]],'Tabla Articulos'!B:B,'Tabla Articulos'!D:D)</f>
        <v>#N/A</v>
      </c>
      <c r="Q929" s="44" t="e">
        <f>_xlfn.XLOOKUP(S929,'Tabla Articulos'!B:B,'Tabla Articulos'!E:E)</f>
        <v>#N/A</v>
      </c>
      <c r="R929" s="44" t="e">
        <f t="shared" si="28"/>
        <v>#N/A</v>
      </c>
      <c r="S929" s="45" t="str">
        <f t="shared" si="29"/>
        <v>UNIF000357</v>
      </c>
    </row>
    <row r="930" spans="1:19" hidden="1" x14ac:dyDescent="0.35">
      <c r="A930" s="22">
        <v>6</v>
      </c>
      <c r="B930" t="s">
        <v>801</v>
      </c>
      <c r="C930" t="s">
        <v>802</v>
      </c>
      <c r="D930"/>
      <c r="E930" t="s">
        <v>3570</v>
      </c>
      <c r="F930">
        <v>9003787</v>
      </c>
      <c r="G930" t="s">
        <v>3571</v>
      </c>
      <c r="H930" t="s">
        <v>805</v>
      </c>
      <c r="I930">
        <v>18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 s="44" t="e">
        <f>_xlfn.XLOOKUP(Tabla5[[#This Row],[EAN CORREGIDO]],'Tabla Articulos'!B:B,'Tabla Articulos'!D:D)</f>
        <v>#N/A</v>
      </c>
      <c r="Q930" s="44" t="e">
        <f>_xlfn.XLOOKUP(S930,'Tabla Articulos'!B:B,'Tabla Articulos'!E:E)</f>
        <v>#N/A</v>
      </c>
      <c r="R930" s="44" t="e">
        <f t="shared" si="28"/>
        <v>#N/A</v>
      </c>
      <c r="S930" s="45" t="str">
        <f t="shared" si="29"/>
        <v>BAZ001196</v>
      </c>
    </row>
    <row r="931" spans="1:19" hidden="1" x14ac:dyDescent="0.35">
      <c r="A931" s="22">
        <v>6</v>
      </c>
      <c r="B931" t="s">
        <v>801</v>
      </c>
      <c r="C931" t="s">
        <v>802</v>
      </c>
      <c r="D931"/>
      <c r="E931" t="s">
        <v>3572</v>
      </c>
      <c r="F931">
        <v>9003264</v>
      </c>
      <c r="G931" t="s">
        <v>3573</v>
      </c>
      <c r="H931" t="s">
        <v>805</v>
      </c>
      <c r="I931">
        <v>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</v>
      </c>
      <c r="P931" s="44" t="e">
        <f>_xlfn.XLOOKUP(Tabla5[[#This Row],[EAN CORREGIDO]],'Tabla Articulos'!B:B,'Tabla Articulos'!D:D)</f>
        <v>#N/A</v>
      </c>
      <c r="Q931" s="44" t="e">
        <f>_xlfn.XLOOKUP(S931,'Tabla Articulos'!B:B,'Tabla Articulos'!E:E)</f>
        <v>#N/A</v>
      </c>
      <c r="R931" s="44" t="e">
        <f t="shared" si="28"/>
        <v>#N/A</v>
      </c>
      <c r="S931" s="45" t="str">
        <f t="shared" si="29"/>
        <v>UNIF000421</v>
      </c>
    </row>
    <row r="932" spans="1:19" hidden="1" x14ac:dyDescent="0.35">
      <c r="A932" s="22">
        <v>5</v>
      </c>
      <c r="B932" t="s">
        <v>829</v>
      </c>
      <c r="C932" t="s">
        <v>802</v>
      </c>
      <c r="D932" s="11" t="s">
        <v>3574</v>
      </c>
      <c r="E932" t="s">
        <v>3575</v>
      </c>
      <c r="F932">
        <v>4020463</v>
      </c>
      <c r="G932" t="s">
        <v>3576</v>
      </c>
      <c r="H932" t="s">
        <v>805</v>
      </c>
      <c r="I932">
        <v>50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50</v>
      </c>
      <c r="P932" s="44" t="e">
        <f>_xlfn.XLOOKUP(Tabla5[[#This Row],[EAN CORREGIDO]],'Tabla Articulos'!B:B,'Tabla Articulos'!D:D)</f>
        <v>#N/A</v>
      </c>
      <c r="Q932" s="44" t="e">
        <f>_xlfn.XLOOKUP(S932,'Tabla Articulos'!B:B,'Tabla Articulos'!E:E)</f>
        <v>#N/A</v>
      </c>
      <c r="R932" s="44" t="e">
        <f t="shared" si="28"/>
        <v>#N/A</v>
      </c>
      <c r="S932" s="45" t="str">
        <f t="shared" si="29"/>
        <v>7798186163000</v>
      </c>
    </row>
    <row r="933" spans="1:19" hidden="1" x14ac:dyDescent="0.35">
      <c r="A933" s="22">
        <v>6</v>
      </c>
      <c r="B933" t="s">
        <v>801</v>
      </c>
      <c r="C933" t="s">
        <v>802</v>
      </c>
      <c r="D933"/>
      <c r="E933" t="s">
        <v>2478</v>
      </c>
      <c r="F933">
        <v>9003571</v>
      </c>
      <c r="G933" t="s">
        <v>2479</v>
      </c>
      <c r="H933" t="s">
        <v>805</v>
      </c>
      <c r="I933">
        <v>33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33</v>
      </c>
      <c r="P933" s="44" t="e">
        <f>_xlfn.XLOOKUP(Tabla5[[#This Row],[EAN CORREGIDO]],'Tabla Articulos'!B:B,'Tabla Articulos'!D:D)</f>
        <v>#N/A</v>
      </c>
      <c r="Q933" s="44" t="e">
        <f>_xlfn.XLOOKUP(S933,'Tabla Articulos'!B:B,'Tabla Articulos'!E:E)</f>
        <v>#N/A</v>
      </c>
      <c r="R933" s="44" t="e">
        <f t="shared" si="28"/>
        <v>#N/A</v>
      </c>
      <c r="S933" s="45" t="str">
        <f t="shared" si="29"/>
        <v>UNIF000154</v>
      </c>
    </row>
    <row r="934" spans="1:19" hidden="1" x14ac:dyDescent="0.35">
      <c r="A934" s="22">
        <v>5</v>
      </c>
      <c r="B934" t="s">
        <v>829</v>
      </c>
      <c r="C934" t="s">
        <v>802</v>
      </c>
      <c r="D934" t="s">
        <v>2480</v>
      </c>
      <c r="E934" t="s">
        <v>2481</v>
      </c>
      <c r="F934">
        <v>4018049</v>
      </c>
      <c r="G934" t="s">
        <v>2482</v>
      </c>
      <c r="H934" t="s">
        <v>805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 s="44" t="e">
        <f>_xlfn.XLOOKUP(Tabla5[[#This Row],[EAN CORREGIDO]],'Tabla Articulos'!B:B,'Tabla Articulos'!D:D)</f>
        <v>#N/A</v>
      </c>
      <c r="Q934" s="44" t="e">
        <f>_xlfn.XLOOKUP(S934,'Tabla Articulos'!B:B,'Tabla Articulos'!E:E)</f>
        <v>#N/A</v>
      </c>
      <c r="R934" s="44" t="e">
        <f t="shared" si="28"/>
        <v>#N/A</v>
      </c>
      <c r="S934" s="45" t="str">
        <f t="shared" si="29"/>
        <v>7790216020081</v>
      </c>
    </row>
    <row r="935" spans="1:19" hidden="1" x14ac:dyDescent="0.35">
      <c r="A935" s="22">
        <v>5</v>
      </c>
      <c r="B935" t="s">
        <v>829</v>
      </c>
      <c r="C935" t="s">
        <v>802</v>
      </c>
      <c r="D935" s="11" t="s">
        <v>2483</v>
      </c>
      <c r="E935" t="s">
        <v>2484</v>
      </c>
      <c r="F935">
        <v>4049075</v>
      </c>
      <c r="G935" t="s">
        <v>2485</v>
      </c>
      <c r="H935" t="s">
        <v>805</v>
      </c>
      <c r="I935">
        <v>67764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67764</v>
      </c>
      <c r="P935" s="44" t="e">
        <f>_xlfn.XLOOKUP(Tabla5[[#This Row],[EAN CORREGIDO]],'Tabla Articulos'!B:B,'Tabla Articulos'!D:D)</f>
        <v>#N/A</v>
      </c>
      <c r="Q935" s="44" t="e">
        <f>_xlfn.XLOOKUP(S935,'Tabla Articulos'!B:B,'Tabla Articulos'!E:E)</f>
        <v>#N/A</v>
      </c>
      <c r="R935" s="44" t="e">
        <f t="shared" si="28"/>
        <v>#N/A</v>
      </c>
      <c r="S935" s="45" t="str">
        <f t="shared" si="29"/>
        <v>7793650000041</v>
      </c>
    </row>
    <row r="936" spans="1:19" hidden="1" x14ac:dyDescent="0.35">
      <c r="A936" s="22">
        <v>1</v>
      </c>
      <c r="B936" t="s">
        <v>812</v>
      </c>
      <c r="C936" t="s">
        <v>802</v>
      </c>
      <c r="D936" t="s">
        <v>2483</v>
      </c>
      <c r="E936" t="s">
        <v>2484</v>
      </c>
      <c r="F936">
        <v>4049075</v>
      </c>
      <c r="G936" t="s">
        <v>2485</v>
      </c>
      <c r="H936" t="s">
        <v>805</v>
      </c>
      <c r="I936">
        <v>85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85</v>
      </c>
      <c r="P936" s="44" t="e">
        <f>_xlfn.XLOOKUP(Tabla5[[#This Row],[EAN CORREGIDO]],'Tabla Articulos'!B:B,'Tabla Articulos'!D:D)</f>
        <v>#N/A</v>
      </c>
      <c r="Q936" s="44" t="e">
        <f>_xlfn.XLOOKUP(S936,'Tabla Articulos'!B:B,'Tabla Articulos'!E:E)</f>
        <v>#N/A</v>
      </c>
      <c r="R936" s="44" t="e">
        <f t="shared" si="28"/>
        <v>#N/A</v>
      </c>
      <c r="S936" s="45" t="str">
        <f t="shared" si="29"/>
        <v>7793650000041</v>
      </c>
    </row>
    <row r="937" spans="1:19" hidden="1" x14ac:dyDescent="0.35">
      <c r="A937" s="22">
        <v>6</v>
      </c>
      <c r="B937" t="s">
        <v>801</v>
      </c>
      <c r="C937" t="s">
        <v>802</v>
      </c>
      <c r="E937" t="s">
        <v>2689</v>
      </c>
      <c r="F937">
        <v>9003099</v>
      </c>
      <c r="G937" t="s">
        <v>2690</v>
      </c>
      <c r="H937" t="s">
        <v>805</v>
      </c>
      <c r="I937">
        <v>15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15</v>
      </c>
      <c r="P937" s="44" t="e">
        <f>_xlfn.XLOOKUP(Tabla5[[#This Row],[EAN CORREGIDO]],'Tabla Articulos'!B:B,'Tabla Articulos'!D:D)</f>
        <v>#N/A</v>
      </c>
      <c r="Q937" s="44" t="e">
        <f>_xlfn.XLOOKUP(S937,'Tabla Articulos'!B:B,'Tabla Articulos'!E:E)</f>
        <v>#N/A</v>
      </c>
      <c r="R937" s="44" t="e">
        <f t="shared" si="28"/>
        <v>#N/A</v>
      </c>
      <c r="S937" s="45" t="str">
        <f t="shared" si="29"/>
        <v>UNIF000561</v>
      </c>
    </row>
    <row r="938" spans="1:19" hidden="1" x14ac:dyDescent="0.35">
      <c r="A938" s="22">
        <v>6</v>
      </c>
      <c r="B938" t="s">
        <v>801</v>
      </c>
      <c r="C938" t="s">
        <v>802</v>
      </c>
      <c r="D938" t="s">
        <v>69</v>
      </c>
      <c r="E938" t="s">
        <v>2691</v>
      </c>
      <c r="F938">
        <v>2006392</v>
      </c>
      <c r="G938" t="s">
        <v>2692</v>
      </c>
      <c r="H938" t="s">
        <v>805</v>
      </c>
      <c r="I938">
        <v>72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72</v>
      </c>
      <c r="P938" s="44" t="str">
        <f>_xlfn.XLOOKUP(Tabla5[[#This Row],[EAN CORREGIDO]],'Tabla Articulos'!B:B,'Tabla Articulos'!D:D)</f>
        <v>CANCELADO</v>
      </c>
      <c r="Q938" s="44">
        <f>_xlfn.XLOOKUP(S938,'Tabla Articulos'!B:B,'Tabla Articulos'!E:E)</f>
        <v>100</v>
      </c>
      <c r="R938" s="44">
        <f t="shared" si="28"/>
        <v>7200</v>
      </c>
      <c r="S938" s="45" t="str">
        <f t="shared" si="29"/>
        <v>7790321020302</v>
      </c>
    </row>
    <row r="939" spans="1:19" hidden="1" x14ac:dyDescent="0.35">
      <c r="A939" s="22">
        <v>6</v>
      </c>
      <c r="B939" t="s">
        <v>801</v>
      </c>
      <c r="C939" t="s">
        <v>802</v>
      </c>
      <c r="D939"/>
      <c r="E939" t="s">
        <v>1213</v>
      </c>
      <c r="F939">
        <v>9003399</v>
      </c>
      <c r="G939" t="s">
        <v>1214</v>
      </c>
      <c r="H939" t="s">
        <v>805</v>
      </c>
      <c r="I939">
        <v>26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26</v>
      </c>
      <c r="P939" s="44" t="e">
        <f>_xlfn.XLOOKUP(Tabla5[[#This Row],[EAN CORREGIDO]],'Tabla Articulos'!B:B,'Tabla Articulos'!D:D)</f>
        <v>#N/A</v>
      </c>
      <c r="Q939" s="44" t="e">
        <f>_xlfn.XLOOKUP(S939,'Tabla Articulos'!B:B,'Tabla Articulos'!E:E)</f>
        <v>#N/A</v>
      </c>
      <c r="R939" s="44" t="e">
        <f t="shared" si="28"/>
        <v>#N/A</v>
      </c>
      <c r="S939" s="45" t="str">
        <f t="shared" si="29"/>
        <v>UNIF000516</v>
      </c>
    </row>
    <row r="940" spans="1:19" hidden="1" x14ac:dyDescent="0.35">
      <c r="A940" s="22">
        <v>1</v>
      </c>
      <c r="B940" t="s">
        <v>812</v>
      </c>
      <c r="C940" t="s">
        <v>802</v>
      </c>
      <c r="D940" t="s">
        <v>1215</v>
      </c>
      <c r="E940" t="s">
        <v>1216</v>
      </c>
      <c r="F940">
        <v>4018709</v>
      </c>
      <c r="G940" t="s">
        <v>1217</v>
      </c>
      <c r="H940" t="s">
        <v>805</v>
      </c>
      <c r="I940">
        <v>166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166</v>
      </c>
      <c r="P940" s="44" t="e">
        <f>_xlfn.XLOOKUP(Tabla5[[#This Row],[EAN CORREGIDO]],'Tabla Articulos'!B:B,'Tabla Articulos'!D:D)</f>
        <v>#N/A</v>
      </c>
      <c r="Q940" s="44" t="e">
        <f>_xlfn.XLOOKUP(S940,'Tabla Articulos'!B:B,'Tabla Articulos'!E:E)</f>
        <v>#N/A</v>
      </c>
      <c r="R940" s="44" t="e">
        <f t="shared" si="28"/>
        <v>#N/A</v>
      </c>
      <c r="S940" s="45" t="str">
        <f t="shared" si="29"/>
        <v>7791218123003</v>
      </c>
    </row>
    <row r="941" spans="1:19" hidden="1" x14ac:dyDescent="0.35">
      <c r="A941" s="22">
        <v>1</v>
      </c>
      <c r="B941" t="s">
        <v>812</v>
      </c>
      <c r="C941" t="s">
        <v>802</v>
      </c>
      <c r="D941" t="s">
        <v>1681</v>
      </c>
      <c r="E941" t="s">
        <v>1682</v>
      </c>
      <c r="F941">
        <v>4020563</v>
      </c>
      <c r="G941" t="s">
        <v>1683</v>
      </c>
      <c r="H941" t="s">
        <v>805</v>
      </c>
      <c r="I941">
        <v>9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9</v>
      </c>
      <c r="P941" s="44" t="e">
        <f>_xlfn.XLOOKUP(Tabla5[[#This Row],[EAN CORREGIDO]],'Tabla Articulos'!B:B,'Tabla Articulos'!D:D)</f>
        <v>#N/A</v>
      </c>
      <c r="Q941" s="44" t="e">
        <f>_xlfn.XLOOKUP(S941,'Tabla Articulos'!B:B,'Tabla Articulos'!E:E)</f>
        <v>#N/A</v>
      </c>
      <c r="R941" s="44" t="e">
        <f t="shared" si="28"/>
        <v>#N/A</v>
      </c>
      <c r="S941" s="45" t="str">
        <f t="shared" si="29"/>
        <v>7798048981018</v>
      </c>
    </row>
    <row r="942" spans="1:19" hidden="1" x14ac:dyDescent="0.35">
      <c r="A942" s="22">
        <v>1</v>
      </c>
      <c r="B942" t="s">
        <v>812</v>
      </c>
      <c r="C942" t="s">
        <v>802</v>
      </c>
      <c r="D942" t="s">
        <v>1011</v>
      </c>
      <c r="E942" t="s">
        <v>1684</v>
      </c>
      <c r="F942">
        <v>4019981</v>
      </c>
      <c r="G942" t="s">
        <v>1685</v>
      </c>
      <c r="H942" t="s">
        <v>805</v>
      </c>
      <c r="I942">
        <v>5639</v>
      </c>
      <c r="J942">
        <v>1050</v>
      </c>
      <c r="K942">
        <v>0</v>
      </c>
      <c r="L942">
        <v>0</v>
      </c>
      <c r="M942">
        <v>0</v>
      </c>
      <c r="N942">
        <v>0</v>
      </c>
      <c r="O942">
        <v>6689</v>
      </c>
      <c r="P942" s="44" t="e">
        <f>_xlfn.XLOOKUP(Tabla5[[#This Row],[EAN CORREGIDO]],'Tabla Articulos'!B:B,'Tabla Articulos'!D:D)</f>
        <v>#N/A</v>
      </c>
      <c r="Q942" s="44" t="e">
        <f>_xlfn.XLOOKUP(S942,'Tabla Articulos'!B:B,'Tabla Articulos'!E:E)</f>
        <v>#N/A</v>
      </c>
      <c r="R942" s="44" t="e">
        <f t="shared" si="28"/>
        <v>#N/A</v>
      </c>
      <c r="S942" s="45" t="str">
        <f t="shared" si="29"/>
        <v>7792590000159</v>
      </c>
    </row>
    <row r="943" spans="1:19" hidden="1" x14ac:dyDescent="0.35">
      <c r="A943" s="22">
        <v>5</v>
      </c>
      <c r="B943" t="s">
        <v>829</v>
      </c>
      <c r="C943" t="s">
        <v>802</v>
      </c>
      <c r="D943" t="s">
        <v>1011</v>
      </c>
      <c r="E943" t="s">
        <v>1684</v>
      </c>
      <c r="F943">
        <v>4019981</v>
      </c>
      <c r="G943" t="s">
        <v>1685</v>
      </c>
      <c r="H943" t="s">
        <v>805</v>
      </c>
      <c r="I943">
        <v>208759</v>
      </c>
      <c r="J943">
        <v>0</v>
      </c>
      <c r="K943">
        <v>0</v>
      </c>
      <c r="L943">
        <v>0</v>
      </c>
      <c r="M943">
        <v>50</v>
      </c>
      <c r="N943">
        <v>0</v>
      </c>
      <c r="O943">
        <v>208709</v>
      </c>
      <c r="P943" s="44" t="e">
        <f>_xlfn.XLOOKUP(Tabla5[[#This Row],[EAN CORREGIDO]],'Tabla Articulos'!B:B,'Tabla Articulos'!D:D)</f>
        <v>#N/A</v>
      </c>
      <c r="Q943" s="44" t="e">
        <f>_xlfn.XLOOKUP(S943,'Tabla Articulos'!B:B,'Tabla Articulos'!E:E)</f>
        <v>#N/A</v>
      </c>
      <c r="R943" s="44" t="e">
        <f t="shared" si="28"/>
        <v>#N/A</v>
      </c>
      <c r="S943" s="45" t="str">
        <f t="shared" si="29"/>
        <v>7792590000159</v>
      </c>
    </row>
    <row r="944" spans="1:19" hidden="1" x14ac:dyDescent="0.35">
      <c r="A944" s="22">
        <v>6</v>
      </c>
      <c r="B944" t="s">
        <v>801</v>
      </c>
      <c r="C944" t="s">
        <v>802</v>
      </c>
      <c r="D944"/>
      <c r="E944" t="s">
        <v>956</v>
      </c>
      <c r="F944">
        <v>9003103</v>
      </c>
      <c r="G944" t="s">
        <v>957</v>
      </c>
      <c r="H944" t="s">
        <v>805</v>
      </c>
      <c r="I944">
        <v>15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15</v>
      </c>
      <c r="P944" s="44" t="e">
        <f>_xlfn.XLOOKUP(Tabla5[[#This Row],[EAN CORREGIDO]],'Tabla Articulos'!B:B,'Tabla Articulos'!D:D)</f>
        <v>#N/A</v>
      </c>
      <c r="Q944" s="44" t="e">
        <f>_xlfn.XLOOKUP(S944,'Tabla Articulos'!B:B,'Tabla Articulos'!E:E)</f>
        <v>#N/A</v>
      </c>
      <c r="R944" s="44" t="e">
        <f t="shared" si="28"/>
        <v>#N/A</v>
      </c>
      <c r="S944" s="45" t="str">
        <f t="shared" si="29"/>
        <v>UNIF000565</v>
      </c>
    </row>
    <row r="945" spans="1:19" hidden="1" x14ac:dyDescent="0.35">
      <c r="A945" s="22">
        <v>5</v>
      </c>
      <c r="B945" t="s">
        <v>829</v>
      </c>
      <c r="C945" t="s">
        <v>802</v>
      </c>
      <c r="D945" t="s">
        <v>958</v>
      </c>
      <c r="E945" t="s">
        <v>959</v>
      </c>
      <c r="F945">
        <v>4018066</v>
      </c>
      <c r="G945" t="s">
        <v>960</v>
      </c>
      <c r="H945" t="s">
        <v>816</v>
      </c>
      <c r="I945">
        <v>5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5</v>
      </c>
      <c r="P945" s="44" t="e">
        <f>_xlfn.XLOOKUP(Tabla5[[#This Row],[EAN CORREGIDO]],'Tabla Articulos'!B:B,'Tabla Articulos'!D:D)</f>
        <v>#N/A</v>
      </c>
      <c r="Q945" s="44" t="e">
        <f>_xlfn.XLOOKUP(S945,'Tabla Articulos'!B:B,'Tabla Articulos'!E:E)</f>
        <v>#N/A</v>
      </c>
      <c r="R945" s="44" t="e">
        <f t="shared" si="28"/>
        <v>#N/A</v>
      </c>
      <c r="S945" s="45" t="str">
        <f t="shared" si="29"/>
        <v>7790216020117</v>
      </c>
    </row>
    <row r="946" spans="1:19" hidden="1" x14ac:dyDescent="0.35">
      <c r="A946" s="22">
        <v>6</v>
      </c>
      <c r="B946" t="s">
        <v>801</v>
      </c>
      <c r="C946" t="s">
        <v>802</v>
      </c>
      <c r="E946" t="s">
        <v>961</v>
      </c>
      <c r="F946">
        <v>9003142</v>
      </c>
      <c r="G946" t="s">
        <v>962</v>
      </c>
      <c r="H946" t="s">
        <v>805</v>
      </c>
      <c r="I946">
        <v>10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10</v>
      </c>
      <c r="P946" s="44" t="e">
        <f>_xlfn.XLOOKUP(Tabla5[[#This Row],[EAN CORREGIDO]],'Tabla Articulos'!B:B,'Tabla Articulos'!D:D)</f>
        <v>#N/A</v>
      </c>
      <c r="Q946" s="44" t="e">
        <f>_xlfn.XLOOKUP(S946,'Tabla Articulos'!B:B,'Tabla Articulos'!E:E)</f>
        <v>#N/A</v>
      </c>
      <c r="R946" s="44" t="e">
        <f t="shared" si="28"/>
        <v>#N/A</v>
      </c>
      <c r="S946" s="45" t="str">
        <f t="shared" si="29"/>
        <v>UNIF000604</v>
      </c>
    </row>
    <row r="947" spans="1:19" hidden="1" x14ac:dyDescent="0.35">
      <c r="A947" s="22">
        <v>6</v>
      </c>
      <c r="B947" t="s">
        <v>801</v>
      </c>
      <c r="C947" t="s">
        <v>802</v>
      </c>
      <c r="D947"/>
      <c r="E947" t="s">
        <v>963</v>
      </c>
      <c r="F947">
        <v>9003759</v>
      </c>
      <c r="G947" t="s">
        <v>964</v>
      </c>
      <c r="H947" t="s">
        <v>805</v>
      </c>
      <c r="I947">
        <v>141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141</v>
      </c>
      <c r="P947" s="44" t="e">
        <f>_xlfn.XLOOKUP(Tabla5[[#This Row],[EAN CORREGIDO]],'Tabla Articulos'!B:B,'Tabla Articulos'!D:D)</f>
        <v>#N/A</v>
      </c>
      <c r="Q947" s="44" t="e">
        <f>_xlfn.XLOOKUP(S947,'Tabla Articulos'!B:B,'Tabla Articulos'!E:E)</f>
        <v>#N/A</v>
      </c>
      <c r="R947" s="44" t="e">
        <f t="shared" si="28"/>
        <v>#N/A</v>
      </c>
      <c r="S947" s="45" t="str">
        <f t="shared" si="29"/>
        <v>BAZ001165</v>
      </c>
    </row>
    <row r="948" spans="1:19" hidden="1" x14ac:dyDescent="0.35">
      <c r="A948" s="22">
        <v>6</v>
      </c>
      <c r="B948" t="s">
        <v>801</v>
      </c>
      <c r="C948" t="s">
        <v>802</v>
      </c>
      <c r="D948" t="s">
        <v>189</v>
      </c>
      <c r="E948" t="s">
        <v>965</v>
      </c>
      <c r="F948">
        <v>2016603</v>
      </c>
      <c r="G948" t="s">
        <v>966</v>
      </c>
      <c r="H948" t="s">
        <v>805</v>
      </c>
      <c r="I948">
        <v>25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25</v>
      </c>
      <c r="P948" s="44" t="str">
        <f>_xlfn.XLOOKUP(Tabla5[[#This Row],[EAN CORREGIDO]],'Tabla Articulos'!B:B,'Tabla Articulos'!D:D)</f>
        <v>ARRANQUE 40X60</v>
      </c>
      <c r="Q948" s="44">
        <f>_xlfn.XLOOKUP(S948,'Tabla Articulos'!B:B,'Tabla Articulos'!E:E)</f>
        <v>6</v>
      </c>
      <c r="R948" s="44">
        <f t="shared" si="28"/>
        <v>150</v>
      </c>
      <c r="S948" s="45" t="str">
        <f t="shared" si="29"/>
        <v>7794459003547</v>
      </c>
    </row>
    <row r="949" spans="1:19" hidden="1" x14ac:dyDescent="0.35">
      <c r="A949" s="22">
        <v>1</v>
      </c>
      <c r="B949" t="s">
        <v>812</v>
      </c>
      <c r="C949" t="s">
        <v>802</v>
      </c>
      <c r="D949" s="11" t="s">
        <v>824</v>
      </c>
      <c r="E949" t="s">
        <v>967</v>
      </c>
      <c r="F949">
        <v>4024625</v>
      </c>
      <c r="G949" t="s">
        <v>968</v>
      </c>
      <c r="H949" t="s">
        <v>805</v>
      </c>
      <c r="I949">
        <v>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</v>
      </c>
      <c r="P949" s="44" t="e">
        <f>_xlfn.XLOOKUP(Tabla5[[#This Row],[EAN CORREGIDO]],'Tabla Articulos'!B:B,'Tabla Articulos'!D:D)</f>
        <v>#N/A</v>
      </c>
      <c r="Q949" s="44" t="e">
        <f>_xlfn.XLOOKUP(S949,'Tabla Articulos'!B:B,'Tabla Articulos'!E:E)</f>
        <v>#N/A</v>
      </c>
      <c r="R949" s="44" t="e">
        <f t="shared" si="28"/>
        <v>#N/A</v>
      </c>
      <c r="S949" s="45" t="str">
        <f t="shared" si="29"/>
        <v>7798186160993</v>
      </c>
    </row>
    <row r="950" spans="1:19" hidden="1" x14ac:dyDescent="0.35">
      <c r="A950" s="22">
        <v>1</v>
      </c>
      <c r="B950" t="s">
        <v>812</v>
      </c>
      <c r="C950" t="s">
        <v>802</v>
      </c>
      <c r="D950" t="s">
        <v>4062</v>
      </c>
      <c r="E950" t="s">
        <v>4063</v>
      </c>
      <c r="F950">
        <v>4020088</v>
      </c>
      <c r="G950" t="s">
        <v>4064</v>
      </c>
      <c r="H950" t="s">
        <v>805</v>
      </c>
      <c r="I950">
        <v>12072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12072</v>
      </c>
      <c r="P950" s="44" t="e">
        <f>_xlfn.XLOOKUP(Tabla5[[#This Row],[EAN CORREGIDO]],'Tabla Articulos'!B:B,'Tabla Articulos'!D:D)</f>
        <v>#N/A</v>
      </c>
      <c r="Q950" s="44" t="e">
        <f>_xlfn.XLOOKUP(S950,'Tabla Articulos'!B:B,'Tabla Articulos'!E:E)</f>
        <v>#N/A</v>
      </c>
      <c r="R950" s="44" t="e">
        <f t="shared" si="28"/>
        <v>#N/A</v>
      </c>
      <c r="S950" s="45" t="str">
        <f t="shared" si="29"/>
        <v>7792590001064</v>
      </c>
    </row>
    <row r="951" spans="1:19" hidden="1" x14ac:dyDescent="0.35">
      <c r="A951" s="22">
        <v>6</v>
      </c>
      <c r="B951" t="s">
        <v>801</v>
      </c>
      <c r="C951" t="s">
        <v>802</v>
      </c>
      <c r="E951" t="s">
        <v>4065</v>
      </c>
      <c r="F951">
        <v>9003551</v>
      </c>
      <c r="G951" t="s">
        <v>4066</v>
      </c>
      <c r="H951" t="s">
        <v>805</v>
      </c>
      <c r="I951">
        <v>10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10</v>
      </c>
      <c r="P951" s="44" t="e">
        <f>_xlfn.XLOOKUP(Tabla5[[#This Row],[EAN CORREGIDO]],'Tabla Articulos'!B:B,'Tabla Articulos'!D:D)</f>
        <v>#N/A</v>
      </c>
      <c r="Q951" s="44" t="e">
        <f>_xlfn.XLOOKUP(S951,'Tabla Articulos'!B:B,'Tabla Articulos'!E:E)</f>
        <v>#N/A</v>
      </c>
      <c r="R951" s="44" t="e">
        <f t="shared" si="28"/>
        <v>#N/A</v>
      </c>
      <c r="S951" s="45" t="str">
        <f t="shared" si="29"/>
        <v>UNIF000090</v>
      </c>
    </row>
    <row r="952" spans="1:19" hidden="1" x14ac:dyDescent="0.35">
      <c r="A952" s="22">
        <v>5</v>
      </c>
      <c r="B952" t="s">
        <v>829</v>
      </c>
      <c r="C952" t="s">
        <v>802</v>
      </c>
      <c r="D952" s="11" t="s">
        <v>4067</v>
      </c>
      <c r="E952" t="s">
        <v>4068</v>
      </c>
      <c r="F952">
        <v>4022445</v>
      </c>
      <c r="G952" t="s">
        <v>4069</v>
      </c>
      <c r="H952" t="s">
        <v>805</v>
      </c>
      <c r="I952">
        <v>20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20</v>
      </c>
      <c r="P952" s="44" t="e">
        <f>_xlfn.XLOOKUP(Tabla5[[#This Row],[EAN CORREGIDO]],'Tabla Articulos'!B:B,'Tabla Articulos'!D:D)</f>
        <v>#N/A</v>
      </c>
      <c r="Q952" s="44" t="e">
        <f>_xlfn.XLOOKUP(S952,'Tabla Articulos'!B:B,'Tabla Articulos'!E:E)</f>
        <v>#N/A</v>
      </c>
      <c r="R952" s="44" t="e">
        <f t="shared" si="28"/>
        <v>#N/A</v>
      </c>
      <c r="S952" s="45" t="str">
        <f t="shared" si="29"/>
        <v>7793275000341</v>
      </c>
    </row>
    <row r="953" spans="1:19" hidden="1" x14ac:dyDescent="0.35">
      <c r="A953" s="22">
        <v>1</v>
      </c>
      <c r="B953" t="s">
        <v>812</v>
      </c>
      <c r="C953" t="s">
        <v>802</v>
      </c>
      <c r="D953" t="s">
        <v>4070</v>
      </c>
      <c r="E953" t="s">
        <v>4071</v>
      </c>
      <c r="F953">
        <v>4023714</v>
      </c>
      <c r="G953" t="s">
        <v>4072</v>
      </c>
      <c r="H953" t="s">
        <v>805</v>
      </c>
      <c r="I953">
        <v>897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897</v>
      </c>
      <c r="P953" s="44" t="e">
        <f>_xlfn.XLOOKUP(Tabla5[[#This Row],[EAN CORREGIDO]],'Tabla Articulos'!B:B,'Tabla Articulos'!D:D)</f>
        <v>#N/A</v>
      </c>
      <c r="Q953" s="44" t="e">
        <f>_xlfn.XLOOKUP(S953,'Tabla Articulos'!B:B,'Tabla Articulos'!E:E)</f>
        <v>#N/A</v>
      </c>
      <c r="R953" s="44" t="e">
        <f t="shared" si="28"/>
        <v>#N/A</v>
      </c>
      <c r="S953" s="45" t="str">
        <f t="shared" si="29"/>
        <v>7791476019001</v>
      </c>
    </row>
    <row r="954" spans="1:19" hidden="1" x14ac:dyDescent="0.35">
      <c r="A954" s="22">
        <v>5</v>
      </c>
      <c r="B954" t="s">
        <v>829</v>
      </c>
      <c r="C954" t="s">
        <v>802</v>
      </c>
      <c r="D954" s="11" t="s">
        <v>4070</v>
      </c>
      <c r="E954" t="s">
        <v>4071</v>
      </c>
      <c r="F954">
        <v>4023714</v>
      </c>
      <c r="G954" t="s">
        <v>4072</v>
      </c>
      <c r="H954" t="s">
        <v>805</v>
      </c>
      <c r="I954">
        <v>44</v>
      </c>
      <c r="J954">
        <v>0</v>
      </c>
      <c r="K954">
        <v>0</v>
      </c>
      <c r="L954">
        <v>0</v>
      </c>
      <c r="M954">
        <v>2</v>
      </c>
      <c r="N954">
        <v>0</v>
      </c>
      <c r="O954">
        <v>42</v>
      </c>
      <c r="P954" s="44" t="e">
        <f>_xlfn.XLOOKUP(Tabla5[[#This Row],[EAN CORREGIDO]],'Tabla Articulos'!B:B,'Tabla Articulos'!D:D)</f>
        <v>#N/A</v>
      </c>
      <c r="Q954" s="44" t="e">
        <f>_xlfn.XLOOKUP(S954,'Tabla Articulos'!B:B,'Tabla Articulos'!E:E)</f>
        <v>#N/A</v>
      </c>
      <c r="R954" s="44" t="e">
        <f t="shared" si="28"/>
        <v>#N/A</v>
      </c>
      <c r="S954" s="45" t="str">
        <f t="shared" si="29"/>
        <v>7791476019001</v>
      </c>
    </row>
    <row r="955" spans="1:19" hidden="1" x14ac:dyDescent="0.35">
      <c r="A955" s="22">
        <v>5</v>
      </c>
      <c r="B955" t="s">
        <v>829</v>
      </c>
      <c r="C955" t="s">
        <v>802</v>
      </c>
      <c r="D955" t="s">
        <v>189</v>
      </c>
      <c r="E955" t="s">
        <v>4073</v>
      </c>
      <c r="F955">
        <v>2006272</v>
      </c>
      <c r="G955" t="s">
        <v>4074</v>
      </c>
      <c r="H955" t="s">
        <v>805</v>
      </c>
      <c r="I955">
        <v>25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25</v>
      </c>
      <c r="P955" s="44" t="str">
        <f>_xlfn.XLOOKUP(Tabla5[[#This Row],[EAN CORREGIDO]],'Tabla Articulos'!B:B,'Tabla Articulos'!D:D)</f>
        <v>ARRANQUE 40X60</v>
      </c>
      <c r="Q955" s="44">
        <f>_xlfn.XLOOKUP(S955,'Tabla Articulos'!B:B,'Tabla Articulos'!E:E)</f>
        <v>1</v>
      </c>
      <c r="R955" s="44">
        <f t="shared" si="28"/>
        <v>25</v>
      </c>
      <c r="S955" s="45" t="str">
        <f t="shared" si="29"/>
        <v>EMB000035</v>
      </c>
    </row>
    <row r="956" spans="1:19" hidden="1" x14ac:dyDescent="0.35">
      <c r="A956" s="22">
        <v>5</v>
      </c>
      <c r="B956" t="s">
        <v>829</v>
      </c>
      <c r="C956" t="s">
        <v>802</v>
      </c>
      <c r="D956" t="s">
        <v>851</v>
      </c>
      <c r="E956" t="s">
        <v>4075</v>
      </c>
      <c r="F956">
        <v>4022340</v>
      </c>
      <c r="G956" t="s">
        <v>4076</v>
      </c>
      <c r="H956" t="s">
        <v>805</v>
      </c>
      <c r="I956">
        <v>4850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4850</v>
      </c>
      <c r="P956" s="44" t="e">
        <f>_xlfn.XLOOKUP(Tabla5[[#This Row],[EAN CORREGIDO]],'Tabla Articulos'!B:B,'Tabla Articulos'!D:D)</f>
        <v>#N/A</v>
      </c>
      <c r="Q956" s="44" t="e">
        <f>_xlfn.XLOOKUP(S956,'Tabla Articulos'!B:B,'Tabla Articulos'!E:E)</f>
        <v>#N/A</v>
      </c>
      <c r="R956" s="44" t="e">
        <f t="shared" si="28"/>
        <v>#N/A</v>
      </c>
      <c r="S956" s="45" t="str">
        <f t="shared" si="29"/>
        <v>7798440570025</v>
      </c>
    </row>
    <row r="957" spans="1:19" hidden="1" x14ac:dyDescent="0.35">
      <c r="A957" s="22">
        <v>1</v>
      </c>
      <c r="B957" t="s">
        <v>812</v>
      </c>
      <c r="C957" t="s">
        <v>802</v>
      </c>
      <c r="D957" s="11" t="s">
        <v>4109</v>
      </c>
      <c r="E957" t="s">
        <v>4110</v>
      </c>
      <c r="F957">
        <v>4018697</v>
      </c>
      <c r="G957" t="s">
        <v>4111</v>
      </c>
      <c r="H957" t="s">
        <v>805</v>
      </c>
      <c r="I957">
        <v>40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40</v>
      </c>
      <c r="P957" s="44" t="e">
        <f>_xlfn.XLOOKUP(Tabla5[[#This Row],[EAN CORREGIDO]],'Tabla Articulos'!B:B,'Tabla Articulos'!D:D)</f>
        <v>#N/A</v>
      </c>
      <c r="Q957" s="44" t="e">
        <f>_xlfn.XLOOKUP(S957,'Tabla Articulos'!B:B,'Tabla Articulos'!E:E)</f>
        <v>#N/A</v>
      </c>
      <c r="R957" s="44" t="e">
        <f t="shared" si="28"/>
        <v>#N/A</v>
      </c>
      <c r="S957" s="45" t="str">
        <f t="shared" si="29"/>
        <v>7795711000076</v>
      </c>
    </row>
    <row r="958" spans="1:19" hidden="1" x14ac:dyDescent="0.35">
      <c r="A958" s="22">
        <v>6</v>
      </c>
      <c r="B958" t="s">
        <v>801</v>
      </c>
      <c r="C958" t="s">
        <v>802</v>
      </c>
      <c r="D958"/>
      <c r="E958" t="s">
        <v>3973</v>
      </c>
      <c r="F958">
        <v>9003614</v>
      </c>
      <c r="G958" t="s">
        <v>3974</v>
      </c>
      <c r="H958" t="s">
        <v>805</v>
      </c>
      <c r="I958">
        <v>43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43</v>
      </c>
      <c r="P958" s="44" t="e">
        <f>_xlfn.XLOOKUP(Tabla5[[#This Row],[EAN CORREGIDO]],'Tabla Articulos'!B:B,'Tabla Articulos'!D:D)</f>
        <v>#N/A</v>
      </c>
      <c r="Q958" s="44" t="e">
        <f>_xlfn.XLOOKUP(S958,'Tabla Articulos'!B:B,'Tabla Articulos'!E:E)</f>
        <v>#N/A</v>
      </c>
      <c r="R958" s="44" t="e">
        <f t="shared" si="28"/>
        <v>#N/A</v>
      </c>
      <c r="S958" s="45" t="str">
        <f t="shared" si="29"/>
        <v>UNIF000453</v>
      </c>
    </row>
    <row r="959" spans="1:19" hidden="1" x14ac:dyDescent="0.35">
      <c r="A959" s="22">
        <v>1</v>
      </c>
      <c r="B959" t="s">
        <v>812</v>
      </c>
      <c r="C959" t="s">
        <v>802</v>
      </c>
      <c r="D959" t="s">
        <v>1366</v>
      </c>
      <c r="E959" t="s">
        <v>3975</v>
      </c>
      <c r="F959">
        <v>4023659</v>
      </c>
      <c r="G959" t="s">
        <v>3976</v>
      </c>
      <c r="H959" t="s">
        <v>805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 s="44" t="e">
        <f>_xlfn.XLOOKUP(Tabla5[[#This Row],[EAN CORREGIDO]],'Tabla Articulos'!B:B,'Tabla Articulos'!D:D)</f>
        <v>#N/A</v>
      </c>
      <c r="Q959" s="44" t="e">
        <f>_xlfn.XLOOKUP(S959,'Tabla Articulos'!B:B,'Tabla Articulos'!E:E)</f>
        <v>#N/A</v>
      </c>
      <c r="R959" s="44" t="e">
        <f t="shared" si="28"/>
        <v>#N/A</v>
      </c>
      <c r="S959" s="45" t="str">
        <f t="shared" si="29"/>
        <v>7792316001019</v>
      </c>
    </row>
    <row r="960" spans="1:19" hidden="1" x14ac:dyDescent="0.35">
      <c r="A960" s="22">
        <v>1</v>
      </c>
      <c r="B960" t="s">
        <v>812</v>
      </c>
      <c r="C960" t="s">
        <v>802</v>
      </c>
      <c r="D960" t="s">
        <v>3977</v>
      </c>
      <c r="E960" t="s">
        <v>3978</v>
      </c>
      <c r="F960">
        <v>4024620</v>
      </c>
      <c r="G960" t="s">
        <v>3979</v>
      </c>
      <c r="H960" t="s">
        <v>805</v>
      </c>
      <c r="I960">
        <v>57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57</v>
      </c>
      <c r="P960" s="44" t="e">
        <f>_xlfn.XLOOKUP(Tabla5[[#This Row],[EAN CORREGIDO]],'Tabla Articulos'!B:B,'Tabla Articulos'!D:D)</f>
        <v>#N/A</v>
      </c>
      <c r="Q960" s="44" t="e">
        <f>_xlfn.XLOOKUP(S960,'Tabla Articulos'!B:B,'Tabla Articulos'!E:E)</f>
        <v>#N/A</v>
      </c>
      <c r="R960" s="44" t="e">
        <f t="shared" si="28"/>
        <v>#N/A</v>
      </c>
      <c r="S960" s="45" t="str">
        <f t="shared" si="29"/>
        <v>7790045826620</v>
      </c>
    </row>
    <row r="961" spans="1:19" hidden="1" x14ac:dyDescent="0.35">
      <c r="A961" s="22">
        <v>6</v>
      </c>
      <c r="B961" t="s">
        <v>801</v>
      </c>
      <c r="C961" t="s">
        <v>802</v>
      </c>
      <c r="E961" t="s">
        <v>3980</v>
      </c>
      <c r="F961">
        <v>5000796</v>
      </c>
      <c r="G961" t="s">
        <v>3981</v>
      </c>
      <c r="H961" t="s">
        <v>805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 s="44" t="e">
        <f>_xlfn.XLOOKUP(Tabla5[[#This Row],[EAN CORREGIDO]],'Tabla Articulos'!B:B,'Tabla Articulos'!D:D)</f>
        <v>#N/A</v>
      </c>
      <c r="Q961" s="44" t="e">
        <f>_xlfn.XLOOKUP(S961,'Tabla Articulos'!B:B,'Tabla Articulos'!E:E)</f>
        <v>#N/A</v>
      </c>
      <c r="R961" s="44" t="e">
        <f t="shared" ref="R961:R1024" si="30">O961*Q961</f>
        <v>#N/A</v>
      </c>
      <c r="S961" s="45" t="str">
        <f t="shared" ref="S961:S1024" si="31">TRIM(E961)</f>
        <v>5000796</v>
      </c>
    </row>
    <row r="962" spans="1:19" hidden="1" x14ac:dyDescent="0.35">
      <c r="A962" s="22">
        <v>6</v>
      </c>
      <c r="B962" t="s">
        <v>801</v>
      </c>
      <c r="C962" t="s">
        <v>802</v>
      </c>
      <c r="D962"/>
      <c r="E962" t="s">
        <v>3982</v>
      </c>
      <c r="F962">
        <v>9003567</v>
      </c>
      <c r="G962" t="s">
        <v>3983</v>
      </c>
      <c r="H962" t="s">
        <v>805</v>
      </c>
      <c r="I962">
        <v>12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12</v>
      </c>
      <c r="P962" s="44" t="e">
        <f>_xlfn.XLOOKUP(Tabla5[[#This Row],[EAN CORREGIDO]],'Tabla Articulos'!B:B,'Tabla Articulos'!D:D)</f>
        <v>#N/A</v>
      </c>
      <c r="Q962" s="44" t="e">
        <f>_xlfn.XLOOKUP(S962,'Tabla Articulos'!B:B,'Tabla Articulos'!E:E)</f>
        <v>#N/A</v>
      </c>
      <c r="R962" s="44" t="e">
        <f t="shared" si="30"/>
        <v>#N/A</v>
      </c>
      <c r="S962" s="45" t="str">
        <f t="shared" si="31"/>
        <v>UNIF000150</v>
      </c>
    </row>
    <row r="963" spans="1:19" hidden="1" x14ac:dyDescent="0.35">
      <c r="A963" s="22">
        <v>5</v>
      </c>
      <c r="B963" t="s">
        <v>829</v>
      </c>
      <c r="C963" t="s">
        <v>802</v>
      </c>
      <c r="D963" t="s">
        <v>1357</v>
      </c>
      <c r="E963" t="s">
        <v>1358</v>
      </c>
      <c r="F963">
        <v>4018917</v>
      </c>
      <c r="G963" t="s">
        <v>1359</v>
      </c>
      <c r="H963" t="s">
        <v>805</v>
      </c>
      <c r="I963">
        <v>46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46</v>
      </c>
      <c r="P963" s="44" t="e">
        <f>_xlfn.XLOOKUP(Tabla5[[#This Row],[EAN CORREGIDO]],'Tabla Articulos'!B:B,'Tabla Articulos'!D:D)</f>
        <v>#N/A</v>
      </c>
      <c r="Q963" s="44" t="e">
        <f>_xlfn.XLOOKUP(S963,'Tabla Articulos'!B:B,'Tabla Articulos'!E:E)</f>
        <v>#N/A</v>
      </c>
      <c r="R963" s="44" t="e">
        <f t="shared" si="30"/>
        <v>#N/A</v>
      </c>
      <c r="S963" s="45" t="str">
        <f t="shared" si="31"/>
        <v>7798188380177</v>
      </c>
    </row>
    <row r="964" spans="1:19" hidden="1" x14ac:dyDescent="0.35">
      <c r="A964" s="22">
        <v>6</v>
      </c>
      <c r="B964" t="s">
        <v>801</v>
      </c>
      <c r="C964" t="s">
        <v>802</v>
      </c>
      <c r="D964"/>
      <c r="E964" t="s">
        <v>1360</v>
      </c>
      <c r="F964">
        <v>9003138</v>
      </c>
      <c r="G964" t="s">
        <v>1162</v>
      </c>
      <c r="H964" t="s">
        <v>805</v>
      </c>
      <c r="I964">
        <v>79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79</v>
      </c>
      <c r="P964" s="44" t="e">
        <f>_xlfn.XLOOKUP(Tabla5[[#This Row],[EAN CORREGIDO]],'Tabla Articulos'!B:B,'Tabla Articulos'!D:D)</f>
        <v>#N/A</v>
      </c>
      <c r="Q964" s="44" t="e">
        <f>_xlfn.XLOOKUP(S964,'Tabla Articulos'!B:B,'Tabla Articulos'!E:E)</f>
        <v>#N/A</v>
      </c>
      <c r="R964" s="44" t="e">
        <f t="shared" si="30"/>
        <v>#N/A</v>
      </c>
      <c r="S964" s="45" t="str">
        <f t="shared" si="31"/>
        <v>UNIF000600</v>
      </c>
    </row>
    <row r="965" spans="1:19" hidden="1" x14ac:dyDescent="0.35">
      <c r="A965" s="22">
        <v>6</v>
      </c>
      <c r="B965" t="s">
        <v>801</v>
      </c>
      <c r="C965" t="s">
        <v>802</v>
      </c>
      <c r="D965" s="11" t="s">
        <v>246</v>
      </c>
      <c r="E965" t="s">
        <v>1361</v>
      </c>
      <c r="F965">
        <v>2007129</v>
      </c>
      <c r="G965" t="s">
        <v>1362</v>
      </c>
      <c r="H965" t="s">
        <v>805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</v>
      </c>
      <c r="P965" s="44" t="e">
        <f>_xlfn.XLOOKUP(Tabla5[[#This Row],[EAN CORREGIDO]],'Tabla Articulos'!B:B,'Tabla Articulos'!D:D)</f>
        <v>#N/A</v>
      </c>
      <c r="Q965" s="44" t="e">
        <f>_xlfn.XLOOKUP(S965,'Tabla Articulos'!B:B,'Tabla Articulos'!E:E)</f>
        <v>#N/A</v>
      </c>
      <c r="R965" s="44" t="e">
        <f t="shared" si="30"/>
        <v>#N/A</v>
      </c>
      <c r="S965" s="45" t="str">
        <f t="shared" si="31"/>
        <v>0736372273444</v>
      </c>
    </row>
    <row r="966" spans="1:19" hidden="1" x14ac:dyDescent="0.35">
      <c r="A966" s="22">
        <v>1</v>
      </c>
      <c r="B966" t="s">
        <v>812</v>
      </c>
      <c r="C966" t="s">
        <v>802</v>
      </c>
      <c r="D966" t="s">
        <v>1868</v>
      </c>
      <c r="E966" t="s">
        <v>1869</v>
      </c>
      <c r="F966">
        <v>4022180</v>
      </c>
      <c r="G966" t="s">
        <v>1870</v>
      </c>
      <c r="H966" t="s">
        <v>805</v>
      </c>
      <c r="I966">
        <v>10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10</v>
      </c>
      <c r="P966" s="44" t="e">
        <f>_xlfn.XLOOKUP(Tabla5[[#This Row],[EAN CORREGIDO]],'Tabla Articulos'!B:B,'Tabla Articulos'!D:D)</f>
        <v>#N/A</v>
      </c>
      <c r="Q966" s="44" t="e">
        <f>_xlfn.XLOOKUP(S966,'Tabla Articulos'!B:B,'Tabla Articulos'!E:E)</f>
        <v>#N/A</v>
      </c>
      <c r="R966" s="44" t="e">
        <f t="shared" si="30"/>
        <v>#N/A</v>
      </c>
      <c r="S966" s="45" t="str">
        <f t="shared" si="31"/>
        <v>7798011977420</v>
      </c>
    </row>
    <row r="967" spans="1:19" hidden="1" x14ac:dyDescent="0.35">
      <c r="A967" s="22">
        <v>6</v>
      </c>
      <c r="B967" t="s">
        <v>801</v>
      </c>
      <c r="C967" t="s">
        <v>802</v>
      </c>
      <c r="D967"/>
      <c r="E967" t="s">
        <v>5223</v>
      </c>
      <c r="F967"/>
      <c r="G967" t="s">
        <v>5224</v>
      </c>
      <c r="H967" t="s">
        <v>805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</v>
      </c>
      <c r="P967" s="44" t="e">
        <f>_xlfn.XLOOKUP(Tabla5[[#This Row],[EAN CORREGIDO]],'Tabla Articulos'!B:B,'Tabla Articulos'!D:D)</f>
        <v>#N/A</v>
      </c>
      <c r="Q967" s="44" t="e">
        <f>_xlfn.XLOOKUP(S967,'Tabla Articulos'!B:B,'Tabla Articulos'!E:E)</f>
        <v>#N/A</v>
      </c>
      <c r="R967" s="44" t="e">
        <f t="shared" si="30"/>
        <v>#N/A</v>
      </c>
      <c r="S967" s="45" t="str">
        <f t="shared" si="31"/>
        <v>BUSAT000187</v>
      </c>
    </row>
    <row r="968" spans="1:19" hidden="1" x14ac:dyDescent="0.35">
      <c r="A968" s="22">
        <v>6</v>
      </c>
      <c r="B968" t="s">
        <v>801</v>
      </c>
      <c r="C968" t="s">
        <v>802</v>
      </c>
      <c r="D968"/>
      <c r="E968" t="s">
        <v>5225</v>
      </c>
      <c r="F968"/>
      <c r="G968" t="s">
        <v>5226</v>
      </c>
      <c r="H968" t="s">
        <v>805</v>
      </c>
      <c r="I968">
        <v>12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12</v>
      </c>
      <c r="P968" s="44" t="e">
        <f>_xlfn.XLOOKUP(Tabla5[[#This Row],[EAN CORREGIDO]],'Tabla Articulos'!B:B,'Tabla Articulos'!D:D)</f>
        <v>#N/A</v>
      </c>
      <c r="Q968" s="44" t="e">
        <f>_xlfn.XLOOKUP(S968,'Tabla Articulos'!B:B,'Tabla Articulos'!E:E)</f>
        <v>#N/A</v>
      </c>
      <c r="R968" s="44" t="e">
        <f t="shared" si="30"/>
        <v>#N/A</v>
      </c>
      <c r="S968" s="45" t="str">
        <f t="shared" si="31"/>
        <v>BUSAT000165</v>
      </c>
    </row>
    <row r="969" spans="1:19" hidden="1" x14ac:dyDescent="0.35">
      <c r="A969" s="22">
        <v>6</v>
      </c>
      <c r="B969" t="s">
        <v>801</v>
      </c>
      <c r="C969" t="s">
        <v>802</v>
      </c>
      <c r="D969"/>
      <c r="E969" t="s">
        <v>5227</v>
      </c>
      <c r="F969"/>
      <c r="G969" t="s">
        <v>5228</v>
      </c>
      <c r="H969" t="s">
        <v>1034</v>
      </c>
      <c r="I969">
        <v>8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8</v>
      </c>
      <c r="P969" s="44" t="e">
        <f>_xlfn.XLOOKUP(Tabla5[[#This Row],[EAN CORREGIDO]],'Tabla Articulos'!B:B,'Tabla Articulos'!D:D)</f>
        <v>#N/A</v>
      </c>
      <c r="Q969" s="44" t="e">
        <f>_xlfn.XLOOKUP(S969,'Tabla Articulos'!B:B,'Tabla Articulos'!E:E)</f>
        <v>#N/A</v>
      </c>
      <c r="R969" s="44" t="e">
        <f t="shared" si="30"/>
        <v>#N/A</v>
      </c>
      <c r="S969" s="45" t="str">
        <f t="shared" si="31"/>
        <v>BUSAT000083</v>
      </c>
    </row>
    <row r="970" spans="1:19" hidden="1" x14ac:dyDescent="0.35">
      <c r="A970" s="22">
        <v>6</v>
      </c>
      <c r="B970" t="s">
        <v>801</v>
      </c>
      <c r="C970" t="s">
        <v>802</v>
      </c>
      <c r="D970"/>
      <c r="E970" t="s">
        <v>5229</v>
      </c>
      <c r="F970"/>
      <c r="G970" t="s">
        <v>5230</v>
      </c>
      <c r="H970" t="s">
        <v>1034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</v>
      </c>
      <c r="P970" s="44" t="e">
        <f>_xlfn.XLOOKUP(Tabla5[[#This Row],[EAN CORREGIDO]],'Tabla Articulos'!B:B,'Tabla Articulos'!D:D)</f>
        <v>#N/A</v>
      </c>
      <c r="Q970" s="44" t="e">
        <f>_xlfn.XLOOKUP(S970,'Tabla Articulos'!B:B,'Tabla Articulos'!E:E)</f>
        <v>#N/A</v>
      </c>
      <c r="R970" s="44" t="e">
        <f t="shared" si="30"/>
        <v>#N/A</v>
      </c>
      <c r="S970" s="45" t="str">
        <f t="shared" si="31"/>
        <v>BUSAT000010</v>
      </c>
    </row>
    <row r="971" spans="1:19" hidden="1" x14ac:dyDescent="0.35">
      <c r="A971" s="22">
        <v>6</v>
      </c>
      <c r="B971" t="s">
        <v>801</v>
      </c>
      <c r="C971" t="s">
        <v>802</v>
      </c>
      <c r="D971"/>
      <c r="E971" t="s">
        <v>5231</v>
      </c>
      <c r="F971"/>
      <c r="G971" t="s">
        <v>5232</v>
      </c>
      <c r="H971" t="s">
        <v>805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</v>
      </c>
      <c r="P971" s="44" t="e">
        <f>_xlfn.XLOOKUP(Tabla5[[#This Row],[EAN CORREGIDO]],'Tabla Articulos'!B:B,'Tabla Articulos'!D:D)</f>
        <v>#N/A</v>
      </c>
      <c r="Q971" s="44" t="e">
        <f>_xlfn.XLOOKUP(S971,'Tabla Articulos'!B:B,'Tabla Articulos'!E:E)</f>
        <v>#N/A</v>
      </c>
      <c r="R971" s="44" t="e">
        <f t="shared" si="30"/>
        <v>#N/A</v>
      </c>
      <c r="S971" s="45" t="str">
        <f t="shared" si="31"/>
        <v>BUSAT000724</v>
      </c>
    </row>
    <row r="972" spans="1:19" hidden="1" x14ac:dyDescent="0.35">
      <c r="A972" s="22">
        <v>6</v>
      </c>
      <c r="B972" t="s">
        <v>801</v>
      </c>
      <c r="C972" t="s">
        <v>802</v>
      </c>
      <c r="D972"/>
      <c r="E972" t="s">
        <v>5233</v>
      </c>
      <c r="F972"/>
      <c r="G972" t="s">
        <v>5234</v>
      </c>
      <c r="H972" t="s">
        <v>805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</v>
      </c>
      <c r="P972" s="44" t="e">
        <f>_xlfn.XLOOKUP(Tabla5[[#This Row],[EAN CORREGIDO]],'Tabla Articulos'!B:B,'Tabla Articulos'!D:D)</f>
        <v>#N/A</v>
      </c>
      <c r="Q972" s="44" t="e">
        <f>_xlfn.XLOOKUP(S972,'Tabla Articulos'!B:B,'Tabla Articulos'!E:E)</f>
        <v>#N/A</v>
      </c>
      <c r="R972" s="44" t="e">
        <f t="shared" si="30"/>
        <v>#N/A</v>
      </c>
      <c r="S972" s="45" t="str">
        <f t="shared" si="31"/>
        <v>BUSAT000859</v>
      </c>
    </row>
    <row r="973" spans="1:19" hidden="1" x14ac:dyDescent="0.35">
      <c r="A973" s="22">
        <v>6</v>
      </c>
      <c r="B973" t="s">
        <v>801</v>
      </c>
      <c r="C973" t="s">
        <v>802</v>
      </c>
      <c r="D973"/>
      <c r="E973" t="s">
        <v>5235</v>
      </c>
      <c r="F973"/>
      <c r="G973" t="s">
        <v>5236</v>
      </c>
      <c r="H973" t="s">
        <v>805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3</v>
      </c>
      <c r="P973" s="44" t="e">
        <f>_xlfn.XLOOKUP(Tabla5[[#This Row],[EAN CORREGIDO]],'Tabla Articulos'!B:B,'Tabla Articulos'!D:D)</f>
        <v>#N/A</v>
      </c>
      <c r="Q973" s="44" t="e">
        <f>_xlfn.XLOOKUP(S973,'Tabla Articulos'!B:B,'Tabla Articulos'!E:E)</f>
        <v>#N/A</v>
      </c>
      <c r="R973" s="44" t="e">
        <f t="shared" si="30"/>
        <v>#N/A</v>
      </c>
      <c r="S973" s="45" t="str">
        <f t="shared" si="31"/>
        <v>BUSAT000627</v>
      </c>
    </row>
    <row r="974" spans="1:19" hidden="1" x14ac:dyDescent="0.35">
      <c r="A974" s="22">
        <v>6</v>
      </c>
      <c r="B974" t="s">
        <v>801</v>
      </c>
      <c r="C974" t="s">
        <v>802</v>
      </c>
      <c r="D974"/>
      <c r="E974" t="s">
        <v>5237</v>
      </c>
      <c r="F974"/>
      <c r="G974" t="s">
        <v>5238</v>
      </c>
      <c r="H974" t="s">
        <v>805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</v>
      </c>
      <c r="P974" s="44" t="e">
        <f>_xlfn.XLOOKUP(Tabla5[[#This Row],[EAN CORREGIDO]],'Tabla Articulos'!B:B,'Tabla Articulos'!D:D)</f>
        <v>#N/A</v>
      </c>
      <c r="Q974" s="44" t="e">
        <f>_xlfn.XLOOKUP(S974,'Tabla Articulos'!B:B,'Tabla Articulos'!E:E)</f>
        <v>#N/A</v>
      </c>
      <c r="R974" s="44" t="e">
        <f t="shared" si="30"/>
        <v>#N/A</v>
      </c>
      <c r="S974" s="45" t="str">
        <f t="shared" si="31"/>
        <v>BUSAT001019</v>
      </c>
    </row>
    <row r="975" spans="1:19" hidden="1" x14ac:dyDescent="0.35">
      <c r="A975" s="22">
        <v>6</v>
      </c>
      <c r="B975" t="s">
        <v>801</v>
      </c>
      <c r="C975" t="s">
        <v>802</v>
      </c>
      <c r="E975" t="s">
        <v>5239</v>
      </c>
      <c r="F975"/>
      <c r="G975" t="s">
        <v>5240</v>
      </c>
      <c r="H975" t="s">
        <v>805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</v>
      </c>
      <c r="P975" s="44" t="e">
        <f>_xlfn.XLOOKUP(Tabla5[[#This Row],[EAN CORREGIDO]],'Tabla Articulos'!B:B,'Tabla Articulos'!D:D)</f>
        <v>#N/A</v>
      </c>
      <c r="Q975" s="44" t="e">
        <f>_xlfn.XLOOKUP(S975,'Tabla Articulos'!B:B,'Tabla Articulos'!E:E)</f>
        <v>#N/A</v>
      </c>
      <c r="R975" s="44" t="e">
        <f t="shared" si="30"/>
        <v>#N/A</v>
      </c>
      <c r="S975" s="45" t="str">
        <f t="shared" si="31"/>
        <v>BUSAT000605</v>
      </c>
    </row>
    <row r="976" spans="1:19" hidden="1" x14ac:dyDescent="0.35">
      <c r="A976" s="22">
        <v>6</v>
      </c>
      <c r="B976" t="s">
        <v>801</v>
      </c>
      <c r="C976" t="s">
        <v>802</v>
      </c>
      <c r="E976" t="s">
        <v>5241</v>
      </c>
      <c r="F976"/>
      <c r="G976" t="s">
        <v>5242</v>
      </c>
      <c r="H976" t="s">
        <v>1034</v>
      </c>
      <c r="I976">
        <v>3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3</v>
      </c>
      <c r="P976" s="44" t="e">
        <f>_xlfn.XLOOKUP(Tabla5[[#This Row],[EAN CORREGIDO]],'Tabla Articulos'!B:B,'Tabla Articulos'!D:D)</f>
        <v>#N/A</v>
      </c>
      <c r="Q976" s="44" t="e">
        <f>_xlfn.XLOOKUP(S976,'Tabla Articulos'!B:B,'Tabla Articulos'!E:E)</f>
        <v>#N/A</v>
      </c>
      <c r="R976" s="44" t="e">
        <f t="shared" si="30"/>
        <v>#N/A</v>
      </c>
      <c r="S976" s="45" t="str">
        <f t="shared" si="31"/>
        <v>BUSAT000296</v>
      </c>
    </row>
    <row r="977" spans="1:19" hidden="1" x14ac:dyDescent="0.35">
      <c r="A977" s="22">
        <v>6</v>
      </c>
      <c r="B977" t="s">
        <v>801</v>
      </c>
      <c r="C977" t="s">
        <v>802</v>
      </c>
      <c r="D977"/>
      <c r="E977" t="s">
        <v>5243</v>
      </c>
      <c r="F977"/>
      <c r="G977" t="s">
        <v>5244</v>
      </c>
      <c r="H977" t="s">
        <v>805</v>
      </c>
      <c r="I977">
        <v>5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5</v>
      </c>
      <c r="P977" s="44" t="e">
        <f>_xlfn.XLOOKUP(Tabla5[[#This Row],[EAN CORREGIDO]],'Tabla Articulos'!B:B,'Tabla Articulos'!D:D)</f>
        <v>#N/A</v>
      </c>
      <c r="Q977" s="44" t="e">
        <f>_xlfn.XLOOKUP(S977,'Tabla Articulos'!B:B,'Tabla Articulos'!E:E)</f>
        <v>#N/A</v>
      </c>
      <c r="R977" s="44" t="e">
        <f t="shared" si="30"/>
        <v>#N/A</v>
      </c>
      <c r="S977" s="45" t="str">
        <f t="shared" si="31"/>
        <v>BUSAT000710</v>
      </c>
    </row>
    <row r="978" spans="1:19" hidden="1" x14ac:dyDescent="0.35">
      <c r="A978" s="22">
        <v>6</v>
      </c>
      <c r="B978" t="s">
        <v>801</v>
      </c>
      <c r="C978" t="s">
        <v>802</v>
      </c>
      <c r="D978"/>
      <c r="E978" t="s">
        <v>5245</v>
      </c>
      <c r="F978"/>
      <c r="G978" t="s">
        <v>5246</v>
      </c>
      <c r="H978" t="s">
        <v>805</v>
      </c>
      <c r="I978">
        <v>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</v>
      </c>
      <c r="P978" s="44" t="e">
        <f>_xlfn.XLOOKUP(Tabla5[[#This Row],[EAN CORREGIDO]],'Tabla Articulos'!B:B,'Tabla Articulos'!D:D)</f>
        <v>#N/A</v>
      </c>
      <c r="Q978" s="44" t="e">
        <f>_xlfn.XLOOKUP(S978,'Tabla Articulos'!B:B,'Tabla Articulos'!E:E)</f>
        <v>#N/A</v>
      </c>
      <c r="R978" s="44" t="e">
        <f t="shared" si="30"/>
        <v>#N/A</v>
      </c>
      <c r="S978" s="45" t="str">
        <f t="shared" si="31"/>
        <v>BUSAT000450</v>
      </c>
    </row>
    <row r="979" spans="1:19" hidden="1" x14ac:dyDescent="0.35">
      <c r="A979" s="22">
        <v>6</v>
      </c>
      <c r="B979" t="s">
        <v>801</v>
      </c>
      <c r="C979" t="s">
        <v>802</v>
      </c>
      <c r="E979" t="s">
        <v>5247</v>
      </c>
      <c r="F979"/>
      <c r="G979" t="s">
        <v>5248</v>
      </c>
      <c r="H979" t="s">
        <v>805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 s="44" t="e">
        <f>_xlfn.XLOOKUP(Tabla5[[#This Row],[EAN CORREGIDO]],'Tabla Articulos'!B:B,'Tabla Articulos'!D:D)</f>
        <v>#N/A</v>
      </c>
      <c r="Q979" s="44" t="e">
        <f>_xlfn.XLOOKUP(S979,'Tabla Articulos'!B:B,'Tabla Articulos'!E:E)</f>
        <v>#N/A</v>
      </c>
      <c r="R979" s="44" t="e">
        <f t="shared" si="30"/>
        <v>#N/A</v>
      </c>
      <c r="S979" s="45" t="str">
        <f t="shared" si="31"/>
        <v>BUSAT001104</v>
      </c>
    </row>
    <row r="980" spans="1:19" hidden="1" x14ac:dyDescent="0.35">
      <c r="A980" s="22">
        <v>6</v>
      </c>
      <c r="B980" t="s">
        <v>801</v>
      </c>
      <c r="C980" t="s">
        <v>802</v>
      </c>
      <c r="D980"/>
      <c r="E980" t="s">
        <v>5249</v>
      </c>
      <c r="F980"/>
      <c r="G980" t="s">
        <v>5250</v>
      </c>
      <c r="H980" t="s">
        <v>805</v>
      </c>
      <c r="I980">
        <v>64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64</v>
      </c>
      <c r="P980" s="44" t="e">
        <f>_xlfn.XLOOKUP(Tabla5[[#This Row],[EAN CORREGIDO]],'Tabla Articulos'!B:B,'Tabla Articulos'!D:D)</f>
        <v>#N/A</v>
      </c>
      <c r="Q980" s="44" t="e">
        <f>_xlfn.XLOOKUP(S980,'Tabla Articulos'!B:B,'Tabla Articulos'!E:E)</f>
        <v>#N/A</v>
      </c>
      <c r="R980" s="44" t="e">
        <f t="shared" si="30"/>
        <v>#N/A</v>
      </c>
      <c r="S980" s="45" t="str">
        <f t="shared" si="31"/>
        <v>BUSAT001103</v>
      </c>
    </row>
    <row r="981" spans="1:19" hidden="1" x14ac:dyDescent="0.35">
      <c r="A981" s="22">
        <v>6</v>
      </c>
      <c r="B981" t="s">
        <v>801</v>
      </c>
      <c r="C981" t="s">
        <v>802</v>
      </c>
      <c r="D981"/>
      <c r="E981" t="s">
        <v>5251</v>
      </c>
      <c r="F981"/>
      <c r="G981" t="s">
        <v>5252</v>
      </c>
      <c r="H981" t="s">
        <v>805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 s="44" t="e">
        <f>_xlfn.XLOOKUP(Tabla5[[#This Row],[EAN CORREGIDO]],'Tabla Articulos'!B:B,'Tabla Articulos'!D:D)</f>
        <v>#N/A</v>
      </c>
      <c r="Q981" s="44" t="e">
        <f>_xlfn.XLOOKUP(S981,'Tabla Articulos'!B:B,'Tabla Articulos'!E:E)</f>
        <v>#N/A</v>
      </c>
      <c r="R981" s="44" t="e">
        <f t="shared" si="30"/>
        <v>#N/A</v>
      </c>
      <c r="S981" s="45" t="str">
        <f t="shared" si="31"/>
        <v>BUSAT000275</v>
      </c>
    </row>
    <row r="982" spans="1:19" hidden="1" x14ac:dyDescent="0.35">
      <c r="A982" s="22">
        <v>6</v>
      </c>
      <c r="B982" t="s">
        <v>801</v>
      </c>
      <c r="C982" t="s">
        <v>802</v>
      </c>
      <c r="D982"/>
      <c r="E982" t="s">
        <v>5253</v>
      </c>
      <c r="F982"/>
      <c r="G982" t="s">
        <v>5254</v>
      </c>
      <c r="H982" t="s">
        <v>805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</v>
      </c>
      <c r="P982" s="44" t="e">
        <f>_xlfn.XLOOKUP(Tabla5[[#This Row],[EAN CORREGIDO]],'Tabla Articulos'!B:B,'Tabla Articulos'!D:D)</f>
        <v>#N/A</v>
      </c>
      <c r="Q982" s="44" t="e">
        <f>_xlfn.XLOOKUP(S982,'Tabla Articulos'!B:B,'Tabla Articulos'!E:E)</f>
        <v>#N/A</v>
      </c>
      <c r="R982" s="44" t="e">
        <f t="shared" si="30"/>
        <v>#N/A</v>
      </c>
      <c r="S982" s="45" t="str">
        <f t="shared" si="31"/>
        <v>BUSAT001002</v>
      </c>
    </row>
    <row r="983" spans="1:19" hidden="1" x14ac:dyDescent="0.35">
      <c r="A983" s="22">
        <v>5</v>
      </c>
      <c r="B983" t="s">
        <v>829</v>
      </c>
      <c r="C983" t="s">
        <v>802</v>
      </c>
      <c r="D983" s="11" t="s">
        <v>5186</v>
      </c>
      <c r="E983" t="s">
        <v>5187</v>
      </c>
      <c r="F983">
        <v>4019327</v>
      </c>
      <c r="G983" t="s">
        <v>5188</v>
      </c>
      <c r="H983" t="s">
        <v>805</v>
      </c>
      <c r="I983">
        <v>619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619</v>
      </c>
      <c r="P983" s="44" t="e">
        <f>_xlfn.XLOOKUP(Tabla5[[#This Row],[EAN CORREGIDO]],'Tabla Articulos'!B:B,'Tabla Articulos'!D:D)</f>
        <v>#N/A</v>
      </c>
      <c r="Q983" s="44" t="e">
        <f>_xlfn.XLOOKUP(S983,'Tabla Articulos'!B:B,'Tabla Articulos'!E:E)</f>
        <v>#N/A</v>
      </c>
      <c r="R983" s="44" t="e">
        <f t="shared" si="30"/>
        <v>#N/A</v>
      </c>
      <c r="S983" s="45" t="str">
        <f t="shared" si="31"/>
        <v>7790045001591</v>
      </c>
    </row>
    <row r="984" spans="1:19" hidden="1" x14ac:dyDescent="0.35">
      <c r="A984" s="22">
        <v>1</v>
      </c>
      <c r="B984" t="s">
        <v>812</v>
      </c>
      <c r="C984" t="s">
        <v>802</v>
      </c>
      <c r="D984" s="11" t="s">
        <v>5186</v>
      </c>
      <c r="E984" t="s">
        <v>5187</v>
      </c>
      <c r="F984">
        <v>4019327</v>
      </c>
      <c r="G984" t="s">
        <v>5188</v>
      </c>
      <c r="H984" t="s">
        <v>805</v>
      </c>
      <c r="I984">
        <v>23217</v>
      </c>
      <c r="J984">
        <v>801</v>
      </c>
      <c r="K984">
        <v>0</v>
      </c>
      <c r="L984">
        <v>0</v>
      </c>
      <c r="M984">
        <v>0</v>
      </c>
      <c r="N984">
        <v>0</v>
      </c>
      <c r="O984">
        <v>24018</v>
      </c>
      <c r="P984" s="44" t="e">
        <f>_xlfn.XLOOKUP(Tabla5[[#This Row],[EAN CORREGIDO]],'Tabla Articulos'!B:B,'Tabla Articulos'!D:D)</f>
        <v>#N/A</v>
      </c>
      <c r="Q984" s="44" t="e">
        <f>_xlfn.XLOOKUP(S984,'Tabla Articulos'!B:B,'Tabla Articulos'!E:E)</f>
        <v>#N/A</v>
      </c>
      <c r="R984" s="44" t="e">
        <f t="shared" si="30"/>
        <v>#N/A</v>
      </c>
      <c r="S984" s="45" t="str">
        <f t="shared" si="31"/>
        <v>7790045001591</v>
      </c>
    </row>
    <row r="985" spans="1:19" hidden="1" x14ac:dyDescent="0.35">
      <c r="A985" s="22">
        <v>1</v>
      </c>
      <c r="B985" t="s">
        <v>812</v>
      </c>
      <c r="C985" t="s">
        <v>802</v>
      </c>
      <c r="D985" s="11" t="s">
        <v>1901</v>
      </c>
      <c r="E985" t="s">
        <v>5189</v>
      </c>
      <c r="F985">
        <v>4076533</v>
      </c>
      <c r="G985" t="s">
        <v>5190</v>
      </c>
      <c r="H985" t="s">
        <v>805</v>
      </c>
      <c r="I985">
        <v>355</v>
      </c>
      <c r="J985">
        <v>0</v>
      </c>
      <c r="K985">
        <v>0</v>
      </c>
      <c r="L985">
        <v>156</v>
      </c>
      <c r="M985">
        <v>156</v>
      </c>
      <c r="N985">
        <v>0</v>
      </c>
      <c r="O985">
        <v>43</v>
      </c>
      <c r="P985" s="44" t="e">
        <f>_xlfn.XLOOKUP(Tabla5[[#This Row],[EAN CORREGIDO]],'Tabla Articulos'!B:B,'Tabla Articulos'!D:D)</f>
        <v>#N/A</v>
      </c>
      <c r="Q985" s="44" t="e">
        <f>_xlfn.XLOOKUP(S985,'Tabla Articulos'!B:B,'Tabla Articulos'!E:E)</f>
        <v>#N/A</v>
      </c>
      <c r="R985" s="44" t="e">
        <f t="shared" si="30"/>
        <v>#N/A</v>
      </c>
      <c r="S985" s="45" t="str">
        <f t="shared" si="31"/>
        <v>7798451390018</v>
      </c>
    </row>
    <row r="986" spans="1:19" hidden="1" x14ac:dyDescent="0.35">
      <c r="A986" s="22">
        <v>6</v>
      </c>
      <c r="B986" t="s">
        <v>801</v>
      </c>
      <c r="C986" t="s">
        <v>802</v>
      </c>
      <c r="D986"/>
      <c r="E986" t="s">
        <v>5191</v>
      </c>
      <c r="F986">
        <v>9003441</v>
      </c>
      <c r="G986" t="s">
        <v>5192</v>
      </c>
      <c r="H986" t="s">
        <v>805</v>
      </c>
      <c r="I986">
        <v>25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25</v>
      </c>
      <c r="P986" s="44" t="e">
        <f>_xlfn.XLOOKUP(Tabla5[[#This Row],[EAN CORREGIDO]],'Tabla Articulos'!B:B,'Tabla Articulos'!D:D)</f>
        <v>#N/A</v>
      </c>
      <c r="Q986" s="44" t="e">
        <f>_xlfn.XLOOKUP(S986,'Tabla Articulos'!B:B,'Tabla Articulos'!E:E)</f>
        <v>#N/A</v>
      </c>
      <c r="R986" s="44" t="e">
        <f t="shared" si="30"/>
        <v>#N/A</v>
      </c>
      <c r="S986" s="45" t="str">
        <f t="shared" si="31"/>
        <v>UNIF000201</v>
      </c>
    </row>
    <row r="987" spans="1:19" hidden="1" x14ac:dyDescent="0.35">
      <c r="A987" s="22">
        <v>1</v>
      </c>
      <c r="B987" t="s">
        <v>812</v>
      </c>
      <c r="C987" t="s">
        <v>802</v>
      </c>
      <c r="D987" t="s">
        <v>5193</v>
      </c>
      <c r="E987" t="s">
        <v>5194</v>
      </c>
      <c r="F987">
        <v>4018915</v>
      </c>
      <c r="G987" t="s">
        <v>5195</v>
      </c>
      <c r="H987" t="s">
        <v>805</v>
      </c>
      <c r="I987">
        <v>657</v>
      </c>
      <c r="J987">
        <v>0</v>
      </c>
      <c r="K987">
        <v>0</v>
      </c>
      <c r="L987">
        <v>0</v>
      </c>
      <c r="M987">
        <v>0</v>
      </c>
      <c r="N987">
        <v>150</v>
      </c>
      <c r="O987">
        <v>507</v>
      </c>
      <c r="P987" s="44" t="e">
        <f>_xlfn.XLOOKUP(Tabla5[[#This Row],[EAN CORREGIDO]],'Tabla Articulos'!B:B,'Tabla Articulos'!D:D)</f>
        <v>#N/A</v>
      </c>
      <c r="Q987" s="44" t="e">
        <f>_xlfn.XLOOKUP(S987,'Tabla Articulos'!B:B,'Tabla Articulos'!E:E)</f>
        <v>#N/A</v>
      </c>
      <c r="R987" s="44" t="e">
        <f t="shared" si="30"/>
        <v>#N/A</v>
      </c>
      <c r="S987" s="45" t="str">
        <f t="shared" si="31"/>
        <v>7798082000485</v>
      </c>
    </row>
    <row r="988" spans="1:19" hidden="1" x14ac:dyDescent="0.35">
      <c r="A988" s="22">
        <v>6</v>
      </c>
      <c r="B988" t="s">
        <v>801</v>
      </c>
      <c r="C988" t="s">
        <v>802</v>
      </c>
      <c r="D988" t="s">
        <v>1002</v>
      </c>
      <c r="E988" t="s">
        <v>5198</v>
      </c>
      <c r="F988">
        <v>2006752</v>
      </c>
      <c r="G988" t="s">
        <v>5199</v>
      </c>
      <c r="H988" t="s">
        <v>805</v>
      </c>
      <c r="I988">
        <v>1434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1434</v>
      </c>
      <c r="P988" s="44" t="e">
        <f>_xlfn.XLOOKUP(Tabla5[[#This Row],[EAN CORREGIDO]],'Tabla Articulos'!B:B,'Tabla Articulos'!D:D)</f>
        <v>#N/A</v>
      </c>
      <c r="Q988" s="44" t="e">
        <f>_xlfn.XLOOKUP(S988,'Tabla Articulos'!B:B,'Tabla Articulos'!E:E)</f>
        <v>#N/A</v>
      </c>
      <c r="R988" s="44" t="e">
        <f t="shared" si="30"/>
        <v>#N/A</v>
      </c>
      <c r="S988" s="45" t="str">
        <f t="shared" si="31"/>
        <v>LIM000156</v>
      </c>
    </row>
    <row r="989" spans="1:19" hidden="1" x14ac:dyDescent="0.35">
      <c r="A989" s="22">
        <v>5</v>
      </c>
      <c r="B989" t="s">
        <v>829</v>
      </c>
      <c r="C989" t="s">
        <v>802</v>
      </c>
      <c r="D989" t="s">
        <v>3718</v>
      </c>
      <c r="E989" t="s">
        <v>5200</v>
      </c>
      <c r="F989">
        <v>4018058</v>
      </c>
      <c r="G989" t="s">
        <v>5201</v>
      </c>
      <c r="H989" t="s">
        <v>816</v>
      </c>
      <c r="I989">
        <v>2.73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2.73</v>
      </c>
      <c r="P989" s="44" t="e">
        <f>_xlfn.XLOOKUP(Tabla5[[#This Row],[EAN CORREGIDO]],'Tabla Articulos'!B:B,'Tabla Articulos'!D:D)</f>
        <v>#N/A</v>
      </c>
      <c r="Q989" s="44" t="e">
        <f>_xlfn.XLOOKUP(S989,'Tabla Articulos'!B:B,'Tabla Articulos'!E:E)</f>
        <v>#N/A</v>
      </c>
      <c r="R989" s="44" t="e">
        <f t="shared" si="30"/>
        <v>#N/A</v>
      </c>
      <c r="S989" s="45" t="str">
        <f t="shared" si="31"/>
        <v>7790216020090</v>
      </c>
    </row>
    <row r="990" spans="1:19" hidden="1" x14ac:dyDescent="0.35">
      <c r="A990" s="22">
        <v>6</v>
      </c>
      <c r="B990" t="s">
        <v>801</v>
      </c>
      <c r="C990" t="s">
        <v>802</v>
      </c>
      <c r="E990" t="s">
        <v>5202</v>
      </c>
      <c r="F990">
        <v>9003915</v>
      </c>
      <c r="G990" t="s">
        <v>5203</v>
      </c>
      <c r="H990" t="s">
        <v>805</v>
      </c>
      <c r="I990">
        <v>83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83</v>
      </c>
      <c r="P990" s="44" t="e">
        <f>_xlfn.XLOOKUP(Tabla5[[#This Row],[EAN CORREGIDO]],'Tabla Articulos'!B:B,'Tabla Articulos'!D:D)</f>
        <v>#N/A</v>
      </c>
      <c r="Q990" s="44" t="e">
        <f>_xlfn.XLOOKUP(S990,'Tabla Articulos'!B:B,'Tabla Articulos'!E:E)</f>
        <v>#N/A</v>
      </c>
      <c r="R990" s="44" t="e">
        <f t="shared" si="30"/>
        <v>#N/A</v>
      </c>
      <c r="S990" s="45" t="str">
        <f t="shared" si="31"/>
        <v>UNIF000639</v>
      </c>
    </row>
    <row r="991" spans="1:19" hidden="1" x14ac:dyDescent="0.35">
      <c r="A991" s="22">
        <v>1</v>
      </c>
      <c r="B991" t="s">
        <v>812</v>
      </c>
      <c r="C991" t="s">
        <v>802</v>
      </c>
      <c r="D991" s="11" t="s">
        <v>2824</v>
      </c>
      <c r="E991" t="s">
        <v>5204</v>
      </c>
      <c r="F991">
        <v>4020497</v>
      </c>
      <c r="G991" t="s">
        <v>5205</v>
      </c>
      <c r="H991" t="s">
        <v>805</v>
      </c>
      <c r="I991">
        <v>60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60</v>
      </c>
      <c r="P991" s="44" t="e">
        <f>_xlfn.XLOOKUP(Tabla5[[#This Row],[EAN CORREGIDO]],'Tabla Articulos'!B:B,'Tabla Articulos'!D:D)</f>
        <v>#N/A</v>
      </c>
      <c r="Q991" s="44" t="e">
        <f>_xlfn.XLOOKUP(S991,'Tabla Articulos'!B:B,'Tabla Articulos'!E:E)</f>
        <v>#N/A</v>
      </c>
      <c r="R991" s="44" t="e">
        <f t="shared" si="30"/>
        <v>#N/A</v>
      </c>
      <c r="S991" s="45" t="str">
        <f t="shared" si="31"/>
        <v>7797470124581</v>
      </c>
    </row>
    <row r="992" spans="1:19" hidden="1" x14ac:dyDescent="0.35">
      <c r="A992" s="22">
        <v>1</v>
      </c>
      <c r="B992" t="s">
        <v>812</v>
      </c>
      <c r="C992" t="s">
        <v>802</v>
      </c>
      <c r="D992" t="s">
        <v>1764</v>
      </c>
      <c r="E992" t="s">
        <v>5206</v>
      </c>
      <c r="F992">
        <v>4020811</v>
      </c>
      <c r="G992" t="s">
        <v>5207</v>
      </c>
      <c r="H992" t="s">
        <v>805</v>
      </c>
      <c r="I992">
        <v>673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673</v>
      </c>
      <c r="P992" s="44" t="e">
        <f>_xlfn.XLOOKUP(Tabla5[[#This Row],[EAN CORREGIDO]],'Tabla Articulos'!B:B,'Tabla Articulos'!D:D)</f>
        <v>#N/A</v>
      </c>
      <c r="Q992" s="44" t="e">
        <f>_xlfn.XLOOKUP(S992,'Tabla Articulos'!B:B,'Tabla Articulos'!E:E)</f>
        <v>#N/A</v>
      </c>
      <c r="R992" s="44" t="e">
        <f t="shared" si="30"/>
        <v>#N/A</v>
      </c>
      <c r="S992" s="45" t="str">
        <f t="shared" si="31"/>
        <v>7798224212080</v>
      </c>
    </row>
    <row r="993" spans="1:19" hidden="1" x14ac:dyDescent="0.35">
      <c r="A993" s="22">
        <v>1</v>
      </c>
      <c r="B993" t="s">
        <v>812</v>
      </c>
      <c r="C993" t="s">
        <v>802</v>
      </c>
      <c r="D993" t="s">
        <v>824</v>
      </c>
      <c r="E993" t="s">
        <v>5208</v>
      </c>
      <c r="F993">
        <v>4020415</v>
      </c>
      <c r="G993" t="s">
        <v>5209</v>
      </c>
      <c r="H993" t="s">
        <v>805</v>
      </c>
      <c r="I993">
        <v>78</v>
      </c>
      <c r="J993">
        <v>0</v>
      </c>
      <c r="K993">
        <v>0</v>
      </c>
      <c r="L993">
        <v>2</v>
      </c>
      <c r="M993">
        <v>2</v>
      </c>
      <c r="N993">
        <v>0</v>
      </c>
      <c r="O993">
        <v>74</v>
      </c>
      <c r="P993" s="44" t="e">
        <f>_xlfn.XLOOKUP(Tabla5[[#This Row],[EAN CORREGIDO]],'Tabla Articulos'!B:B,'Tabla Articulos'!D:D)</f>
        <v>#N/A</v>
      </c>
      <c r="Q993" s="44" t="e">
        <f>_xlfn.XLOOKUP(S993,'Tabla Articulos'!B:B,'Tabla Articulos'!E:E)</f>
        <v>#N/A</v>
      </c>
      <c r="R993" s="44" t="e">
        <f t="shared" si="30"/>
        <v>#N/A</v>
      </c>
      <c r="S993" s="45" t="str">
        <f t="shared" si="31"/>
        <v>7793875360241</v>
      </c>
    </row>
    <row r="994" spans="1:19" hidden="1" x14ac:dyDescent="0.35">
      <c r="A994" s="22">
        <v>5</v>
      </c>
      <c r="B994" t="s">
        <v>829</v>
      </c>
      <c r="C994" t="s">
        <v>802</v>
      </c>
      <c r="D994" s="11" t="s">
        <v>824</v>
      </c>
      <c r="E994" t="s">
        <v>5208</v>
      </c>
      <c r="F994">
        <v>4020415</v>
      </c>
      <c r="G994" t="s">
        <v>5209</v>
      </c>
      <c r="H994" t="s">
        <v>805</v>
      </c>
      <c r="I994">
        <v>9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9</v>
      </c>
      <c r="P994" s="44" t="e">
        <f>_xlfn.XLOOKUP(Tabla5[[#This Row],[EAN CORREGIDO]],'Tabla Articulos'!B:B,'Tabla Articulos'!D:D)</f>
        <v>#N/A</v>
      </c>
      <c r="Q994" s="44" t="e">
        <f>_xlfn.XLOOKUP(S994,'Tabla Articulos'!B:B,'Tabla Articulos'!E:E)</f>
        <v>#N/A</v>
      </c>
      <c r="R994" s="44" t="e">
        <f t="shared" si="30"/>
        <v>#N/A</v>
      </c>
      <c r="S994" s="45" t="str">
        <f t="shared" si="31"/>
        <v>7793875360241</v>
      </c>
    </row>
    <row r="995" spans="1:19" hidden="1" x14ac:dyDescent="0.35">
      <c r="A995" s="22">
        <v>6</v>
      </c>
      <c r="B995" t="s">
        <v>801</v>
      </c>
      <c r="C995" t="s">
        <v>802</v>
      </c>
      <c r="E995" t="s">
        <v>1159</v>
      </c>
      <c r="F995">
        <v>9003038</v>
      </c>
      <c r="G995" t="s">
        <v>1160</v>
      </c>
      <c r="H995" t="s">
        <v>805</v>
      </c>
      <c r="I995">
        <v>28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28</v>
      </c>
      <c r="P995" s="44" t="e">
        <f>_xlfn.XLOOKUP(Tabla5[[#This Row],[EAN CORREGIDO]],'Tabla Articulos'!B:B,'Tabla Articulos'!D:D)</f>
        <v>#N/A</v>
      </c>
      <c r="Q995" s="44" t="e">
        <f>_xlfn.XLOOKUP(S995,'Tabla Articulos'!B:B,'Tabla Articulos'!E:E)</f>
        <v>#N/A</v>
      </c>
      <c r="R995" s="44" t="e">
        <f t="shared" si="30"/>
        <v>#N/A</v>
      </c>
      <c r="S995" s="45" t="str">
        <f t="shared" si="31"/>
        <v>UNIF000007</v>
      </c>
    </row>
    <row r="996" spans="1:19" hidden="1" x14ac:dyDescent="0.35">
      <c r="A996" s="22">
        <v>6</v>
      </c>
      <c r="B996" t="s">
        <v>801</v>
      </c>
      <c r="C996" t="s">
        <v>802</v>
      </c>
      <c r="E996" t="s">
        <v>1161</v>
      </c>
      <c r="F996">
        <v>9003141</v>
      </c>
      <c r="G996" t="s">
        <v>1162</v>
      </c>
      <c r="H996" t="s">
        <v>805</v>
      </c>
      <c r="I996">
        <v>30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30</v>
      </c>
      <c r="P996" s="44" t="e">
        <f>_xlfn.XLOOKUP(Tabla5[[#This Row],[EAN CORREGIDO]],'Tabla Articulos'!B:B,'Tabla Articulos'!D:D)</f>
        <v>#N/A</v>
      </c>
      <c r="Q996" s="44" t="e">
        <f>_xlfn.XLOOKUP(S996,'Tabla Articulos'!B:B,'Tabla Articulos'!E:E)</f>
        <v>#N/A</v>
      </c>
      <c r="R996" s="44" t="e">
        <f t="shared" si="30"/>
        <v>#N/A</v>
      </c>
      <c r="S996" s="45" t="str">
        <f t="shared" si="31"/>
        <v>UNIF000603</v>
      </c>
    </row>
    <row r="997" spans="1:19" hidden="1" x14ac:dyDescent="0.35">
      <c r="A997" s="22">
        <v>1</v>
      </c>
      <c r="B997" t="s">
        <v>812</v>
      </c>
      <c r="C997" t="s">
        <v>802</v>
      </c>
      <c r="D997" t="s">
        <v>1163</v>
      </c>
      <c r="E997" t="s">
        <v>1164</v>
      </c>
      <c r="F997">
        <v>4018505</v>
      </c>
      <c r="G997" t="s">
        <v>1165</v>
      </c>
      <c r="H997" t="s">
        <v>805</v>
      </c>
      <c r="I997">
        <v>112</v>
      </c>
      <c r="J997">
        <v>0</v>
      </c>
      <c r="K997">
        <v>0</v>
      </c>
      <c r="L997">
        <v>0</v>
      </c>
      <c r="M997">
        <v>4</v>
      </c>
      <c r="N997">
        <v>0</v>
      </c>
      <c r="O997">
        <v>108</v>
      </c>
      <c r="P997" s="44" t="e">
        <f>_xlfn.XLOOKUP(Tabla5[[#This Row],[EAN CORREGIDO]],'Tabla Articulos'!B:B,'Tabla Articulos'!D:D)</f>
        <v>#N/A</v>
      </c>
      <c r="Q997" s="44" t="e">
        <f>_xlfn.XLOOKUP(S997,'Tabla Articulos'!B:B,'Tabla Articulos'!E:E)</f>
        <v>#N/A</v>
      </c>
      <c r="R997" s="44" t="e">
        <f t="shared" si="30"/>
        <v>#N/A</v>
      </c>
      <c r="S997" s="45" t="str">
        <f t="shared" si="31"/>
        <v>7790726030087</v>
      </c>
    </row>
    <row r="998" spans="1:19" hidden="1" x14ac:dyDescent="0.35">
      <c r="A998" s="22">
        <v>6</v>
      </c>
      <c r="B998" t="s">
        <v>801</v>
      </c>
      <c r="C998" t="s">
        <v>802</v>
      </c>
      <c r="D998"/>
      <c r="E998" t="s">
        <v>1166</v>
      </c>
      <c r="F998">
        <v>9003720</v>
      </c>
      <c r="G998" t="s">
        <v>1167</v>
      </c>
      <c r="H998" t="s">
        <v>805</v>
      </c>
      <c r="I998">
        <v>1020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1020</v>
      </c>
      <c r="P998" s="44" t="e">
        <f>_xlfn.XLOOKUP(Tabla5[[#This Row],[EAN CORREGIDO]],'Tabla Articulos'!B:B,'Tabla Articulos'!D:D)</f>
        <v>#N/A</v>
      </c>
      <c r="Q998" s="44" t="e">
        <f>_xlfn.XLOOKUP(S998,'Tabla Articulos'!B:B,'Tabla Articulos'!E:E)</f>
        <v>#N/A</v>
      </c>
      <c r="R998" s="44" t="e">
        <f t="shared" si="30"/>
        <v>#N/A</v>
      </c>
      <c r="S998" s="45" t="str">
        <f t="shared" si="31"/>
        <v>BAZ001156</v>
      </c>
    </row>
    <row r="999" spans="1:19" hidden="1" x14ac:dyDescent="0.35">
      <c r="A999" s="22">
        <v>6</v>
      </c>
      <c r="B999" t="s">
        <v>801</v>
      </c>
      <c r="C999" t="s">
        <v>802</v>
      </c>
      <c r="D999" t="s">
        <v>1168</v>
      </c>
      <c r="E999" t="s">
        <v>1169</v>
      </c>
      <c r="F999">
        <v>2006519</v>
      </c>
      <c r="G999" t="s">
        <v>1170</v>
      </c>
      <c r="H999" t="s">
        <v>805</v>
      </c>
      <c r="I999">
        <v>1852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1852</v>
      </c>
      <c r="P999" s="44" t="e">
        <f>_xlfn.XLOOKUP(Tabla5[[#This Row],[EAN CORREGIDO]],'Tabla Articulos'!B:B,'Tabla Articulos'!D:D)</f>
        <v>#N/A</v>
      </c>
      <c r="Q999" s="44" t="e">
        <f>_xlfn.XLOOKUP(S999,'Tabla Articulos'!B:B,'Tabla Articulos'!E:E)</f>
        <v>#N/A</v>
      </c>
      <c r="R999" s="44" t="e">
        <f t="shared" si="30"/>
        <v>#N/A</v>
      </c>
      <c r="S999" s="45" t="str">
        <f t="shared" si="31"/>
        <v>7798188650164</v>
      </c>
    </row>
    <row r="1000" spans="1:19" hidden="1" x14ac:dyDescent="0.35">
      <c r="A1000" s="22">
        <v>6</v>
      </c>
      <c r="B1000" t="s">
        <v>801</v>
      </c>
      <c r="C1000" t="s">
        <v>802</v>
      </c>
      <c r="D1000" t="s">
        <v>947</v>
      </c>
      <c r="E1000" t="s">
        <v>1171</v>
      </c>
      <c r="F1000">
        <v>2006276</v>
      </c>
      <c r="G1000" t="s">
        <v>1172</v>
      </c>
      <c r="H1000" t="s">
        <v>805</v>
      </c>
      <c r="I1000">
        <v>100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100</v>
      </c>
      <c r="P1000" s="44" t="e">
        <f>_xlfn.XLOOKUP(Tabla5[[#This Row],[EAN CORREGIDO]],'Tabla Articulos'!B:B,'Tabla Articulos'!D:D)</f>
        <v>#N/A</v>
      </c>
      <c r="Q1000" s="44" t="e">
        <f>_xlfn.XLOOKUP(S1000,'Tabla Articulos'!B:B,'Tabla Articulos'!E:E)</f>
        <v>#N/A</v>
      </c>
      <c r="R1000" s="44" t="e">
        <f t="shared" si="30"/>
        <v>#N/A</v>
      </c>
      <c r="S1000" s="45" t="str">
        <f t="shared" si="31"/>
        <v>LIM000510</v>
      </c>
    </row>
    <row r="1001" spans="1:19" hidden="1" x14ac:dyDescent="0.35">
      <c r="A1001" s="22">
        <v>5</v>
      </c>
      <c r="B1001" t="s">
        <v>829</v>
      </c>
      <c r="C1001" t="s">
        <v>802</v>
      </c>
      <c r="D1001" t="s">
        <v>2577</v>
      </c>
      <c r="E1001" t="s">
        <v>2578</v>
      </c>
      <c r="F1001">
        <v>4019655</v>
      </c>
      <c r="G1001" t="s">
        <v>2579</v>
      </c>
      <c r="H1001" t="s">
        <v>805</v>
      </c>
      <c r="I1001">
        <v>50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50</v>
      </c>
      <c r="P1001" s="44" t="e">
        <f>_xlfn.XLOOKUP(Tabla5[[#This Row],[EAN CORREGIDO]],'Tabla Articulos'!B:B,'Tabla Articulos'!D:D)</f>
        <v>#N/A</v>
      </c>
      <c r="Q1001" s="44" t="e">
        <f>_xlfn.XLOOKUP(S1001,'Tabla Articulos'!B:B,'Tabla Articulos'!E:E)</f>
        <v>#N/A</v>
      </c>
      <c r="R1001" s="44" t="e">
        <f t="shared" si="30"/>
        <v>#N/A</v>
      </c>
      <c r="S1001" s="45" t="str">
        <f t="shared" si="31"/>
        <v>7790742340108</v>
      </c>
    </row>
    <row r="1002" spans="1:19" hidden="1" x14ac:dyDescent="0.35">
      <c r="A1002" s="22">
        <v>1</v>
      </c>
      <c r="B1002" t="s">
        <v>812</v>
      </c>
      <c r="C1002" t="s">
        <v>802</v>
      </c>
      <c r="D1002" s="11" t="s">
        <v>2577</v>
      </c>
      <c r="E1002" t="s">
        <v>2578</v>
      </c>
      <c r="F1002">
        <v>4019655</v>
      </c>
      <c r="G1002" t="s">
        <v>2579</v>
      </c>
      <c r="H1002" t="s">
        <v>805</v>
      </c>
      <c r="I1002">
        <v>533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533</v>
      </c>
      <c r="P1002" s="44" t="e">
        <f>_xlfn.XLOOKUP(Tabla5[[#This Row],[EAN CORREGIDO]],'Tabla Articulos'!B:B,'Tabla Articulos'!D:D)</f>
        <v>#N/A</v>
      </c>
      <c r="Q1002" s="44" t="e">
        <f>_xlfn.XLOOKUP(S1002,'Tabla Articulos'!B:B,'Tabla Articulos'!E:E)</f>
        <v>#N/A</v>
      </c>
      <c r="R1002" s="44" t="e">
        <f t="shared" si="30"/>
        <v>#N/A</v>
      </c>
      <c r="S1002" s="45" t="str">
        <f t="shared" si="31"/>
        <v>7790742340108</v>
      </c>
    </row>
    <row r="1003" spans="1:19" hidden="1" x14ac:dyDescent="0.35">
      <c r="A1003" s="22">
        <v>5</v>
      </c>
      <c r="B1003" t="s">
        <v>829</v>
      </c>
      <c r="C1003" t="s">
        <v>802</v>
      </c>
      <c r="D1003" t="s">
        <v>1764</v>
      </c>
      <c r="E1003" t="s">
        <v>2580</v>
      </c>
      <c r="F1003">
        <v>4020100</v>
      </c>
      <c r="G1003" t="s">
        <v>2581</v>
      </c>
      <c r="H1003" t="s">
        <v>805</v>
      </c>
      <c r="I1003">
        <v>4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4</v>
      </c>
      <c r="P1003" s="44" t="e">
        <f>_xlfn.XLOOKUP(Tabla5[[#This Row],[EAN CORREGIDO]],'Tabla Articulos'!B:B,'Tabla Articulos'!D:D)</f>
        <v>#N/A</v>
      </c>
      <c r="Q1003" s="44" t="e">
        <f>_xlfn.XLOOKUP(S1003,'Tabla Articulos'!B:B,'Tabla Articulos'!E:E)</f>
        <v>#N/A</v>
      </c>
      <c r="R1003" s="44" t="e">
        <f t="shared" si="30"/>
        <v>#N/A</v>
      </c>
      <c r="S1003" s="45" t="str">
        <f t="shared" si="31"/>
        <v>7793875360333</v>
      </c>
    </row>
    <row r="1004" spans="1:19" hidden="1" x14ac:dyDescent="0.35">
      <c r="A1004" s="22">
        <v>1</v>
      </c>
      <c r="B1004" t="s">
        <v>812</v>
      </c>
      <c r="C1004" t="s">
        <v>802</v>
      </c>
      <c r="D1004" t="s">
        <v>1764</v>
      </c>
      <c r="E1004" t="s">
        <v>2580</v>
      </c>
      <c r="F1004">
        <v>4020100</v>
      </c>
      <c r="G1004" t="s">
        <v>2581</v>
      </c>
      <c r="H1004" t="s">
        <v>805</v>
      </c>
      <c r="I1004">
        <v>87</v>
      </c>
      <c r="J1004">
        <v>0</v>
      </c>
      <c r="K1004">
        <v>0</v>
      </c>
      <c r="L1004">
        <v>2</v>
      </c>
      <c r="M1004">
        <v>2</v>
      </c>
      <c r="N1004">
        <v>0</v>
      </c>
      <c r="O1004">
        <v>83</v>
      </c>
      <c r="P1004" s="44" t="e">
        <f>_xlfn.XLOOKUP(Tabla5[[#This Row],[EAN CORREGIDO]],'Tabla Articulos'!B:B,'Tabla Articulos'!D:D)</f>
        <v>#N/A</v>
      </c>
      <c r="Q1004" s="44" t="e">
        <f>_xlfn.XLOOKUP(S1004,'Tabla Articulos'!B:B,'Tabla Articulos'!E:E)</f>
        <v>#N/A</v>
      </c>
      <c r="R1004" s="44" t="e">
        <f t="shared" si="30"/>
        <v>#N/A</v>
      </c>
      <c r="S1004" s="45" t="str">
        <f t="shared" si="31"/>
        <v>7793875360333</v>
      </c>
    </row>
    <row r="1005" spans="1:19" hidden="1" x14ac:dyDescent="0.35">
      <c r="A1005" s="22">
        <v>1</v>
      </c>
      <c r="B1005" t="s">
        <v>812</v>
      </c>
      <c r="C1005" t="s">
        <v>802</v>
      </c>
      <c r="D1005" t="s">
        <v>2582</v>
      </c>
      <c r="E1005" t="s">
        <v>2583</v>
      </c>
      <c r="F1005">
        <v>4019942</v>
      </c>
      <c r="G1005" t="s">
        <v>2584</v>
      </c>
      <c r="H1005" t="s">
        <v>805</v>
      </c>
      <c r="I1005">
        <v>30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30</v>
      </c>
      <c r="P1005" s="44" t="e">
        <f>_xlfn.XLOOKUP(Tabla5[[#This Row],[EAN CORREGIDO]],'Tabla Articulos'!B:B,'Tabla Articulos'!D:D)</f>
        <v>#N/A</v>
      </c>
      <c r="Q1005" s="44" t="e">
        <f>_xlfn.XLOOKUP(S1005,'Tabla Articulos'!B:B,'Tabla Articulos'!E:E)</f>
        <v>#N/A</v>
      </c>
      <c r="R1005" s="44" t="e">
        <f t="shared" si="30"/>
        <v>#N/A</v>
      </c>
      <c r="S1005" s="45" t="str">
        <f t="shared" si="31"/>
        <v>7791113004476</v>
      </c>
    </row>
    <row r="1006" spans="1:19" hidden="1" x14ac:dyDescent="0.35">
      <c r="A1006" s="22">
        <v>6</v>
      </c>
      <c r="B1006" t="s">
        <v>801</v>
      </c>
      <c r="C1006" t="s">
        <v>802</v>
      </c>
      <c r="D1006" t="s">
        <v>1257</v>
      </c>
      <c r="E1006" t="s">
        <v>2585</v>
      </c>
      <c r="F1006">
        <v>2006674</v>
      </c>
      <c r="G1006" t="s">
        <v>2586</v>
      </c>
      <c r="H1006" t="s">
        <v>805</v>
      </c>
      <c r="I1006">
        <v>4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</v>
      </c>
      <c r="P1006" s="44" t="str">
        <f>_xlfn.XLOOKUP(Tabla5[[#This Row],[EAN CORREGIDO]],'Tabla Articulos'!B:B,'Tabla Articulos'!D:D)</f>
        <v xml:space="preserve">SORBETE </v>
      </c>
      <c r="Q1006" s="44">
        <f>_xlfn.XLOOKUP(S1006,'Tabla Articulos'!B:B,'Tabla Articulos'!E:E)</f>
        <v>1000</v>
      </c>
      <c r="R1006" s="44">
        <f t="shared" si="30"/>
        <v>4000</v>
      </c>
      <c r="S1006" s="45" t="str">
        <f t="shared" si="31"/>
        <v>7790221010607</v>
      </c>
    </row>
    <row r="1007" spans="1:19" hidden="1" x14ac:dyDescent="0.35">
      <c r="A1007" s="22">
        <v>6</v>
      </c>
      <c r="B1007" t="s">
        <v>801</v>
      </c>
      <c r="C1007" t="s">
        <v>802</v>
      </c>
      <c r="E1007" t="s">
        <v>2781</v>
      </c>
      <c r="F1007">
        <v>9003853</v>
      </c>
      <c r="G1007" t="s">
        <v>2782</v>
      </c>
      <c r="H1007" t="s">
        <v>805</v>
      </c>
      <c r="I1007">
        <v>302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302</v>
      </c>
      <c r="P1007" s="44" t="e">
        <f>_xlfn.XLOOKUP(Tabla5[[#This Row],[EAN CORREGIDO]],'Tabla Articulos'!B:B,'Tabla Articulos'!D:D)</f>
        <v>#N/A</v>
      </c>
      <c r="Q1007" s="44" t="e">
        <f>_xlfn.XLOOKUP(S1007,'Tabla Articulos'!B:B,'Tabla Articulos'!E:E)</f>
        <v>#N/A</v>
      </c>
      <c r="R1007" s="44" t="e">
        <f t="shared" si="30"/>
        <v>#N/A</v>
      </c>
      <c r="S1007" s="45" t="str">
        <f t="shared" si="31"/>
        <v>BAZ001233</v>
      </c>
    </row>
    <row r="1008" spans="1:19" hidden="1" x14ac:dyDescent="0.35">
      <c r="A1008" s="22">
        <v>6</v>
      </c>
      <c r="B1008" t="s">
        <v>801</v>
      </c>
      <c r="C1008" t="s">
        <v>802</v>
      </c>
      <c r="E1008" t="s">
        <v>2783</v>
      </c>
      <c r="F1008">
        <v>9004208</v>
      </c>
      <c r="G1008" t="s">
        <v>2784</v>
      </c>
      <c r="H1008" t="s">
        <v>805</v>
      </c>
      <c r="I1008">
        <v>22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22</v>
      </c>
      <c r="P1008" s="44" t="e">
        <f>_xlfn.XLOOKUP(Tabla5[[#This Row],[EAN CORREGIDO]],'Tabla Articulos'!B:B,'Tabla Articulos'!D:D)</f>
        <v>#N/A</v>
      </c>
      <c r="Q1008" s="44" t="e">
        <f>_xlfn.XLOOKUP(S1008,'Tabla Articulos'!B:B,'Tabla Articulos'!E:E)</f>
        <v>#N/A</v>
      </c>
      <c r="R1008" s="44" t="e">
        <f t="shared" si="30"/>
        <v>#N/A</v>
      </c>
      <c r="S1008" s="45" t="str">
        <f t="shared" si="31"/>
        <v>UNIF000754</v>
      </c>
    </row>
    <row r="1009" spans="1:19" hidden="1" x14ac:dyDescent="0.35">
      <c r="A1009" s="22">
        <v>6</v>
      </c>
      <c r="B1009" t="s">
        <v>801</v>
      </c>
      <c r="C1009" t="s">
        <v>802</v>
      </c>
      <c r="E1009" t="s">
        <v>2785</v>
      </c>
      <c r="F1009">
        <v>9003580</v>
      </c>
      <c r="G1009" t="s">
        <v>2786</v>
      </c>
      <c r="H1009" t="s">
        <v>805</v>
      </c>
      <c r="I1009">
        <v>22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22</v>
      </c>
      <c r="P1009" s="44" t="e">
        <f>_xlfn.XLOOKUP(Tabla5[[#This Row],[EAN CORREGIDO]],'Tabla Articulos'!B:B,'Tabla Articulos'!D:D)</f>
        <v>#N/A</v>
      </c>
      <c r="Q1009" s="44" t="e">
        <f>_xlfn.XLOOKUP(S1009,'Tabla Articulos'!B:B,'Tabla Articulos'!E:E)</f>
        <v>#N/A</v>
      </c>
      <c r="R1009" s="44" t="e">
        <f t="shared" si="30"/>
        <v>#N/A</v>
      </c>
      <c r="S1009" s="45" t="str">
        <f t="shared" si="31"/>
        <v>UNIF000492</v>
      </c>
    </row>
    <row r="1010" spans="1:19" hidden="1" x14ac:dyDescent="0.35">
      <c r="A1010" s="22">
        <v>6</v>
      </c>
      <c r="B1010" t="s">
        <v>801</v>
      </c>
      <c r="C1010" t="s">
        <v>802</v>
      </c>
      <c r="D1010" t="s">
        <v>333</v>
      </c>
      <c r="E1010" t="s">
        <v>2787</v>
      </c>
      <c r="F1010">
        <v>2016590</v>
      </c>
      <c r="G1010" t="s">
        <v>2788</v>
      </c>
      <c r="H1010" t="s">
        <v>805</v>
      </c>
      <c r="I1010">
        <v>28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28</v>
      </c>
      <c r="P1010" s="44" t="str">
        <f>_xlfn.XLOOKUP(Tabla5[[#This Row],[EAN CORREGIDO]],'Tabla Articulos'!B:B,'Tabla Articulos'!D:D)</f>
        <v>VASO TERMICO 240</v>
      </c>
      <c r="Q1010" s="44">
        <f>_xlfn.XLOOKUP(S1010,'Tabla Articulos'!B:B,'Tabla Articulos'!E:E)</f>
        <v>1000</v>
      </c>
      <c r="R1010" s="44">
        <f t="shared" si="30"/>
        <v>28000</v>
      </c>
      <c r="S1010" s="45" t="str">
        <f t="shared" si="31"/>
        <v>7798353362403</v>
      </c>
    </row>
    <row r="1011" spans="1:19" hidden="1" x14ac:dyDescent="0.35">
      <c r="A1011" s="22">
        <v>1</v>
      </c>
      <c r="B1011" t="s">
        <v>812</v>
      </c>
      <c r="C1011" t="s">
        <v>802</v>
      </c>
      <c r="D1011" t="s">
        <v>2789</v>
      </c>
      <c r="E1011" t="s">
        <v>2790</v>
      </c>
      <c r="F1011">
        <v>4048933</v>
      </c>
      <c r="G1011" t="s">
        <v>2791</v>
      </c>
      <c r="H1011" t="s">
        <v>805</v>
      </c>
      <c r="I1011">
        <v>89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89</v>
      </c>
      <c r="P1011" s="44" t="e">
        <f>_xlfn.XLOOKUP(Tabla5[[#This Row],[EAN CORREGIDO]],'Tabla Articulos'!B:B,'Tabla Articulos'!D:D)</f>
        <v>#N/A</v>
      </c>
      <c r="Q1011" s="44" t="e">
        <f>_xlfn.XLOOKUP(S1011,'Tabla Articulos'!B:B,'Tabla Articulos'!E:E)</f>
        <v>#N/A</v>
      </c>
      <c r="R1011" s="44" t="e">
        <f t="shared" si="30"/>
        <v>#N/A</v>
      </c>
      <c r="S1011" s="45" t="str">
        <f t="shared" si="31"/>
        <v>7798221742566</v>
      </c>
    </row>
    <row r="1012" spans="1:19" hidden="1" x14ac:dyDescent="0.35">
      <c r="A1012" s="22">
        <v>6</v>
      </c>
      <c r="B1012" t="s">
        <v>801</v>
      </c>
      <c r="C1012" t="s">
        <v>802</v>
      </c>
      <c r="E1012" t="s">
        <v>1511</v>
      </c>
      <c r="F1012">
        <v>9004068</v>
      </c>
      <c r="G1012" t="s">
        <v>1512</v>
      </c>
      <c r="H1012" t="s">
        <v>805</v>
      </c>
      <c r="I1012">
        <v>22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22</v>
      </c>
      <c r="P1012" s="44" t="e">
        <f>_xlfn.XLOOKUP(Tabla5[[#This Row],[EAN CORREGIDO]],'Tabla Articulos'!B:B,'Tabla Articulos'!D:D)</f>
        <v>#N/A</v>
      </c>
      <c r="Q1012" s="44" t="e">
        <f>_xlfn.XLOOKUP(S1012,'Tabla Articulos'!B:B,'Tabla Articulos'!E:E)</f>
        <v>#N/A</v>
      </c>
      <c r="R1012" s="44" t="e">
        <f t="shared" si="30"/>
        <v>#N/A</v>
      </c>
      <c r="S1012" s="45" t="str">
        <f t="shared" si="31"/>
        <v>UNIF000685</v>
      </c>
    </row>
    <row r="1013" spans="1:19" hidden="1" x14ac:dyDescent="0.35">
      <c r="A1013" s="22">
        <v>1</v>
      </c>
      <c r="B1013" t="s">
        <v>812</v>
      </c>
      <c r="C1013" t="s">
        <v>802</v>
      </c>
      <c r="D1013" t="s">
        <v>1207</v>
      </c>
      <c r="E1013" t="s">
        <v>1513</v>
      </c>
      <c r="F1013">
        <v>4020054</v>
      </c>
      <c r="G1013" t="s">
        <v>1514</v>
      </c>
      <c r="H1013" t="s">
        <v>805</v>
      </c>
      <c r="I1013">
        <v>86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86</v>
      </c>
      <c r="P1013" s="44" t="e">
        <f>_xlfn.XLOOKUP(Tabla5[[#This Row],[EAN CORREGIDO]],'Tabla Articulos'!B:B,'Tabla Articulos'!D:D)</f>
        <v>#N/A</v>
      </c>
      <c r="Q1013" s="44" t="e">
        <f>_xlfn.XLOOKUP(S1013,'Tabla Articulos'!B:B,'Tabla Articulos'!E:E)</f>
        <v>#N/A</v>
      </c>
      <c r="R1013" s="44" t="e">
        <f t="shared" si="30"/>
        <v>#N/A</v>
      </c>
      <c r="S1013" s="45" t="str">
        <f t="shared" si="31"/>
        <v>7793650000010</v>
      </c>
    </row>
    <row r="1014" spans="1:19" hidden="1" x14ac:dyDescent="0.35">
      <c r="A1014" s="22">
        <v>5</v>
      </c>
      <c r="B1014" t="s">
        <v>829</v>
      </c>
      <c r="C1014" t="s">
        <v>802</v>
      </c>
      <c r="D1014" t="s">
        <v>1207</v>
      </c>
      <c r="E1014" t="s">
        <v>1513</v>
      </c>
      <c r="F1014">
        <v>4020054</v>
      </c>
      <c r="G1014" t="s">
        <v>1514</v>
      </c>
      <c r="H1014" t="s">
        <v>805</v>
      </c>
      <c r="I1014">
        <v>72399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72399</v>
      </c>
      <c r="P1014" s="44" t="e">
        <f>_xlfn.XLOOKUP(Tabla5[[#This Row],[EAN CORREGIDO]],'Tabla Articulos'!B:B,'Tabla Articulos'!D:D)</f>
        <v>#N/A</v>
      </c>
      <c r="Q1014" s="44" t="e">
        <f>_xlfn.XLOOKUP(S1014,'Tabla Articulos'!B:B,'Tabla Articulos'!E:E)</f>
        <v>#N/A</v>
      </c>
      <c r="R1014" s="44" t="e">
        <f t="shared" si="30"/>
        <v>#N/A</v>
      </c>
      <c r="S1014" s="45" t="str">
        <f t="shared" si="31"/>
        <v>7793650000010</v>
      </c>
    </row>
    <row r="1015" spans="1:19" hidden="1" x14ac:dyDescent="0.35">
      <c r="A1015" s="22">
        <v>1</v>
      </c>
      <c r="B1015" t="s">
        <v>812</v>
      </c>
      <c r="C1015" t="s">
        <v>802</v>
      </c>
      <c r="D1015" s="11" t="s">
        <v>1313</v>
      </c>
      <c r="E1015" t="s">
        <v>1515</v>
      </c>
      <c r="F1015">
        <v>4022888</v>
      </c>
      <c r="G1015" t="s">
        <v>1516</v>
      </c>
      <c r="H1015" t="s">
        <v>805</v>
      </c>
      <c r="I1015">
        <v>0</v>
      </c>
      <c r="J1015">
        <v>15000</v>
      </c>
      <c r="K1015">
        <v>0</v>
      </c>
      <c r="L1015">
        <v>0</v>
      </c>
      <c r="M1015">
        <v>0</v>
      </c>
      <c r="N1015">
        <v>0</v>
      </c>
      <c r="O1015">
        <v>15000</v>
      </c>
      <c r="P1015" s="44" t="e">
        <f>_xlfn.XLOOKUP(Tabla5[[#This Row],[EAN CORREGIDO]],'Tabla Articulos'!B:B,'Tabla Articulos'!D:D)</f>
        <v>#N/A</v>
      </c>
      <c r="Q1015" s="44" t="e">
        <f>_xlfn.XLOOKUP(S1015,'Tabla Articulos'!B:B,'Tabla Articulos'!E:E)</f>
        <v>#N/A</v>
      </c>
      <c r="R1015" s="44" t="e">
        <f t="shared" si="30"/>
        <v>#N/A</v>
      </c>
      <c r="S1015" s="45" t="str">
        <f t="shared" si="31"/>
        <v>7791376000970</v>
      </c>
    </row>
    <row r="1016" spans="1:19" hidden="1" x14ac:dyDescent="0.35">
      <c r="A1016" s="22">
        <v>5</v>
      </c>
      <c r="B1016" t="s">
        <v>829</v>
      </c>
      <c r="C1016" t="s">
        <v>802</v>
      </c>
      <c r="D1016" t="s">
        <v>1313</v>
      </c>
      <c r="E1016" t="s">
        <v>1515</v>
      </c>
      <c r="F1016">
        <v>4022888</v>
      </c>
      <c r="G1016" t="s">
        <v>1516</v>
      </c>
      <c r="H1016" t="s">
        <v>805</v>
      </c>
      <c r="I1016">
        <v>18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18</v>
      </c>
      <c r="P1016" s="44" t="e">
        <f>_xlfn.XLOOKUP(Tabla5[[#This Row],[EAN CORREGIDO]],'Tabla Articulos'!B:B,'Tabla Articulos'!D:D)</f>
        <v>#N/A</v>
      </c>
      <c r="Q1016" s="44" t="e">
        <f>_xlfn.XLOOKUP(S1016,'Tabla Articulos'!B:B,'Tabla Articulos'!E:E)</f>
        <v>#N/A</v>
      </c>
      <c r="R1016" s="44" t="e">
        <f t="shared" si="30"/>
        <v>#N/A</v>
      </c>
      <c r="S1016" s="45" t="str">
        <f t="shared" si="31"/>
        <v>7791376000970</v>
      </c>
    </row>
    <row r="1017" spans="1:19" hidden="1" x14ac:dyDescent="0.35">
      <c r="A1017" s="22">
        <v>6</v>
      </c>
      <c r="B1017" t="s">
        <v>801</v>
      </c>
      <c r="C1017" t="s">
        <v>802</v>
      </c>
      <c r="E1017" t="s">
        <v>1517</v>
      </c>
      <c r="F1017">
        <v>9003566</v>
      </c>
      <c r="G1017" t="s">
        <v>1518</v>
      </c>
      <c r="H1017" t="s">
        <v>805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</v>
      </c>
      <c r="P1017" s="44" t="e">
        <f>_xlfn.XLOOKUP(Tabla5[[#This Row],[EAN CORREGIDO]],'Tabla Articulos'!B:B,'Tabla Articulos'!D:D)</f>
        <v>#N/A</v>
      </c>
      <c r="Q1017" s="44" t="e">
        <f>_xlfn.XLOOKUP(S1017,'Tabla Articulos'!B:B,'Tabla Articulos'!E:E)</f>
        <v>#N/A</v>
      </c>
      <c r="R1017" s="44" t="e">
        <f t="shared" si="30"/>
        <v>#N/A</v>
      </c>
      <c r="S1017" s="45" t="str">
        <f t="shared" si="31"/>
        <v>UNIF000149</v>
      </c>
    </row>
    <row r="1018" spans="1:19" hidden="1" x14ac:dyDescent="0.35">
      <c r="A1018" s="22">
        <v>5</v>
      </c>
      <c r="B1018" t="s">
        <v>829</v>
      </c>
      <c r="C1018" t="s">
        <v>802</v>
      </c>
      <c r="D1018" s="11" t="s">
        <v>1519</v>
      </c>
      <c r="E1018" t="s">
        <v>1520</v>
      </c>
      <c r="F1018">
        <v>4024240</v>
      </c>
      <c r="G1018" t="s">
        <v>1521</v>
      </c>
      <c r="H1018" t="s">
        <v>805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 s="44" t="e">
        <f>_xlfn.XLOOKUP(Tabla5[[#This Row],[EAN CORREGIDO]],'Tabla Articulos'!B:B,'Tabla Articulos'!D:D)</f>
        <v>#N/A</v>
      </c>
      <c r="Q1018" s="44" t="e">
        <f>_xlfn.XLOOKUP(S1018,'Tabla Articulos'!B:B,'Tabla Articulos'!E:E)</f>
        <v>#N/A</v>
      </c>
      <c r="R1018" s="44" t="e">
        <f t="shared" si="30"/>
        <v>#N/A</v>
      </c>
      <c r="S1018" s="45" t="str">
        <f t="shared" si="31"/>
        <v>7798186164847</v>
      </c>
    </row>
    <row r="1019" spans="1:19" hidden="1" x14ac:dyDescent="0.35">
      <c r="A1019" s="22">
        <v>6</v>
      </c>
      <c r="B1019" t="s">
        <v>801</v>
      </c>
      <c r="C1019" t="s">
        <v>802</v>
      </c>
      <c r="D1019"/>
      <c r="E1019" t="s">
        <v>4548</v>
      </c>
      <c r="F1019"/>
      <c r="G1019" t="s">
        <v>4549</v>
      </c>
      <c r="H1019" t="s">
        <v>805</v>
      </c>
      <c r="I1019">
        <v>0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2</v>
      </c>
      <c r="P1019" s="44" t="e">
        <f>_xlfn.XLOOKUP(Tabla5[[#This Row],[EAN CORREGIDO]],'Tabla Articulos'!B:B,'Tabla Articulos'!D:D)</f>
        <v>#N/A</v>
      </c>
      <c r="Q1019" s="44" t="e">
        <f>_xlfn.XLOOKUP(S1019,'Tabla Articulos'!B:B,'Tabla Articulos'!E:E)</f>
        <v>#N/A</v>
      </c>
      <c r="R1019" s="44" t="e">
        <f t="shared" si="30"/>
        <v>#N/A</v>
      </c>
      <c r="S1019" s="45" t="str">
        <f t="shared" si="31"/>
        <v>BUSAT000199</v>
      </c>
    </row>
    <row r="1020" spans="1:19" hidden="1" x14ac:dyDescent="0.35">
      <c r="A1020" s="22">
        <v>6</v>
      </c>
      <c r="B1020" t="s">
        <v>801</v>
      </c>
      <c r="C1020" t="s">
        <v>802</v>
      </c>
      <c r="D1020"/>
      <c r="E1020" t="s">
        <v>4550</v>
      </c>
      <c r="F1020"/>
      <c r="G1020" t="s">
        <v>4551</v>
      </c>
      <c r="H1020" t="s">
        <v>805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</v>
      </c>
      <c r="P1020" s="44" t="e">
        <f>_xlfn.XLOOKUP(Tabla5[[#This Row],[EAN CORREGIDO]],'Tabla Articulos'!B:B,'Tabla Articulos'!D:D)</f>
        <v>#N/A</v>
      </c>
      <c r="Q1020" s="44" t="e">
        <f>_xlfn.XLOOKUP(S1020,'Tabla Articulos'!B:B,'Tabla Articulos'!E:E)</f>
        <v>#N/A</v>
      </c>
      <c r="R1020" s="44" t="e">
        <f t="shared" si="30"/>
        <v>#N/A</v>
      </c>
      <c r="S1020" s="45" t="str">
        <f t="shared" si="31"/>
        <v>BUSAT000026</v>
      </c>
    </row>
    <row r="1021" spans="1:19" hidden="1" x14ac:dyDescent="0.35">
      <c r="A1021" s="22">
        <v>1</v>
      </c>
      <c r="B1021" t="s">
        <v>812</v>
      </c>
      <c r="C1021" t="s">
        <v>802</v>
      </c>
      <c r="D1021" s="11" t="s">
        <v>4781</v>
      </c>
      <c r="E1021" t="s">
        <v>4782</v>
      </c>
      <c r="F1021">
        <v>4049062</v>
      </c>
      <c r="G1021" t="s">
        <v>4783</v>
      </c>
      <c r="H1021" t="s">
        <v>805</v>
      </c>
      <c r="I1021">
        <v>22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22</v>
      </c>
      <c r="P1021" s="44" t="e">
        <f>_xlfn.XLOOKUP(Tabla5[[#This Row],[EAN CORREGIDO]],'Tabla Articulos'!B:B,'Tabla Articulos'!D:D)</f>
        <v>#N/A</v>
      </c>
      <c r="Q1021" s="44" t="e">
        <f>_xlfn.XLOOKUP(S1021,'Tabla Articulos'!B:B,'Tabla Articulos'!E:E)</f>
        <v>#N/A</v>
      </c>
      <c r="R1021" s="44" t="e">
        <f t="shared" si="30"/>
        <v>#N/A</v>
      </c>
      <c r="S1021" s="45" t="str">
        <f t="shared" si="31"/>
        <v>7791118012766</v>
      </c>
    </row>
    <row r="1022" spans="1:19" hidden="1" x14ac:dyDescent="0.35">
      <c r="A1022" s="22">
        <v>6</v>
      </c>
      <c r="B1022" t="s">
        <v>801</v>
      </c>
      <c r="C1022" t="s">
        <v>802</v>
      </c>
      <c r="D1022" s="11" t="s">
        <v>4784</v>
      </c>
      <c r="E1022" t="s">
        <v>4785</v>
      </c>
      <c r="F1022">
        <v>2006509</v>
      </c>
      <c r="G1022" t="s">
        <v>4786</v>
      </c>
      <c r="H1022" t="s">
        <v>805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 s="44" t="e">
        <f>_xlfn.XLOOKUP(Tabla5[[#This Row],[EAN CORREGIDO]],'Tabla Articulos'!B:B,'Tabla Articulos'!D:D)</f>
        <v>#N/A</v>
      </c>
      <c r="Q1022" s="44" t="e">
        <f>_xlfn.XLOOKUP(S1022,'Tabla Articulos'!B:B,'Tabla Articulos'!E:E)</f>
        <v>#N/A</v>
      </c>
      <c r="R1022" s="44" t="e">
        <f t="shared" si="30"/>
        <v>#N/A</v>
      </c>
      <c r="S1022" s="45" t="str">
        <f t="shared" si="31"/>
        <v>779261001101</v>
      </c>
    </row>
    <row r="1023" spans="1:19" hidden="1" x14ac:dyDescent="0.35">
      <c r="A1023" s="22">
        <v>1</v>
      </c>
      <c r="B1023" t="s">
        <v>812</v>
      </c>
      <c r="C1023" t="s">
        <v>802</v>
      </c>
      <c r="D1023" t="s">
        <v>3095</v>
      </c>
      <c r="E1023" t="s">
        <v>4787</v>
      </c>
      <c r="F1023">
        <v>4023824</v>
      </c>
      <c r="G1023" t="s">
        <v>4788</v>
      </c>
      <c r="H1023" t="s">
        <v>805</v>
      </c>
      <c r="I1023">
        <v>275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275</v>
      </c>
      <c r="P1023" s="44" t="e">
        <f>_xlfn.XLOOKUP(Tabla5[[#This Row],[EAN CORREGIDO]],'Tabla Articulos'!B:B,'Tabla Articulos'!D:D)</f>
        <v>#N/A</v>
      </c>
      <c r="Q1023" s="44" t="e">
        <f>_xlfn.XLOOKUP(S1023,'Tabla Articulos'!B:B,'Tabla Articulos'!E:E)</f>
        <v>#N/A</v>
      </c>
      <c r="R1023" s="44" t="e">
        <f t="shared" si="30"/>
        <v>#N/A</v>
      </c>
      <c r="S1023" s="45" t="str">
        <f t="shared" si="31"/>
        <v>7792378002238</v>
      </c>
    </row>
    <row r="1024" spans="1:19" hidden="1" x14ac:dyDescent="0.35">
      <c r="A1024" s="22">
        <v>5</v>
      </c>
      <c r="B1024" t="s">
        <v>829</v>
      </c>
      <c r="C1024" t="s">
        <v>802</v>
      </c>
      <c r="D1024" s="11" t="s">
        <v>3095</v>
      </c>
      <c r="E1024" t="s">
        <v>4787</v>
      </c>
      <c r="F1024">
        <v>4023824</v>
      </c>
      <c r="G1024" t="s">
        <v>4788</v>
      </c>
      <c r="H1024" t="s">
        <v>805</v>
      </c>
      <c r="I1024">
        <v>10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10</v>
      </c>
      <c r="P1024" s="44" t="e">
        <f>_xlfn.XLOOKUP(Tabla5[[#This Row],[EAN CORREGIDO]],'Tabla Articulos'!B:B,'Tabla Articulos'!D:D)</f>
        <v>#N/A</v>
      </c>
      <c r="Q1024" s="44" t="e">
        <f>_xlfn.XLOOKUP(S1024,'Tabla Articulos'!B:B,'Tabla Articulos'!E:E)</f>
        <v>#N/A</v>
      </c>
      <c r="R1024" s="44" t="e">
        <f t="shared" si="30"/>
        <v>#N/A</v>
      </c>
      <c r="S1024" s="45" t="str">
        <f t="shared" si="31"/>
        <v>7792378002238</v>
      </c>
    </row>
    <row r="1025" spans="1:19" hidden="1" x14ac:dyDescent="0.35">
      <c r="A1025" s="22">
        <v>5</v>
      </c>
      <c r="B1025" t="s">
        <v>829</v>
      </c>
      <c r="C1025" t="s">
        <v>802</v>
      </c>
      <c r="D1025" s="11" t="s">
        <v>2432</v>
      </c>
      <c r="E1025" t="s">
        <v>4789</v>
      </c>
      <c r="F1025">
        <v>4019650</v>
      </c>
      <c r="G1025" t="s">
        <v>4790</v>
      </c>
      <c r="H1025" t="s">
        <v>805</v>
      </c>
      <c r="I1025">
        <v>2852</v>
      </c>
      <c r="J1025">
        <v>1000</v>
      </c>
      <c r="K1025">
        <v>0</v>
      </c>
      <c r="L1025">
        <v>0</v>
      </c>
      <c r="M1025">
        <v>0</v>
      </c>
      <c r="N1025">
        <v>0</v>
      </c>
      <c r="O1025">
        <v>3852</v>
      </c>
      <c r="P1025" s="44" t="e">
        <f>_xlfn.XLOOKUP(Tabla5[[#This Row],[EAN CORREGIDO]],'Tabla Articulos'!B:B,'Tabla Articulos'!D:D)</f>
        <v>#N/A</v>
      </c>
      <c r="Q1025" s="44" t="e">
        <f>_xlfn.XLOOKUP(S1025,'Tabla Articulos'!B:B,'Tabla Articulos'!E:E)</f>
        <v>#N/A</v>
      </c>
      <c r="R1025" s="44" t="e">
        <f t="shared" ref="R1025:R1088" si="32">O1025*Q1025</f>
        <v>#N/A</v>
      </c>
      <c r="S1025" s="45" t="str">
        <f t="shared" ref="S1025:S1088" si="33">TRIM(E1025)</f>
        <v>7790641000028</v>
      </c>
    </row>
    <row r="1026" spans="1:19" hidden="1" x14ac:dyDescent="0.35">
      <c r="A1026" s="22">
        <v>1</v>
      </c>
      <c r="B1026" t="s">
        <v>812</v>
      </c>
      <c r="C1026" t="s">
        <v>802</v>
      </c>
      <c r="D1026" t="s">
        <v>2432</v>
      </c>
      <c r="E1026" t="s">
        <v>4789</v>
      </c>
      <c r="F1026">
        <v>4019650</v>
      </c>
      <c r="G1026" t="s">
        <v>4790</v>
      </c>
      <c r="H1026" t="s">
        <v>805</v>
      </c>
      <c r="I1026">
        <v>1678</v>
      </c>
      <c r="J1026">
        <v>0</v>
      </c>
      <c r="K1026">
        <v>0</v>
      </c>
      <c r="L1026">
        <v>20</v>
      </c>
      <c r="M1026">
        <v>20</v>
      </c>
      <c r="N1026">
        <v>0</v>
      </c>
      <c r="O1026">
        <v>1638</v>
      </c>
      <c r="P1026" s="44" t="e">
        <f>_xlfn.XLOOKUP(Tabla5[[#This Row],[EAN CORREGIDO]],'Tabla Articulos'!B:B,'Tabla Articulos'!D:D)</f>
        <v>#N/A</v>
      </c>
      <c r="Q1026" s="44" t="e">
        <f>_xlfn.XLOOKUP(S1026,'Tabla Articulos'!B:B,'Tabla Articulos'!E:E)</f>
        <v>#N/A</v>
      </c>
      <c r="R1026" s="44" t="e">
        <f t="shared" si="32"/>
        <v>#N/A</v>
      </c>
      <c r="S1026" s="45" t="str">
        <f t="shared" si="33"/>
        <v>7790641000028</v>
      </c>
    </row>
    <row r="1027" spans="1:19" hidden="1" x14ac:dyDescent="0.35">
      <c r="A1027" s="22">
        <v>1</v>
      </c>
      <c r="B1027" t="s">
        <v>812</v>
      </c>
      <c r="C1027" t="s">
        <v>802</v>
      </c>
      <c r="D1027" s="11" t="s">
        <v>4791</v>
      </c>
      <c r="E1027" t="s">
        <v>4792</v>
      </c>
      <c r="F1027">
        <v>4020019</v>
      </c>
      <c r="G1027" t="s">
        <v>4793</v>
      </c>
      <c r="H1027" t="s">
        <v>805</v>
      </c>
      <c r="I1027">
        <v>5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</v>
      </c>
      <c r="P1027" s="44" t="e">
        <f>_xlfn.XLOOKUP(Tabla5[[#This Row],[EAN CORREGIDO]],'Tabla Articulos'!B:B,'Tabla Articulos'!D:D)</f>
        <v>#N/A</v>
      </c>
      <c r="Q1027" s="44" t="e">
        <f>_xlfn.XLOOKUP(S1027,'Tabla Articulos'!B:B,'Tabla Articulos'!E:E)</f>
        <v>#N/A</v>
      </c>
      <c r="R1027" s="44" t="e">
        <f t="shared" si="32"/>
        <v>#N/A</v>
      </c>
      <c r="S1027" s="45" t="str">
        <f t="shared" si="33"/>
        <v>7791113002007</v>
      </c>
    </row>
    <row r="1028" spans="1:19" hidden="1" x14ac:dyDescent="0.35">
      <c r="A1028" s="22">
        <v>6</v>
      </c>
      <c r="B1028" t="s">
        <v>801</v>
      </c>
      <c r="C1028" t="s">
        <v>802</v>
      </c>
      <c r="E1028" t="s">
        <v>4794</v>
      </c>
      <c r="F1028">
        <v>9003274</v>
      </c>
      <c r="G1028" t="s">
        <v>4795</v>
      </c>
      <c r="H1028" t="s">
        <v>805</v>
      </c>
      <c r="I1028">
        <v>13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13</v>
      </c>
      <c r="P1028" s="44" t="e">
        <f>_xlfn.XLOOKUP(Tabla5[[#This Row],[EAN CORREGIDO]],'Tabla Articulos'!B:B,'Tabla Articulos'!D:D)</f>
        <v>#N/A</v>
      </c>
      <c r="Q1028" s="44" t="e">
        <f>_xlfn.XLOOKUP(S1028,'Tabla Articulos'!B:B,'Tabla Articulos'!E:E)</f>
        <v>#N/A</v>
      </c>
      <c r="R1028" s="44" t="e">
        <f t="shared" si="32"/>
        <v>#N/A</v>
      </c>
      <c r="S1028" s="45" t="str">
        <f t="shared" si="33"/>
        <v>UNIF000414</v>
      </c>
    </row>
    <row r="1029" spans="1:19" hidden="1" x14ac:dyDescent="0.35">
      <c r="A1029" s="22">
        <v>6</v>
      </c>
      <c r="B1029" t="s">
        <v>801</v>
      </c>
      <c r="C1029" t="s">
        <v>802</v>
      </c>
      <c r="E1029" t="s">
        <v>4796</v>
      </c>
      <c r="F1029">
        <v>9003615</v>
      </c>
      <c r="G1029" t="s">
        <v>4797</v>
      </c>
      <c r="H1029" t="s">
        <v>805</v>
      </c>
      <c r="I1029">
        <v>20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20</v>
      </c>
      <c r="P1029" s="44" t="e">
        <f>_xlfn.XLOOKUP(Tabla5[[#This Row],[EAN CORREGIDO]],'Tabla Articulos'!B:B,'Tabla Articulos'!D:D)</f>
        <v>#N/A</v>
      </c>
      <c r="Q1029" s="44" t="e">
        <f>_xlfn.XLOOKUP(S1029,'Tabla Articulos'!B:B,'Tabla Articulos'!E:E)</f>
        <v>#N/A</v>
      </c>
      <c r="R1029" s="44" t="e">
        <f t="shared" si="32"/>
        <v>#N/A</v>
      </c>
      <c r="S1029" s="45" t="str">
        <f t="shared" si="33"/>
        <v>UNIF000454</v>
      </c>
    </row>
    <row r="1030" spans="1:19" hidden="1" x14ac:dyDescent="0.35">
      <c r="A1030" s="22">
        <v>1</v>
      </c>
      <c r="B1030" t="s">
        <v>812</v>
      </c>
      <c r="C1030" t="s">
        <v>802</v>
      </c>
      <c r="D1030" s="11" t="s">
        <v>950</v>
      </c>
      <c r="E1030" t="s">
        <v>4338</v>
      </c>
      <c r="F1030">
        <v>4020508</v>
      </c>
      <c r="G1030" t="s">
        <v>4339</v>
      </c>
      <c r="H1030" t="s">
        <v>805</v>
      </c>
      <c r="I1030">
        <v>43522</v>
      </c>
      <c r="J1030">
        <v>0</v>
      </c>
      <c r="K1030">
        <v>0</v>
      </c>
      <c r="L1030">
        <v>0</v>
      </c>
      <c r="M1030">
        <v>621</v>
      </c>
      <c r="N1030">
        <v>0</v>
      </c>
      <c r="O1030">
        <v>42901</v>
      </c>
      <c r="P1030" s="44" t="e">
        <f>_xlfn.XLOOKUP(Tabla5[[#This Row],[EAN CORREGIDO]],'Tabla Articulos'!B:B,'Tabla Articulos'!D:D)</f>
        <v>#N/A</v>
      </c>
      <c r="Q1030" s="44" t="e">
        <f>_xlfn.XLOOKUP(S1030,'Tabla Articulos'!B:B,'Tabla Articulos'!E:E)</f>
        <v>#N/A</v>
      </c>
      <c r="R1030" s="44" t="e">
        <f t="shared" si="32"/>
        <v>#N/A</v>
      </c>
      <c r="S1030" s="45" t="str">
        <f t="shared" si="33"/>
        <v>7798058690108</v>
      </c>
    </row>
    <row r="1031" spans="1:19" hidden="1" x14ac:dyDescent="0.35">
      <c r="A1031" s="22">
        <v>5</v>
      </c>
      <c r="B1031" t="s">
        <v>829</v>
      </c>
      <c r="C1031" t="s">
        <v>802</v>
      </c>
      <c r="D1031" t="s">
        <v>950</v>
      </c>
      <c r="E1031" t="s">
        <v>4338</v>
      </c>
      <c r="F1031">
        <v>4020508</v>
      </c>
      <c r="G1031" t="s">
        <v>4339</v>
      </c>
      <c r="H1031" t="s">
        <v>805</v>
      </c>
      <c r="I1031">
        <v>11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11</v>
      </c>
      <c r="P1031" s="44" t="e">
        <f>_xlfn.XLOOKUP(Tabla5[[#This Row],[EAN CORREGIDO]],'Tabla Articulos'!B:B,'Tabla Articulos'!D:D)</f>
        <v>#N/A</v>
      </c>
      <c r="Q1031" s="44" t="e">
        <f>_xlfn.XLOOKUP(S1031,'Tabla Articulos'!B:B,'Tabla Articulos'!E:E)</f>
        <v>#N/A</v>
      </c>
      <c r="R1031" s="44" t="e">
        <f t="shared" si="32"/>
        <v>#N/A</v>
      </c>
      <c r="S1031" s="45" t="str">
        <f t="shared" si="33"/>
        <v>7798058690108</v>
      </c>
    </row>
    <row r="1032" spans="1:19" hidden="1" x14ac:dyDescent="0.35">
      <c r="A1032" s="22">
        <v>1</v>
      </c>
      <c r="B1032" t="s">
        <v>812</v>
      </c>
      <c r="C1032" t="s">
        <v>802</v>
      </c>
      <c r="D1032" t="s">
        <v>1832</v>
      </c>
      <c r="E1032" t="s">
        <v>4340</v>
      </c>
      <c r="F1032">
        <v>4020153</v>
      </c>
      <c r="G1032" t="s">
        <v>4341</v>
      </c>
      <c r="H1032" t="s">
        <v>805</v>
      </c>
      <c r="I1032">
        <v>1002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1002</v>
      </c>
      <c r="P1032" s="44" t="e">
        <f>_xlfn.XLOOKUP(Tabla5[[#This Row],[EAN CORREGIDO]],'Tabla Articulos'!B:B,'Tabla Articulos'!D:D)</f>
        <v>#N/A</v>
      </c>
      <c r="Q1032" s="44" t="e">
        <f>_xlfn.XLOOKUP(S1032,'Tabla Articulos'!B:B,'Tabla Articulos'!E:E)</f>
        <v>#N/A</v>
      </c>
      <c r="R1032" s="44" t="e">
        <f t="shared" si="32"/>
        <v>#N/A</v>
      </c>
      <c r="S1032" s="45" t="str">
        <f t="shared" si="33"/>
        <v>7791113002168</v>
      </c>
    </row>
    <row r="1033" spans="1:19" hidden="1" x14ac:dyDescent="0.35">
      <c r="A1033" s="22">
        <v>6</v>
      </c>
      <c r="B1033" t="s">
        <v>801</v>
      </c>
      <c r="C1033" t="s">
        <v>802</v>
      </c>
      <c r="E1033" t="s">
        <v>4342</v>
      </c>
      <c r="F1033">
        <v>9003492</v>
      </c>
      <c r="G1033" t="s">
        <v>4343</v>
      </c>
      <c r="H1033" t="s">
        <v>805</v>
      </c>
      <c r="I1033">
        <v>12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12</v>
      </c>
      <c r="P1033" s="44" t="e">
        <f>_xlfn.XLOOKUP(Tabla5[[#This Row],[EAN CORREGIDO]],'Tabla Articulos'!B:B,'Tabla Articulos'!D:D)</f>
        <v>#N/A</v>
      </c>
      <c r="Q1033" s="44" t="e">
        <f>_xlfn.XLOOKUP(S1033,'Tabla Articulos'!B:B,'Tabla Articulos'!E:E)</f>
        <v>#N/A</v>
      </c>
      <c r="R1033" s="44" t="e">
        <f t="shared" si="32"/>
        <v>#N/A</v>
      </c>
      <c r="S1033" s="45" t="str">
        <f t="shared" si="33"/>
        <v>UNIF000224</v>
      </c>
    </row>
    <row r="1034" spans="1:19" hidden="1" x14ac:dyDescent="0.35">
      <c r="A1034" s="22">
        <v>6</v>
      </c>
      <c r="B1034" t="s">
        <v>801</v>
      </c>
      <c r="C1034" t="s">
        <v>802</v>
      </c>
      <c r="D1034"/>
      <c r="E1034" t="s">
        <v>4344</v>
      </c>
      <c r="F1034">
        <v>9003870</v>
      </c>
      <c r="G1034" t="s">
        <v>4345</v>
      </c>
      <c r="H1034" t="s">
        <v>805</v>
      </c>
      <c r="I1034">
        <v>84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84</v>
      </c>
      <c r="P1034" s="44" t="e">
        <f>_xlfn.XLOOKUP(Tabla5[[#This Row],[EAN CORREGIDO]],'Tabla Articulos'!B:B,'Tabla Articulos'!D:D)</f>
        <v>#N/A</v>
      </c>
      <c r="Q1034" s="44" t="e">
        <f>_xlfn.XLOOKUP(S1034,'Tabla Articulos'!B:B,'Tabla Articulos'!E:E)</f>
        <v>#N/A</v>
      </c>
      <c r="R1034" s="44" t="e">
        <f t="shared" si="32"/>
        <v>#N/A</v>
      </c>
      <c r="S1034" s="45" t="str">
        <f t="shared" si="33"/>
        <v>BAZ001289</v>
      </c>
    </row>
    <row r="1035" spans="1:19" hidden="1" x14ac:dyDescent="0.35">
      <c r="A1035" s="22">
        <v>6</v>
      </c>
      <c r="B1035" t="s">
        <v>801</v>
      </c>
      <c r="C1035" t="s">
        <v>802</v>
      </c>
      <c r="D1035"/>
      <c r="E1035" t="s">
        <v>4346</v>
      </c>
      <c r="F1035">
        <v>9003463</v>
      </c>
      <c r="G1035" t="s">
        <v>4347</v>
      </c>
      <c r="H1035" t="s">
        <v>805</v>
      </c>
      <c r="I1035">
        <v>11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11</v>
      </c>
      <c r="P1035" s="44" t="e">
        <f>_xlfn.XLOOKUP(Tabla5[[#This Row],[EAN CORREGIDO]],'Tabla Articulos'!B:B,'Tabla Articulos'!D:D)</f>
        <v>#N/A</v>
      </c>
      <c r="Q1035" s="44" t="e">
        <f>_xlfn.XLOOKUP(S1035,'Tabla Articulos'!B:B,'Tabla Articulos'!E:E)</f>
        <v>#N/A</v>
      </c>
      <c r="R1035" s="44" t="e">
        <f t="shared" si="32"/>
        <v>#N/A</v>
      </c>
      <c r="S1035" s="45" t="str">
        <f t="shared" si="33"/>
        <v>UNIF000183</v>
      </c>
    </row>
    <row r="1036" spans="1:19" hidden="1" x14ac:dyDescent="0.35">
      <c r="A1036" s="22">
        <v>6</v>
      </c>
      <c r="B1036" t="s">
        <v>801</v>
      </c>
      <c r="C1036" t="s">
        <v>802</v>
      </c>
      <c r="D1036" t="s">
        <v>3518</v>
      </c>
      <c r="E1036" t="s">
        <v>3519</v>
      </c>
      <c r="F1036">
        <v>5003011</v>
      </c>
      <c r="G1036" t="s">
        <v>3520</v>
      </c>
      <c r="H1036" t="s">
        <v>805</v>
      </c>
      <c r="I1036">
        <v>35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35</v>
      </c>
      <c r="P1036" s="44" t="e">
        <f>_xlfn.XLOOKUP(Tabla5[[#This Row],[EAN CORREGIDO]],'Tabla Articulos'!B:B,'Tabla Articulos'!D:D)</f>
        <v>#N/A</v>
      </c>
      <c r="Q1036" s="44" t="e">
        <f>_xlfn.XLOOKUP(S1036,'Tabla Articulos'!B:B,'Tabla Articulos'!E:E)</f>
        <v>#N/A</v>
      </c>
      <c r="R1036" s="44" t="e">
        <f t="shared" si="32"/>
        <v>#N/A</v>
      </c>
      <c r="S1036" s="45" t="str">
        <f t="shared" si="33"/>
        <v>BAZ000376</v>
      </c>
    </row>
    <row r="1037" spans="1:19" hidden="1" x14ac:dyDescent="0.35">
      <c r="A1037" s="22">
        <v>1</v>
      </c>
      <c r="B1037" t="s">
        <v>812</v>
      </c>
      <c r="C1037" t="s">
        <v>802</v>
      </c>
      <c r="D1037" t="s">
        <v>3521</v>
      </c>
      <c r="E1037" t="s">
        <v>3522</v>
      </c>
      <c r="F1037">
        <v>4017680</v>
      </c>
      <c r="G1037" t="s">
        <v>3523</v>
      </c>
      <c r="H1037" t="s">
        <v>816</v>
      </c>
      <c r="I1037">
        <v>47.5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47.5</v>
      </c>
      <c r="P1037" s="44" t="e">
        <f>_xlfn.XLOOKUP(Tabla5[[#This Row],[EAN CORREGIDO]],'Tabla Articulos'!B:B,'Tabla Articulos'!D:D)</f>
        <v>#N/A</v>
      </c>
      <c r="Q1037" s="44" t="e">
        <f>_xlfn.XLOOKUP(S1037,'Tabla Articulos'!B:B,'Tabla Articulos'!E:E)</f>
        <v>#N/A</v>
      </c>
      <c r="R1037" s="44" t="e">
        <f t="shared" si="32"/>
        <v>#N/A</v>
      </c>
      <c r="S1037" s="45" t="str">
        <f t="shared" si="33"/>
        <v>7790212031264</v>
      </c>
    </row>
    <row r="1038" spans="1:19" hidden="1" x14ac:dyDescent="0.35">
      <c r="A1038" s="22">
        <v>1</v>
      </c>
      <c r="B1038" t="s">
        <v>812</v>
      </c>
      <c r="C1038" t="s">
        <v>802</v>
      </c>
      <c r="D1038" s="11" t="s">
        <v>3524</v>
      </c>
      <c r="E1038" t="s">
        <v>3525</v>
      </c>
      <c r="F1038">
        <v>4023926</v>
      </c>
      <c r="G1038" t="s">
        <v>3526</v>
      </c>
      <c r="H1038" t="s">
        <v>805</v>
      </c>
      <c r="I1038">
        <v>65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65</v>
      </c>
      <c r="P1038" s="44" t="e">
        <f>_xlfn.XLOOKUP(Tabla5[[#This Row],[EAN CORREGIDO]],'Tabla Articulos'!B:B,'Tabla Articulos'!D:D)</f>
        <v>#N/A</v>
      </c>
      <c r="Q1038" s="44" t="e">
        <f>_xlfn.XLOOKUP(S1038,'Tabla Articulos'!B:B,'Tabla Articulos'!E:E)</f>
        <v>#N/A</v>
      </c>
      <c r="R1038" s="44" t="e">
        <f t="shared" si="32"/>
        <v>#N/A</v>
      </c>
      <c r="S1038" s="45" t="str">
        <f t="shared" si="33"/>
        <v>7798262020234</v>
      </c>
    </row>
    <row r="1039" spans="1:19" hidden="1" x14ac:dyDescent="0.35">
      <c r="A1039" s="22">
        <v>6</v>
      </c>
      <c r="B1039" t="s">
        <v>801</v>
      </c>
      <c r="C1039" t="s">
        <v>802</v>
      </c>
      <c r="E1039" t="s">
        <v>3527</v>
      </c>
      <c r="F1039">
        <v>2011465</v>
      </c>
      <c r="G1039" t="s">
        <v>3528</v>
      </c>
      <c r="H1039" t="s">
        <v>805</v>
      </c>
      <c r="I1039">
        <v>2547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2547</v>
      </c>
      <c r="P1039" s="44" t="e">
        <f>_xlfn.XLOOKUP(Tabla5[[#This Row],[EAN CORREGIDO]],'Tabla Articulos'!B:B,'Tabla Articulos'!D:D)</f>
        <v>#N/A</v>
      </c>
      <c r="Q1039" s="44" t="e">
        <f>_xlfn.XLOOKUP(S1039,'Tabla Articulos'!B:B,'Tabla Articulos'!E:E)</f>
        <v>#N/A</v>
      </c>
      <c r="R1039" s="44" t="e">
        <f t="shared" si="32"/>
        <v>#N/A</v>
      </c>
      <c r="S1039" s="45" t="str">
        <f t="shared" si="33"/>
        <v>7790000000680</v>
      </c>
    </row>
    <row r="1040" spans="1:19" hidden="1" x14ac:dyDescent="0.35">
      <c r="A1040" s="22">
        <v>6</v>
      </c>
      <c r="B1040" t="s">
        <v>801</v>
      </c>
      <c r="C1040" t="s">
        <v>802</v>
      </c>
      <c r="E1040" t="s">
        <v>3529</v>
      </c>
      <c r="F1040">
        <v>9003809</v>
      </c>
      <c r="G1040" t="s">
        <v>3530</v>
      </c>
      <c r="H1040" t="s">
        <v>805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13</v>
      </c>
      <c r="P1040" s="44" t="e">
        <f>_xlfn.XLOOKUP(Tabla5[[#This Row],[EAN CORREGIDO]],'Tabla Articulos'!B:B,'Tabla Articulos'!D:D)</f>
        <v>#N/A</v>
      </c>
      <c r="Q1040" s="44" t="e">
        <f>_xlfn.XLOOKUP(S1040,'Tabla Articulos'!B:B,'Tabla Articulos'!E:E)</f>
        <v>#N/A</v>
      </c>
      <c r="R1040" s="44" t="e">
        <f t="shared" si="32"/>
        <v>#N/A</v>
      </c>
      <c r="S1040" s="45" t="str">
        <f t="shared" si="33"/>
        <v>BAZ001370</v>
      </c>
    </row>
    <row r="1041" spans="1:19" hidden="1" x14ac:dyDescent="0.35">
      <c r="A1041" s="22">
        <v>1</v>
      </c>
      <c r="B1041" t="s">
        <v>812</v>
      </c>
      <c r="C1041" t="s">
        <v>802</v>
      </c>
      <c r="D1041" t="s">
        <v>3531</v>
      </c>
      <c r="E1041" t="s">
        <v>3532</v>
      </c>
      <c r="F1041">
        <v>4018513</v>
      </c>
      <c r="G1041" t="s">
        <v>3533</v>
      </c>
      <c r="H1041" t="s">
        <v>816</v>
      </c>
      <c r="I1041">
        <v>154.06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154.06</v>
      </c>
      <c r="P1041" s="44" t="e">
        <f>_xlfn.XLOOKUP(Tabla5[[#This Row],[EAN CORREGIDO]],'Tabla Articulos'!B:B,'Tabla Articulos'!D:D)</f>
        <v>#N/A</v>
      </c>
      <c r="Q1041" s="44" t="e">
        <f>_xlfn.XLOOKUP(S1041,'Tabla Articulos'!B:B,'Tabla Articulos'!E:E)</f>
        <v>#N/A</v>
      </c>
      <c r="R1041" s="44" t="e">
        <f t="shared" si="32"/>
        <v>#N/A</v>
      </c>
      <c r="S1041" s="45" t="str">
        <f t="shared" si="33"/>
        <v>7798165392639</v>
      </c>
    </row>
    <row r="1042" spans="1:19" hidden="1" x14ac:dyDescent="0.35">
      <c r="A1042" s="22">
        <v>6</v>
      </c>
      <c r="B1042" t="s">
        <v>801</v>
      </c>
      <c r="C1042" t="s">
        <v>802</v>
      </c>
      <c r="D1042"/>
      <c r="E1042" t="s">
        <v>3380</v>
      </c>
      <c r="F1042">
        <v>9003840</v>
      </c>
      <c r="G1042" t="s">
        <v>3381</v>
      </c>
      <c r="H1042" t="s">
        <v>805</v>
      </c>
      <c r="I1042">
        <v>19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19</v>
      </c>
      <c r="P1042" s="44" t="e">
        <f>_xlfn.XLOOKUP(Tabla5[[#This Row],[EAN CORREGIDO]],'Tabla Articulos'!B:B,'Tabla Articulos'!D:D)</f>
        <v>#N/A</v>
      </c>
      <c r="Q1042" s="44" t="e">
        <f>_xlfn.XLOOKUP(S1042,'Tabla Articulos'!B:B,'Tabla Articulos'!E:E)</f>
        <v>#N/A</v>
      </c>
      <c r="R1042" s="44" t="e">
        <f t="shared" si="32"/>
        <v>#N/A</v>
      </c>
      <c r="S1042" s="45" t="str">
        <f t="shared" si="33"/>
        <v>BAZ001182</v>
      </c>
    </row>
    <row r="1043" spans="1:19" hidden="1" x14ac:dyDescent="0.35">
      <c r="A1043" s="22">
        <v>6</v>
      </c>
      <c r="B1043" t="s">
        <v>801</v>
      </c>
      <c r="C1043" t="s">
        <v>802</v>
      </c>
      <c r="D1043"/>
      <c r="E1043" t="s">
        <v>3382</v>
      </c>
      <c r="F1043">
        <v>9003562</v>
      </c>
      <c r="G1043" t="s">
        <v>3383</v>
      </c>
      <c r="H1043" t="s">
        <v>805</v>
      </c>
      <c r="I1043">
        <v>16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16</v>
      </c>
      <c r="P1043" s="44" t="e">
        <f>_xlfn.XLOOKUP(Tabla5[[#This Row],[EAN CORREGIDO]],'Tabla Articulos'!B:B,'Tabla Articulos'!D:D)</f>
        <v>#N/A</v>
      </c>
      <c r="Q1043" s="44" t="e">
        <f>_xlfn.XLOOKUP(S1043,'Tabla Articulos'!B:B,'Tabla Articulos'!E:E)</f>
        <v>#N/A</v>
      </c>
      <c r="R1043" s="44" t="e">
        <f t="shared" si="32"/>
        <v>#N/A</v>
      </c>
      <c r="S1043" s="45" t="str">
        <f t="shared" si="33"/>
        <v>UNIF000145</v>
      </c>
    </row>
    <row r="1044" spans="1:19" hidden="1" x14ac:dyDescent="0.35">
      <c r="A1044" s="22">
        <v>5</v>
      </c>
      <c r="B1044" t="s">
        <v>829</v>
      </c>
      <c r="C1044" t="s">
        <v>802</v>
      </c>
      <c r="D1044" s="11" t="s">
        <v>3384</v>
      </c>
      <c r="E1044" t="s">
        <v>3385</v>
      </c>
      <c r="F1044">
        <v>4018823</v>
      </c>
      <c r="G1044" t="s">
        <v>3386</v>
      </c>
      <c r="H1044" t="s">
        <v>805</v>
      </c>
      <c r="I1044">
        <v>24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24</v>
      </c>
      <c r="P1044" s="44" t="e">
        <f>_xlfn.XLOOKUP(Tabla5[[#This Row],[EAN CORREGIDO]],'Tabla Articulos'!B:B,'Tabla Articulos'!D:D)</f>
        <v>#N/A</v>
      </c>
      <c r="Q1044" s="44" t="e">
        <f>_xlfn.XLOOKUP(S1044,'Tabla Articulos'!B:B,'Tabla Articulos'!E:E)</f>
        <v>#N/A</v>
      </c>
      <c r="R1044" s="44" t="e">
        <f t="shared" si="32"/>
        <v>#N/A</v>
      </c>
      <c r="S1044" s="45" t="str">
        <f t="shared" si="33"/>
        <v>7790726120030</v>
      </c>
    </row>
    <row r="1045" spans="1:19" hidden="1" x14ac:dyDescent="0.35">
      <c r="A1045" s="22">
        <v>6</v>
      </c>
      <c r="B1045" t="s">
        <v>801</v>
      </c>
      <c r="C1045" t="s">
        <v>802</v>
      </c>
      <c r="D1045"/>
      <c r="E1045" t="s">
        <v>1864</v>
      </c>
      <c r="F1045">
        <v>9003316</v>
      </c>
      <c r="G1045" t="s">
        <v>1865</v>
      </c>
      <c r="H1045" t="s">
        <v>805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</v>
      </c>
      <c r="P1045" s="44" t="e">
        <f>_xlfn.XLOOKUP(Tabla5[[#This Row],[EAN CORREGIDO]],'Tabla Articulos'!B:B,'Tabla Articulos'!D:D)</f>
        <v>#N/A</v>
      </c>
      <c r="Q1045" s="44" t="e">
        <f>_xlfn.XLOOKUP(S1045,'Tabla Articulos'!B:B,'Tabla Articulos'!E:E)</f>
        <v>#N/A</v>
      </c>
      <c r="R1045" s="44" t="e">
        <f t="shared" si="32"/>
        <v>#N/A</v>
      </c>
      <c r="S1045" s="45" t="str">
        <f t="shared" si="33"/>
        <v>UNIF000063</v>
      </c>
    </row>
    <row r="1046" spans="1:19" hidden="1" x14ac:dyDescent="0.35">
      <c r="A1046" s="22">
        <v>6</v>
      </c>
      <c r="B1046" t="s">
        <v>801</v>
      </c>
      <c r="C1046" t="s">
        <v>802</v>
      </c>
      <c r="D1046" s="11" t="s">
        <v>1198</v>
      </c>
      <c r="E1046" t="s">
        <v>1866</v>
      </c>
      <c r="F1046">
        <v>2006593</v>
      </c>
      <c r="G1046" t="s">
        <v>1867</v>
      </c>
      <c r="H1046" t="s">
        <v>805</v>
      </c>
      <c r="I1046">
        <v>50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50</v>
      </c>
      <c r="P1046" s="44" t="e">
        <f>_xlfn.XLOOKUP(Tabla5[[#This Row],[EAN CORREGIDO]],'Tabla Articulos'!B:B,'Tabla Articulos'!D:D)</f>
        <v>#N/A</v>
      </c>
      <c r="Q1046" s="44" t="e">
        <f>_xlfn.XLOOKUP(S1046,'Tabla Articulos'!B:B,'Tabla Articulos'!E:E)</f>
        <v>#N/A</v>
      </c>
      <c r="R1046" s="44" t="e">
        <f t="shared" si="32"/>
        <v>#N/A</v>
      </c>
      <c r="S1046" s="45" t="str">
        <f t="shared" si="33"/>
        <v>7797749000035</v>
      </c>
    </row>
    <row r="1047" spans="1:19" hidden="1" x14ac:dyDescent="0.35">
      <c r="A1047" s="22">
        <v>6</v>
      </c>
      <c r="B1047" t="s">
        <v>801</v>
      </c>
      <c r="C1047" t="s">
        <v>802</v>
      </c>
      <c r="D1047"/>
      <c r="E1047" t="s">
        <v>2403</v>
      </c>
      <c r="F1047">
        <v>9003010</v>
      </c>
      <c r="G1047" t="s">
        <v>2404</v>
      </c>
      <c r="H1047" t="s">
        <v>805</v>
      </c>
      <c r="I1047">
        <v>165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165</v>
      </c>
      <c r="P1047" s="44" t="e">
        <f>_xlfn.XLOOKUP(Tabla5[[#This Row],[EAN CORREGIDO]],'Tabla Articulos'!B:B,'Tabla Articulos'!D:D)</f>
        <v>#N/A</v>
      </c>
      <c r="Q1047" s="44" t="e">
        <f>_xlfn.XLOOKUP(S1047,'Tabla Articulos'!B:B,'Tabla Articulos'!E:E)</f>
        <v>#N/A</v>
      </c>
      <c r="R1047" s="44" t="e">
        <f t="shared" si="32"/>
        <v>#N/A</v>
      </c>
      <c r="S1047" s="45" t="str">
        <f t="shared" si="33"/>
        <v>UNIF000001</v>
      </c>
    </row>
    <row r="1048" spans="1:19" hidden="1" x14ac:dyDescent="0.35">
      <c r="A1048" s="22">
        <v>5</v>
      </c>
      <c r="B1048" t="s">
        <v>829</v>
      </c>
      <c r="C1048" t="s">
        <v>802</v>
      </c>
      <c r="D1048" s="11" t="s">
        <v>2405</v>
      </c>
      <c r="E1048" t="s">
        <v>2406</v>
      </c>
      <c r="F1048">
        <v>4018008</v>
      </c>
      <c r="G1048" t="s">
        <v>2407</v>
      </c>
      <c r="H1048" t="s">
        <v>816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 s="44" t="e">
        <f>_xlfn.XLOOKUP(Tabla5[[#This Row],[EAN CORREGIDO]],'Tabla Articulos'!B:B,'Tabla Articulos'!D:D)</f>
        <v>#N/A</v>
      </c>
      <c r="Q1048" s="44" t="e">
        <f>_xlfn.XLOOKUP(S1048,'Tabla Articulos'!B:B,'Tabla Articulos'!E:E)</f>
        <v>#N/A</v>
      </c>
      <c r="R1048" s="44" t="e">
        <f t="shared" si="32"/>
        <v>#N/A</v>
      </c>
      <c r="S1048" s="45" t="str">
        <f t="shared" si="33"/>
        <v>7798975326412</v>
      </c>
    </row>
    <row r="1049" spans="1:19" hidden="1" x14ac:dyDescent="0.35">
      <c r="A1049" s="22">
        <v>6</v>
      </c>
      <c r="B1049" t="s">
        <v>801</v>
      </c>
      <c r="C1049" t="s">
        <v>802</v>
      </c>
      <c r="D1049" t="s">
        <v>841</v>
      </c>
      <c r="E1049" t="s">
        <v>879</v>
      </c>
      <c r="F1049">
        <v>2006457</v>
      </c>
      <c r="G1049" t="s">
        <v>880</v>
      </c>
      <c r="H1049" t="s">
        <v>805</v>
      </c>
      <c r="I1049">
        <v>1189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1189</v>
      </c>
      <c r="P1049" s="44" t="e">
        <f>_xlfn.XLOOKUP(Tabla5[[#This Row],[EAN CORREGIDO]],'Tabla Articulos'!B:B,'Tabla Articulos'!D:D)</f>
        <v>#N/A</v>
      </c>
      <c r="Q1049" s="44" t="e">
        <f>_xlfn.XLOOKUP(S1049,'Tabla Articulos'!B:B,'Tabla Articulos'!E:E)</f>
        <v>#N/A</v>
      </c>
      <c r="R1049" s="44" t="e">
        <f t="shared" si="32"/>
        <v>#N/A</v>
      </c>
      <c r="S1049" s="45" t="str">
        <f t="shared" si="33"/>
        <v>7793253004440</v>
      </c>
    </row>
    <row r="1050" spans="1:19" hidden="1" x14ac:dyDescent="0.35">
      <c r="A1050" s="22">
        <v>6</v>
      </c>
      <c r="B1050" t="s">
        <v>801</v>
      </c>
      <c r="C1050" t="s">
        <v>802</v>
      </c>
      <c r="D1050"/>
      <c r="E1050" t="s">
        <v>881</v>
      </c>
      <c r="F1050">
        <v>9003843</v>
      </c>
      <c r="G1050" t="s">
        <v>882</v>
      </c>
      <c r="H1050" t="s">
        <v>805</v>
      </c>
      <c r="I1050">
        <v>31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31</v>
      </c>
      <c r="P1050" s="44" t="e">
        <f>_xlfn.XLOOKUP(Tabla5[[#This Row],[EAN CORREGIDO]],'Tabla Articulos'!B:B,'Tabla Articulos'!D:D)</f>
        <v>#N/A</v>
      </c>
      <c r="Q1050" s="44" t="e">
        <f>_xlfn.XLOOKUP(S1050,'Tabla Articulos'!B:B,'Tabla Articulos'!E:E)</f>
        <v>#N/A</v>
      </c>
      <c r="R1050" s="44" t="e">
        <f t="shared" si="32"/>
        <v>#N/A</v>
      </c>
      <c r="S1050" s="45" t="str">
        <f t="shared" si="33"/>
        <v>BAZ001192</v>
      </c>
    </row>
    <row r="1051" spans="1:19" hidden="1" x14ac:dyDescent="0.35">
      <c r="A1051" s="22">
        <v>6</v>
      </c>
      <c r="B1051" t="s">
        <v>801</v>
      </c>
      <c r="C1051" t="s">
        <v>802</v>
      </c>
      <c r="E1051" t="s">
        <v>883</v>
      </c>
      <c r="F1051">
        <v>9003771</v>
      </c>
      <c r="G1051" t="s">
        <v>884</v>
      </c>
      <c r="H1051" t="s">
        <v>805</v>
      </c>
      <c r="I1051">
        <v>54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54</v>
      </c>
      <c r="P1051" s="44" t="e">
        <f>_xlfn.XLOOKUP(Tabla5[[#This Row],[EAN CORREGIDO]],'Tabla Articulos'!B:B,'Tabla Articulos'!D:D)</f>
        <v>#N/A</v>
      </c>
      <c r="Q1051" s="44" t="e">
        <f>_xlfn.XLOOKUP(S1051,'Tabla Articulos'!B:B,'Tabla Articulos'!E:E)</f>
        <v>#N/A</v>
      </c>
      <c r="R1051" s="44" t="e">
        <f t="shared" si="32"/>
        <v>#N/A</v>
      </c>
      <c r="S1051" s="45" t="str">
        <f t="shared" si="33"/>
        <v>BAZ001287</v>
      </c>
    </row>
    <row r="1052" spans="1:19" hidden="1" x14ac:dyDescent="0.35">
      <c r="A1052" s="22">
        <v>6</v>
      </c>
      <c r="B1052" t="s">
        <v>801</v>
      </c>
      <c r="C1052" t="s">
        <v>802</v>
      </c>
      <c r="E1052" t="s">
        <v>885</v>
      </c>
      <c r="F1052">
        <v>9003293</v>
      </c>
      <c r="G1052" t="s">
        <v>886</v>
      </c>
      <c r="H1052" t="s">
        <v>805</v>
      </c>
      <c r="I1052">
        <v>53</v>
      </c>
      <c r="J1052">
        <v>60</v>
      </c>
      <c r="K1052">
        <v>0</v>
      </c>
      <c r="L1052">
        <v>0</v>
      </c>
      <c r="M1052">
        <v>0</v>
      </c>
      <c r="N1052">
        <v>0</v>
      </c>
      <c r="O1052">
        <v>113</v>
      </c>
      <c r="P1052" s="44" t="e">
        <f>_xlfn.XLOOKUP(Tabla5[[#This Row],[EAN CORREGIDO]],'Tabla Articulos'!B:B,'Tabla Articulos'!D:D)</f>
        <v>#N/A</v>
      </c>
      <c r="Q1052" s="44" t="e">
        <f>_xlfn.XLOOKUP(S1052,'Tabla Articulos'!B:B,'Tabla Articulos'!E:E)</f>
        <v>#N/A</v>
      </c>
      <c r="R1052" s="44" t="e">
        <f t="shared" si="32"/>
        <v>#N/A</v>
      </c>
      <c r="S1052" s="45" t="str">
        <f t="shared" si="33"/>
        <v>UNIF000040</v>
      </c>
    </row>
    <row r="1053" spans="1:19" hidden="1" x14ac:dyDescent="0.35">
      <c r="A1053" s="22">
        <v>6</v>
      </c>
      <c r="B1053" t="s">
        <v>801</v>
      </c>
      <c r="C1053" t="s">
        <v>802</v>
      </c>
      <c r="D1053"/>
      <c r="E1053" t="s">
        <v>887</v>
      </c>
      <c r="F1053">
        <v>2011455</v>
      </c>
      <c r="G1053" t="s">
        <v>888</v>
      </c>
      <c r="H1053" t="s">
        <v>805</v>
      </c>
      <c r="I1053">
        <v>4295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4295</v>
      </c>
      <c r="P1053" s="44" t="e">
        <f>_xlfn.XLOOKUP(Tabla5[[#This Row],[EAN CORREGIDO]],'Tabla Articulos'!B:B,'Tabla Articulos'!D:D)</f>
        <v>#N/A</v>
      </c>
      <c r="Q1053" s="44" t="e">
        <f>_xlfn.XLOOKUP(S1053,'Tabla Articulos'!B:B,'Tabla Articulos'!E:E)</f>
        <v>#N/A</v>
      </c>
      <c r="R1053" s="44" t="e">
        <f t="shared" si="32"/>
        <v>#N/A</v>
      </c>
      <c r="S1053" s="45" t="str">
        <f t="shared" si="33"/>
        <v>7796322010898</v>
      </c>
    </row>
    <row r="1054" spans="1:19" hidden="1" x14ac:dyDescent="0.35">
      <c r="A1054" s="22">
        <v>6</v>
      </c>
      <c r="B1054" t="s">
        <v>801</v>
      </c>
      <c r="C1054" t="s">
        <v>802</v>
      </c>
      <c r="D1054"/>
      <c r="E1054" t="s">
        <v>1295</v>
      </c>
      <c r="F1054">
        <v>2006922</v>
      </c>
      <c r="G1054" t="s">
        <v>1296</v>
      </c>
      <c r="H1054" t="s">
        <v>805</v>
      </c>
      <c r="I1054">
        <v>47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47</v>
      </c>
      <c r="P1054" s="44" t="e">
        <f>_xlfn.XLOOKUP(Tabla5[[#This Row],[EAN CORREGIDO]],'Tabla Articulos'!B:B,'Tabla Articulos'!D:D)</f>
        <v>#N/A</v>
      </c>
      <c r="Q1054" s="44" t="e">
        <f>_xlfn.XLOOKUP(S1054,'Tabla Articulos'!B:B,'Tabla Articulos'!E:E)</f>
        <v>#N/A</v>
      </c>
      <c r="R1054" s="44" t="e">
        <f t="shared" si="32"/>
        <v>#N/A</v>
      </c>
      <c r="S1054" s="45" t="str">
        <f t="shared" si="33"/>
        <v>LIM000422</v>
      </c>
    </row>
    <row r="1055" spans="1:19" hidden="1" x14ac:dyDescent="0.35">
      <c r="A1055" s="22">
        <v>6</v>
      </c>
      <c r="B1055" t="s">
        <v>801</v>
      </c>
      <c r="C1055" t="s">
        <v>802</v>
      </c>
      <c r="D1055"/>
      <c r="E1055" t="s">
        <v>1297</v>
      </c>
      <c r="F1055">
        <v>9003832</v>
      </c>
      <c r="G1055" t="s">
        <v>1298</v>
      </c>
      <c r="H1055" t="s">
        <v>805</v>
      </c>
      <c r="I1055">
        <v>1365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1365</v>
      </c>
      <c r="P1055" s="44" t="e">
        <f>_xlfn.XLOOKUP(Tabla5[[#This Row],[EAN CORREGIDO]],'Tabla Articulos'!B:B,'Tabla Articulos'!D:D)</f>
        <v>#N/A</v>
      </c>
      <c r="Q1055" s="44" t="e">
        <f>_xlfn.XLOOKUP(S1055,'Tabla Articulos'!B:B,'Tabla Articulos'!E:E)</f>
        <v>#N/A</v>
      </c>
      <c r="R1055" s="44" t="e">
        <f t="shared" si="32"/>
        <v>#N/A</v>
      </c>
      <c r="S1055" s="45" t="str">
        <f t="shared" si="33"/>
        <v>BAZ001158</v>
      </c>
    </row>
    <row r="1056" spans="1:19" hidden="1" x14ac:dyDescent="0.35">
      <c r="A1056" s="22">
        <v>5</v>
      </c>
      <c r="B1056" t="s">
        <v>829</v>
      </c>
      <c r="C1056" t="s">
        <v>802</v>
      </c>
      <c r="D1056" t="s">
        <v>1299</v>
      </c>
      <c r="E1056" t="s">
        <v>1300</v>
      </c>
      <c r="F1056">
        <v>4018034</v>
      </c>
      <c r="G1056" t="s">
        <v>1301</v>
      </c>
      <c r="H1056" t="s">
        <v>816</v>
      </c>
      <c r="I1056">
        <v>2.7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2.7</v>
      </c>
      <c r="P1056" s="44" t="e">
        <f>_xlfn.XLOOKUP(Tabla5[[#This Row],[EAN CORREGIDO]],'Tabla Articulos'!B:B,'Tabla Articulos'!D:D)</f>
        <v>#N/A</v>
      </c>
      <c r="Q1056" s="44" t="e">
        <f>_xlfn.XLOOKUP(S1056,'Tabla Articulos'!B:B,'Tabla Articulos'!E:E)</f>
        <v>#N/A</v>
      </c>
      <c r="R1056" s="44" t="e">
        <f t="shared" si="32"/>
        <v>#N/A</v>
      </c>
      <c r="S1056" s="45" t="str">
        <f t="shared" si="33"/>
        <v>7790216012656</v>
      </c>
    </row>
    <row r="1057" spans="1:19" hidden="1" x14ac:dyDescent="0.35">
      <c r="A1057" s="22">
        <v>6</v>
      </c>
      <c r="B1057" t="s">
        <v>801</v>
      </c>
      <c r="C1057" t="s">
        <v>802</v>
      </c>
      <c r="E1057" t="s">
        <v>3885</v>
      </c>
      <c r="F1057"/>
      <c r="G1057" t="s">
        <v>3886</v>
      </c>
      <c r="H1057" t="s">
        <v>805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 s="44" t="e">
        <f>_xlfn.XLOOKUP(Tabla5[[#This Row],[EAN CORREGIDO]],'Tabla Articulos'!B:B,'Tabla Articulos'!D:D)</f>
        <v>#N/A</v>
      </c>
      <c r="Q1057" s="44" t="e">
        <f>_xlfn.XLOOKUP(S1057,'Tabla Articulos'!B:B,'Tabla Articulos'!E:E)</f>
        <v>#N/A</v>
      </c>
      <c r="R1057" s="44" t="e">
        <f t="shared" si="32"/>
        <v>#N/A</v>
      </c>
      <c r="S1057" s="45" t="str">
        <f t="shared" si="33"/>
        <v>BUSAT000861</v>
      </c>
    </row>
    <row r="1058" spans="1:19" hidden="1" x14ac:dyDescent="0.35">
      <c r="A1058" s="22">
        <v>6</v>
      </c>
      <c r="B1058" t="s">
        <v>801</v>
      </c>
      <c r="C1058" t="s">
        <v>802</v>
      </c>
      <c r="E1058" t="s">
        <v>3887</v>
      </c>
      <c r="F1058"/>
      <c r="G1058" t="s">
        <v>3888</v>
      </c>
      <c r="H1058" t="s">
        <v>805</v>
      </c>
      <c r="I1058">
        <v>4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4</v>
      </c>
      <c r="P1058" s="44" t="e">
        <f>_xlfn.XLOOKUP(Tabla5[[#This Row],[EAN CORREGIDO]],'Tabla Articulos'!B:B,'Tabla Articulos'!D:D)</f>
        <v>#N/A</v>
      </c>
      <c r="Q1058" s="44" t="e">
        <f>_xlfn.XLOOKUP(S1058,'Tabla Articulos'!B:B,'Tabla Articulos'!E:E)</f>
        <v>#N/A</v>
      </c>
      <c r="R1058" s="44" t="e">
        <f t="shared" si="32"/>
        <v>#N/A</v>
      </c>
      <c r="S1058" s="45" t="str">
        <f t="shared" si="33"/>
        <v>BUSAT000644</v>
      </c>
    </row>
    <row r="1059" spans="1:19" hidden="1" x14ac:dyDescent="0.35">
      <c r="A1059" s="22">
        <v>6</v>
      </c>
      <c r="B1059" t="s">
        <v>801</v>
      </c>
      <c r="C1059" t="s">
        <v>802</v>
      </c>
      <c r="D1059"/>
      <c r="E1059" t="s">
        <v>4427</v>
      </c>
      <c r="F1059"/>
      <c r="G1059" t="s">
        <v>4428</v>
      </c>
      <c r="H1059" t="s">
        <v>805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1</v>
      </c>
      <c r="P1059" s="44" t="e">
        <f>_xlfn.XLOOKUP(Tabla5[[#This Row],[EAN CORREGIDO]],'Tabla Articulos'!B:B,'Tabla Articulos'!D:D)</f>
        <v>#N/A</v>
      </c>
      <c r="Q1059" s="44" t="e">
        <f>_xlfn.XLOOKUP(S1059,'Tabla Articulos'!B:B,'Tabla Articulos'!E:E)</f>
        <v>#N/A</v>
      </c>
      <c r="R1059" s="44" t="e">
        <f t="shared" si="32"/>
        <v>#N/A</v>
      </c>
      <c r="S1059" s="45" t="str">
        <f t="shared" si="33"/>
        <v>BUSAT000185</v>
      </c>
    </row>
    <row r="1060" spans="1:19" hidden="1" x14ac:dyDescent="0.35">
      <c r="A1060" s="22">
        <v>6</v>
      </c>
      <c r="B1060" t="s">
        <v>801</v>
      </c>
      <c r="C1060" t="s">
        <v>802</v>
      </c>
      <c r="E1060" t="s">
        <v>4429</v>
      </c>
      <c r="F1060"/>
      <c r="G1060" t="s">
        <v>4430</v>
      </c>
      <c r="H1060" t="s">
        <v>805</v>
      </c>
      <c r="I1060">
        <v>4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4</v>
      </c>
      <c r="P1060" s="44" t="e">
        <f>_xlfn.XLOOKUP(Tabla5[[#This Row],[EAN CORREGIDO]],'Tabla Articulos'!B:B,'Tabla Articulos'!D:D)</f>
        <v>#N/A</v>
      </c>
      <c r="Q1060" s="44" t="e">
        <f>_xlfn.XLOOKUP(S1060,'Tabla Articulos'!B:B,'Tabla Articulos'!E:E)</f>
        <v>#N/A</v>
      </c>
      <c r="R1060" s="44" t="e">
        <f t="shared" si="32"/>
        <v>#N/A</v>
      </c>
      <c r="S1060" s="45" t="str">
        <f t="shared" si="33"/>
        <v>BUSAT000120</v>
      </c>
    </row>
    <row r="1061" spans="1:19" hidden="1" x14ac:dyDescent="0.35">
      <c r="A1061" s="22">
        <v>6</v>
      </c>
      <c r="B1061" t="s">
        <v>801</v>
      </c>
      <c r="C1061" t="s">
        <v>802</v>
      </c>
      <c r="E1061" t="s">
        <v>4431</v>
      </c>
      <c r="F1061"/>
      <c r="G1061" t="s">
        <v>4432</v>
      </c>
      <c r="H1061" t="s">
        <v>805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 s="44" t="e">
        <f>_xlfn.XLOOKUP(Tabla5[[#This Row],[EAN CORREGIDO]],'Tabla Articulos'!B:B,'Tabla Articulos'!D:D)</f>
        <v>#N/A</v>
      </c>
      <c r="Q1061" s="44" t="e">
        <f>_xlfn.XLOOKUP(S1061,'Tabla Articulos'!B:B,'Tabla Articulos'!E:E)</f>
        <v>#N/A</v>
      </c>
      <c r="R1061" s="44" t="e">
        <f t="shared" si="32"/>
        <v>#N/A</v>
      </c>
      <c r="S1061" s="45" t="str">
        <f t="shared" si="33"/>
        <v>BUE00257</v>
      </c>
    </row>
    <row r="1062" spans="1:19" hidden="1" x14ac:dyDescent="0.35">
      <c r="A1062" s="22">
        <v>6</v>
      </c>
      <c r="B1062" t="s">
        <v>801</v>
      </c>
      <c r="C1062" t="s">
        <v>802</v>
      </c>
      <c r="D1062"/>
      <c r="E1062" t="s">
        <v>4433</v>
      </c>
      <c r="F1062"/>
      <c r="G1062" t="s">
        <v>4434</v>
      </c>
      <c r="H1062" t="s">
        <v>805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</v>
      </c>
      <c r="P1062" s="44" t="e">
        <f>_xlfn.XLOOKUP(Tabla5[[#This Row],[EAN CORREGIDO]],'Tabla Articulos'!B:B,'Tabla Articulos'!D:D)</f>
        <v>#N/A</v>
      </c>
      <c r="Q1062" s="44" t="e">
        <f>_xlfn.XLOOKUP(S1062,'Tabla Articulos'!B:B,'Tabla Articulos'!E:E)</f>
        <v>#N/A</v>
      </c>
      <c r="R1062" s="44" t="e">
        <f t="shared" si="32"/>
        <v>#N/A</v>
      </c>
      <c r="S1062" s="45" t="str">
        <f t="shared" si="33"/>
        <v>BUSAT000016</v>
      </c>
    </row>
    <row r="1063" spans="1:19" hidden="1" x14ac:dyDescent="0.35">
      <c r="A1063" s="22">
        <v>6</v>
      </c>
      <c r="B1063" t="s">
        <v>801</v>
      </c>
      <c r="C1063" t="s">
        <v>802</v>
      </c>
      <c r="D1063"/>
      <c r="E1063" t="s">
        <v>4435</v>
      </c>
      <c r="F1063"/>
      <c r="G1063" t="s">
        <v>4436</v>
      </c>
      <c r="H1063" t="s">
        <v>805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 s="44" t="e">
        <f>_xlfn.XLOOKUP(Tabla5[[#This Row],[EAN CORREGIDO]],'Tabla Articulos'!B:B,'Tabla Articulos'!D:D)</f>
        <v>#N/A</v>
      </c>
      <c r="Q1063" s="44" t="e">
        <f>_xlfn.XLOOKUP(S1063,'Tabla Articulos'!B:B,'Tabla Articulos'!E:E)</f>
        <v>#N/A</v>
      </c>
      <c r="R1063" s="44" t="e">
        <f t="shared" si="32"/>
        <v>#N/A</v>
      </c>
      <c r="S1063" s="45" t="str">
        <f t="shared" si="33"/>
        <v>BUSAT000885</v>
      </c>
    </row>
    <row r="1064" spans="1:19" hidden="1" x14ac:dyDescent="0.35">
      <c r="A1064" s="22">
        <v>1</v>
      </c>
      <c r="B1064" t="s">
        <v>812</v>
      </c>
      <c r="C1064" t="s">
        <v>802</v>
      </c>
      <c r="D1064" t="s">
        <v>3384</v>
      </c>
      <c r="E1064" t="s">
        <v>5427</v>
      </c>
      <c r="F1064">
        <v>4076726</v>
      </c>
      <c r="G1064" t="s">
        <v>5428</v>
      </c>
      <c r="H1064" t="s">
        <v>805</v>
      </c>
      <c r="I1064">
        <v>11924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11924</v>
      </c>
      <c r="P1064" s="44" t="e">
        <f>_xlfn.XLOOKUP(Tabla5[[#This Row],[EAN CORREGIDO]],'Tabla Articulos'!B:B,'Tabla Articulos'!D:D)</f>
        <v>#N/A</v>
      </c>
      <c r="Q1064" s="44" t="e">
        <f>_xlfn.XLOOKUP(S1064,'Tabla Articulos'!B:B,'Tabla Articulos'!E:E)</f>
        <v>#N/A</v>
      </c>
      <c r="R1064" s="44" t="e">
        <f t="shared" si="32"/>
        <v>#N/A</v>
      </c>
      <c r="S1064" s="45" t="str">
        <f t="shared" si="33"/>
        <v>7796236000961</v>
      </c>
    </row>
    <row r="1065" spans="1:19" hidden="1" x14ac:dyDescent="0.35">
      <c r="A1065" s="22">
        <v>1</v>
      </c>
      <c r="B1065" t="s">
        <v>812</v>
      </c>
      <c r="C1065" t="s">
        <v>802</v>
      </c>
      <c r="D1065" t="s">
        <v>5429</v>
      </c>
      <c r="E1065" t="s">
        <v>5430</v>
      </c>
      <c r="F1065">
        <v>4020045</v>
      </c>
      <c r="G1065" t="s">
        <v>5431</v>
      </c>
      <c r="H1065" t="s">
        <v>805</v>
      </c>
      <c r="I1065">
        <v>2534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2534</v>
      </c>
      <c r="P1065" s="44" t="e">
        <f>_xlfn.XLOOKUP(Tabla5[[#This Row],[EAN CORREGIDO]],'Tabla Articulos'!B:B,'Tabla Articulos'!D:D)</f>
        <v>#N/A</v>
      </c>
      <c r="Q1065" s="44" t="e">
        <f>_xlfn.XLOOKUP(S1065,'Tabla Articulos'!B:B,'Tabla Articulos'!E:E)</f>
        <v>#N/A</v>
      </c>
      <c r="R1065" s="44" t="e">
        <f t="shared" si="32"/>
        <v>#N/A</v>
      </c>
      <c r="S1065" s="45" t="str">
        <f t="shared" si="33"/>
        <v>7792750001606</v>
      </c>
    </row>
    <row r="1066" spans="1:19" hidden="1" x14ac:dyDescent="0.35">
      <c r="A1066" s="22">
        <v>5</v>
      </c>
      <c r="B1066" t="s">
        <v>829</v>
      </c>
      <c r="C1066" t="s">
        <v>802</v>
      </c>
      <c r="D1066" s="11" t="s">
        <v>5429</v>
      </c>
      <c r="E1066" t="s">
        <v>5430</v>
      </c>
      <c r="F1066">
        <v>4020045</v>
      </c>
      <c r="G1066" t="s">
        <v>5431</v>
      </c>
      <c r="H1066" t="s">
        <v>805</v>
      </c>
      <c r="I1066">
        <v>17612</v>
      </c>
      <c r="J1066">
        <v>0</v>
      </c>
      <c r="K1066">
        <v>0</v>
      </c>
      <c r="L1066">
        <v>0</v>
      </c>
      <c r="M1066">
        <v>25</v>
      </c>
      <c r="N1066">
        <v>0</v>
      </c>
      <c r="O1066">
        <v>17587</v>
      </c>
      <c r="P1066" s="44" t="e">
        <f>_xlfn.XLOOKUP(Tabla5[[#This Row],[EAN CORREGIDO]],'Tabla Articulos'!B:B,'Tabla Articulos'!D:D)</f>
        <v>#N/A</v>
      </c>
      <c r="Q1066" s="44" t="e">
        <f>_xlfn.XLOOKUP(S1066,'Tabla Articulos'!B:B,'Tabla Articulos'!E:E)</f>
        <v>#N/A</v>
      </c>
      <c r="R1066" s="44" t="e">
        <f t="shared" si="32"/>
        <v>#N/A</v>
      </c>
      <c r="S1066" s="45" t="str">
        <f t="shared" si="33"/>
        <v>7792750001606</v>
      </c>
    </row>
    <row r="1067" spans="1:19" hidden="1" x14ac:dyDescent="0.35">
      <c r="A1067" s="22">
        <v>6</v>
      </c>
      <c r="B1067" t="s">
        <v>801</v>
      </c>
      <c r="C1067" t="s">
        <v>802</v>
      </c>
      <c r="D1067"/>
      <c r="E1067" t="s">
        <v>5432</v>
      </c>
      <c r="F1067">
        <v>9003760</v>
      </c>
      <c r="G1067" t="s">
        <v>5433</v>
      </c>
      <c r="H1067" t="s">
        <v>805</v>
      </c>
      <c r="I1067">
        <v>75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75</v>
      </c>
      <c r="P1067" s="44" t="e">
        <f>_xlfn.XLOOKUP(Tabla5[[#This Row],[EAN CORREGIDO]],'Tabla Articulos'!B:B,'Tabla Articulos'!D:D)</f>
        <v>#N/A</v>
      </c>
      <c r="Q1067" s="44" t="e">
        <f>_xlfn.XLOOKUP(S1067,'Tabla Articulos'!B:B,'Tabla Articulos'!E:E)</f>
        <v>#N/A</v>
      </c>
      <c r="R1067" s="44" t="e">
        <f t="shared" si="32"/>
        <v>#N/A</v>
      </c>
      <c r="S1067" s="45" t="str">
        <f t="shared" si="33"/>
        <v>BAZ001310</v>
      </c>
    </row>
    <row r="1068" spans="1:19" hidden="1" x14ac:dyDescent="0.35">
      <c r="A1068" s="22">
        <v>1</v>
      </c>
      <c r="B1068" t="s">
        <v>812</v>
      </c>
      <c r="C1068" t="s">
        <v>802</v>
      </c>
      <c r="D1068" t="s">
        <v>911</v>
      </c>
      <c r="E1068" t="s">
        <v>912</v>
      </c>
      <c r="F1068">
        <v>4023335</v>
      </c>
      <c r="G1068" t="s">
        <v>913</v>
      </c>
      <c r="H1068" t="s">
        <v>805</v>
      </c>
      <c r="I1068">
        <v>14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14</v>
      </c>
      <c r="P1068" s="44" t="e">
        <f>_xlfn.XLOOKUP(Tabla5[[#This Row],[EAN CORREGIDO]],'Tabla Articulos'!B:B,'Tabla Articulos'!D:D)</f>
        <v>#N/A</v>
      </c>
      <c r="Q1068" s="44" t="e">
        <f>_xlfn.XLOOKUP(S1068,'Tabla Articulos'!B:B,'Tabla Articulos'!E:E)</f>
        <v>#N/A</v>
      </c>
      <c r="R1068" s="44" t="e">
        <f t="shared" si="32"/>
        <v>#N/A</v>
      </c>
      <c r="S1068" s="45" t="str">
        <f t="shared" si="33"/>
        <v>7798184272742</v>
      </c>
    </row>
    <row r="1069" spans="1:19" hidden="1" x14ac:dyDescent="0.35">
      <c r="A1069" s="22">
        <v>6</v>
      </c>
      <c r="B1069" t="s">
        <v>801</v>
      </c>
      <c r="C1069" t="s">
        <v>802</v>
      </c>
      <c r="E1069" t="s">
        <v>914</v>
      </c>
      <c r="F1069">
        <v>9003813</v>
      </c>
      <c r="G1069" t="s">
        <v>915</v>
      </c>
      <c r="H1069" t="s">
        <v>805</v>
      </c>
      <c r="I1069">
        <v>20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20</v>
      </c>
      <c r="P1069" s="44" t="e">
        <f>_xlfn.XLOOKUP(Tabla5[[#This Row],[EAN CORREGIDO]],'Tabla Articulos'!B:B,'Tabla Articulos'!D:D)</f>
        <v>#N/A</v>
      </c>
      <c r="Q1069" s="44" t="e">
        <f>_xlfn.XLOOKUP(S1069,'Tabla Articulos'!B:B,'Tabla Articulos'!E:E)</f>
        <v>#N/A</v>
      </c>
      <c r="R1069" s="44" t="e">
        <f t="shared" si="32"/>
        <v>#N/A</v>
      </c>
      <c r="S1069" s="45" t="str">
        <f t="shared" si="33"/>
        <v>BAZ001226</v>
      </c>
    </row>
    <row r="1070" spans="1:19" hidden="1" x14ac:dyDescent="0.35">
      <c r="A1070" s="22">
        <v>6</v>
      </c>
      <c r="B1070" t="s">
        <v>801</v>
      </c>
      <c r="C1070" t="s">
        <v>802</v>
      </c>
      <c r="D1070"/>
      <c r="E1070" t="s">
        <v>916</v>
      </c>
      <c r="F1070">
        <v>9003738</v>
      </c>
      <c r="G1070" t="s">
        <v>917</v>
      </c>
      <c r="H1070" t="s">
        <v>805</v>
      </c>
      <c r="I1070">
        <v>193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193</v>
      </c>
      <c r="P1070" s="44" t="e">
        <f>_xlfn.XLOOKUP(Tabla5[[#This Row],[EAN CORREGIDO]],'Tabla Articulos'!B:B,'Tabla Articulos'!D:D)</f>
        <v>#N/A</v>
      </c>
      <c r="Q1070" s="44" t="e">
        <f>_xlfn.XLOOKUP(S1070,'Tabla Articulos'!B:B,'Tabla Articulos'!E:E)</f>
        <v>#N/A</v>
      </c>
      <c r="R1070" s="44" t="e">
        <f t="shared" si="32"/>
        <v>#N/A</v>
      </c>
      <c r="S1070" s="45" t="str">
        <f t="shared" si="33"/>
        <v>BAZ001262</v>
      </c>
    </row>
    <row r="1071" spans="1:19" hidden="1" x14ac:dyDescent="0.35">
      <c r="A1071" s="22">
        <v>1</v>
      </c>
      <c r="B1071" t="s">
        <v>812</v>
      </c>
      <c r="C1071" t="s">
        <v>802</v>
      </c>
      <c r="D1071" t="s">
        <v>896</v>
      </c>
      <c r="E1071" t="s">
        <v>918</v>
      </c>
      <c r="F1071">
        <v>4019876</v>
      </c>
      <c r="G1071" t="s">
        <v>919</v>
      </c>
      <c r="H1071" t="s">
        <v>805</v>
      </c>
      <c r="I1071">
        <v>58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58</v>
      </c>
      <c r="P1071" s="44" t="e">
        <f>_xlfn.XLOOKUP(Tabla5[[#This Row],[EAN CORREGIDO]],'Tabla Articulos'!B:B,'Tabla Articulos'!D:D)</f>
        <v>#N/A</v>
      </c>
      <c r="Q1071" s="44" t="e">
        <f>_xlfn.XLOOKUP(S1071,'Tabla Articulos'!B:B,'Tabla Articulos'!E:E)</f>
        <v>#N/A</v>
      </c>
      <c r="R1071" s="44" t="e">
        <f t="shared" si="32"/>
        <v>#N/A</v>
      </c>
      <c r="S1071" s="45" t="str">
        <f t="shared" si="33"/>
        <v>7790530850147</v>
      </c>
    </row>
    <row r="1072" spans="1:19" hidden="1" x14ac:dyDescent="0.35">
      <c r="A1072" s="22">
        <v>5</v>
      </c>
      <c r="B1072" t="s">
        <v>829</v>
      </c>
      <c r="C1072" t="s">
        <v>802</v>
      </c>
      <c r="D1072" s="11" t="s">
        <v>896</v>
      </c>
      <c r="E1072" t="s">
        <v>918</v>
      </c>
      <c r="F1072">
        <v>4019876</v>
      </c>
      <c r="G1072" t="s">
        <v>919</v>
      </c>
      <c r="H1072" t="s">
        <v>805</v>
      </c>
      <c r="I1072">
        <v>9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9</v>
      </c>
      <c r="P1072" s="44" t="e">
        <f>_xlfn.XLOOKUP(Tabla5[[#This Row],[EAN CORREGIDO]],'Tabla Articulos'!B:B,'Tabla Articulos'!D:D)</f>
        <v>#N/A</v>
      </c>
      <c r="Q1072" s="44" t="e">
        <f>_xlfn.XLOOKUP(S1072,'Tabla Articulos'!B:B,'Tabla Articulos'!E:E)</f>
        <v>#N/A</v>
      </c>
      <c r="R1072" s="44" t="e">
        <f t="shared" si="32"/>
        <v>#N/A</v>
      </c>
      <c r="S1072" s="45" t="str">
        <f t="shared" si="33"/>
        <v>7790530850147</v>
      </c>
    </row>
    <row r="1073" spans="1:19" hidden="1" x14ac:dyDescent="0.35">
      <c r="A1073" s="22">
        <v>6</v>
      </c>
      <c r="B1073" t="s">
        <v>801</v>
      </c>
      <c r="C1073" t="s">
        <v>802</v>
      </c>
      <c r="D1073" t="s">
        <v>920</v>
      </c>
      <c r="E1073" t="s">
        <v>921</v>
      </c>
      <c r="F1073">
        <v>2006322</v>
      </c>
      <c r="G1073" t="s">
        <v>922</v>
      </c>
      <c r="H1073" t="s">
        <v>805</v>
      </c>
      <c r="I1073">
        <v>391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391</v>
      </c>
      <c r="P1073" s="44" t="e">
        <f>_xlfn.XLOOKUP(Tabla5[[#This Row],[EAN CORREGIDO]],'Tabla Articulos'!B:B,'Tabla Articulos'!D:D)</f>
        <v>#N/A</v>
      </c>
      <c r="Q1073" s="44" t="e">
        <f>_xlfn.XLOOKUP(S1073,'Tabla Articulos'!B:B,'Tabla Articulos'!E:E)</f>
        <v>#N/A</v>
      </c>
      <c r="R1073" s="44" t="e">
        <f t="shared" si="32"/>
        <v>#N/A</v>
      </c>
      <c r="S1073" s="45" t="str">
        <f t="shared" si="33"/>
        <v>LIM000137</v>
      </c>
    </row>
    <row r="1074" spans="1:19" hidden="1" x14ac:dyDescent="0.35">
      <c r="A1074" s="22">
        <v>6</v>
      </c>
      <c r="B1074" t="s">
        <v>801</v>
      </c>
      <c r="C1074" t="s">
        <v>802</v>
      </c>
      <c r="D1074" t="s">
        <v>923</v>
      </c>
      <c r="E1074" t="s">
        <v>924</v>
      </c>
      <c r="F1074">
        <v>2006313</v>
      </c>
      <c r="G1074" t="s">
        <v>925</v>
      </c>
      <c r="H1074" t="s">
        <v>805</v>
      </c>
      <c r="I1074">
        <v>16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16</v>
      </c>
      <c r="P1074" s="44" t="e">
        <f>_xlfn.XLOOKUP(Tabla5[[#This Row],[EAN CORREGIDO]],'Tabla Articulos'!B:B,'Tabla Articulos'!D:D)</f>
        <v>#N/A</v>
      </c>
      <c r="Q1074" s="44" t="e">
        <f>_xlfn.XLOOKUP(S1074,'Tabla Articulos'!B:B,'Tabla Articulos'!E:E)</f>
        <v>#N/A</v>
      </c>
      <c r="R1074" s="44" t="e">
        <f t="shared" si="32"/>
        <v>#N/A</v>
      </c>
      <c r="S1074" s="45" t="str">
        <f t="shared" si="33"/>
        <v>LIM000470</v>
      </c>
    </row>
    <row r="1075" spans="1:19" hidden="1" x14ac:dyDescent="0.35">
      <c r="A1075" s="22">
        <v>5</v>
      </c>
      <c r="B1075" t="s">
        <v>829</v>
      </c>
      <c r="C1075" t="s">
        <v>802</v>
      </c>
      <c r="D1075" s="11" t="s">
        <v>926</v>
      </c>
      <c r="E1075" t="s">
        <v>927</v>
      </c>
      <c r="F1075">
        <v>4023885</v>
      </c>
      <c r="G1075" t="s">
        <v>928</v>
      </c>
      <c r="H1075" t="s">
        <v>805</v>
      </c>
      <c r="I1075">
        <v>9</v>
      </c>
      <c r="J1075">
        <v>0</v>
      </c>
      <c r="K1075">
        <v>0</v>
      </c>
      <c r="L1075">
        <v>0</v>
      </c>
      <c r="M1075">
        <v>2</v>
      </c>
      <c r="N1075">
        <v>0</v>
      </c>
      <c r="O1075">
        <v>7</v>
      </c>
      <c r="P1075" s="44" t="e">
        <f>_xlfn.XLOOKUP(Tabla5[[#This Row],[EAN CORREGIDO]],'Tabla Articulos'!B:B,'Tabla Articulos'!D:D)</f>
        <v>#N/A</v>
      </c>
      <c r="Q1075" s="44" t="e">
        <f>_xlfn.XLOOKUP(S1075,'Tabla Articulos'!B:B,'Tabla Articulos'!E:E)</f>
        <v>#N/A</v>
      </c>
      <c r="R1075" s="44" t="e">
        <f t="shared" si="32"/>
        <v>#N/A</v>
      </c>
      <c r="S1075" s="45" t="str">
        <f t="shared" si="33"/>
        <v>7791476034059</v>
      </c>
    </row>
    <row r="1076" spans="1:19" hidden="1" x14ac:dyDescent="0.35">
      <c r="A1076" s="22">
        <v>6</v>
      </c>
      <c r="B1076" t="s">
        <v>801</v>
      </c>
      <c r="C1076" t="s">
        <v>802</v>
      </c>
      <c r="D1076"/>
      <c r="E1076" t="s">
        <v>1403</v>
      </c>
      <c r="F1076">
        <v>9003225</v>
      </c>
      <c r="G1076" t="s">
        <v>1404</v>
      </c>
      <c r="H1076" t="s">
        <v>805</v>
      </c>
      <c r="I1076">
        <v>13</v>
      </c>
      <c r="J1076">
        <v>150</v>
      </c>
      <c r="K1076">
        <v>0</v>
      </c>
      <c r="L1076">
        <v>0</v>
      </c>
      <c r="M1076">
        <v>0</v>
      </c>
      <c r="N1076">
        <v>0</v>
      </c>
      <c r="O1076">
        <v>163</v>
      </c>
      <c r="P1076" s="44" t="e">
        <f>_xlfn.XLOOKUP(Tabla5[[#This Row],[EAN CORREGIDO]],'Tabla Articulos'!B:B,'Tabla Articulos'!D:D)</f>
        <v>#N/A</v>
      </c>
      <c r="Q1076" s="44" t="e">
        <f>_xlfn.XLOOKUP(S1076,'Tabla Articulos'!B:B,'Tabla Articulos'!E:E)</f>
        <v>#N/A</v>
      </c>
      <c r="R1076" s="44" t="e">
        <f t="shared" si="32"/>
        <v>#N/A</v>
      </c>
      <c r="S1076" s="45" t="str">
        <f t="shared" si="33"/>
        <v>UNIF000125</v>
      </c>
    </row>
    <row r="1077" spans="1:19" hidden="1" x14ac:dyDescent="0.35">
      <c r="A1077" s="22">
        <v>6</v>
      </c>
      <c r="B1077" t="s">
        <v>801</v>
      </c>
      <c r="C1077" t="s">
        <v>802</v>
      </c>
      <c r="D1077"/>
      <c r="E1077" t="s">
        <v>5434</v>
      </c>
      <c r="F1077">
        <v>9003254</v>
      </c>
      <c r="G1077" t="s">
        <v>5435</v>
      </c>
      <c r="H1077" t="s">
        <v>805</v>
      </c>
      <c r="I1077">
        <v>14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14</v>
      </c>
      <c r="P1077" s="44" t="e">
        <f>_xlfn.XLOOKUP(Tabla5[[#This Row],[EAN CORREGIDO]],'Tabla Articulos'!B:B,'Tabla Articulos'!D:D)</f>
        <v>#N/A</v>
      </c>
      <c r="Q1077" s="44" t="e">
        <f>_xlfn.XLOOKUP(S1077,'Tabla Articulos'!B:B,'Tabla Articulos'!E:E)</f>
        <v>#N/A</v>
      </c>
      <c r="R1077" s="44" t="e">
        <f t="shared" si="32"/>
        <v>#N/A</v>
      </c>
      <c r="S1077" s="45" t="str">
        <f t="shared" si="33"/>
        <v>UNIF000482</v>
      </c>
    </row>
    <row r="1078" spans="1:19" hidden="1" x14ac:dyDescent="0.35">
      <c r="A1078" s="22">
        <v>1</v>
      </c>
      <c r="B1078" t="s">
        <v>812</v>
      </c>
      <c r="C1078" t="s">
        <v>802</v>
      </c>
      <c r="D1078" s="11" t="s">
        <v>3036</v>
      </c>
      <c r="E1078" t="s">
        <v>5436</v>
      </c>
      <c r="F1078">
        <v>4022495</v>
      </c>
      <c r="G1078" t="s">
        <v>5437</v>
      </c>
      <c r="H1078" t="s">
        <v>805</v>
      </c>
      <c r="I1078">
        <v>44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44</v>
      </c>
      <c r="P1078" s="44" t="e">
        <f>_xlfn.XLOOKUP(Tabla5[[#This Row],[EAN CORREGIDO]],'Tabla Articulos'!B:B,'Tabla Articulos'!D:D)</f>
        <v>#N/A</v>
      </c>
      <c r="Q1078" s="44" t="e">
        <f>_xlfn.XLOOKUP(S1078,'Tabla Articulos'!B:B,'Tabla Articulos'!E:E)</f>
        <v>#N/A</v>
      </c>
      <c r="R1078" s="44" t="e">
        <f t="shared" si="32"/>
        <v>#N/A</v>
      </c>
      <c r="S1078" s="45" t="str">
        <f t="shared" si="33"/>
        <v>790757899490</v>
      </c>
    </row>
    <row r="1079" spans="1:19" hidden="1" x14ac:dyDescent="0.35">
      <c r="A1079" s="22">
        <v>6</v>
      </c>
      <c r="B1079" t="s">
        <v>801</v>
      </c>
      <c r="C1079" t="s">
        <v>802</v>
      </c>
      <c r="E1079" t="s">
        <v>5438</v>
      </c>
      <c r="F1079">
        <v>9003651</v>
      </c>
      <c r="G1079" t="s">
        <v>3031</v>
      </c>
      <c r="H1079" t="s">
        <v>805</v>
      </c>
      <c r="I1079">
        <v>8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8</v>
      </c>
      <c r="P1079" s="44" t="e">
        <f>_xlfn.XLOOKUP(Tabla5[[#This Row],[EAN CORREGIDO]],'Tabla Articulos'!B:B,'Tabla Articulos'!D:D)</f>
        <v>#N/A</v>
      </c>
      <c r="Q1079" s="44" t="e">
        <f>_xlfn.XLOOKUP(S1079,'Tabla Articulos'!B:B,'Tabla Articulos'!E:E)</f>
        <v>#N/A</v>
      </c>
      <c r="R1079" s="44" t="e">
        <f t="shared" si="32"/>
        <v>#N/A</v>
      </c>
      <c r="S1079" s="45" t="str">
        <f t="shared" si="33"/>
        <v>UNIF000528</v>
      </c>
    </row>
    <row r="1080" spans="1:19" hidden="1" x14ac:dyDescent="0.35">
      <c r="A1080" s="22">
        <v>1</v>
      </c>
      <c r="B1080" t="s">
        <v>812</v>
      </c>
      <c r="C1080" t="s">
        <v>802</v>
      </c>
      <c r="D1080" s="11" t="s">
        <v>5439</v>
      </c>
      <c r="E1080" t="s">
        <v>5440</v>
      </c>
      <c r="F1080">
        <v>4076764</v>
      </c>
      <c r="G1080" t="s">
        <v>5441</v>
      </c>
      <c r="H1080" t="s">
        <v>805</v>
      </c>
      <c r="I1080">
        <v>3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3</v>
      </c>
      <c r="P1080" s="44" t="e">
        <f>_xlfn.XLOOKUP(Tabla5[[#This Row],[EAN CORREGIDO]],'Tabla Articulos'!B:B,'Tabla Articulos'!D:D)</f>
        <v>#N/A</v>
      </c>
      <c r="Q1080" s="44" t="e">
        <f>_xlfn.XLOOKUP(S1080,'Tabla Articulos'!B:B,'Tabla Articulos'!E:E)</f>
        <v>#N/A</v>
      </c>
      <c r="R1080" s="44" t="e">
        <f t="shared" si="32"/>
        <v>#N/A</v>
      </c>
      <c r="S1080" s="45" t="str">
        <f t="shared" si="33"/>
        <v>7792180009104</v>
      </c>
    </row>
    <row r="1081" spans="1:19" hidden="1" x14ac:dyDescent="0.35">
      <c r="A1081" s="22">
        <v>5</v>
      </c>
      <c r="B1081" t="s">
        <v>829</v>
      </c>
      <c r="C1081" t="s">
        <v>802</v>
      </c>
      <c r="D1081" s="11" t="s">
        <v>5442</v>
      </c>
      <c r="E1081" t="s">
        <v>5443</v>
      </c>
      <c r="F1081">
        <v>4020346</v>
      </c>
      <c r="G1081" t="s">
        <v>5444</v>
      </c>
      <c r="H1081" t="s">
        <v>805</v>
      </c>
      <c r="I1081">
        <v>288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288</v>
      </c>
      <c r="P1081" s="44" t="e">
        <f>_xlfn.XLOOKUP(Tabla5[[#This Row],[EAN CORREGIDO]],'Tabla Articulos'!B:B,'Tabla Articulos'!D:D)</f>
        <v>#N/A</v>
      </c>
      <c r="Q1081" s="44" t="e">
        <f>_xlfn.XLOOKUP(S1081,'Tabla Articulos'!B:B,'Tabla Articulos'!E:E)</f>
        <v>#N/A</v>
      </c>
      <c r="R1081" s="44" t="e">
        <f t="shared" si="32"/>
        <v>#N/A</v>
      </c>
      <c r="S1081" s="45" t="str">
        <f t="shared" si="33"/>
        <v>7798011970384</v>
      </c>
    </row>
    <row r="1082" spans="1:19" hidden="1" x14ac:dyDescent="0.35">
      <c r="A1082" s="22">
        <v>1</v>
      </c>
      <c r="B1082" t="s">
        <v>812</v>
      </c>
      <c r="C1082" t="s">
        <v>802</v>
      </c>
      <c r="D1082" s="11" t="s">
        <v>5442</v>
      </c>
      <c r="E1082" t="s">
        <v>5443</v>
      </c>
      <c r="F1082">
        <v>4020346</v>
      </c>
      <c r="G1082" t="s">
        <v>5444</v>
      </c>
      <c r="H1082" t="s">
        <v>805</v>
      </c>
      <c r="I1082">
        <v>26</v>
      </c>
      <c r="J1082">
        <v>0</v>
      </c>
      <c r="K1082">
        <v>0</v>
      </c>
      <c r="L1082">
        <v>6</v>
      </c>
      <c r="M1082">
        <v>6</v>
      </c>
      <c r="N1082">
        <v>0</v>
      </c>
      <c r="O1082">
        <v>14</v>
      </c>
      <c r="P1082" s="44" t="e">
        <f>_xlfn.XLOOKUP(Tabla5[[#This Row],[EAN CORREGIDO]],'Tabla Articulos'!B:B,'Tabla Articulos'!D:D)</f>
        <v>#N/A</v>
      </c>
      <c r="Q1082" s="44" t="e">
        <f>_xlfn.XLOOKUP(S1082,'Tabla Articulos'!B:B,'Tabla Articulos'!E:E)</f>
        <v>#N/A</v>
      </c>
      <c r="R1082" s="44" t="e">
        <f t="shared" si="32"/>
        <v>#N/A</v>
      </c>
      <c r="S1082" s="45" t="str">
        <f t="shared" si="33"/>
        <v>7798011970384</v>
      </c>
    </row>
    <row r="1083" spans="1:19" hidden="1" x14ac:dyDescent="0.35">
      <c r="A1083" s="22">
        <v>6</v>
      </c>
      <c r="B1083" t="s">
        <v>801</v>
      </c>
      <c r="C1083" t="s">
        <v>802</v>
      </c>
      <c r="D1083" t="s">
        <v>400</v>
      </c>
      <c r="E1083" t="s">
        <v>5445</v>
      </c>
      <c r="F1083">
        <v>2006441</v>
      </c>
      <c r="G1083" t="s">
        <v>5446</v>
      </c>
      <c r="H1083" t="s">
        <v>805</v>
      </c>
      <c r="I1083">
        <v>25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25</v>
      </c>
      <c r="P1083" s="44" t="str">
        <f>_xlfn.XLOOKUP(Tabla5[[#This Row],[EAN CORREGIDO]],'Tabla Articulos'!B:B,'Tabla Articulos'!D:D)</f>
        <v>ANTORCHITAS</v>
      </c>
      <c r="Q1083" s="44">
        <f>_xlfn.XLOOKUP(S1083,'Tabla Articulos'!B:B,'Tabla Articulos'!E:E)</f>
        <v>24</v>
      </c>
      <c r="R1083" s="44">
        <f t="shared" si="32"/>
        <v>600</v>
      </c>
      <c r="S1083" s="45" t="str">
        <f t="shared" si="33"/>
        <v>7797390190505</v>
      </c>
    </row>
    <row r="1084" spans="1:19" hidden="1" x14ac:dyDescent="0.35">
      <c r="A1084" s="22">
        <v>1</v>
      </c>
      <c r="B1084" t="s">
        <v>812</v>
      </c>
      <c r="C1084" t="s">
        <v>802</v>
      </c>
      <c r="D1084" t="s">
        <v>5542</v>
      </c>
      <c r="E1084" t="s">
        <v>5543</v>
      </c>
      <c r="F1084">
        <v>4019864</v>
      </c>
      <c r="G1084" t="s">
        <v>5544</v>
      </c>
      <c r="H1084" t="s">
        <v>805</v>
      </c>
      <c r="I1084">
        <v>57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57</v>
      </c>
      <c r="P1084" s="44" t="e">
        <f>_xlfn.XLOOKUP(Tabla5[[#This Row],[EAN CORREGIDO]],'Tabla Articulos'!B:B,'Tabla Articulos'!D:D)</f>
        <v>#N/A</v>
      </c>
      <c r="Q1084" s="44" t="e">
        <f>_xlfn.XLOOKUP(S1084,'Tabla Articulos'!B:B,'Tabla Articulos'!E:E)</f>
        <v>#N/A</v>
      </c>
      <c r="R1084" s="44" t="e">
        <f t="shared" si="32"/>
        <v>#N/A</v>
      </c>
      <c r="S1084" s="45" t="str">
        <f t="shared" si="33"/>
        <v>7791004000082</v>
      </c>
    </row>
    <row r="1085" spans="1:19" hidden="1" x14ac:dyDescent="0.35">
      <c r="A1085" s="22">
        <v>6</v>
      </c>
      <c r="B1085" t="s">
        <v>801</v>
      </c>
      <c r="C1085" t="s">
        <v>802</v>
      </c>
      <c r="D1085"/>
      <c r="E1085" t="s">
        <v>5545</v>
      </c>
      <c r="F1085">
        <v>9003453</v>
      </c>
      <c r="G1085" t="s">
        <v>5546</v>
      </c>
      <c r="H1085" t="s">
        <v>805</v>
      </c>
      <c r="I1085">
        <v>5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5</v>
      </c>
      <c r="P1085" s="44" t="e">
        <f>_xlfn.XLOOKUP(Tabla5[[#This Row],[EAN CORREGIDO]],'Tabla Articulos'!B:B,'Tabla Articulos'!D:D)</f>
        <v>#N/A</v>
      </c>
      <c r="Q1085" s="44" t="e">
        <f>_xlfn.XLOOKUP(S1085,'Tabla Articulos'!B:B,'Tabla Articulos'!E:E)</f>
        <v>#N/A</v>
      </c>
      <c r="R1085" s="44" t="e">
        <f t="shared" si="32"/>
        <v>#N/A</v>
      </c>
      <c r="S1085" s="45" t="str">
        <f t="shared" si="33"/>
        <v>UNIF000386</v>
      </c>
    </row>
    <row r="1086" spans="1:19" hidden="1" x14ac:dyDescent="0.35">
      <c r="A1086" s="22">
        <v>1</v>
      </c>
      <c r="B1086" t="s">
        <v>812</v>
      </c>
      <c r="C1086" t="s">
        <v>802</v>
      </c>
      <c r="D1086" t="s">
        <v>3521</v>
      </c>
      <c r="E1086" t="s">
        <v>5305</v>
      </c>
      <c r="F1086">
        <v>4017750</v>
      </c>
      <c r="G1086" t="s">
        <v>5306</v>
      </c>
      <c r="H1086" t="s">
        <v>816</v>
      </c>
      <c r="I1086">
        <v>92.36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92.36</v>
      </c>
      <c r="P1086" s="44" t="e">
        <f>_xlfn.XLOOKUP(Tabla5[[#This Row],[EAN CORREGIDO]],'Tabla Articulos'!B:B,'Tabla Articulos'!D:D)</f>
        <v>#N/A</v>
      </c>
      <c r="Q1086" s="44" t="e">
        <f>_xlfn.XLOOKUP(S1086,'Tabla Articulos'!B:B,'Tabla Articulos'!E:E)</f>
        <v>#N/A</v>
      </c>
      <c r="R1086" s="44" t="e">
        <f t="shared" si="32"/>
        <v>#N/A</v>
      </c>
      <c r="S1086" s="45" t="str">
        <f t="shared" si="33"/>
        <v>7790212030093</v>
      </c>
    </row>
    <row r="1087" spans="1:19" hidden="1" x14ac:dyDescent="0.35">
      <c r="A1087" s="22">
        <v>6</v>
      </c>
      <c r="B1087" t="s">
        <v>801</v>
      </c>
      <c r="C1087" t="s">
        <v>802</v>
      </c>
      <c r="D1087"/>
      <c r="E1087" t="s">
        <v>5307</v>
      </c>
      <c r="F1087">
        <v>9003996</v>
      </c>
      <c r="G1087" t="s">
        <v>5308</v>
      </c>
      <c r="H1087" t="s">
        <v>805</v>
      </c>
      <c r="I1087">
        <v>33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33</v>
      </c>
      <c r="P1087" s="44" t="e">
        <f>_xlfn.XLOOKUP(Tabla5[[#This Row],[EAN CORREGIDO]],'Tabla Articulos'!B:B,'Tabla Articulos'!D:D)</f>
        <v>#N/A</v>
      </c>
      <c r="Q1087" s="44" t="e">
        <f>_xlfn.XLOOKUP(S1087,'Tabla Articulos'!B:B,'Tabla Articulos'!E:E)</f>
        <v>#N/A</v>
      </c>
      <c r="R1087" s="44" t="e">
        <f t="shared" si="32"/>
        <v>#N/A</v>
      </c>
      <c r="S1087" s="45" t="str">
        <f t="shared" si="33"/>
        <v>UNIF000660</v>
      </c>
    </row>
    <row r="1088" spans="1:19" hidden="1" x14ac:dyDescent="0.35">
      <c r="A1088" s="22">
        <v>5</v>
      </c>
      <c r="B1088" t="s">
        <v>829</v>
      </c>
      <c r="C1088" t="s">
        <v>802</v>
      </c>
      <c r="D1088" t="s">
        <v>5309</v>
      </c>
      <c r="E1088" t="s">
        <v>5310</v>
      </c>
      <c r="F1088">
        <v>4076834</v>
      </c>
      <c r="G1088" t="s">
        <v>5311</v>
      </c>
      <c r="H1088" t="s">
        <v>805</v>
      </c>
      <c r="I1088">
        <v>478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478</v>
      </c>
      <c r="P1088" s="44" t="e">
        <f>_xlfn.XLOOKUP(Tabla5[[#This Row],[EAN CORREGIDO]],'Tabla Articulos'!B:B,'Tabla Articulos'!D:D)</f>
        <v>#N/A</v>
      </c>
      <c r="Q1088" s="44" t="e">
        <f>_xlfn.XLOOKUP(S1088,'Tabla Articulos'!B:B,'Tabla Articulos'!E:E)</f>
        <v>#N/A</v>
      </c>
      <c r="R1088" s="44" t="e">
        <f t="shared" si="32"/>
        <v>#N/A</v>
      </c>
      <c r="S1088" s="45" t="str">
        <f t="shared" si="33"/>
        <v>7791675909547</v>
      </c>
    </row>
    <row r="1089" spans="1:19" hidden="1" x14ac:dyDescent="0.35">
      <c r="A1089" s="22">
        <v>6</v>
      </c>
      <c r="B1089" t="s">
        <v>801</v>
      </c>
      <c r="C1089" t="s">
        <v>802</v>
      </c>
      <c r="D1089"/>
      <c r="E1089" t="s">
        <v>5312</v>
      </c>
      <c r="F1089">
        <v>9003542</v>
      </c>
      <c r="G1089" t="s">
        <v>5313</v>
      </c>
      <c r="H1089" t="s">
        <v>805</v>
      </c>
      <c r="I1089">
        <v>10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10</v>
      </c>
      <c r="P1089" s="44" t="e">
        <f>_xlfn.XLOOKUP(Tabla5[[#This Row],[EAN CORREGIDO]],'Tabla Articulos'!B:B,'Tabla Articulos'!D:D)</f>
        <v>#N/A</v>
      </c>
      <c r="Q1089" s="44" t="e">
        <f>_xlfn.XLOOKUP(S1089,'Tabla Articulos'!B:B,'Tabla Articulos'!E:E)</f>
        <v>#N/A</v>
      </c>
      <c r="R1089" s="44" t="e">
        <f t="shared" ref="R1089:R1152" si="34">O1089*Q1089</f>
        <v>#N/A</v>
      </c>
      <c r="S1089" s="45" t="str">
        <f t="shared" ref="S1089:S1152" si="35">TRIM(E1089)</f>
        <v>UNIF000081</v>
      </c>
    </row>
    <row r="1090" spans="1:19" hidden="1" x14ac:dyDescent="0.35">
      <c r="A1090" s="22">
        <v>6</v>
      </c>
      <c r="B1090" t="s">
        <v>801</v>
      </c>
      <c r="C1090" t="s">
        <v>802</v>
      </c>
      <c r="D1090"/>
      <c r="E1090" t="s">
        <v>5314</v>
      </c>
      <c r="F1090">
        <v>9003751</v>
      </c>
      <c r="G1090" t="s">
        <v>5315</v>
      </c>
      <c r="H1090" t="s">
        <v>805</v>
      </c>
      <c r="I1090">
        <v>43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43</v>
      </c>
      <c r="P1090" s="44" t="e">
        <f>_xlfn.XLOOKUP(Tabla5[[#This Row],[EAN CORREGIDO]],'Tabla Articulos'!B:B,'Tabla Articulos'!D:D)</f>
        <v>#N/A</v>
      </c>
      <c r="Q1090" s="44" t="e">
        <f>_xlfn.XLOOKUP(S1090,'Tabla Articulos'!B:B,'Tabla Articulos'!E:E)</f>
        <v>#N/A</v>
      </c>
      <c r="R1090" s="44" t="e">
        <f t="shared" si="34"/>
        <v>#N/A</v>
      </c>
      <c r="S1090" s="45" t="str">
        <f t="shared" si="35"/>
        <v>BAZ001212</v>
      </c>
    </row>
    <row r="1091" spans="1:19" hidden="1" x14ac:dyDescent="0.35">
      <c r="A1091" s="22">
        <v>6</v>
      </c>
      <c r="B1091" t="s">
        <v>801</v>
      </c>
      <c r="C1091" t="s">
        <v>802</v>
      </c>
      <c r="D1091" s="11" t="s">
        <v>2495</v>
      </c>
      <c r="E1091" t="s">
        <v>5316</v>
      </c>
      <c r="F1091">
        <v>2016711</v>
      </c>
      <c r="G1091" t="s">
        <v>5317</v>
      </c>
      <c r="H1091" t="s">
        <v>805</v>
      </c>
      <c r="I1091">
        <v>787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787</v>
      </c>
      <c r="P1091" s="44" t="e">
        <f>_xlfn.XLOOKUP(Tabla5[[#This Row],[EAN CORREGIDO]],'Tabla Articulos'!B:B,'Tabla Articulos'!D:D)</f>
        <v>#N/A</v>
      </c>
      <c r="Q1091" s="44" t="e">
        <f>_xlfn.XLOOKUP(S1091,'Tabla Articulos'!B:B,'Tabla Articulos'!E:E)</f>
        <v>#N/A</v>
      </c>
      <c r="R1091" s="44" t="e">
        <f t="shared" si="34"/>
        <v>#N/A</v>
      </c>
      <c r="S1091" s="45" t="str">
        <f t="shared" si="35"/>
        <v>7798113400390</v>
      </c>
    </row>
    <row r="1092" spans="1:19" hidden="1" x14ac:dyDescent="0.35">
      <c r="A1092" s="22">
        <v>6</v>
      </c>
      <c r="B1092" t="s">
        <v>801</v>
      </c>
      <c r="C1092" t="s">
        <v>802</v>
      </c>
      <c r="D1092"/>
      <c r="E1092" t="s">
        <v>5318</v>
      </c>
      <c r="F1092">
        <v>9003262</v>
      </c>
      <c r="G1092" t="s">
        <v>5319</v>
      </c>
      <c r="H1092" t="s">
        <v>805</v>
      </c>
      <c r="I1092">
        <v>39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39</v>
      </c>
      <c r="P1092" s="44" t="e">
        <f>_xlfn.XLOOKUP(Tabla5[[#This Row],[EAN CORREGIDO]],'Tabla Articulos'!B:B,'Tabla Articulos'!D:D)</f>
        <v>#N/A</v>
      </c>
      <c r="Q1092" s="44" t="e">
        <f>_xlfn.XLOOKUP(S1092,'Tabla Articulos'!B:B,'Tabla Articulos'!E:E)</f>
        <v>#N/A</v>
      </c>
      <c r="R1092" s="44" t="e">
        <f t="shared" si="34"/>
        <v>#N/A</v>
      </c>
      <c r="S1092" s="45" t="str">
        <f t="shared" si="35"/>
        <v>UNIF000419</v>
      </c>
    </row>
    <row r="1093" spans="1:19" hidden="1" x14ac:dyDescent="0.35">
      <c r="A1093" s="22">
        <v>6</v>
      </c>
      <c r="B1093" t="s">
        <v>801</v>
      </c>
      <c r="C1093" t="s">
        <v>802</v>
      </c>
      <c r="D1093"/>
      <c r="E1093" t="s">
        <v>5320</v>
      </c>
      <c r="F1093">
        <v>2007443</v>
      </c>
      <c r="G1093" t="s">
        <v>5321</v>
      </c>
      <c r="H1093" t="s">
        <v>805</v>
      </c>
      <c r="I1093">
        <v>4394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4394</v>
      </c>
      <c r="P1093" s="44" t="e">
        <f>_xlfn.XLOOKUP(Tabla5[[#This Row],[EAN CORREGIDO]],'Tabla Articulos'!B:B,'Tabla Articulos'!D:D)</f>
        <v>#N/A</v>
      </c>
      <c r="Q1093" s="44" t="e">
        <f>_xlfn.XLOOKUP(S1093,'Tabla Articulos'!B:B,'Tabla Articulos'!E:E)</f>
        <v>#N/A</v>
      </c>
      <c r="R1093" s="44" t="e">
        <f t="shared" si="34"/>
        <v>#N/A</v>
      </c>
      <c r="S1093" s="45" t="str">
        <f t="shared" si="35"/>
        <v>7796322010904</v>
      </c>
    </row>
    <row r="1094" spans="1:19" hidden="1" x14ac:dyDescent="0.35">
      <c r="A1094" s="22">
        <v>1</v>
      </c>
      <c r="B1094" t="s">
        <v>812</v>
      </c>
      <c r="C1094" t="s">
        <v>802</v>
      </c>
      <c r="D1094" t="s">
        <v>5322</v>
      </c>
      <c r="E1094" t="s">
        <v>5323</v>
      </c>
      <c r="F1094">
        <v>4022588</v>
      </c>
      <c r="G1094" t="s">
        <v>5324</v>
      </c>
      <c r="H1094" t="s">
        <v>805</v>
      </c>
      <c r="I1094">
        <v>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3</v>
      </c>
      <c r="P1094" s="44" t="e">
        <f>_xlfn.XLOOKUP(Tabla5[[#This Row],[EAN CORREGIDO]],'Tabla Articulos'!B:B,'Tabla Articulos'!D:D)</f>
        <v>#N/A</v>
      </c>
      <c r="Q1094" s="44" t="e">
        <f>_xlfn.XLOOKUP(S1094,'Tabla Articulos'!B:B,'Tabla Articulos'!E:E)</f>
        <v>#N/A</v>
      </c>
      <c r="R1094" s="44" t="e">
        <f t="shared" si="34"/>
        <v>#N/A</v>
      </c>
      <c r="S1094" s="45" t="str">
        <f t="shared" si="35"/>
        <v>7791885409417</v>
      </c>
    </row>
    <row r="1095" spans="1:19" hidden="1" x14ac:dyDescent="0.35">
      <c r="A1095" s="22">
        <v>5</v>
      </c>
      <c r="B1095" t="s">
        <v>829</v>
      </c>
      <c r="C1095" t="s">
        <v>802</v>
      </c>
      <c r="D1095" t="s">
        <v>2645</v>
      </c>
      <c r="E1095" t="s">
        <v>5325</v>
      </c>
      <c r="F1095">
        <v>4019731</v>
      </c>
      <c r="G1095" t="s">
        <v>5326</v>
      </c>
      <c r="H1095" t="s">
        <v>805</v>
      </c>
      <c r="I1095">
        <v>33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33</v>
      </c>
      <c r="P1095" s="44" t="e">
        <f>_xlfn.XLOOKUP(Tabla5[[#This Row],[EAN CORREGIDO]],'Tabla Articulos'!B:B,'Tabla Articulos'!D:D)</f>
        <v>#N/A</v>
      </c>
      <c r="Q1095" s="44" t="e">
        <f>_xlfn.XLOOKUP(S1095,'Tabla Articulos'!B:B,'Tabla Articulos'!E:E)</f>
        <v>#N/A</v>
      </c>
      <c r="R1095" s="44" t="e">
        <f t="shared" si="34"/>
        <v>#N/A</v>
      </c>
      <c r="S1095" s="45" t="str">
        <f t="shared" si="35"/>
        <v>7790499000768</v>
      </c>
    </row>
    <row r="1096" spans="1:19" hidden="1" x14ac:dyDescent="0.35">
      <c r="A1096" s="22">
        <v>1</v>
      </c>
      <c r="B1096" t="s">
        <v>812</v>
      </c>
      <c r="C1096" t="s">
        <v>802</v>
      </c>
      <c r="D1096" t="s">
        <v>4626</v>
      </c>
      <c r="E1096" t="s">
        <v>4627</v>
      </c>
      <c r="F1096">
        <v>4017486</v>
      </c>
      <c r="G1096" t="s">
        <v>4628</v>
      </c>
      <c r="H1096" t="s">
        <v>805</v>
      </c>
      <c r="I1096">
        <v>11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11</v>
      </c>
      <c r="P1096" s="44" t="e">
        <f>_xlfn.XLOOKUP(Tabla5[[#This Row],[EAN CORREGIDO]],'Tabla Articulos'!B:B,'Tabla Articulos'!D:D)</f>
        <v>#N/A</v>
      </c>
      <c r="Q1096" s="44" t="e">
        <f>_xlfn.XLOOKUP(S1096,'Tabla Articulos'!B:B,'Tabla Articulos'!E:E)</f>
        <v>#N/A</v>
      </c>
      <c r="R1096" s="44" t="e">
        <f t="shared" si="34"/>
        <v>#N/A</v>
      </c>
      <c r="S1096" s="45" t="str">
        <f t="shared" si="35"/>
        <v>7790212031232</v>
      </c>
    </row>
    <row r="1097" spans="1:19" hidden="1" x14ac:dyDescent="0.35">
      <c r="A1097" s="22">
        <v>6</v>
      </c>
      <c r="B1097" t="s">
        <v>801</v>
      </c>
      <c r="C1097" t="s">
        <v>802</v>
      </c>
      <c r="D1097"/>
      <c r="E1097" t="s">
        <v>4629</v>
      </c>
      <c r="F1097">
        <v>2011486</v>
      </c>
      <c r="G1097" t="s">
        <v>4630</v>
      </c>
      <c r="H1097" t="s">
        <v>805</v>
      </c>
      <c r="I1097">
        <v>4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4</v>
      </c>
      <c r="P1097" s="44" t="e">
        <f>_xlfn.XLOOKUP(Tabla5[[#This Row],[EAN CORREGIDO]],'Tabla Articulos'!B:B,'Tabla Articulos'!D:D)</f>
        <v>#N/A</v>
      </c>
      <c r="Q1097" s="44" t="e">
        <f>_xlfn.XLOOKUP(S1097,'Tabla Articulos'!B:B,'Tabla Articulos'!E:E)</f>
        <v>#N/A</v>
      </c>
      <c r="R1097" s="44" t="e">
        <f t="shared" si="34"/>
        <v>#N/A</v>
      </c>
      <c r="S1097" s="45" t="str">
        <f t="shared" si="35"/>
        <v>7790047000608</v>
      </c>
    </row>
    <row r="1098" spans="1:19" hidden="1" x14ac:dyDescent="0.35">
      <c r="A1098" s="22">
        <v>6</v>
      </c>
      <c r="B1098" t="s">
        <v>801</v>
      </c>
      <c r="C1098" t="s">
        <v>802</v>
      </c>
      <c r="D1098"/>
      <c r="E1098" t="s">
        <v>4631</v>
      </c>
      <c r="F1098">
        <v>9003523</v>
      </c>
      <c r="G1098" t="s">
        <v>4632</v>
      </c>
      <c r="H1098" t="s">
        <v>805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 s="44" t="e">
        <f>_xlfn.XLOOKUP(Tabla5[[#This Row],[EAN CORREGIDO]],'Tabla Articulos'!B:B,'Tabla Articulos'!D:D)</f>
        <v>#N/A</v>
      </c>
      <c r="Q1098" s="44" t="e">
        <f>_xlfn.XLOOKUP(S1098,'Tabla Articulos'!B:B,'Tabla Articulos'!E:E)</f>
        <v>#N/A</v>
      </c>
      <c r="R1098" s="44" t="e">
        <f t="shared" si="34"/>
        <v>#N/A</v>
      </c>
      <c r="S1098" s="45" t="str">
        <f t="shared" si="35"/>
        <v>UNIF000350</v>
      </c>
    </row>
    <row r="1099" spans="1:19" hidden="1" x14ac:dyDescent="0.35">
      <c r="A1099" s="22">
        <v>1</v>
      </c>
      <c r="B1099" t="s">
        <v>812</v>
      </c>
      <c r="C1099" t="s">
        <v>802</v>
      </c>
      <c r="D1099" t="s">
        <v>4633</v>
      </c>
      <c r="E1099" t="s">
        <v>4634</v>
      </c>
      <c r="F1099">
        <v>4022712</v>
      </c>
      <c r="G1099" t="s">
        <v>4635</v>
      </c>
      <c r="H1099" t="s">
        <v>805</v>
      </c>
      <c r="I1099">
        <v>111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111</v>
      </c>
      <c r="P1099" s="44" t="e">
        <f>_xlfn.XLOOKUP(Tabla5[[#This Row],[EAN CORREGIDO]],'Tabla Articulos'!B:B,'Tabla Articulos'!D:D)</f>
        <v>#N/A</v>
      </c>
      <c r="Q1099" s="44" t="e">
        <f>_xlfn.XLOOKUP(S1099,'Tabla Articulos'!B:B,'Tabla Articulos'!E:E)</f>
        <v>#N/A</v>
      </c>
      <c r="R1099" s="44" t="e">
        <f t="shared" si="34"/>
        <v>#N/A</v>
      </c>
      <c r="S1099" s="45" t="str">
        <f t="shared" si="35"/>
        <v>7798184320016</v>
      </c>
    </row>
    <row r="1100" spans="1:19" hidden="1" x14ac:dyDescent="0.35">
      <c r="A1100" s="22">
        <v>6</v>
      </c>
      <c r="B1100" t="s">
        <v>801</v>
      </c>
      <c r="C1100" t="s">
        <v>802</v>
      </c>
      <c r="D1100"/>
      <c r="E1100" t="s">
        <v>4636</v>
      </c>
      <c r="F1100">
        <v>9003582</v>
      </c>
      <c r="G1100" t="s">
        <v>4637</v>
      </c>
      <c r="H1100" t="s">
        <v>805</v>
      </c>
      <c r="I1100">
        <v>15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15</v>
      </c>
      <c r="P1100" s="44" t="e">
        <f>_xlfn.XLOOKUP(Tabla5[[#This Row],[EAN CORREGIDO]],'Tabla Articulos'!B:B,'Tabla Articulos'!D:D)</f>
        <v>#N/A</v>
      </c>
      <c r="Q1100" s="44" t="e">
        <f>_xlfn.XLOOKUP(S1100,'Tabla Articulos'!B:B,'Tabla Articulos'!E:E)</f>
        <v>#N/A</v>
      </c>
      <c r="R1100" s="44" t="e">
        <f t="shared" si="34"/>
        <v>#N/A</v>
      </c>
      <c r="S1100" s="45" t="str">
        <f t="shared" si="35"/>
        <v>UNIF000494</v>
      </c>
    </row>
    <row r="1101" spans="1:19" hidden="1" x14ac:dyDescent="0.35">
      <c r="A1101" s="22">
        <v>1</v>
      </c>
      <c r="B1101" t="s">
        <v>812</v>
      </c>
      <c r="C1101" t="s">
        <v>802</v>
      </c>
      <c r="D1101" t="s">
        <v>1405</v>
      </c>
      <c r="E1101" t="s">
        <v>1406</v>
      </c>
      <c r="F1101">
        <v>4017623</v>
      </c>
      <c r="G1101" t="s">
        <v>1407</v>
      </c>
      <c r="H1101" t="s">
        <v>805</v>
      </c>
      <c r="I1101">
        <v>153180</v>
      </c>
      <c r="J1101">
        <v>0</v>
      </c>
      <c r="K1101">
        <v>0</v>
      </c>
      <c r="L1101">
        <v>0</v>
      </c>
      <c r="M1101">
        <v>4168</v>
      </c>
      <c r="N1101">
        <v>0</v>
      </c>
      <c r="O1101">
        <v>149012</v>
      </c>
      <c r="P1101" s="44" t="e">
        <f>_xlfn.XLOOKUP(Tabla5[[#This Row],[EAN CORREGIDO]],'Tabla Articulos'!B:B,'Tabla Articulos'!D:D)</f>
        <v>#N/A</v>
      </c>
      <c r="Q1101" s="44" t="e">
        <f>_xlfn.XLOOKUP(S1101,'Tabla Articulos'!B:B,'Tabla Articulos'!E:E)</f>
        <v>#N/A</v>
      </c>
      <c r="R1101" s="44" t="e">
        <f t="shared" si="34"/>
        <v>#N/A</v>
      </c>
      <c r="S1101" s="45" t="str">
        <f t="shared" si="35"/>
        <v>7790212030066</v>
      </c>
    </row>
    <row r="1102" spans="1:19" hidden="1" x14ac:dyDescent="0.35">
      <c r="A1102" s="22">
        <v>5</v>
      </c>
      <c r="B1102" t="s">
        <v>829</v>
      </c>
      <c r="C1102" t="s">
        <v>802</v>
      </c>
      <c r="D1102" t="s">
        <v>1408</v>
      </c>
      <c r="E1102" t="s">
        <v>1409</v>
      </c>
      <c r="F1102">
        <v>4017991</v>
      </c>
      <c r="G1102" t="s">
        <v>1410</v>
      </c>
      <c r="H1102" t="s">
        <v>816</v>
      </c>
      <c r="I1102">
        <v>120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120</v>
      </c>
      <c r="P1102" s="44" t="e">
        <f>_xlfn.XLOOKUP(Tabla5[[#This Row],[EAN CORREGIDO]],'Tabla Articulos'!B:B,'Tabla Articulos'!D:D)</f>
        <v>#N/A</v>
      </c>
      <c r="Q1102" s="44" t="e">
        <f>_xlfn.XLOOKUP(S1102,'Tabla Articulos'!B:B,'Tabla Articulos'!E:E)</f>
        <v>#N/A</v>
      </c>
      <c r="R1102" s="44" t="e">
        <f t="shared" si="34"/>
        <v>#N/A</v>
      </c>
      <c r="S1102" s="45" t="str">
        <f t="shared" si="35"/>
        <v>7790216012638</v>
      </c>
    </row>
    <row r="1103" spans="1:19" hidden="1" x14ac:dyDescent="0.35">
      <c r="A1103" s="22">
        <v>6</v>
      </c>
      <c r="B1103" t="s">
        <v>801</v>
      </c>
      <c r="C1103" t="s">
        <v>802</v>
      </c>
      <c r="D1103"/>
      <c r="E1103" t="s">
        <v>3673</v>
      </c>
      <c r="F1103"/>
      <c r="G1103" t="s">
        <v>3674</v>
      </c>
      <c r="H1103" t="s">
        <v>805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 s="44" t="e">
        <f>_xlfn.XLOOKUP(Tabla5[[#This Row],[EAN CORREGIDO]],'Tabla Articulos'!B:B,'Tabla Articulos'!D:D)</f>
        <v>#N/A</v>
      </c>
      <c r="Q1103" s="44" t="e">
        <f>_xlfn.XLOOKUP(S1103,'Tabla Articulos'!B:B,'Tabla Articulos'!E:E)</f>
        <v>#N/A</v>
      </c>
      <c r="R1103" s="44" t="e">
        <f t="shared" si="34"/>
        <v>#N/A</v>
      </c>
      <c r="S1103" s="45" t="str">
        <f t="shared" si="35"/>
        <v>BUSAT000809</v>
      </c>
    </row>
    <row r="1104" spans="1:19" hidden="1" x14ac:dyDescent="0.35">
      <c r="A1104" s="22">
        <v>6</v>
      </c>
      <c r="B1104" t="s">
        <v>801</v>
      </c>
      <c r="C1104" t="s">
        <v>802</v>
      </c>
      <c r="D1104"/>
      <c r="E1104" t="s">
        <v>3790</v>
      </c>
      <c r="F1104"/>
      <c r="G1104" t="s">
        <v>3791</v>
      </c>
      <c r="H1104" t="s">
        <v>805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</v>
      </c>
      <c r="P1104" s="44" t="e">
        <f>_xlfn.XLOOKUP(Tabla5[[#This Row],[EAN CORREGIDO]],'Tabla Articulos'!B:B,'Tabla Articulos'!D:D)</f>
        <v>#N/A</v>
      </c>
      <c r="Q1104" s="44" t="e">
        <f>_xlfn.XLOOKUP(S1104,'Tabla Articulos'!B:B,'Tabla Articulos'!E:E)</f>
        <v>#N/A</v>
      </c>
      <c r="R1104" s="44" t="e">
        <f t="shared" si="34"/>
        <v>#N/A</v>
      </c>
      <c r="S1104" s="45" t="str">
        <f t="shared" si="35"/>
        <v>BUSAT000544</v>
      </c>
    </row>
    <row r="1105" spans="1:19" hidden="1" x14ac:dyDescent="0.35">
      <c r="A1105" s="22">
        <v>6</v>
      </c>
      <c r="B1105" t="s">
        <v>801</v>
      </c>
      <c r="C1105" t="s">
        <v>802</v>
      </c>
      <c r="E1105" t="s">
        <v>3792</v>
      </c>
      <c r="F1105"/>
      <c r="G1105" t="s">
        <v>3793</v>
      </c>
      <c r="H1105" t="s">
        <v>805</v>
      </c>
      <c r="I1105">
        <v>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 s="44" t="e">
        <f>_xlfn.XLOOKUP(Tabla5[[#This Row],[EAN CORREGIDO]],'Tabla Articulos'!B:B,'Tabla Articulos'!D:D)</f>
        <v>#N/A</v>
      </c>
      <c r="Q1105" s="44" t="e">
        <f>_xlfn.XLOOKUP(S1105,'Tabla Articulos'!B:B,'Tabla Articulos'!E:E)</f>
        <v>#N/A</v>
      </c>
      <c r="R1105" s="44" t="e">
        <f t="shared" si="34"/>
        <v>#N/A</v>
      </c>
      <c r="S1105" s="45" t="str">
        <f t="shared" si="35"/>
        <v>BUSAT000575</v>
      </c>
    </row>
    <row r="1106" spans="1:19" hidden="1" x14ac:dyDescent="0.35">
      <c r="A1106" s="22">
        <v>6</v>
      </c>
      <c r="B1106" t="s">
        <v>801</v>
      </c>
      <c r="C1106" t="s">
        <v>802</v>
      </c>
      <c r="D1106"/>
      <c r="E1106" t="s">
        <v>3794</v>
      </c>
      <c r="F1106"/>
      <c r="G1106" t="s">
        <v>3795</v>
      </c>
      <c r="H1106" t="s">
        <v>805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 s="44" t="e">
        <f>_xlfn.XLOOKUP(Tabla5[[#This Row],[EAN CORREGIDO]],'Tabla Articulos'!B:B,'Tabla Articulos'!D:D)</f>
        <v>#N/A</v>
      </c>
      <c r="Q1106" s="44" t="e">
        <f>_xlfn.XLOOKUP(S1106,'Tabla Articulos'!B:B,'Tabla Articulos'!E:E)</f>
        <v>#N/A</v>
      </c>
      <c r="R1106" s="44" t="e">
        <f t="shared" si="34"/>
        <v>#N/A</v>
      </c>
      <c r="S1106" s="45" t="str">
        <f t="shared" si="35"/>
        <v>BUSAT000349</v>
      </c>
    </row>
    <row r="1107" spans="1:19" hidden="1" x14ac:dyDescent="0.35">
      <c r="A1107" s="22">
        <v>6</v>
      </c>
      <c r="B1107" t="s">
        <v>801</v>
      </c>
      <c r="C1107" t="s">
        <v>802</v>
      </c>
      <c r="D1107"/>
      <c r="E1107" t="s">
        <v>3796</v>
      </c>
      <c r="F1107"/>
      <c r="G1107" t="s">
        <v>3797</v>
      </c>
      <c r="H1107" t="s">
        <v>805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1</v>
      </c>
      <c r="P1107" s="44" t="e">
        <f>_xlfn.XLOOKUP(Tabla5[[#This Row],[EAN CORREGIDO]],'Tabla Articulos'!B:B,'Tabla Articulos'!D:D)</f>
        <v>#N/A</v>
      </c>
      <c r="Q1107" s="44" t="e">
        <f>_xlfn.XLOOKUP(S1107,'Tabla Articulos'!B:B,'Tabla Articulos'!E:E)</f>
        <v>#N/A</v>
      </c>
      <c r="R1107" s="44" t="e">
        <f t="shared" si="34"/>
        <v>#N/A</v>
      </c>
      <c r="S1107" s="45" t="str">
        <f t="shared" si="35"/>
        <v>BUSAT000178</v>
      </c>
    </row>
    <row r="1108" spans="1:19" hidden="1" x14ac:dyDescent="0.35">
      <c r="A1108" s="22">
        <v>6</v>
      </c>
      <c r="B1108" t="s">
        <v>801</v>
      </c>
      <c r="C1108" t="s">
        <v>802</v>
      </c>
      <c r="E1108" t="s">
        <v>3798</v>
      </c>
      <c r="F1108"/>
      <c r="G1108" t="s">
        <v>3799</v>
      </c>
      <c r="H1108" t="s">
        <v>805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 s="44" t="e">
        <f>_xlfn.XLOOKUP(Tabla5[[#This Row],[EAN CORREGIDO]],'Tabla Articulos'!B:B,'Tabla Articulos'!D:D)</f>
        <v>#N/A</v>
      </c>
      <c r="Q1108" s="44" t="e">
        <f>_xlfn.XLOOKUP(S1108,'Tabla Articulos'!B:B,'Tabla Articulos'!E:E)</f>
        <v>#N/A</v>
      </c>
      <c r="R1108" s="44" t="e">
        <f t="shared" si="34"/>
        <v>#N/A</v>
      </c>
      <c r="S1108" s="45" t="str">
        <f t="shared" si="35"/>
        <v>BUSAT000355</v>
      </c>
    </row>
    <row r="1109" spans="1:19" hidden="1" x14ac:dyDescent="0.35">
      <c r="A1109" s="22">
        <v>6</v>
      </c>
      <c r="B1109" t="s">
        <v>801</v>
      </c>
      <c r="C1109" t="s">
        <v>802</v>
      </c>
      <c r="D1109"/>
      <c r="E1109" t="s">
        <v>3800</v>
      </c>
      <c r="F1109"/>
      <c r="G1109" t="s">
        <v>3801</v>
      </c>
      <c r="H1109" t="s">
        <v>805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 s="44" t="e">
        <f>_xlfn.XLOOKUP(Tabla5[[#This Row],[EAN CORREGIDO]],'Tabla Articulos'!B:B,'Tabla Articulos'!D:D)</f>
        <v>#N/A</v>
      </c>
      <c r="Q1109" s="44" t="e">
        <f>_xlfn.XLOOKUP(S1109,'Tabla Articulos'!B:B,'Tabla Articulos'!E:E)</f>
        <v>#N/A</v>
      </c>
      <c r="R1109" s="44" t="e">
        <f t="shared" si="34"/>
        <v>#N/A</v>
      </c>
      <c r="S1109" s="45" t="str">
        <f t="shared" si="35"/>
        <v>BUSAT000138</v>
      </c>
    </row>
    <row r="1110" spans="1:19" hidden="1" x14ac:dyDescent="0.35">
      <c r="A1110" s="22">
        <v>6</v>
      </c>
      <c r="B1110" t="s">
        <v>801</v>
      </c>
      <c r="C1110" t="s">
        <v>802</v>
      </c>
      <c r="E1110" t="s">
        <v>3802</v>
      </c>
      <c r="F1110"/>
      <c r="G1110" t="s">
        <v>3803</v>
      </c>
      <c r="H1110" t="s">
        <v>805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</v>
      </c>
      <c r="P1110" s="44" t="e">
        <f>_xlfn.XLOOKUP(Tabla5[[#This Row],[EAN CORREGIDO]],'Tabla Articulos'!B:B,'Tabla Articulos'!D:D)</f>
        <v>#N/A</v>
      </c>
      <c r="Q1110" s="44" t="e">
        <f>_xlfn.XLOOKUP(S1110,'Tabla Articulos'!B:B,'Tabla Articulos'!E:E)</f>
        <v>#N/A</v>
      </c>
      <c r="R1110" s="44" t="e">
        <f t="shared" si="34"/>
        <v>#N/A</v>
      </c>
      <c r="S1110" s="45" t="str">
        <f t="shared" si="35"/>
        <v>BUSAT000244</v>
      </c>
    </row>
    <row r="1111" spans="1:19" hidden="1" x14ac:dyDescent="0.35">
      <c r="A1111" s="22">
        <v>6</v>
      </c>
      <c r="B1111" t="s">
        <v>801</v>
      </c>
      <c r="C1111" t="s">
        <v>802</v>
      </c>
      <c r="D1111"/>
      <c r="E1111" t="s">
        <v>3804</v>
      </c>
      <c r="F1111"/>
      <c r="G1111" t="s">
        <v>3805</v>
      </c>
      <c r="H1111" t="s">
        <v>805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 s="44" t="e">
        <f>_xlfn.XLOOKUP(Tabla5[[#This Row],[EAN CORREGIDO]],'Tabla Articulos'!B:B,'Tabla Articulos'!D:D)</f>
        <v>#N/A</v>
      </c>
      <c r="Q1111" s="44" t="e">
        <f>_xlfn.XLOOKUP(S1111,'Tabla Articulos'!B:B,'Tabla Articulos'!E:E)</f>
        <v>#N/A</v>
      </c>
      <c r="R1111" s="44" t="e">
        <f t="shared" si="34"/>
        <v>#N/A</v>
      </c>
      <c r="S1111" s="45" t="str">
        <f t="shared" si="35"/>
        <v>BUSAT0011011</v>
      </c>
    </row>
    <row r="1112" spans="1:19" hidden="1" x14ac:dyDescent="0.35">
      <c r="A1112" s="22">
        <v>6</v>
      </c>
      <c r="B1112" t="s">
        <v>801</v>
      </c>
      <c r="C1112" t="s">
        <v>802</v>
      </c>
      <c r="D1112"/>
      <c r="E1112" t="s">
        <v>3806</v>
      </c>
      <c r="F1112"/>
      <c r="G1112" t="s">
        <v>3807</v>
      </c>
      <c r="H1112" t="s">
        <v>805</v>
      </c>
      <c r="I1112">
        <v>8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8</v>
      </c>
      <c r="P1112" s="44" t="e">
        <f>_xlfn.XLOOKUP(Tabla5[[#This Row],[EAN CORREGIDO]],'Tabla Articulos'!B:B,'Tabla Articulos'!D:D)</f>
        <v>#N/A</v>
      </c>
      <c r="Q1112" s="44" t="e">
        <f>_xlfn.XLOOKUP(S1112,'Tabla Articulos'!B:B,'Tabla Articulos'!E:E)</f>
        <v>#N/A</v>
      </c>
      <c r="R1112" s="44" t="e">
        <f t="shared" si="34"/>
        <v>#N/A</v>
      </c>
      <c r="S1112" s="45" t="str">
        <f t="shared" si="35"/>
        <v>BUSAT000111</v>
      </c>
    </row>
    <row r="1113" spans="1:19" hidden="1" x14ac:dyDescent="0.35">
      <c r="A1113" s="22">
        <v>6</v>
      </c>
      <c r="B1113" t="s">
        <v>801</v>
      </c>
      <c r="C1113" t="s">
        <v>802</v>
      </c>
      <c r="E1113" t="s">
        <v>3808</v>
      </c>
      <c r="F1113"/>
      <c r="G1113" t="s">
        <v>3809</v>
      </c>
      <c r="H1113" t="s">
        <v>805</v>
      </c>
      <c r="I1113">
        <v>6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6</v>
      </c>
      <c r="P1113" s="44" t="e">
        <f>_xlfn.XLOOKUP(Tabla5[[#This Row],[EAN CORREGIDO]],'Tabla Articulos'!B:B,'Tabla Articulos'!D:D)</f>
        <v>#N/A</v>
      </c>
      <c r="Q1113" s="44" t="e">
        <f>_xlfn.XLOOKUP(S1113,'Tabla Articulos'!B:B,'Tabla Articulos'!E:E)</f>
        <v>#N/A</v>
      </c>
      <c r="R1113" s="44" t="e">
        <f t="shared" si="34"/>
        <v>#N/A</v>
      </c>
      <c r="S1113" s="45" t="str">
        <f t="shared" si="35"/>
        <v>BUSAT000072</v>
      </c>
    </row>
    <row r="1114" spans="1:19" hidden="1" x14ac:dyDescent="0.35">
      <c r="A1114" s="22">
        <v>6</v>
      </c>
      <c r="B1114" t="s">
        <v>801</v>
      </c>
      <c r="C1114" t="s">
        <v>802</v>
      </c>
      <c r="E1114" t="s">
        <v>3810</v>
      </c>
      <c r="F1114"/>
      <c r="G1114" t="s">
        <v>3811</v>
      </c>
      <c r="H1114" t="s">
        <v>805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 s="44" t="e">
        <f>_xlfn.XLOOKUP(Tabla5[[#This Row],[EAN CORREGIDO]],'Tabla Articulos'!B:B,'Tabla Articulos'!D:D)</f>
        <v>#N/A</v>
      </c>
      <c r="Q1114" s="44" t="e">
        <f>_xlfn.XLOOKUP(S1114,'Tabla Articulos'!B:B,'Tabla Articulos'!E:E)</f>
        <v>#N/A</v>
      </c>
      <c r="R1114" s="44" t="e">
        <f t="shared" si="34"/>
        <v>#N/A</v>
      </c>
      <c r="S1114" s="45" t="str">
        <f t="shared" si="35"/>
        <v>BUSAT000018</v>
      </c>
    </row>
    <row r="1115" spans="1:19" hidden="1" x14ac:dyDescent="0.35">
      <c r="A1115" s="22">
        <v>6</v>
      </c>
      <c r="B1115" t="s">
        <v>801</v>
      </c>
      <c r="C1115" t="s">
        <v>802</v>
      </c>
      <c r="D1115"/>
      <c r="E1115" t="s">
        <v>3812</v>
      </c>
      <c r="F1115"/>
      <c r="G1115" t="s">
        <v>3813</v>
      </c>
      <c r="H1115" t="s">
        <v>805</v>
      </c>
      <c r="I1115">
        <v>19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19</v>
      </c>
      <c r="P1115" s="44" t="str">
        <f>_xlfn.XLOOKUP(Tabla5[[#This Row],[EAN CORREGIDO]],'Tabla Articulos'!B:B,'Tabla Articulos'!D:D)</f>
        <v>BARBIJO N95</v>
      </c>
      <c r="Q1115" s="44">
        <f>_xlfn.XLOOKUP(S1115,'Tabla Articulos'!B:B,'Tabla Articulos'!E:E)</f>
        <v>1</v>
      </c>
      <c r="R1115" s="44">
        <f t="shared" si="34"/>
        <v>19</v>
      </c>
      <c r="S1115" s="45" t="str">
        <f t="shared" si="35"/>
        <v>BUSAT000375</v>
      </c>
    </row>
    <row r="1116" spans="1:19" hidden="1" x14ac:dyDescent="0.35">
      <c r="A1116" s="22">
        <v>6</v>
      </c>
      <c r="B1116" t="s">
        <v>801</v>
      </c>
      <c r="C1116" t="s">
        <v>802</v>
      </c>
      <c r="D1116"/>
      <c r="E1116" t="s">
        <v>3814</v>
      </c>
      <c r="F1116"/>
      <c r="G1116" t="s">
        <v>3815</v>
      </c>
      <c r="H1116" t="s">
        <v>1034</v>
      </c>
      <c r="I1116">
        <v>2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</v>
      </c>
      <c r="P1116" s="44" t="e">
        <f>_xlfn.XLOOKUP(Tabla5[[#This Row],[EAN CORREGIDO]],'Tabla Articulos'!B:B,'Tabla Articulos'!D:D)</f>
        <v>#N/A</v>
      </c>
      <c r="Q1116" s="44" t="e">
        <f>_xlfn.XLOOKUP(S1116,'Tabla Articulos'!B:B,'Tabla Articulos'!E:E)</f>
        <v>#N/A</v>
      </c>
      <c r="R1116" s="44" t="e">
        <f t="shared" si="34"/>
        <v>#N/A</v>
      </c>
      <c r="S1116" s="45" t="str">
        <f t="shared" si="35"/>
        <v>BUSAT000278</v>
      </c>
    </row>
    <row r="1117" spans="1:19" hidden="1" x14ac:dyDescent="0.35">
      <c r="A1117" s="22">
        <v>6</v>
      </c>
      <c r="B1117" t="s">
        <v>801</v>
      </c>
      <c r="C1117" t="s">
        <v>802</v>
      </c>
      <c r="E1117" t="s">
        <v>3816</v>
      </c>
      <c r="F1117"/>
      <c r="G1117" t="s">
        <v>3817</v>
      </c>
      <c r="H1117" t="s">
        <v>805</v>
      </c>
      <c r="I1117">
        <v>8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8</v>
      </c>
      <c r="P1117" s="44" t="e">
        <f>_xlfn.XLOOKUP(Tabla5[[#This Row],[EAN CORREGIDO]],'Tabla Articulos'!B:B,'Tabla Articulos'!D:D)</f>
        <v>#N/A</v>
      </c>
      <c r="Q1117" s="44" t="e">
        <f>_xlfn.XLOOKUP(S1117,'Tabla Articulos'!B:B,'Tabla Articulos'!E:E)</f>
        <v>#N/A</v>
      </c>
      <c r="R1117" s="44" t="e">
        <f t="shared" si="34"/>
        <v>#N/A</v>
      </c>
      <c r="S1117" s="45" t="str">
        <f t="shared" si="35"/>
        <v>BUSAT000361</v>
      </c>
    </row>
    <row r="1118" spans="1:19" hidden="1" x14ac:dyDescent="0.35">
      <c r="A1118" s="22">
        <v>6</v>
      </c>
      <c r="B1118" t="s">
        <v>801</v>
      </c>
      <c r="C1118" t="s">
        <v>802</v>
      </c>
      <c r="D1118"/>
      <c r="E1118" t="s">
        <v>3818</v>
      </c>
      <c r="F1118"/>
      <c r="G1118" t="s">
        <v>3819</v>
      </c>
      <c r="H1118" t="s">
        <v>805</v>
      </c>
      <c r="I1118">
        <v>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</v>
      </c>
      <c r="P1118" s="44" t="e">
        <f>_xlfn.XLOOKUP(Tabla5[[#This Row],[EAN CORREGIDO]],'Tabla Articulos'!B:B,'Tabla Articulos'!D:D)</f>
        <v>#N/A</v>
      </c>
      <c r="Q1118" s="44" t="e">
        <f>_xlfn.XLOOKUP(S1118,'Tabla Articulos'!B:B,'Tabla Articulos'!E:E)</f>
        <v>#N/A</v>
      </c>
      <c r="R1118" s="44" t="e">
        <f t="shared" si="34"/>
        <v>#N/A</v>
      </c>
      <c r="S1118" s="45" t="str">
        <f t="shared" si="35"/>
        <v>BUSAT000125</v>
      </c>
    </row>
    <row r="1119" spans="1:19" hidden="1" x14ac:dyDescent="0.35">
      <c r="A1119" s="22">
        <v>6</v>
      </c>
      <c r="B1119" t="s">
        <v>801</v>
      </c>
      <c r="C1119" t="s">
        <v>802</v>
      </c>
      <c r="E1119" t="s">
        <v>3820</v>
      </c>
      <c r="F1119"/>
      <c r="G1119" t="s">
        <v>3821</v>
      </c>
      <c r="H1119" t="s">
        <v>805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 s="44" t="e">
        <f>_xlfn.XLOOKUP(Tabla5[[#This Row],[EAN CORREGIDO]],'Tabla Articulos'!B:B,'Tabla Articulos'!D:D)</f>
        <v>#N/A</v>
      </c>
      <c r="Q1119" s="44" t="e">
        <f>_xlfn.XLOOKUP(S1119,'Tabla Articulos'!B:B,'Tabla Articulos'!E:E)</f>
        <v>#N/A</v>
      </c>
      <c r="R1119" s="44" t="e">
        <f t="shared" si="34"/>
        <v>#N/A</v>
      </c>
      <c r="S1119" s="45" t="str">
        <f t="shared" si="35"/>
        <v>BUSAT000332</v>
      </c>
    </row>
    <row r="1120" spans="1:19" hidden="1" x14ac:dyDescent="0.35">
      <c r="A1120" s="22">
        <v>6</v>
      </c>
      <c r="B1120" t="s">
        <v>801</v>
      </c>
      <c r="C1120" t="s">
        <v>802</v>
      </c>
      <c r="E1120" t="s">
        <v>3822</v>
      </c>
      <c r="F1120"/>
      <c r="G1120" t="s">
        <v>3823</v>
      </c>
      <c r="H1120" t="s">
        <v>805</v>
      </c>
      <c r="I1120">
        <v>4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4</v>
      </c>
      <c r="P1120" s="44" t="e">
        <f>_xlfn.XLOOKUP(Tabla5[[#This Row],[EAN CORREGIDO]],'Tabla Articulos'!B:B,'Tabla Articulos'!D:D)</f>
        <v>#N/A</v>
      </c>
      <c r="Q1120" s="44" t="e">
        <f>_xlfn.XLOOKUP(S1120,'Tabla Articulos'!B:B,'Tabla Articulos'!E:E)</f>
        <v>#N/A</v>
      </c>
      <c r="R1120" s="44" t="e">
        <f t="shared" si="34"/>
        <v>#N/A</v>
      </c>
      <c r="S1120" s="45" t="str">
        <f t="shared" si="35"/>
        <v>BUSAT000268</v>
      </c>
    </row>
    <row r="1121" spans="1:19" hidden="1" x14ac:dyDescent="0.35">
      <c r="A1121" s="22">
        <v>6</v>
      </c>
      <c r="B1121" t="s">
        <v>801</v>
      </c>
      <c r="C1121" t="s">
        <v>802</v>
      </c>
      <c r="D1121"/>
      <c r="E1121" t="s">
        <v>3824</v>
      </c>
      <c r="F1121"/>
      <c r="G1121" t="s">
        <v>3825</v>
      </c>
      <c r="H1121" t="s">
        <v>805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 s="44" t="e">
        <f>_xlfn.XLOOKUP(Tabla5[[#This Row],[EAN CORREGIDO]],'Tabla Articulos'!B:B,'Tabla Articulos'!D:D)</f>
        <v>#N/A</v>
      </c>
      <c r="Q1121" s="44" t="e">
        <f>_xlfn.XLOOKUP(S1121,'Tabla Articulos'!B:B,'Tabla Articulos'!E:E)</f>
        <v>#N/A</v>
      </c>
      <c r="R1121" s="44" t="e">
        <f t="shared" si="34"/>
        <v>#N/A</v>
      </c>
      <c r="S1121" s="45" t="str">
        <f t="shared" si="35"/>
        <v>BUSAT001107</v>
      </c>
    </row>
    <row r="1122" spans="1:19" hidden="1" x14ac:dyDescent="0.35">
      <c r="A1122" s="22">
        <v>6</v>
      </c>
      <c r="B1122" t="s">
        <v>801</v>
      </c>
      <c r="C1122" t="s">
        <v>802</v>
      </c>
      <c r="D1122"/>
      <c r="E1122" t="s">
        <v>3826</v>
      </c>
      <c r="F1122"/>
      <c r="G1122" t="s">
        <v>3827</v>
      </c>
      <c r="H1122" t="s">
        <v>805</v>
      </c>
      <c r="I1122">
        <v>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3</v>
      </c>
      <c r="P1122" s="44" t="e">
        <f>_xlfn.XLOOKUP(Tabla5[[#This Row],[EAN CORREGIDO]],'Tabla Articulos'!B:B,'Tabla Articulos'!D:D)</f>
        <v>#N/A</v>
      </c>
      <c r="Q1122" s="44" t="e">
        <f>_xlfn.XLOOKUP(S1122,'Tabla Articulos'!B:B,'Tabla Articulos'!E:E)</f>
        <v>#N/A</v>
      </c>
      <c r="R1122" s="44" t="e">
        <f t="shared" si="34"/>
        <v>#N/A</v>
      </c>
      <c r="S1122" s="45" t="str">
        <f t="shared" si="35"/>
        <v>BUSAT000942</v>
      </c>
    </row>
    <row r="1123" spans="1:19" hidden="1" x14ac:dyDescent="0.35">
      <c r="A1123" s="22">
        <v>6</v>
      </c>
      <c r="B1123" t="s">
        <v>801</v>
      </c>
      <c r="C1123" t="s">
        <v>802</v>
      </c>
      <c r="D1123"/>
      <c r="E1123" t="s">
        <v>3828</v>
      </c>
      <c r="F1123"/>
      <c r="G1123" t="s">
        <v>3829</v>
      </c>
      <c r="H1123" t="s">
        <v>805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1</v>
      </c>
      <c r="P1123" s="44" t="e">
        <f>_xlfn.XLOOKUP(Tabla5[[#This Row],[EAN CORREGIDO]],'Tabla Articulos'!B:B,'Tabla Articulos'!D:D)</f>
        <v>#N/A</v>
      </c>
      <c r="Q1123" s="44" t="e">
        <f>_xlfn.XLOOKUP(S1123,'Tabla Articulos'!B:B,'Tabla Articulos'!E:E)</f>
        <v>#N/A</v>
      </c>
      <c r="R1123" s="44" t="e">
        <f t="shared" si="34"/>
        <v>#N/A</v>
      </c>
      <c r="S1123" s="45" t="str">
        <f t="shared" si="35"/>
        <v>BUSAT000180</v>
      </c>
    </row>
    <row r="1124" spans="1:19" hidden="1" x14ac:dyDescent="0.35">
      <c r="A1124" s="22">
        <v>6</v>
      </c>
      <c r="B1124" t="s">
        <v>801</v>
      </c>
      <c r="C1124" t="s">
        <v>802</v>
      </c>
      <c r="E1124" t="s">
        <v>3830</v>
      </c>
      <c r="F1124"/>
      <c r="G1124" t="s">
        <v>3831</v>
      </c>
      <c r="H1124" t="s">
        <v>805</v>
      </c>
      <c r="I1124">
        <v>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3</v>
      </c>
      <c r="P1124" s="44" t="e">
        <f>_xlfn.XLOOKUP(Tabla5[[#This Row],[EAN CORREGIDO]],'Tabla Articulos'!B:B,'Tabla Articulos'!D:D)</f>
        <v>#N/A</v>
      </c>
      <c r="Q1124" s="44" t="e">
        <f>_xlfn.XLOOKUP(S1124,'Tabla Articulos'!B:B,'Tabla Articulos'!E:E)</f>
        <v>#N/A</v>
      </c>
      <c r="R1124" s="44" t="e">
        <f t="shared" si="34"/>
        <v>#N/A</v>
      </c>
      <c r="S1124" s="45" t="str">
        <f t="shared" si="35"/>
        <v>BUSAT000498</v>
      </c>
    </row>
    <row r="1125" spans="1:19" hidden="1" x14ac:dyDescent="0.35">
      <c r="A1125" s="22">
        <v>6</v>
      </c>
      <c r="B1125" t="s">
        <v>801</v>
      </c>
      <c r="C1125" t="s">
        <v>802</v>
      </c>
      <c r="E1125" t="s">
        <v>3832</v>
      </c>
      <c r="F1125"/>
      <c r="G1125" t="s">
        <v>3833</v>
      </c>
      <c r="H1125" t="s">
        <v>805</v>
      </c>
      <c r="I1125">
        <v>16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16</v>
      </c>
      <c r="P1125" s="44" t="e">
        <f>_xlfn.XLOOKUP(Tabla5[[#This Row],[EAN CORREGIDO]],'Tabla Articulos'!B:B,'Tabla Articulos'!D:D)</f>
        <v>#N/A</v>
      </c>
      <c r="Q1125" s="44" t="e">
        <f>_xlfn.XLOOKUP(S1125,'Tabla Articulos'!B:B,'Tabla Articulos'!E:E)</f>
        <v>#N/A</v>
      </c>
      <c r="R1125" s="44" t="e">
        <f t="shared" si="34"/>
        <v>#N/A</v>
      </c>
      <c r="S1125" s="45" t="str">
        <f t="shared" si="35"/>
        <v>BUSAT000134</v>
      </c>
    </row>
    <row r="1126" spans="1:19" hidden="1" x14ac:dyDescent="0.35">
      <c r="A1126" s="22">
        <v>6</v>
      </c>
      <c r="B1126" t="s">
        <v>801</v>
      </c>
      <c r="C1126" t="s">
        <v>802</v>
      </c>
      <c r="E1126" t="s">
        <v>3834</v>
      </c>
      <c r="F1126"/>
      <c r="G1126" t="s">
        <v>3835</v>
      </c>
      <c r="H1126" t="s">
        <v>805</v>
      </c>
      <c r="I1126">
        <v>5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5</v>
      </c>
      <c r="P1126" s="44" t="e">
        <f>_xlfn.XLOOKUP(Tabla5[[#This Row],[EAN CORREGIDO]],'Tabla Articulos'!B:B,'Tabla Articulos'!D:D)</f>
        <v>#N/A</v>
      </c>
      <c r="Q1126" s="44" t="e">
        <f>_xlfn.XLOOKUP(S1126,'Tabla Articulos'!B:B,'Tabla Articulos'!E:E)</f>
        <v>#N/A</v>
      </c>
      <c r="R1126" s="44" t="e">
        <f t="shared" si="34"/>
        <v>#N/A</v>
      </c>
      <c r="S1126" s="45" t="str">
        <f t="shared" si="35"/>
        <v>BUSAT000810</v>
      </c>
    </row>
    <row r="1127" spans="1:19" hidden="1" x14ac:dyDescent="0.35">
      <c r="A1127" s="22">
        <v>6</v>
      </c>
      <c r="B1127" t="s">
        <v>801</v>
      </c>
      <c r="C1127" t="s">
        <v>802</v>
      </c>
      <c r="D1127"/>
      <c r="E1127" t="s">
        <v>3836</v>
      </c>
      <c r="F1127"/>
      <c r="G1127" t="s">
        <v>3837</v>
      </c>
      <c r="H1127" t="s">
        <v>805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 s="44" t="e">
        <f>_xlfn.XLOOKUP(Tabla5[[#This Row],[EAN CORREGIDO]],'Tabla Articulos'!B:B,'Tabla Articulos'!D:D)</f>
        <v>#N/A</v>
      </c>
      <c r="Q1127" s="44" t="e">
        <f>_xlfn.XLOOKUP(S1127,'Tabla Articulos'!B:B,'Tabla Articulos'!E:E)</f>
        <v>#N/A</v>
      </c>
      <c r="R1127" s="44" t="e">
        <f t="shared" si="34"/>
        <v>#N/A</v>
      </c>
      <c r="S1127" s="45" t="str">
        <f t="shared" si="35"/>
        <v>BUSAT000937</v>
      </c>
    </row>
    <row r="1128" spans="1:19" hidden="1" x14ac:dyDescent="0.35">
      <c r="A1128" s="22">
        <v>6</v>
      </c>
      <c r="B1128" t="s">
        <v>801</v>
      </c>
      <c r="C1128" t="s">
        <v>802</v>
      </c>
      <c r="D1128"/>
      <c r="E1128" t="s">
        <v>3838</v>
      </c>
      <c r="F1128"/>
      <c r="G1128" t="s">
        <v>3839</v>
      </c>
      <c r="H1128" t="s">
        <v>805</v>
      </c>
      <c r="I1128">
        <v>5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5</v>
      </c>
      <c r="P1128" s="44" t="e">
        <f>_xlfn.XLOOKUP(Tabla5[[#This Row],[EAN CORREGIDO]],'Tabla Articulos'!B:B,'Tabla Articulos'!D:D)</f>
        <v>#N/A</v>
      </c>
      <c r="Q1128" s="44" t="e">
        <f>_xlfn.XLOOKUP(S1128,'Tabla Articulos'!B:B,'Tabla Articulos'!E:E)</f>
        <v>#N/A</v>
      </c>
      <c r="R1128" s="44" t="e">
        <f t="shared" si="34"/>
        <v>#N/A</v>
      </c>
      <c r="S1128" s="45" t="str">
        <f t="shared" si="35"/>
        <v>BUSAT000874</v>
      </c>
    </row>
    <row r="1129" spans="1:19" hidden="1" x14ac:dyDescent="0.35">
      <c r="A1129" s="22">
        <v>6</v>
      </c>
      <c r="B1129" t="s">
        <v>801</v>
      </c>
      <c r="C1129" t="s">
        <v>802</v>
      </c>
      <c r="E1129" t="s">
        <v>3840</v>
      </c>
      <c r="F1129"/>
      <c r="G1129" t="s">
        <v>3841</v>
      </c>
      <c r="H1129" t="s">
        <v>805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 s="44" t="e">
        <f>_xlfn.XLOOKUP(Tabla5[[#This Row],[EAN CORREGIDO]],'Tabla Articulos'!B:B,'Tabla Articulos'!D:D)</f>
        <v>#N/A</v>
      </c>
      <c r="Q1129" s="44" t="e">
        <f>_xlfn.XLOOKUP(S1129,'Tabla Articulos'!B:B,'Tabla Articulos'!E:E)</f>
        <v>#N/A</v>
      </c>
      <c r="R1129" s="44" t="e">
        <f t="shared" si="34"/>
        <v>#N/A</v>
      </c>
      <c r="S1129" s="45" t="str">
        <f t="shared" si="35"/>
        <v>BUSAT001113</v>
      </c>
    </row>
    <row r="1130" spans="1:19" hidden="1" x14ac:dyDescent="0.35">
      <c r="A1130" s="22">
        <v>6</v>
      </c>
      <c r="B1130" t="s">
        <v>801</v>
      </c>
      <c r="C1130" t="s">
        <v>802</v>
      </c>
      <c r="E1130" t="s">
        <v>3842</v>
      </c>
      <c r="F1130"/>
      <c r="G1130" t="s">
        <v>3843</v>
      </c>
      <c r="H1130" t="s">
        <v>805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 s="44" t="e">
        <f>_xlfn.XLOOKUP(Tabla5[[#This Row],[EAN CORREGIDO]],'Tabla Articulos'!B:B,'Tabla Articulos'!D:D)</f>
        <v>#N/A</v>
      </c>
      <c r="Q1130" s="44" t="e">
        <f>_xlfn.XLOOKUP(S1130,'Tabla Articulos'!B:B,'Tabla Articulos'!E:E)</f>
        <v>#N/A</v>
      </c>
      <c r="R1130" s="44" t="e">
        <f t="shared" si="34"/>
        <v>#N/A</v>
      </c>
      <c r="S1130" s="45" t="str">
        <f t="shared" si="35"/>
        <v>BUSAT000056</v>
      </c>
    </row>
    <row r="1131" spans="1:19" hidden="1" x14ac:dyDescent="0.35">
      <c r="A1131" s="22">
        <v>6</v>
      </c>
      <c r="B1131" t="s">
        <v>801</v>
      </c>
      <c r="C1131" t="s">
        <v>802</v>
      </c>
      <c r="D1131"/>
      <c r="E1131" t="s">
        <v>3844</v>
      </c>
      <c r="F1131"/>
      <c r="G1131" t="s">
        <v>3845</v>
      </c>
      <c r="H1131" t="s">
        <v>805</v>
      </c>
      <c r="I1131">
        <v>11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11</v>
      </c>
      <c r="P1131" s="44" t="e">
        <f>_xlfn.XLOOKUP(Tabla5[[#This Row],[EAN CORREGIDO]],'Tabla Articulos'!B:B,'Tabla Articulos'!D:D)</f>
        <v>#N/A</v>
      </c>
      <c r="Q1131" s="44" t="e">
        <f>_xlfn.XLOOKUP(S1131,'Tabla Articulos'!B:B,'Tabla Articulos'!E:E)</f>
        <v>#N/A</v>
      </c>
      <c r="R1131" s="44" t="e">
        <f t="shared" si="34"/>
        <v>#N/A</v>
      </c>
      <c r="S1131" s="45" t="str">
        <f t="shared" si="35"/>
        <v>BUSAT000921</v>
      </c>
    </row>
    <row r="1132" spans="1:19" hidden="1" x14ac:dyDescent="0.35">
      <c r="A1132" s="22">
        <v>6</v>
      </c>
      <c r="B1132" t="s">
        <v>801</v>
      </c>
      <c r="C1132" t="s">
        <v>802</v>
      </c>
      <c r="D1132"/>
      <c r="E1132" t="s">
        <v>3601</v>
      </c>
      <c r="F1132">
        <v>9003583</v>
      </c>
      <c r="G1132" t="s">
        <v>3602</v>
      </c>
      <c r="H1132" t="s">
        <v>805</v>
      </c>
      <c r="I1132">
        <v>17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17</v>
      </c>
      <c r="P1132" s="44" t="e">
        <f>_xlfn.XLOOKUP(Tabla5[[#This Row],[EAN CORREGIDO]],'Tabla Articulos'!B:B,'Tabla Articulos'!D:D)</f>
        <v>#N/A</v>
      </c>
      <c r="Q1132" s="44" t="e">
        <f>_xlfn.XLOOKUP(S1132,'Tabla Articulos'!B:B,'Tabla Articulos'!E:E)</f>
        <v>#N/A</v>
      </c>
      <c r="R1132" s="44" t="e">
        <f t="shared" si="34"/>
        <v>#N/A</v>
      </c>
      <c r="S1132" s="45" t="str">
        <f t="shared" si="35"/>
        <v>UNIF000495</v>
      </c>
    </row>
    <row r="1133" spans="1:19" hidden="1" x14ac:dyDescent="0.35">
      <c r="A1133" s="22">
        <v>6</v>
      </c>
      <c r="B1133" t="s">
        <v>801</v>
      </c>
      <c r="C1133" t="s">
        <v>802</v>
      </c>
      <c r="D1133"/>
      <c r="E1133" t="s">
        <v>3603</v>
      </c>
      <c r="F1133">
        <v>9003235</v>
      </c>
      <c r="G1133" t="s">
        <v>3604</v>
      </c>
      <c r="H1133" t="s">
        <v>805</v>
      </c>
      <c r="I1133">
        <v>19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19</v>
      </c>
      <c r="P1133" s="44" t="e">
        <f>_xlfn.XLOOKUP(Tabla5[[#This Row],[EAN CORREGIDO]],'Tabla Articulos'!B:B,'Tabla Articulos'!D:D)</f>
        <v>#N/A</v>
      </c>
      <c r="Q1133" s="44" t="e">
        <f>_xlfn.XLOOKUP(S1133,'Tabla Articulos'!B:B,'Tabla Articulos'!E:E)</f>
        <v>#N/A</v>
      </c>
      <c r="R1133" s="44" t="e">
        <f t="shared" si="34"/>
        <v>#N/A</v>
      </c>
      <c r="S1133" s="45" t="str">
        <f t="shared" si="35"/>
        <v>UNIF000463</v>
      </c>
    </row>
    <row r="1134" spans="1:19" hidden="1" x14ac:dyDescent="0.35">
      <c r="A1134" s="22">
        <v>6</v>
      </c>
      <c r="B1134" t="s">
        <v>801</v>
      </c>
      <c r="C1134" t="s">
        <v>802</v>
      </c>
      <c r="E1134" t="s">
        <v>3605</v>
      </c>
      <c r="F1134">
        <v>9003357</v>
      </c>
      <c r="G1134" t="s">
        <v>3606</v>
      </c>
      <c r="H1134" t="s">
        <v>805</v>
      </c>
      <c r="I1134">
        <v>9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9</v>
      </c>
      <c r="P1134" s="44" t="e">
        <f>_xlfn.XLOOKUP(Tabla5[[#This Row],[EAN CORREGIDO]],'Tabla Articulos'!B:B,'Tabla Articulos'!D:D)</f>
        <v>#N/A</v>
      </c>
      <c r="Q1134" s="44" t="e">
        <f>_xlfn.XLOOKUP(S1134,'Tabla Articulos'!B:B,'Tabla Articulos'!E:E)</f>
        <v>#N/A</v>
      </c>
      <c r="R1134" s="44" t="e">
        <f t="shared" si="34"/>
        <v>#N/A</v>
      </c>
      <c r="S1134" s="45" t="str">
        <f t="shared" si="35"/>
        <v>UNIF000262</v>
      </c>
    </row>
    <row r="1135" spans="1:19" hidden="1" x14ac:dyDescent="0.35">
      <c r="A1135" s="22">
        <v>5</v>
      </c>
      <c r="B1135" t="s">
        <v>829</v>
      </c>
      <c r="C1135" t="s">
        <v>802</v>
      </c>
      <c r="D1135" t="s">
        <v>1781</v>
      </c>
      <c r="E1135" t="s">
        <v>3607</v>
      </c>
      <c r="F1135">
        <v>4020615</v>
      </c>
      <c r="G1135" t="s">
        <v>3608</v>
      </c>
      <c r="H1135" t="s">
        <v>805</v>
      </c>
      <c r="I1135">
        <v>65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65</v>
      </c>
      <c r="P1135" s="44" t="e">
        <f>_xlfn.XLOOKUP(Tabla5[[#This Row],[EAN CORREGIDO]],'Tabla Articulos'!B:B,'Tabla Articulos'!D:D)</f>
        <v>#N/A</v>
      </c>
      <c r="Q1135" s="44" t="e">
        <f>_xlfn.XLOOKUP(S1135,'Tabla Articulos'!B:B,'Tabla Articulos'!E:E)</f>
        <v>#N/A</v>
      </c>
      <c r="R1135" s="44" t="e">
        <f t="shared" si="34"/>
        <v>#N/A</v>
      </c>
      <c r="S1135" s="45" t="str">
        <f t="shared" si="35"/>
        <v>7793323002341</v>
      </c>
    </row>
    <row r="1136" spans="1:19" hidden="1" x14ac:dyDescent="0.35">
      <c r="A1136" s="22">
        <v>1</v>
      </c>
      <c r="B1136" t="s">
        <v>812</v>
      </c>
      <c r="C1136" t="s">
        <v>802</v>
      </c>
      <c r="D1136" s="11" t="s">
        <v>3609</v>
      </c>
      <c r="E1136" t="s">
        <v>3610</v>
      </c>
      <c r="F1136">
        <v>4018199</v>
      </c>
      <c r="G1136" t="s">
        <v>3611</v>
      </c>
      <c r="H1136" t="s">
        <v>805</v>
      </c>
      <c r="I1136">
        <v>5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5</v>
      </c>
      <c r="P1136" s="44" t="e">
        <f>_xlfn.XLOOKUP(Tabla5[[#This Row],[EAN CORREGIDO]],'Tabla Articulos'!B:B,'Tabla Articulos'!D:D)</f>
        <v>#N/A</v>
      </c>
      <c r="Q1136" s="44" t="e">
        <f>_xlfn.XLOOKUP(S1136,'Tabla Articulos'!B:B,'Tabla Articulos'!E:E)</f>
        <v>#N/A</v>
      </c>
      <c r="R1136" s="44" t="e">
        <f t="shared" si="34"/>
        <v>#N/A</v>
      </c>
      <c r="S1136" s="45" t="str">
        <f t="shared" si="35"/>
        <v>7794990879939</v>
      </c>
    </row>
    <row r="1137" spans="1:19" hidden="1" x14ac:dyDescent="0.35">
      <c r="A1137" s="22">
        <v>1</v>
      </c>
      <c r="B1137" t="s">
        <v>812</v>
      </c>
      <c r="C1137" t="s">
        <v>802</v>
      </c>
      <c r="D1137" t="s">
        <v>1887</v>
      </c>
      <c r="E1137" t="s">
        <v>3612</v>
      </c>
      <c r="F1137">
        <v>4022542</v>
      </c>
      <c r="G1137" t="s">
        <v>3613</v>
      </c>
      <c r="H1137" t="s">
        <v>805</v>
      </c>
      <c r="I1137">
        <v>3171</v>
      </c>
      <c r="J1137">
        <v>0</v>
      </c>
      <c r="K1137">
        <v>1500</v>
      </c>
      <c r="L1137">
        <v>0</v>
      </c>
      <c r="M1137">
        <v>0</v>
      </c>
      <c r="N1137">
        <v>0</v>
      </c>
      <c r="O1137">
        <v>1671</v>
      </c>
      <c r="P1137" s="44" t="e">
        <f>_xlfn.XLOOKUP(Tabla5[[#This Row],[EAN CORREGIDO]],'Tabla Articulos'!B:B,'Tabla Articulos'!D:D)</f>
        <v>#N/A</v>
      </c>
      <c r="Q1137" s="44" t="e">
        <f>_xlfn.XLOOKUP(S1137,'Tabla Articulos'!B:B,'Tabla Articulos'!E:E)</f>
        <v>#N/A</v>
      </c>
      <c r="R1137" s="44" t="e">
        <f t="shared" si="34"/>
        <v>#N/A</v>
      </c>
      <c r="S1137" s="45" t="str">
        <f t="shared" si="35"/>
        <v>7798138553330</v>
      </c>
    </row>
    <row r="1138" spans="1:19" hidden="1" x14ac:dyDescent="0.35">
      <c r="A1138" s="22">
        <v>5</v>
      </c>
      <c r="B1138" t="s">
        <v>829</v>
      </c>
      <c r="C1138" t="s">
        <v>802</v>
      </c>
      <c r="D1138" s="11" t="s">
        <v>1887</v>
      </c>
      <c r="E1138" t="s">
        <v>3612</v>
      </c>
      <c r="F1138">
        <v>4022542</v>
      </c>
      <c r="G1138" t="s">
        <v>3613</v>
      </c>
      <c r="H1138" t="s">
        <v>805</v>
      </c>
      <c r="I1138">
        <v>580</v>
      </c>
      <c r="J1138">
        <v>0</v>
      </c>
      <c r="K1138">
        <v>576</v>
      </c>
      <c r="L1138">
        <v>0</v>
      </c>
      <c r="M1138">
        <v>0</v>
      </c>
      <c r="N1138">
        <v>0</v>
      </c>
      <c r="O1138">
        <v>4</v>
      </c>
      <c r="P1138" s="44" t="e">
        <f>_xlfn.XLOOKUP(Tabla5[[#This Row],[EAN CORREGIDO]],'Tabla Articulos'!B:B,'Tabla Articulos'!D:D)</f>
        <v>#N/A</v>
      </c>
      <c r="Q1138" s="44" t="e">
        <f>_xlfn.XLOOKUP(S1138,'Tabla Articulos'!B:B,'Tabla Articulos'!E:E)</f>
        <v>#N/A</v>
      </c>
      <c r="R1138" s="44" t="e">
        <f t="shared" si="34"/>
        <v>#N/A</v>
      </c>
      <c r="S1138" s="45" t="str">
        <f t="shared" si="35"/>
        <v>7798138553330</v>
      </c>
    </row>
    <row r="1139" spans="1:19" hidden="1" x14ac:dyDescent="0.35">
      <c r="A1139" s="22">
        <v>6</v>
      </c>
      <c r="B1139" t="s">
        <v>801</v>
      </c>
      <c r="C1139" t="s">
        <v>802</v>
      </c>
      <c r="E1139" t="s">
        <v>3614</v>
      </c>
      <c r="F1139">
        <v>9003766</v>
      </c>
      <c r="G1139" t="s">
        <v>3615</v>
      </c>
      <c r="H1139" t="s">
        <v>805</v>
      </c>
      <c r="I1139">
        <v>10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10</v>
      </c>
      <c r="P1139" s="44" t="e">
        <f>_xlfn.XLOOKUP(Tabla5[[#This Row],[EAN CORREGIDO]],'Tabla Articulos'!B:B,'Tabla Articulos'!D:D)</f>
        <v>#N/A</v>
      </c>
      <c r="Q1139" s="44" t="e">
        <f>_xlfn.XLOOKUP(S1139,'Tabla Articulos'!B:B,'Tabla Articulos'!E:E)</f>
        <v>#N/A</v>
      </c>
      <c r="R1139" s="44" t="e">
        <f t="shared" si="34"/>
        <v>#N/A</v>
      </c>
      <c r="S1139" s="45" t="str">
        <f t="shared" si="35"/>
        <v>BAZ001220</v>
      </c>
    </row>
    <row r="1140" spans="1:19" hidden="1" x14ac:dyDescent="0.35">
      <c r="A1140" s="22">
        <v>6</v>
      </c>
      <c r="B1140" t="s">
        <v>801</v>
      </c>
      <c r="C1140" t="s">
        <v>802</v>
      </c>
      <c r="E1140" t="s">
        <v>1552</v>
      </c>
      <c r="F1140">
        <v>9003894</v>
      </c>
      <c r="G1140" t="s">
        <v>1553</v>
      </c>
      <c r="H1140" t="s">
        <v>805</v>
      </c>
      <c r="I1140">
        <v>35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35</v>
      </c>
      <c r="P1140" s="44" t="e">
        <f>_xlfn.XLOOKUP(Tabla5[[#This Row],[EAN CORREGIDO]],'Tabla Articulos'!B:B,'Tabla Articulos'!D:D)</f>
        <v>#N/A</v>
      </c>
      <c r="Q1140" s="44" t="e">
        <f>_xlfn.XLOOKUP(S1140,'Tabla Articulos'!B:B,'Tabla Articulos'!E:E)</f>
        <v>#N/A</v>
      </c>
      <c r="R1140" s="44" t="e">
        <f t="shared" si="34"/>
        <v>#N/A</v>
      </c>
      <c r="S1140" s="45" t="str">
        <f t="shared" si="35"/>
        <v>BAZ001380</v>
      </c>
    </row>
    <row r="1141" spans="1:19" hidden="1" x14ac:dyDescent="0.35">
      <c r="A1141" s="22">
        <v>6</v>
      </c>
      <c r="B1141" t="s">
        <v>801</v>
      </c>
      <c r="C1141" t="s">
        <v>802</v>
      </c>
      <c r="D1141"/>
      <c r="E1141" t="s">
        <v>1554</v>
      </c>
      <c r="F1141">
        <v>9004209</v>
      </c>
      <c r="G1141" t="s">
        <v>1555</v>
      </c>
      <c r="H1141" t="s">
        <v>805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  <c r="P1141" s="44" t="e">
        <f>_xlfn.XLOOKUP(Tabla5[[#This Row],[EAN CORREGIDO]],'Tabla Articulos'!B:B,'Tabla Articulos'!D:D)</f>
        <v>#N/A</v>
      </c>
      <c r="Q1141" s="44" t="e">
        <f>_xlfn.XLOOKUP(S1141,'Tabla Articulos'!B:B,'Tabla Articulos'!E:E)</f>
        <v>#N/A</v>
      </c>
      <c r="R1141" s="44" t="e">
        <f t="shared" si="34"/>
        <v>#N/A</v>
      </c>
      <c r="S1141" s="45" t="str">
        <f t="shared" si="35"/>
        <v>UNIF000755</v>
      </c>
    </row>
    <row r="1142" spans="1:19" hidden="1" x14ac:dyDescent="0.35">
      <c r="A1142" s="22">
        <v>1</v>
      </c>
      <c r="B1142" t="s">
        <v>812</v>
      </c>
      <c r="C1142" t="s">
        <v>802</v>
      </c>
      <c r="D1142" t="s">
        <v>1556</v>
      </c>
      <c r="E1142" t="s">
        <v>1557</v>
      </c>
      <c r="F1142">
        <v>4017705</v>
      </c>
      <c r="G1142" t="s">
        <v>1558</v>
      </c>
      <c r="H1142" t="s">
        <v>816</v>
      </c>
      <c r="I1142">
        <v>730.7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730.7</v>
      </c>
      <c r="P1142" s="44" t="e">
        <f>_xlfn.XLOOKUP(Tabla5[[#This Row],[EAN CORREGIDO]],'Tabla Articulos'!B:B,'Tabla Articulos'!D:D)</f>
        <v>#N/A</v>
      </c>
      <c r="Q1142" s="44" t="e">
        <f>_xlfn.XLOOKUP(S1142,'Tabla Articulos'!B:B,'Tabla Articulos'!E:E)</f>
        <v>#N/A</v>
      </c>
      <c r="R1142" s="44" t="e">
        <f t="shared" si="34"/>
        <v>#N/A</v>
      </c>
      <c r="S1142" s="45" t="str">
        <f t="shared" si="35"/>
        <v>7790212030052</v>
      </c>
    </row>
    <row r="1143" spans="1:19" hidden="1" x14ac:dyDescent="0.35">
      <c r="A1143" s="22">
        <v>5</v>
      </c>
      <c r="B1143" t="s">
        <v>829</v>
      </c>
      <c r="C1143" t="s">
        <v>802</v>
      </c>
      <c r="D1143" s="11" t="s">
        <v>1559</v>
      </c>
      <c r="E1143" t="s">
        <v>1560</v>
      </c>
      <c r="F1143">
        <v>4022524</v>
      </c>
      <c r="G1143" t="s">
        <v>1561</v>
      </c>
      <c r="H1143" t="s">
        <v>805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 s="44" t="e">
        <f>_xlfn.XLOOKUP(Tabla5[[#This Row],[EAN CORREGIDO]],'Tabla Articulos'!B:B,'Tabla Articulos'!D:D)</f>
        <v>#N/A</v>
      </c>
      <c r="Q1143" s="44" t="e">
        <f>_xlfn.XLOOKUP(S1143,'Tabla Articulos'!B:B,'Tabla Articulos'!E:E)</f>
        <v>#N/A</v>
      </c>
      <c r="R1143" s="44" t="e">
        <f t="shared" si="34"/>
        <v>#N/A</v>
      </c>
      <c r="S1143" s="45" t="str">
        <f t="shared" si="35"/>
        <v>790757899612</v>
      </c>
    </row>
    <row r="1144" spans="1:19" hidden="1" x14ac:dyDescent="0.35">
      <c r="A1144" s="22">
        <v>1</v>
      </c>
      <c r="B1144" t="s">
        <v>812</v>
      </c>
      <c r="C1144" t="s">
        <v>802</v>
      </c>
      <c r="D1144" s="11" t="s">
        <v>1559</v>
      </c>
      <c r="E1144" t="s">
        <v>1560</v>
      </c>
      <c r="F1144">
        <v>4022524</v>
      </c>
      <c r="G1144" t="s">
        <v>1561</v>
      </c>
      <c r="H1144" t="s">
        <v>805</v>
      </c>
      <c r="I1144">
        <v>7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7</v>
      </c>
      <c r="P1144" s="44" t="e">
        <f>_xlfn.XLOOKUP(Tabla5[[#This Row],[EAN CORREGIDO]],'Tabla Articulos'!B:B,'Tabla Articulos'!D:D)</f>
        <v>#N/A</v>
      </c>
      <c r="Q1144" s="44" t="e">
        <f>_xlfn.XLOOKUP(S1144,'Tabla Articulos'!B:B,'Tabla Articulos'!E:E)</f>
        <v>#N/A</v>
      </c>
      <c r="R1144" s="44" t="e">
        <f t="shared" si="34"/>
        <v>#N/A</v>
      </c>
      <c r="S1144" s="45" t="str">
        <f t="shared" si="35"/>
        <v>790757899612</v>
      </c>
    </row>
    <row r="1145" spans="1:19" hidden="1" x14ac:dyDescent="0.35">
      <c r="A1145" s="22">
        <v>1</v>
      </c>
      <c r="B1145" t="s">
        <v>812</v>
      </c>
      <c r="C1145" t="s">
        <v>802</v>
      </c>
      <c r="D1145" t="s">
        <v>2219</v>
      </c>
      <c r="E1145" t="s">
        <v>2220</v>
      </c>
      <c r="F1145">
        <v>4020345</v>
      </c>
      <c r="G1145" t="s">
        <v>2221</v>
      </c>
      <c r="H1145" t="s">
        <v>805</v>
      </c>
      <c r="I1145">
        <v>24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24</v>
      </c>
      <c r="P1145" s="44" t="e">
        <f>_xlfn.XLOOKUP(Tabla5[[#This Row],[EAN CORREGIDO]],'Tabla Articulos'!B:B,'Tabla Articulos'!D:D)</f>
        <v>#N/A</v>
      </c>
      <c r="Q1145" s="44" t="e">
        <f>_xlfn.XLOOKUP(S1145,'Tabla Articulos'!B:B,'Tabla Articulos'!E:E)</f>
        <v>#N/A</v>
      </c>
      <c r="R1145" s="44" t="e">
        <f t="shared" si="34"/>
        <v>#N/A</v>
      </c>
      <c r="S1145" s="45" t="str">
        <f t="shared" si="35"/>
        <v>7798011970322</v>
      </c>
    </row>
    <row r="1146" spans="1:19" hidden="1" x14ac:dyDescent="0.35">
      <c r="A1146" s="22">
        <v>5</v>
      </c>
      <c r="B1146" t="s">
        <v>829</v>
      </c>
      <c r="C1146" t="s">
        <v>802</v>
      </c>
      <c r="D1146"/>
      <c r="E1146" t="s">
        <v>2222</v>
      </c>
      <c r="F1146">
        <v>4077371</v>
      </c>
      <c r="G1146" t="s">
        <v>2223</v>
      </c>
      <c r="H1146" t="s">
        <v>805</v>
      </c>
      <c r="I1146">
        <v>139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139</v>
      </c>
      <c r="P1146" s="44" t="e">
        <f>_xlfn.XLOOKUP(Tabla5[[#This Row],[EAN CORREGIDO]],'Tabla Articulos'!B:B,'Tabla Articulos'!D:D)</f>
        <v>#N/A</v>
      </c>
      <c r="Q1146" s="44" t="e">
        <f>_xlfn.XLOOKUP(S1146,'Tabla Articulos'!B:B,'Tabla Articulos'!E:E)</f>
        <v>#N/A</v>
      </c>
      <c r="R1146" s="44" t="e">
        <f t="shared" si="34"/>
        <v>#N/A</v>
      </c>
      <c r="S1146" s="45" t="str">
        <f t="shared" si="35"/>
        <v>MOD21130</v>
      </c>
    </row>
    <row r="1147" spans="1:19" hidden="1" x14ac:dyDescent="0.35">
      <c r="A1147" s="22">
        <v>6</v>
      </c>
      <c r="B1147" t="s">
        <v>801</v>
      </c>
      <c r="C1147" t="s">
        <v>802</v>
      </c>
      <c r="E1147" t="s">
        <v>2224</v>
      </c>
      <c r="F1147">
        <v>9003590</v>
      </c>
      <c r="G1147" t="s">
        <v>2225</v>
      </c>
      <c r="H1147" t="s">
        <v>805</v>
      </c>
      <c r="I1147">
        <v>163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163</v>
      </c>
      <c r="P1147" s="44" t="e">
        <f>_xlfn.XLOOKUP(Tabla5[[#This Row],[EAN CORREGIDO]],'Tabla Articulos'!B:B,'Tabla Articulos'!D:D)</f>
        <v>#N/A</v>
      </c>
      <c r="Q1147" s="44" t="e">
        <f>_xlfn.XLOOKUP(S1147,'Tabla Articulos'!B:B,'Tabla Articulos'!E:E)</f>
        <v>#N/A</v>
      </c>
      <c r="R1147" s="44" t="e">
        <f t="shared" si="34"/>
        <v>#N/A</v>
      </c>
      <c r="S1147" s="45" t="str">
        <f t="shared" si="35"/>
        <v>UNIF000429</v>
      </c>
    </row>
    <row r="1148" spans="1:19" hidden="1" x14ac:dyDescent="0.35">
      <c r="A1148" s="22">
        <v>1</v>
      </c>
      <c r="B1148" t="s">
        <v>812</v>
      </c>
      <c r="C1148" t="s">
        <v>802</v>
      </c>
      <c r="D1148" t="s">
        <v>2226</v>
      </c>
      <c r="E1148" t="s">
        <v>2227</v>
      </c>
      <c r="F1148">
        <v>4049038</v>
      </c>
      <c r="G1148" t="s">
        <v>2228</v>
      </c>
      <c r="H1148" t="s">
        <v>805</v>
      </c>
      <c r="I1148">
        <v>105</v>
      </c>
      <c r="J1148">
        <v>0</v>
      </c>
      <c r="K1148">
        <v>0</v>
      </c>
      <c r="L1148">
        <v>0</v>
      </c>
      <c r="M1148">
        <v>3</v>
      </c>
      <c r="N1148">
        <v>0</v>
      </c>
      <c r="O1148">
        <v>102</v>
      </c>
      <c r="P1148" s="44" t="e">
        <f>_xlfn.XLOOKUP(Tabla5[[#This Row],[EAN CORREGIDO]],'Tabla Articulos'!B:B,'Tabla Articulos'!D:D)</f>
        <v>#N/A</v>
      </c>
      <c r="Q1148" s="44" t="e">
        <f>_xlfn.XLOOKUP(S1148,'Tabla Articulos'!B:B,'Tabla Articulos'!E:E)</f>
        <v>#N/A</v>
      </c>
      <c r="R1148" s="44" t="e">
        <f t="shared" si="34"/>
        <v>#N/A</v>
      </c>
      <c r="S1148" s="45" t="str">
        <f t="shared" si="35"/>
        <v>7790787949083</v>
      </c>
    </row>
    <row r="1149" spans="1:19" hidden="1" x14ac:dyDescent="0.35">
      <c r="A1149" s="22">
        <v>6</v>
      </c>
      <c r="B1149" t="s">
        <v>801</v>
      </c>
      <c r="C1149" t="s">
        <v>802</v>
      </c>
      <c r="E1149" t="s">
        <v>2229</v>
      </c>
      <c r="F1149">
        <v>9003349</v>
      </c>
      <c r="G1149" t="s">
        <v>2230</v>
      </c>
      <c r="H1149" t="s">
        <v>805</v>
      </c>
      <c r="I1149">
        <v>11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11</v>
      </c>
      <c r="P1149" s="44" t="e">
        <f>_xlfn.XLOOKUP(Tabla5[[#This Row],[EAN CORREGIDO]],'Tabla Articulos'!B:B,'Tabla Articulos'!D:D)</f>
        <v>#N/A</v>
      </c>
      <c r="Q1149" s="44" t="e">
        <f>_xlfn.XLOOKUP(S1149,'Tabla Articulos'!B:B,'Tabla Articulos'!E:E)</f>
        <v>#N/A</v>
      </c>
      <c r="R1149" s="44" t="e">
        <f t="shared" si="34"/>
        <v>#N/A</v>
      </c>
      <c r="S1149" s="45" t="str">
        <f t="shared" si="35"/>
        <v>UNIF000299</v>
      </c>
    </row>
    <row r="1150" spans="1:19" hidden="1" x14ac:dyDescent="0.35">
      <c r="A1150" s="22">
        <v>6</v>
      </c>
      <c r="B1150" t="s">
        <v>801</v>
      </c>
      <c r="C1150" t="s">
        <v>802</v>
      </c>
      <c r="E1150" t="s">
        <v>4798</v>
      </c>
      <c r="F1150"/>
      <c r="G1150" t="s">
        <v>4612</v>
      </c>
      <c r="H1150" t="s">
        <v>805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</v>
      </c>
      <c r="P1150" s="44" t="e">
        <f>_xlfn.XLOOKUP(Tabla5[[#This Row],[EAN CORREGIDO]],'Tabla Articulos'!B:B,'Tabla Articulos'!D:D)</f>
        <v>#N/A</v>
      </c>
      <c r="Q1150" s="44" t="e">
        <f>_xlfn.XLOOKUP(S1150,'Tabla Articulos'!B:B,'Tabla Articulos'!E:E)</f>
        <v>#N/A</v>
      </c>
      <c r="R1150" s="44" t="e">
        <f t="shared" si="34"/>
        <v>#N/A</v>
      </c>
      <c r="S1150" s="45" t="str">
        <f t="shared" si="35"/>
        <v>BUSAT000612</v>
      </c>
    </row>
    <row r="1151" spans="1:19" hidden="1" x14ac:dyDescent="0.35">
      <c r="A1151" s="22">
        <v>1</v>
      </c>
      <c r="B1151" t="s">
        <v>812</v>
      </c>
      <c r="C1151" t="s">
        <v>802</v>
      </c>
      <c r="D1151" s="11" t="s">
        <v>3984</v>
      </c>
      <c r="E1151" t="s">
        <v>3985</v>
      </c>
      <c r="F1151">
        <v>4020097</v>
      </c>
      <c r="G1151" t="s">
        <v>3986</v>
      </c>
      <c r="H1151" t="s">
        <v>805</v>
      </c>
      <c r="I1151">
        <v>8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8</v>
      </c>
      <c r="P1151" s="44" t="e">
        <f>_xlfn.XLOOKUP(Tabla5[[#This Row],[EAN CORREGIDO]],'Tabla Articulos'!B:B,'Tabla Articulos'!D:D)</f>
        <v>#N/A</v>
      </c>
      <c r="Q1151" s="44" t="e">
        <f>_xlfn.XLOOKUP(S1151,'Tabla Articulos'!B:B,'Tabla Articulos'!E:E)</f>
        <v>#N/A</v>
      </c>
      <c r="R1151" s="44" t="e">
        <f t="shared" si="34"/>
        <v>#N/A</v>
      </c>
      <c r="S1151" s="45" t="str">
        <f t="shared" si="35"/>
        <v>7793875324151</v>
      </c>
    </row>
    <row r="1152" spans="1:19" hidden="1" x14ac:dyDescent="0.35">
      <c r="A1152" s="22">
        <v>1</v>
      </c>
      <c r="B1152" t="s">
        <v>812</v>
      </c>
      <c r="C1152" t="s">
        <v>802</v>
      </c>
      <c r="D1152" s="11" t="s">
        <v>3987</v>
      </c>
      <c r="E1152" t="s">
        <v>3988</v>
      </c>
      <c r="F1152">
        <v>4049236</v>
      </c>
      <c r="G1152" t="s">
        <v>3989</v>
      </c>
      <c r="H1152" t="s">
        <v>805</v>
      </c>
      <c r="I1152">
        <v>84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84</v>
      </c>
      <c r="P1152" s="44" t="e">
        <f>_xlfn.XLOOKUP(Tabla5[[#This Row],[EAN CORREGIDO]],'Tabla Articulos'!B:B,'Tabla Articulos'!D:D)</f>
        <v>#N/A</v>
      </c>
      <c r="Q1152" s="44" t="e">
        <f>_xlfn.XLOOKUP(S1152,'Tabla Articulos'!B:B,'Tabla Articulos'!E:E)</f>
        <v>#N/A</v>
      </c>
      <c r="R1152" s="44" t="e">
        <f t="shared" si="34"/>
        <v>#N/A</v>
      </c>
      <c r="S1152" s="45" t="str">
        <f t="shared" si="35"/>
        <v>7792860007932</v>
      </c>
    </row>
    <row r="1153" spans="1:19" hidden="1" x14ac:dyDescent="0.35">
      <c r="A1153" s="22">
        <v>1</v>
      </c>
      <c r="B1153" t="s">
        <v>812</v>
      </c>
      <c r="C1153" t="s">
        <v>802</v>
      </c>
      <c r="D1153" t="s">
        <v>3990</v>
      </c>
      <c r="E1153" t="s">
        <v>3991</v>
      </c>
      <c r="F1153">
        <v>4018303</v>
      </c>
      <c r="G1153" t="s">
        <v>3992</v>
      </c>
      <c r="H1153" t="s">
        <v>805</v>
      </c>
      <c r="I1153">
        <v>0</v>
      </c>
      <c r="J1153">
        <v>20</v>
      </c>
      <c r="K1153">
        <v>0</v>
      </c>
      <c r="L1153">
        <v>0</v>
      </c>
      <c r="M1153">
        <v>0</v>
      </c>
      <c r="N1153">
        <v>0</v>
      </c>
      <c r="O1153">
        <v>20</v>
      </c>
      <c r="P1153" s="44" t="e">
        <f>_xlfn.XLOOKUP(Tabla5[[#This Row],[EAN CORREGIDO]],'Tabla Articulos'!B:B,'Tabla Articulos'!D:D)</f>
        <v>#N/A</v>
      </c>
      <c r="Q1153" s="44" t="e">
        <f>_xlfn.XLOOKUP(S1153,'Tabla Articulos'!B:B,'Tabla Articulos'!E:E)</f>
        <v>#N/A</v>
      </c>
      <c r="R1153" s="44" t="e">
        <f t="shared" ref="R1153:R1216" si="36">O1153*Q1153</f>
        <v>#N/A</v>
      </c>
      <c r="S1153" s="45" t="str">
        <f t="shared" ref="S1153:S1216" si="37">TRIM(E1153)</f>
        <v>7798011970650</v>
      </c>
    </row>
    <row r="1154" spans="1:19" hidden="1" x14ac:dyDescent="0.35">
      <c r="A1154" s="22">
        <v>6</v>
      </c>
      <c r="B1154" t="s">
        <v>801</v>
      </c>
      <c r="C1154" t="s">
        <v>802</v>
      </c>
      <c r="D1154"/>
      <c r="E1154" t="s">
        <v>3993</v>
      </c>
      <c r="F1154">
        <v>9003484</v>
      </c>
      <c r="G1154" t="s">
        <v>3994</v>
      </c>
      <c r="H1154" t="s">
        <v>805</v>
      </c>
      <c r="I1154">
        <v>16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16</v>
      </c>
      <c r="P1154" s="44" t="e">
        <f>_xlfn.XLOOKUP(Tabla5[[#This Row],[EAN CORREGIDO]],'Tabla Articulos'!B:B,'Tabla Articulos'!D:D)</f>
        <v>#N/A</v>
      </c>
      <c r="Q1154" s="44" t="e">
        <f>_xlfn.XLOOKUP(S1154,'Tabla Articulos'!B:B,'Tabla Articulos'!E:E)</f>
        <v>#N/A</v>
      </c>
      <c r="R1154" s="44" t="e">
        <f t="shared" si="36"/>
        <v>#N/A</v>
      </c>
      <c r="S1154" s="45" t="str">
        <f t="shared" si="37"/>
        <v>UNIF000216</v>
      </c>
    </row>
    <row r="1155" spans="1:19" hidden="1" x14ac:dyDescent="0.35">
      <c r="A1155" s="22">
        <v>1</v>
      </c>
      <c r="B1155" t="s">
        <v>812</v>
      </c>
      <c r="C1155" t="s">
        <v>802</v>
      </c>
      <c r="D1155" s="11" t="s">
        <v>322</v>
      </c>
      <c r="E1155" t="s">
        <v>2272</v>
      </c>
      <c r="F1155">
        <v>2006476</v>
      </c>
      <c r="G1155" t="s">
        <v>2273</v>
      </c>
      <c r="H1155" t="s">
        <v>805</v>
      </c>
      <c r="I1155">
        <v>4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4</v>
      </c>
      <c r="P1155" s="44" t="str">
        <f>_xlfn.XLOOKUP(Tabla5[[#This Row],[EAN CORREGIDO]],'Tabla Articulos'!B:B,'Tabla Articulos'!D:D)</f>
        <v>VASO PLASTICO 180</v>
      </c>
      <c r="Q1155" s="44">
        <f>_xlfn.XLOOKUP(S1155,'Tabla Articulos'!B:B,'Tabla Articulos'!E:E)</f>
        <v>100</v>
      </c>
      <c r="R1155" s="44">
        <f t="shared" si="36"/>
        <v>400</v>
      </c>
      <c r="S1155" s="45" t="str">
        <f t="shared" si="37"/>
        <v>7790321020356</v>
      </c>
    </row>
    <row r="1156" spans="1:19" hidden="1" x14ac:dyDescent="0.35">
      <c r="A1156" s="22">
        <v>6</v>
      </c>
      <c r="B1156" t="s">
        <v>801</v>
      </c>
      <c r="C1156" t="s">
        <v>802</v>
      </c>
      <c r="E1156" t="s">
        <v>2274</v>
      </c>
      <c r="F1156" s="11">
        <v>9003251</v>
      </c>
      <c r="G1156" t="s">
        <v>2275</v>
      </c>
      <c r="H1156" t="s">
        <v>805</v>
      </c>
      <c r="I1156">
        <v>104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104</v>
      </c>
      <c r="P1156" s="44" t="e">
        <f>_xlfn.XLOOKUP(Tabla5[[#This Row],[EAN CORREGIDO]],'Tabla Articulos'!B:B,'Tabla Articulos'!D:D)</f>
        <v>#N/A</v>
      </c>
      <c r="Q1156" s="44" t="e">
        <f>_xlfn.XLOOKUP(S1156,'Tabla Articulos'!B:B,'Tabla Articulos'!E:E)</f>
        <v>#N/A</v>
      </c>
      <c r="R1156" s="44" t="e">
        <f t="shared" si="36"/>
        <v>#N/A</v>
      </c>
      <c r="S1156" s="45" t="str">
        <f t="shared" si="37"/>
        <v>UNIF000479</v>
      </c>
    </row>
    <row r="1157" spans="1:19" hidden="1" x14ac:dyDescent="0.35">
      <c r="A1157" s="22">
        <v>6</v>
      </c>
      <c r="B1157" t="s">
        <v>801</v>
      </c>
      <c r="C1157" t="s">
        <v>802</v>
      </c>
      <c r="E1157" t="s">
        <v>2276</v>
      </c>
      <c r="F1157" s="11">
        <v>9003415</v>
      </c>
      <c r="G1157" t="s">
        <v>2277</v>
      </c>
      <c r="H1157" t="s">
        <v>805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</v>
      </c>
      <c r="P1157" s="44" t="e">
        <f>_xlfn.XLOOKUP(Tabla5[[#This Row],[EAN CORREGIDO]],'Tabla Articulos'!B:B,'Tabla Articulos'!D:D)</f>
        <v>#N/A</v>
      </c>
      <c r="Q1157" s="44" t="e">
        <f>_xlfn.XLOOKUP(S1157,'Tabla Articulos'!B:B,'Tabla Articulos'!E:E)</f>
        <v>#N/A</v>
      </c>
      <c r="R1157" s="44" t="e">
        <f t="shared" si="36"/>
        <v>#N/A</v>
      </c>
      <c r="S1157" s="45" t="str">
        <f t="shared" si="37"/>
        <v>UNIF000102</v>
      </c>
    </row>
    <row r="1158" spans="1:19" hidden="1" x14ac:dyDescent="0.35">
      <c r="A1158" s="22">
        <v>6</v>
      </c>
      <c r="B1158" t="s">
        <v>801</v>
      </c>
      <c r="C1158" t="s">
        <v>802</v>
      </c>
      <c r="E1158" t="s">
        <v>2278</v>
      </c>
      <c r="F1158" s="11">
        <v>9004130</v>
      </c>
      <c r="G1158" t="s">
        <v>2279</v>
      </c>
      <c r="H1158" t="s">
        <v>805</v>
      </c>
      <c r="I1158">
        <v>71</v>
      </c>
      <c r="J1158">
        <v>0</v>
      </c>
      <c r="K1158">
        <v>0</v>
      </c>
      <c r="L1158">
        <v>1</v>
      </c>
      <c r="M1158">
        <v>3</v>
      </c>
      <c r="N1158">
        <v>0</v>
      </c>
      <c r="O1158">
        <v>67</v>
      </c>
      <c r="P1158" s="44" t="e">
        <f>_xlfn.XLOOKUP(Tabla5[[#This Row],[EAN CORREGIDO]],'Tabla Articulos'!B:B,'Tabla Articulos'!D:D)</f>
        <v>#N/A</v>
      </c>
      <c r="Q1158" s="44" t="e">
        <f>_xlfn.XLOOKUP(S1158,'Tabla Articulos'!B:B,'Tabla Articulos'!E:E)</f>
        <v>#N/A</v>
      </c>
      <c r="R1158" s="44" t="e">
        <f t="shared" si="36"/>
        <v>#N/A</v>
      </c>
      <c r="S1158" s="45" t="str">
        <f t="shared" si="37"/>
        <v>7790000000738</v>
      </c>
    </row>
    <row r="1159" spans="1:19" hidden="1" x14ac:dyDescent="0.35">
      <c r="A1159" s="22">
        <v>6</v>
      </c>
      <c r="B1159" t="s">
        <v>801</v>
      </c>
      <c r="C1159" t="s">
        <v>802</v>
      </c>
      <c r="E1159" t="s">
        <v>2280</v>
      </c>
      <c r="F1159" s="11">
        <v>9003623</v>
      </c>
      <c r="G1159" t="s">
        <v>2281</v>
      </c>
      <c r="H1159" t="s">
        <v>805</v>
      </c>
      <c r="I1159">
        <v>53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53</v>
      </c>
      <c r="P1159" s="44" t="e">
        <f>_xlfn.XLOOKUP(Tabla5[[#This Row],[EAN CORREGIDO]],'Tabla Articulos'!B:B,'Tabla Articulos'!D:D)</f>
        <v>#N/A</v>
      </c>
      <c r="Q1159" s="44" t="e">
        <f>_xlfn.XLOOKUP(S1159,'Tabla Articulos'!B:B,'Tabla Articulos'!E:E)</f>
        <v>#N/A</v>
      </c>
      <c r="R1159" s="44" t="e">
        <f t="shared" si="36"/>
        <v>#N/A</v>
      </c>
      <c r="S1159" s="45" t="str">
        <f t="shared" si="37"/>
        <v>UNIF000462</v>
      </c>
    </row>
    <row r="1160" spans="1:19" hidden="1" x14ac:dyDescent="0.35">
      <c r="A1160" s="22">
        <v>1</v>
      </c>
      <c r="B1160" t="s">
        <v>812</v>
      </c>
      <c r="C1160" t="s">
        <v>802</v>
      </c>
      <c r="D1160" s="11" t="s">
        <v>1663</v>
      </c>
      <c r="E1160" t="s">
        <v>2282</v>
      </c>
      <c r="F1160" s="11">
        <v>4022951</v>
      </c>
      <c r="G1160" t="s">
        <v>2283</v>
      </c>
      <c r="H1160" t="s">
        <v>805</v>
      </c>
      <c r="I1160">
        <v>187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187</v>
      </c>
      <c r="P1160" s="44" t="e">
        <f>_xlfn.XLOOKUP(Tabla5[[#This Row],[EAN CORREGIDO]],'Tabla Articulos'!B:B,'Tabla Articulos'!D:D)</f>
        <v>#N/A</v>
      </c>
      <c r="Q1160" s="44" t="e">
        <f>_xlfn.XLOOKUP(S1160,'Tabla Articulos'!B:B,'Tabla Articulos'!E:E)</f>
        <v>#N/A</v>
      </c>
      <c r="R1160" s="44" t="e">
        <f t="shared" si="36"/>
        <v>#N/A</v>
      </c>
      <c r="S1160" s="45" t="str">
        <f t="shared" si="37"/>
        <v>7798151690500</v>
      </c>
    </row>
    <row r="1161" spans="1:19" hidden="1" x14ac:dyDescent="0.35">
      <c r="A1161" s="22">
        <v>5</v>
      </c>
      <c r="B1161" t="s">
        <v>829</v>
      </c>
      <c r="C1161" t="s">
        <v>802</v>
      </c>
      <c r="D1161" s="11" t="s">
        <v>1663</v>
      </c>
      <c r="E1161" t="s">
        <v>2282</v>
      </c>
      <c r="F1161" s="11">
        <v>4022951</v>
      </c>
      <c r="G1161" t="s">
        <v>2283</v>
      </c>
      <c r="H1161" t="s">
        <v>805</v>
      </c>
      <c r="I1161">
        <v>315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315</v>
      </c>
      <c r="P1161" s="44" t="e">
        <f>_xlfn.XLOOKUP(Tabla5[[#This Row],[EAN CORREGIDO]],'Tabla Articulos'!B:B,'Tabla Articulos'!D:D)</f>
        <v>#N/A</v>
      </c>
      <c r="Q1161" s="44" t="e">
        <f>_xlfn.XLOOKUP(S1161,'Tabla Articulos'!B:B,'Tabla Articulos'!E:E)</f>
        <v>#N/A</v>
      </c>
      <c r="R1161" s="44" t="e">
        <f t="shared" si="36"/>
        <v>#N/A</v>
      </c>
      <c r="S1161" s="45" t="str">
        <f t="shared" si="37"/>
        <v>7798151690500</v>
      </c>
    </row>
    <row r="1162" spans="1:19" hidden="1" x14ac:dyDescent="0.35">
      <c r="A1162" s="22">
        <v>1</v>
      </c>
      <c r="B1162" t="s">
        <v>812</v>
      </c>
      <c r="C1162" t="s">
        <v>802</v>
      </c>
      <c r="D1162" s="11" t="s">
        <v>2284</v>
      </c>
      <c r="E1162" t="s">
        <v>2285</v>
      </c>
      <c r="F1162" s="11">
        <v>4018657</v>
      </c>
      <c r="G1162" t="s">
        <v>2286</v>
      </c>
      <c r="H1162" t="s">
        <v>805</v>
      </c>
      <c r="I1162">
        <v>15421</v>
      </c>
      <c r="J1162">
        <v>10008</v>
      </c>
      <c r="K1162">
        <v>10008</v>
      </c>
      <c r="L1162">
        <v>0</v>
      </c>
      <c r="M1162">
        <v>0</v>
      </c>
      <c r="N1162">
        <v>0</v>
      </c>
      <c r="O1162">
        <v>15421</v>
      </c>
      <c r="P1162" s="44" t="e">
        <f>_xlfn.XLOOKUP(Tabla5[[#This Row],[EAN CORREGIDO]],'Tabla Articulos'!B:B,'Tabla Articulos'!D:D)</f>
        <v>#N/A</v>
      </c>
      <c r="Q1162" s="44" t="e">
        <f>_xlfn.XLOOKUP(S1162,'Tabla Articulos'!B:B,'Tabla Articulos'!E:E)</f>
        <v>#N/A</v>
      </c>
      <c r="R1162" s="44" t="e">
        <f t="shared" si="36"/>
        <v>#N/A</v>
      </c>
      <c r="S1162" s="45" t="str">
        <f t="shared" si="37"/>
        <v>7795711000038</v>
      </c>
    </row>
    <row r="1163" spans="1:19" hidden="1" x14ac:dyDescent="0.35">
      <c r="A1163" s="22">
        <v>6</v>
      </c>
      <c r="B1163" t="s">
        <v>801</v>
      </c>
      <c r="C1163" t="s">
        <v>802</v>
      </c>
      <c r="E1163" t="s">
        <v>969</v>
      </c>
      <c r="F1163" s="11">
        <v>9003027</v>
      </c>
      <c r="G1163" t="s">
        <v>970</v>
      </c>
      <c r="H1163" t="s">
        <v>805</v>
      </c>
      <c r="I1163">
        <v>26</v>
      </c>
      <c r="J1163">
        <v>60</v>
      </c>
      <c r="K1163">
        <v>30</v>
      </c>
      <c r="L1163">
        <v>0</v>
      </c>
      <c r="M1163">
        <v>0</v>
      </c>
      <c r="N1163">
        <v>0</v>
      </c>
      <c r="O1163">
        <v>56</v>
      </c>
      <c r="P1163" s="44" t="e">
        <f>_xlfn.XLOOKUP(Tabla5[[#This Row],[EAN CORREGIDO]],'Tabla Articulos'!B:B,'Tabla Articulos'!D:D)</f>
        <v>#N/A</v>
      </c>
      <c r="Q1163" s="44" t="e">
        <f>_xlfn.XLOOKUP(S1163,'Tabla Articulos'!B:B,'Tabla Articulos'!E:E)</f>
        <v>#N/A</v>
      </c>
      <c r="R1163" s="44" t="e">
        <f t="shared" si="36"/>
        <v>#N/A</v>
      </c>
      <c r="S1163" s="45" t="str">
        <f t="shared" si="37"/>
        <v>A1607C25T5</v>
      </c>
    </row>
    <row r="1164" spans="1:19" hidden="1" x14ac:dyDescent="0.35">
      <c r="A1164" s="22">
        <v>6</v>
      </c>
      <c r="B1164" t="s">
        <v>801</v>
      </c>
      <c r="C1164" t="s">
        <v>802</v>
      </c>
      <c r="E1164" t="s">
        <v>971</v>
      </c>
      <c r="F1164" s="11">
        <v>9003514</v>
      </c>
      <c r="G1164" t="s">
        <v>972</v>
      </c>
      <c r="H1164" t="s">
        <v>805</v>
      </c>
      <c r="I1164">
        <v>42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42</v>
      </c>
      <c r="P1164" s="44" t="e">
        <f>_xlfn.XLOOKUP(Tabla5[[#This Row],[EAN CORREGIDO]],'Tabla Articulos'!B:B,'Tabla Articulos'!D:D)</f>
        <v>#N/A</v>
      </c>
      <c r="Q1164" s="44" t="e">
        <f>_xlfn.XLOOKUP(S1164,'Tabla Articulos'!B:B,'Tabla Articulos'!E:E)</f>
        <v>#N/A</v>
      </c>
      <c r="R1164" s="44" t="e">
        <f t="shared" si="36"/>
        <v>#N/A</v>
      </c>
      <c r="S1164" s="45" t="str">
        <f t="shared" si="37"/>
        <v>UNIF000395</v>
      </c>
    </row>
    <row r="1165" spans="1:19" hidden="1" x14ac:dyDescent="0.35">
      <c r="A1165" s="22">
        <v>6</v>
      </c>
      <c r="B1165" t="s">
        <v>801</v>
      </c>
      <c r="C1165" t="s">
        <v>802</v>
      </c>
      <c r="E1165" t="s">
        <v>1443</v>
      </c>
      <c r="F1165" s="11">
        <v>9003291</v>
      </c>
      <c r="G1165" t="s">
        <v>1444</v>
      </c>
      <c r="H1165" t="s">
        <v>805</v>
      </c>
      <c r="I1165">
        <v>8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8</v>
      </c>
      <c r="P1165" s="44" t="e">
        <f>_xlfn.XLOOKUP(Tabla5[[#This Row],[EAN CORREGIDO]],'Tabla Articulos'!B:B,'Tabla Articulos'!D:D)</f>
        <v>#N/A</v>
      </c>
      <c r="Q1165" s="44" t="e">
        <f>_xlfn.XLOOKUP(S1165,'Tabla Articulos'!B:B,'Tabla Articulos'!E:E)</f>
        <v>#N/A</v>
      </c>
      <c r="R1165" s="44" t="e">
        <f t="shared" si="36"/>
        <v>#N/A</v>
      </c>
      <c r="S1165" s="45" t="str">
        <f t="shared" si="37"/>
        <v>UNIF000038</v>
      </c>
    </row>
    <row r="1166" spans="1:19" hidden="1" x14ac:dyDescent="0.35">
      <c r="A1166" s="22">
        <v>6</v>
      </c>
      <c r="B1166" t="s">
        <v>801</v>
      </c>
      <c r="C1166" t="s">
        <v>802</v>
      </c>
      <c r="E1166" t="s">
        <v>1445</v>
      </c>
      <c r="F1166" s="11">
        <v>9003031</v>
      </c>
      <c r="G1166" t="s">
        <v>1446</v>
      </c>
      <c r="H1166" t="s">
        <v>805</v>
      </c>
      <c r="I1166">
        <v>26</v>
      </c>
      <c r="J1166">
        <v>80</v>
      </c>
      <c r="K1166">
        <v>40</v>
      </c>
      <c r="L1166">
        <v>0</v>
      </c>
      <c r="M1166">
        <v>0</v>
      </c>
      <c r="N1166">
        <v>0</v>
      </c>
      <c r="O1166">
        <v>66</v>
      </c>
      <c r="P1166" s="44" t="e">
        <f>_xlfn.XLOOKUP(Tabla5[[#This Row],[EAN CORREGIDO]],'Tabla Articulos'!B:B,'Tabla Articulos'!D:D)</f>
        <v>#N/A</v>
      </c>
      <c r="Q1166" s="44" t="e">
        <f>_xlfn.XLOOKUP(S1166,'Tabla Articulos'!B:B,'Tabla Articulos'!E:E)</f>
        <v>#N/A</v>
      </c>
      <c r="R1166" s="44" t="e">
        <f t="shared" si="36"/>
        <v>#N/A</v>
      </c>
      <c r="S1166" s="45" t="str">
        <f t="shared" si="37"/>
        <v>A1607C25T10</v>
      </c>
    </row>
    <row r="1167" spans="1:19" hidden="1" x14ac:dyDescent="0.35">
      <c r="A1167" s="22">
        <v>6</v>
      </c>
      <c r="B1167" t="s">
        <v>801</v>
      </c>
      <c r="C1167" t="s">
        <v>802</v>
      </c>
      <c r="D1167" s="11" t="s">
        <v>471</v>
      </c>
      <c r="E1167" t="s">
        <v>1447</v>
      </c>
      <c r="F1167" s="11">
        <v>2007191</v>
      </c>
      <c r="G1167" t="s">
        <v>1448</v>
      </c>
      <c r="H1167" t="s">
        <v>805</v>
      </c>
      <c r="I1167">
        <v>300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300</v>
      </c>
      <c r="P1167" s="44" t="str">
        <f>_xlfn.XLOOKUP(Tabla5[[#This Row],[EAN CORREGIDO]],'Tabla Articulos'!B:B,'Tabla Articulos'!D:D)</f>
        <v>INDIVIDUAL HEALTH</v>
      </c>
      <c r="Q1167" s="44">
        <f>_xlfn.XLOOKUP(S1167,'Tabla Articulos'!B:B,'Tabla Articulos'!E:E)</f>
        <v>1000</v>
      </c>
      <c r="R1167" s="44">
        <f t="shared" si="36"/>
        <v>300000</v>
      </c>
      <c r="S1167" s="45" t="str">
        <f t="shared" si="37"/>
        <v>7790000000235</v>
      </c>
    </row>
    <row r="1168" spans="1:19" hidden="1" x14ac:dyDescent="0.35">
      <c r="A1168" s="22">
        <v>5</v>
      </c>
      <c r="B1168" t="s">
        <v>829</v>
      </c>
      <c r="C1168" t="s">
        <v>802</v>
      </c>
      <c r="D1168" t="s">
        <v>1449</v>
      </c>
      <c r="E1168" t="s">
        <v>1450</v>
      </c>
      <c r="F1168" s="11">
        <v>4021261</v>
      </c>
      <c r="G1168" t="s">
        <v>1451</v>
      </c>
      <c r="H1168" t="s">
        <v>805</v>
      </c>
      <c r="I1168">
        <v>17574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17574</v>
      </c>
      <c r="P1168" s="44" t="e">
        <f>_xlfn.XLOOKUP(Tabla5[[#This Row],[EAN CORREGIDO]],'Tabla Articulos'!B:B,'Tabla Articulos'!D:D)</f>
        <v>#N/A</v>
      </c>
      <c r="Q1168" s="44" t="e">
        <f>_xlfn.XLOOKUP(S1168,'Tabla Articulos'!B:B,'Tabla Articulos'!E:E)</f>
        <v>#N/A</v>
      </c>
      <c r="R1168" s="44" t="e">
        <f t="shared" si="36"/>
        <v>#N/A</v>
      </c>
      <c r="S1168" s="45" t="str">
        <f t="shared" si="37"/>
        <v>7798338290110</v>
      </c>
    </row>
    <row r="1169" spans="1:19" hidden="1" x14ac:dyDescent="0.35">
      <c r="A1169" s="22">
        <v>5</v>
      </c>
      <c r="B1169" t="s">
        <v>829</v>
      </c>
      <c r="C1169" t="s">
        <v>802</v>
      </c>
      <c r="D1169" s="11" t="s">
        <v>851</v>
      </c>
      <c r="E1169" t="s">
        <v>1452</v>
      </c>
      <c r="F1169" s="11">
        <v>4020172</v>
      </c>
      <c r="G1169" t="s">
        <v>1453</v>
      </c>
      <c r="H1169" t="s">
        <v>805</v>
      </c>
      <c r="I1169">
        <v>3869</v>
      </c>
      <c r="J1169">
        <v>0</v>
      </c>
      <c r="K1169">
        <v>0</v>
      </c>
      <c r="L1169">
        <v>0</v>
      </c>
      <c r="M1169">
        <v>6</v>
      </c>
      <c r="N1169">
        <v>0</v>
      </c>
      <c r="O1169">
        <v>3863</v>
      </c>
      <c r="P1169" s="44" t="e">
        <f>_xlfn.XLOOKUP(Tabla5[[#This Row],[EAN CORREGIDO]],'Tabla Articulos'!B:B,'Tabla Articulos'!D:D)</f>
        <v>#N/A</v>
      </c>
      <c r="Q1169" s="44" t="e">
        <f>_xlfn.XLOOKUP(S1169,'Tabla Articulos'!B:B,'Tabla Articulos'!E:E)</f>
        <v>#N/A</v>
      </c>
      <c r="R1169" s="44" t="e">
        <f t="shared" si="36"/>
        <v>#N/A</v>
      </c>
      <c r="S1169" s="45" t="str">
        <f t="shared" si="37"/>
        <v>7792180001641</v>
      </c>
    </row>
    <row r="1170" spans="1:19" hidden="1" x14ac:dyDescent="0.35">
      <c r="A1170" s="22">
        <v>1</v>
      </c>
      <c r="B1170" t="s">
        <v>812</v>
      </c>
      <c r="C1170" t="s">
        <v>802</v>
      </c>
      <c r="D1170" s="11" t="s">
        <v>851</v>
      </c>
      <c r="E1170" t="s">
        <v>1452</v>
      </c>
      <c r="F1170" s="11">
        <v>4020172</v>
      </c>
      <c r="G1170" t="s">
        <v>1453</v>
      </c>
      <c r="H1170" t="s">
        <v>805</v>
      </c>
      <c r="I1170">
        <v>443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443</v>
      </c>
      <c r="P1170" s="44" t="e">
        <f>_xlfn.XLOOKUP(Tabla5[[#This Row],[EAN CORREGIDO]],'Tabla Articulos'!B:B,'Tabla Articulos'!D:D)</f>
        <v>#N/A</v>
      </c>
      <c r="Q1170" s="44" t="e">
        <f>_xlfn.XLOOKUP(S1170,'Tabla Articulos'!B:B,'Tabla Articulos'!E:E)</f>
        <v>#N/A</v>
      </c>
      <c r="R1170" s="44" t="e">
        <f t="shared" si="36"/>
        <v>#N/A</v>
      </c>
      <c r="S1170" s="45" t="str">
        <f t="shared" si="37"/>
        <v>7792180001641</v>
      </c>
    </row>
    <row r="1171" spans="1:19" hidden="1" x14ac:dyDescent="0.35">
      <c r="A1171" s="22">
        <v>6</v>
      </c>
      <c r="B1171" t="s">
        <v>801</v>
      </c>
      <c r="C1171" t="s">
        <v>802</v>
      </c>
      <c r="E1171" t="s">
        <v>1454</v>
      </c>
      <c r="F1171" s="11">
        <v>9003991</v>
      </c>
      <c r="G1171" t="s">
        <v>1455</v>
      </c>
      <c r="H1171" t="s">
        <v>805</v>
      </c>
      <c r="I1171">
        <v>15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15</v>
      </c>
      <c r="P1171" s="44" t="e">
        <f>_xlfn.XLOOKUP(Tabla5[[#This Row],[EAN CORREGIDO]],'Tabla Articulos'!B:B,'Tabla Articulos'!D:D)</f>
        <v>#N/A</v>
      </c>
      <c r="Q1171" s="44" t="e">
        <f>_xlfn.XLOOKUP(S1171,'Tabla Articulos'!B:B,'Tabla Articulos'!E:E)</f>
        <v>#N/A</v>
      </c>
      <c r="R1171" s="44" t="e">
        <f t="shared" si="36"/>
        <v>#N/A</v>
      </c>
      <c r="S1171" s="45" t="str">
        <f t="shared" si="37"/>
        <v>UNIF000655</v>
      </c>
    </row>
    <row r="1172" spans="1:19" hidden="1" x14ac:dyDescent="0.35">
      <c r="A1172" s="22">
        <v>6</v>
      </c>
      <c r="B1172" t="s">
        <v>801</v>
      </c>
      <c r="C1172" t="s">
        <v>802</v>
      </c>
      <c r="E1172" t="s">
        <v>4112</v>
      </c>
      <c r="G1172" t="s">
        <v>4113</v>
      </c>
      <c r="H1172" t="s">
        <v>805</v>
      </c>
      <c r="I1172">
        <v>4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4</v>
      </c>
      <c r="P1172" s="44" t="e">
        <f>_xlfn.XLOOKUP(Tabla5[[#This Row],[EAN CORREGIDO]],'Tabla Articulos'!B:B,'Tabla Articulos'!D:D)</f>
        <v>#N/A</v>
      </c>
      <c r="Q1172" s="44" t="e">
        <f>_xlfn.XLOOKUP(S1172,'Tabla Articulos'!B:B,'Tabla Articulos'!E:E)</f>
        <v>#N/A</v>
      </c>
      <c r="R1172" s="44" t="e">
        <f t="shared" si="36"/>
        <v>#N/A</v>
      </c>
      <c r="S1172" s="45" t="str">
        <f t="shared" si="37"/>
        <v>BUSAT000270</v>
      </c>
    </row>
    <row r="1173" spans="1:19" hidden="1" x14ac:dyDescent="0.35">
      <c r="A1173" s="22">
        <v>6</v>
      </c>
      <c r="B1173" t="s">
        <v>801</v>
      </c>
      <c r="C1173" t="s">
        <v>802</v>
      </c>
      <c r="E1173" t="s">
        <v>4114</v>
      </c>
      <c r="G1173" t="s">
        <v>4115</v>
      </c>
      <c r="H1173" t="s">
        <v>805</v>
      </c>
      <c r="I1173">
        <v>10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10</v>
      </c>
      <c r="P1173" s="44" t="e">
        <f>_xlfn.XLOOKUP(Tabla5[[#This Row],[EAN CORREGIDO]],'Tabla Articulos'!B:B,'Tabla Articulos'!D:D)</f>
        <v>#N/A</v>
      </c>
      <c r="Q1173" s="44" t="e">
        <f>_xlfn.XLOOKUP(S1173,'Tabla Articulos'!B:B,'Tabla Articulos'!E:E)</f>
        <v>#N/A</v>
      </c>
      <c r="R1173" s="44" t="e">
        <f t="shared" si="36"/>
        <v>#N/A</v>
      </c>
      <c r="S1173" s="45" t="str">
        <f t="shared" si="37"/>
        <v>BUSAT000924</v>
      </c>
    </row>
    <row r="1174" spans="1:19" hidden="1" x14ac:dyDescent="0.35">
      <c r="A1174" s="22">
        <v>6</v>
      </c>
      <c r="B1174" t="s">
        <v>801</v>
      </c>
      <c r="C1174" t="s">
        <v>802</v>
      </c>
      <c r="E1174" t="s">
        <v>4116</v>
      </c>
      <c r="G1174" t="s">
        <v>4117</v>
      </c>
      <c r="H1174" t="s">
        <v>805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</v>
      </c>
      <c r="P1174" s="44" t="e">
        <f>_xlfn.XLOOKUP(Tabla5[[#This Row],[EAN CORREGIDO]],'Tabla Articulos'!B:B,'Tabla Articulos'!D:D)</f>
        <v>#N/A</v>
      </c>
      <c r="Q1174" s="44" t="e">
        <f>_xlfn.XLOOKUP(S1174,'Tabla Articulos'!B:B,'Tabla Articulos'!E:E)</f>
        <v>#N/A</v>
      </c>
      <c r="R1174" s="44" t="e">
        <f t="shared" si="36"/>
        <v>#N/A</v>
      </c>
      <c r="S1174" s="45" t="str">
        <f t="shared" si="37"/>
        <v>BUSAT000045</v>
      </c>
    </row>
    <row r="1175" spans="1:19" hidden="1" x14ac:dyDescent="0.35">
      <c r="A1175" s="22">
        <v>6</v>
      </c>
      <c r="B1175" t="s">
        <v>801</v>
      </c>
      <c r="C1175" t="s">
        <v>802</v>
      </c>
      <c r="E1175" t="s">
        <v>4118</v>
      </c>
      <c r="G1175" t="s">
        <v>4119</v>
      </c>
      <c r="H1175" t="s">
        <v>805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</v>
      </c>
      <c r="P1175" s="44" t="e">
        <f>_xlfn.XLOOKUP(Tabla5[[#This Row],[EAN CORREGIDO]],'Tabla Articulos'!B:B,'Tabla Articulos'!D:D)</f>
        <v>#N/A</v>
      </c>
      <c r="Q1175" s="44" t="e">
        <f>_xlfn.XLOOKUP(S1175,'Tabla Articulos'!B:B,'Tabla Articulos'!E:E)</f>
        <v>#N/A</v>
      </c>
      <c r="R1175" s="44" t="e">
        <f t="shared" si="36"/>
        <v>#N/A</v>
      </c>
      <c r="S1175" s="45" t="str">
        <f t="shared" si="37"/>
        <v>BUSAT000717</v>
      </c>
    </row>
    <row r="1176" spans="1:19" hidden="1" x14ac:dyDescent="0.35">
      <c r="A1176" s="22">
        <v>6</v>
      </c>
      <c r="B1176" t="s">
        <v>801</v>
      </c>
      <c r="C1176" t="s">
        <v>802</v>
      </c>
      <c r="D1176"/>
      <c r="E1176" t="s">
        <v>4120</v>
      </c>
      <c r="F1176"/>
      <c r="G1176" t="s">
        <v>4121</v>
      </c>
      <c r="H1176" t="s">
        <v>805</v>
      </c>
      <c r="I1176">
        <v>5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5</v>
      </c>
      <c r="P1176" s="44" t="e">
        <f>_xlfn.XLOOKUP(Tabla5[[#This Row],[EAN CORREGIDO]],'Tabla Articulos'!B:B,'Tabla Articulos'!D:D)</f>
        <v>#N/A</v>
      </c>
      <c r="Q1176" s="44" t="e">
        <f>_xlfn.XLOOKUP(S1176,'Tabla Articulos'!B:B,'Tabla Articulos'!E:E)</f>
        <v>#N/A</v>
      </c>
      <c r="R1176" s="44" t="e">
        <f t="shared" si="36"/>
        <v>#N/A</v>
      </c>
      <c r="S1176" s="45" t="str">
        <f t="shared" si="37"/>
        <v>BUSAT000604</v>
      </c>
    </row>
    <row r="1177" spans="1:19" hidden="1" x14ac:dyDescent="0.35">
      <c r="A1177" s="22">
        <v>6</v>
      </c>
      <c r="B1177" t="s">
        <v>801</v>
      </c>
      <c r="C1177" t="s">
        <v>802</v>
      </c>
      <c r="E1177" t="s">
        <v>4122</v>
      </c>
      <c r="F1177"/>
      <c r="G1177" t="s">
        <v>4123</v>
      </c>
      <c r="H1177" t="s">
        <v>805</v>
      </c>
      <c r="I1177">
        <v>3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</v>
      </c>
      <c r="P1177" s="44" t="e">
        <f>_xlfn.XLOOKUP(Tabla5[[#This Row],[EAN CORREGIDO]],'Tabla Articulos'!B:B,'Tabla Articulos'!D:D)</f>
        <v>#N/A</v>
      </c>
      <c r="Q1177" s="44" t="e">
        <f>_xlfn.XLOOKUP(S1177,'Tabla Articulos'!B:B,'Tabla Articulos'!E:E)</f>
        <v>#N/A</v>
      </c>
      <c r="R1177" s="44" t="e">
        <f t="shared" si="36"/>
        <v>#N/A</v>
      </c>
      <c r="S1177" s="45" t="str">
        <f t="shared" si="37"/>
        <v>BUSAT000878</v>
      </c>
    </row>
    <row r="1178" spans="1:19" hidden="1" x14ac:dyDescent="0.35">
      <c r="A1178" s="22">
        <v>6</v>
      </c>
      <c r="B1178" t="s">
        <v>801</v>
      </c>
      <c r="C1178" t="s">
        <v>802</v>
      </c>
      <c r="E1178" t="s">
        <v>4124</v>
      </c>
      <c r="F1178"/>
      <c r="G1178" t="s">
        <v>4125</v>
      </c>
      <c r="H1178" t="s">
        <v>805</v>
      </c>
      <c r="I1178">
        <v>4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4</v>
      </c>
      <c r="P1178" s="44" t="e">
        <f>_xlfn.XLOOKUP(Tabla5[[#This Row],[EAN CORREGIDO]],'Tabla Articulos'!B:B,'Tabla Articulos'!D:D)</f>
        <v>#N/A</v>
      </c>
      <c r="Q1178" s="44" t="e">
        <f>_xlfn.XLOOKUP(S1178,'Tabla Articulos'!B:B,'Tabla Articulos'!E:E)</f>
        <v>#N/A</v>
      </c>
      <c r="R1178" s="44" t="e">
        <f t="shared" si="36"/>
        <v>#N/A</v>
      </c>
      <c r="S1178" s="45" t="str">
        <f t="shared" si="37"/>
        <v>BUSAT000994</v>
      </c>
    </row>
    <row r="1179" spans="1:19" hidden="1" x14ac:dyDescent="0.35">
      <c r="A1179" s="22">
        <v>6</v>
      </c>
      <c r="B1179" t="s">
        <v>801</v>
      </c>
      <c r="C1179" t="s">
        <v>802</v>
      </c>
      <c r="D1179"/>
      <c r="E1179" t="s">
        <v>4126</v>
      </c>
      <c r="F1179"/>
      <c r="G1179" t="s">
        <v>4127</v>
      </c>
      <c r="H1179" t="s">
        <v>805</v>
      </c>
      <c r="I1179">
        <v>3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3</v>
      </c>
      <c r="P1179" s="44" t="e">
        <f>_xlfn.XLOOKUP(Tabla5[[#This Row],[EAN CORREGIDO]],'Tabla Articulos'!B:B,'Tabla Articulos'!D:D)</f>
        <v>#N/A</v>
      </c>
      <c r="Q1179" s="44" t="e">
        <f>_xlfn.XLOOKUP(S1179,'Tabla Articulos'!B:B,'Tabla Articulos'!E:E)</f>
        <v>#N/A</v>
      </c>
      <c r="R1179" s="44" t="e">
        <f t="shared" si="36"/>
        <v>#N/A</v>
      </c>
      <c r="S1179" s="45" t="str">
        <f t="shared" si="37"/>
        <v>BUSAT000886</v>
      </c>
    </row>
    <row r="1180" spans="1:19" hidden="1" x14ac:dyDescent="0.35">
      <c r="A1180" s="22">
        <v>6</v>
      </c>
      <c r="B1180" t="s">
        <v>801</v>
      </c>
      <c r="C1180" t="s">
        <v>802</v>
      </c>
      <c r="E1180" t="s">
        <v>4128</v>
      </c>
      <c r="F1180"/>
      <c r="G1180" t="s">
        <v>4129</v>
      </c>
      <c r="H1180" t="s">
        <v>805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</v>
      </c>
      <c r="P1180" s="44" t="e">
        <f>_xlfn.XLOOKUP(Tabla5[[#This Row],[EAN CORREGIDO]],'Tabla Articulos'!B:B,'Tabla Articulos'!D:D)</f>
        <v>#N/A</v>
      </c>
      <c r="Q1180" s="44" t="e">
        <f>_xlfn.XLOOKUP(S1180,'Tabla Articulos'!B:B,'Tabla Articulos'!E:E)</f>
        <v>#N/A</v>
      </c>
      <c r="R1180" s="44" t="e">
        <f t="shared" si="36"/>
        <v>#N/A</v>
      </c>
      <c r="S1180" s="45" t="str">
        <f t="shared" si="37"/>
        <v>BUSAT000447</v>
      </c>
    </row>
    <row r="1181" spans="1:19" hidden="1" x14ac:dyDescent="0.35">
      <c r="A1181" s="22">
        <v>6</v>
      </c>
      <c r="B1181" t="s">
        <v>801</v>
      </c>
      <c r="C1181" t="s">
        <v>802</v>
      </c>
      <c r="D1181"/>
      <c r="E1181" t="s">
        <v>4130</v>
      </c>
      <c r="F1181"/>
      <c r="G1181" t="s">
        <v>4131</v>
      </c>
      <c r="H1181" t="s">
        <v>805</v>
      </c>
      <c r="I1181">
        <v>12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12</v>
      </c>
      <c r="P1181" s="44" t="e">
        <f>_xlfn.XLOOKUP(Tabla5[[#This Row],[EAN CORREGIDO]],'Tabla Articulos'!B:B,'Tabla Articulos'!D:D)</f>
        <v>#N/A</v>
      </c>
      <c r="Q1181" s="44" t="e">
        <f>_xlfn.XLOOKUP(S1181,'Tabla Articulos'!B:B,'Tabla Articulos'!E:E)</f>
        <v>#N/A</v>
      </c>
      <c r="R1181" s="44" t="e">
        <f t="shared" si="36"/>
        <v>#N/A</v>
      </c>
      <c r="S1181" s="45" t="str">
        <f t="shared" si="37"/>
        <v>BUSAT000345</v>
      </c>
    </row>
    <row r="1182" spans="1:19" hidden="1" x14ac:dyDescent="0.35">
      <c r="A1182" s="22">
        <v>6</v>
      </c>
      <c r="B1182" t="s">
        <v>801</v>
      </c>
      <c r="C1182" t="s">
        <v>802</v>
      </c>
      <c r="E1182" t="s">
        <v>4132</v>
      </c>
      <c r="F1182"/>
      <c r="G1182" t="s">
        <v>4133</v>
      </c>
      <c r="H1182" t="s">
        <v>805</v>
      </c>
      <c r="I1182">
        <v>12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12</v>
      </c>
      <c r="P1182" s="44" t="e">
        <f>_xlfn.XLOOKUP(Tabla5[[#This Row],[EAN CORREGIDO]],'Tabla Articulos'!B:B,'Tabla Articulos'!D:D)</f>
        <v>#N/A</v>
      </c>
      <c r="Q1182" s="44" t="e">
        <f>_xlfn.XLOOKUP(S1182,'Tabla Articulos'!B:B,'Tabla Articulos'!E:E)</f>
        <v>#N/A</v>
      </c>
      <c r="R1182" s="44" t="e">
        <f t="shared" si="36"/>
        <v>#N/A</v>
      </c>
      <c r="S1182" s="45" t="str">
        <f t="shared" si="37"/>
        <v>BUSAT000454</v>
      </c>
    </row>
    <row r="1183" spans="1:19" hidden="1" x14ac:dyDescent="0.35">
      <c r="A1183" s="22">
        <v>6</v>
      </c>
      <c r="B1183" t="s">
        <v>801</v>
      </c>
      <c r="C1183" t="s">
        <v>802</v>
      </c>
      <c r="D1183"/>
      <c r="E1183" t="s">
        <v>4134</v>
      </c>
      <c r="F1183"/>
      <c r="G1183" t="s">
        <v>4135</v>
      </c>
      <c r="H1183" t="s">
        <v>805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</v>
      </c>
      <c r="P1183" s="44" t="e">
        <f>_xlfn.XLOOKUP(Tabla5[[#This Row],[EAN CORREGIDO]],'Tabla Articulos'!B:B,'Tabla Articulos'!D:D)</f>
        <v>#N/A</v>
      </c>
      <c r="Q1183" s="44" t="e">
        <f>_xlfn.XLOOKUP(S1183,'Tabla Articulos'!B:B,'Tabla Articulos'!E:E)</f>
        <v>#N/A</v>
      </c>
      <c r="R1183" s="44" t="e">
        <f t="shared" si="36"/>
        <v>#N/A</v>
      </c>
      <c r="S1183" s="45" t="str">
        <f t="shared" si="37"/>
        <v>BUSAT000203</v>
      </c>
    </row>
    <row r="1184" spans="1:19" hidden="1" x14ac:dyDescent="0.35">
      <c r="A1184" s="22">
        <v>6</v>
      </c>
      <c r="B1184" t="s">
        <v>801</v>
      </c>
      <c r="C1184" t="s">
        <v>802</v>
      </c>
      <c r="D1184"/>
      <c r="E1184" t="s">
        <v>4552</v>
      </c>
      <c r="F1184"/>
      <c r="G1184" t="s">
        <v>4553</v>
      </c>
      <c r="H1184" t="s">
        <v>805</v>
      </c>
      <c r="I1184">
        <v>97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97</v>
      </c>
      <c r="P1184" s="44" t="e">
        <f>_xlfn.XLOOKUP(Tabla5[[#This Row],[EAN CORREGIDO]],'Tabla Articulos'!B:B,'Tabla Articulos'!D:D)</f>
        <v>#N/A</v>
      </c>
      <c r="Q1184" s="44" t="e">
        <f>_xlfn.XLOOKUP(S1184,'Tabla Articulos'!B:B,'Tabla Articulos'!E:E)</f>
        <v>#N/A</v>
      </c>
      <c r="R1184" s="44" t="e">
        <f t="shared" si="36"/>
        <v>#N/A</v>
      </c>
      <c r="S1184" s="45" t="str">
        <f t="shared" si="37"/>
        <v>BUSAT000048</v>
      </c>
    </row>
    <row r="1185" spans="1:19" hidden="1" x14ac:dyDescent="0.35">
      <c r="A1185" s="22">
        <v>6</v>
      </c>
      <c r="B1185" t="s">
        <v>801</v>
      </c>
      <c r="C1185" t="s">
        <v>802</v>
      </c>
      <c r="E1185" t="s">
        <v>4554</v>
      </c>
      <c r="F1185"/>
      <c r="G1185" t="s">
        <v>4555</v>
      </c>
      <c r="H1185" t="s">
        <v>805</v>
      </c>
      <c r="I1185">
        <v>7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7</v>
      </c>
      <c r="P1185" s="44" t="e">
        <f>_xlfn.XLOOKUP(Tabla5[[#This Row],[EAN CORREGIDO]],'Tabla Articulos'!B:B,'Tabla Articulos'!D:D)</f>
        <v>#N/A</v>
      </c>
      <c r="Q1185" s="44" t="e">
        <f>_xlfn.XLOOKUP(S1185,'Tabla Articulos'!B:B,'Tabla Articulos'!E:E)</f>
        <v>#N/A</v>
      </c>
      <c r="R1185" s="44" t="e">
        <f t="shared" si="36"/>
        <v>#N/A</v>
      </c>
      <c r="S1185" s="45" t="str">
        <f t="shared" si="37"/>
        <v>BUSAT000369</v>
      </c>
    </row>
    <row r="1186" spans="1:19" hidden="1" x14ac:dyDescent="0.35">
      <c r="A1186" s="22">
        <v>6</v>
      </c>
      <c r="B1186" t="s">
        <v>801</v>
      </c>
      <c r="C1186" t="s">
        <v>802</v>
      </c>
      <c r="D1186"/>
      <c r="E1186" t="s">
        <v>4556</v>
      </c>
      <c r="F1186"/>
      <c r="G1186" t="s">
        <v>4557</v>
      </c>
      <c r="H1186" t="s">
        <v>805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 s="44" t="e">
        <f>_xlfn.XLOOKUP(Tabla5[[#This Row],[EAN CORREGIDO]],'Tabla Articulos'!B:B,'Tabla Articulos'!D:D)</f>
        <v>#N/A</v>
      </c>
      <c r="Q1186" s="44" t="e">
        <f>_xlfn.XLOOKUP(S1186,'Tabla Articulos'!B:B,'Tabla Articulos'!E:E)</f>
        <v>#N/A</v>
      </c>
      <c r="R1186" s="44" t="e">
        <f t="shared" si="36"/>
        <v>#N/A</v>
      </c>
      <c r="S1186" s="45" t="str">
        <f t="shared" si="37"/>
        <v>OBR000132</v>
      </c>
    </row>
    <row r="1187" spans="1:19" hidden="1" x14ac:dyDescent="0.35">
      <c r="A1187" s="22">
        <v>6</v>
      </c>
      <c r="B1187" t="s">
        <v>801</v>
      </c>
      <c r="C1187" t="s">
        <v>802</v>
      </c>
      <c r="D1187"/>
      <c r="E1187" t="s">
        <v>5097</v>
      </c>
      <c r="F1187"/>
      <c r="G1187" t="s">
        <v>5098</v>
      </c>
      <c r="H1187" t="s">
        <v>805</v>
      </c>
      <c r="I1187">
        <v>75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75</v>
      </c>
      <c r="P1187" s="44" t="e">
        <f>_xlfn.XLOOKUP(Tabla5[[#This Row],[EAN CORREGIDO]],'Tabla Articulos'!B:B,'Tabla Articulos'!D:D)</f>
        <v>#N/A</v>
      </c>
      <c r="Q1187" s="44" t="e">
        <f>_xlfn.XLOOKUP(S1187,'Tabla Articulos'!B:B,'Tabla Articulos'!E:E)</f>
        <v>#N/A</v>
      </c>
      <c r="R1187" s="44" t="e">
        <f t="shared" si="36"/>
        <v>#N/A</v>
      </c>
      <c r="S1187" s="45" t="str">
        <f t="shared" si="37"/>
        <v>BUSAT001102</v>
      </c>
    </row>
    <row r="1188" spans="1:19" hidden="1" x14ac:dyDescent="0.35">
      <c r="A1188" s="22">
        <v>6</v>
      </c>
      <c r="B1188" t="s">
        <v>801</v>
      </c>
      <c r="C1188" t="s">
        <v>802</v>
      </c>
      <c r="E1188" t="s">
        <v>5099</v>
      </c>
      <c r="F1188"/>
      <c r="G1188" t="s">
        <v>5100</v>
      </c>
      <c r="H1188" t="s">
        <v>805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</v>
      </c>
      <c r="P1188" s="44" t="e">
        <f>_xlfn.XLOOKUP(Tabla5[[#This Row],[EAN CORREGIDO]],'Tabla Articulos'!B:B,'Tabla Articulos'!D:D)</f>
        <v>#N/A</v>
      </c>
      <c r="Q1188" s="44" t="e">
        <f>_xlfn.XLOOKUP(S1188,'Tabla Articulos'!B:B,'Tabla Articulos'!E:E)</f>
        <v>#N/A</v>
      </c>
      <c r="R1188" s="44" t="e">
        <f t="shared" si="36"/>
        <v>#N/A</v>
      </c>
      <c r="S1188" s="45" t="str">
        <f t="shared" si="37"/>
        <v>BUSAT000625</v>
      </c>
    </row>
    <row r="1189" spans="1:19" hidden="1" x14ac:dyDescent="0.35">
      <c r="A1189" s="22">
        <v>6</v>
      </c>
      <c r="B1189" t="s">
        <v>801</v>
      </c>
      <c r="C1189" t="s">
        <v>802</v>
      </c>
      <c r="E1189" t="s">
        <v>5101</v>
      </c>
      <c r="F1189"/>
      <c r="G1189" t="s">
        <v>5102</v>
      </c>
      <c r="H1189" t="s">
        <v>1034</v>
      </c>
      <c r="I1189">
        <v>17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17</v>
      </c>
      <c r="P1189" s="44" t="e">
        <f>_xlfn.XLOOKUP(Tabla5[[#This Row],[EAN CORREGIDO]],'Tabla Articulos'!B:B,'Tabla Articulos'!D:D)</f>
        <v>#N/A</v>
      </c>
      <c r="Q1189" s="44" t="e">
        <f>_xlfn.XLOOKUP(S1189,'Tabla Articulos'!B:B,'Tabla Articulos'!E:E)</f>
        <v>#N/A</v>
      </c>
      <c r="R1189" s="44" t="e">
        <f t="shared" si="36"/>
        <v>#N/A</v>
      </c>
      <c r="S1189" s="45" t="str">
        <f t="shared" si="37"/>
        <v>OBR000107</v>
      </c>
    </row>
    <row r="1190" spans="1:19" hidden="1" x14ac:dyDescent="0.35">
      <c r="A1190" s="22">
        <v>6</v>
      </c>
      <c r="B1190" t="s">
        <v>801</v>
      </c>
      <c r="C1190" t="s">
        <v>802</v>
      </c>
      <c r="E1190" t="s">
        <v>5103</v>
      </c>
      <c r="F1190"/>
      <c r="G1190" t="s">
        <v>5104</v>
      </c>
      <c r="H1190" t="s">
        <v>805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 s="44" t="e">
        <f>_xlfn.XLOOKUP(Tabla5[[#This Row],[EAN CORREGIDO]],'Tabla Articulos'!B:B,'Tabla Articulos'!D:D)</f>
        <v>#N/A</v>
      </c>
      <c r="Q1190" s="44" t="e">
        <f>_xlfn.XLOOKUP(S1190,'Tabla Articulos'!B:B,'Tabla Articulos'!E:E)</f>
        <v>#N/A</v>
      </c>
      <c r="R1190" s="44" t="e">
        <f t="shared" si="36"/>
        <v>#N/A</v>
      </c>
      <c r="S1190" s="45" t="str">
        <f t="shared" si="37"/>
        <v>BUSAT000186</v>
      </c>
    </row>
    <row r="1191" spans="1:19" hidden="1" x14ac:dyDescent="0.35">
      <c r="A1191" s="22">
        <v>6</v>
      </c>
      <c r="B1191" t="s">
        <v>801</v>
      </c>
      <c r="C1191" t="s">
        <v>802</v>
      </c>
      <c r="D1191"/>
      <c r="E1191" t="s">
        <v>5105</v>
      </c>
      <c r="F1191"/>
      <c r="G1191" t="s">
        <v>5106</v>
      </c>
      <c r="H1191" t="s">
        <v>805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 s="44" t="e">
        <f>_xlfn.XLOOKUP(Tabla5[[#This Row],[EAN CORREGIDO]],'Tabla Articulos'!B:B,'Tabla Articulos'!D:D)</f>
        <v>#N/A</v>
      </c>
      <c r="Q1191" s="44" t="e">
        <f>_xlfn.XLOOKUP(S1191,'Tabla Articulos'!B:B,'Tabla Articulos'!E:E)</f>
        <v>#N/A</v>
      </c>
      <c r="R1191" s="44" t="e">
        <f t="shared" si="36"/>
        <v>#N/A</v>
      </c>
      <c r="S1191" s="45" t="str">
        <f t="shared" si="37"/>
        <v>BUSAT001099</v>
      </c>
    </row>
    <row r="1192" spans="1:19" hidden="1" x14ac:dyDescent="0.35">
      <c r="A1192" s="22">
        <v>6</v>
      </c>
      <c r="B1192" t="s">
        <v>801</v>
      </c>
      <c r="C1192" t="s">
        <v>802</v>
      </c>
      <c r="D1192"/>
      <c r="E1192" t="s">
        <v>5107</v>
      </c>
      <c r="F1192"/>
      <c r="G1192" t="s">
        <v>5108</v>
      </c>
      <c r="H1192" t="s">
        <v>805</v>
      </c>
      <c r="I1192">
        <v>8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8</v>
      </c>
      <c r="P1192" s="44" t="e">
        <f>_xlfn.XLOOKUP(Tabla5[[#This Row],[EAN CORREGIDO]],'Tabla Articulos'!B:B,'Tabla Articulos'!D:D)</f>
        <v>#N/A</v>
      </c>
      <c r="Q1192" s="44" t="e">
        <f>_xlfn.XLOOKUP(S1192,'Tabla Articulos'!B:B,'Tabla Articulos'!E:E)</f>
        <v>#N/A</v>
      </c>
      <c r="R1192" s="44" t="e">
        <f t="shared" si="36"/>
        <v>#N/A</v>
      </c>
      <c r="S1192" s="45" t="str">
        <f t="shared" si="37"/>
        <v>BUSAT000070</v>
      </c>
    </row>
    <row r="1193" spans="1:19" hidden="1" x14ac:dyDescent="0.35">
      <c r="A1193" s="22">
        <v>6</v>
      </c>
      <c r="B1193" t="s">
        <v>801</v>
      </c>
      <c r="C1193" t="s">
        <v>802</v>
      </c>
      <c r="D1193"/>
      <c r="E1193" t="s">
        <v>5109</v>
      </c>
      <c r="F1193"/>
      <c r="G1193" t="s">
        <v>5110</v>
      </c>
      <c r="H1193" t="s">
        <v>805</v>
      </c>
      <c r="I1193">
        <v>12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12</v>
      </c>
      <c r="P1193" s="44" t="e">
        <f>_xlfn.XLOOKUP(Tabla5[[#This Row],[EAN CORREGIDO]],'Tabla Articulos'!B:B,'Tabla Articulos'!D:D)</f>
        <v>#N/A</v>
      </c>
      <c r="Q1193" s="44" t="e">
        <f>_xlfn.XLOOKUP(S1193,'Tabla Articulos'!B:B,'Tabla Articulos'!E:E)</f>
        <v>#N/A</v>
      </c>
      <c r="R1193" s="44" t="e">
        <f t="shared" si="36"/>
        <v>#N/A</v>
      </c>
      <c r="S1193" s="45" t="str">
        <f t="shared" si="37"/>
        <v>BUSAT000273</v>
      </c>
    </row>
    <row r="1194" spans="1:19" hidden="1" x14ac:dyDescent="0.35">
      <c r="A1194" s="22">
        <v>6</v>
      </c>
      <c r="B1194" t="s">
        <v>801</v>
      </c>
      <c r="C1194" t="s">
        <v>802</v>
      </c>
      <c r="D1194"/>
      <c r="E1194" t="s">
        <v>5111</v>
      </c>
      <c r="F1194"/>
      <c r="G1194" t="s">
        <v>5112</v>
      </c>
      <c r="H1194" t="s">
        <v>805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2</v>
      </c>
      <c r="P1194" s="44" t="e">
        <f>_xlfn.XLOOKUP(Tabla5[[#This Row],[EAN CORREGIDO]],'Tabla Articulos'!B:B,'Tabla Articulos'!D:D)</f>
        <v>#N/A</v>
      </c>
      <c r="Q1194" s="44" t="e">
        <f>_xlfn.XLOOKUP(S1194,'Tabla Articulos'!B:B,'Tabla Articulos'!E:E)</f>
        <v>#N/A</v>
      </c>
      <c r="R1194" s="44" t="e">
        <f t="shared" si="36"/>
        <v>#N/A</v>
      </c>
      <c r="S1194" s="45" t="str">
        <f t="shared" si="37"/>
        <v>BUSAT000622</v>
      </c>
    </row>
    <row r="1195" spans="1:19" hidden="1" x14ac:dyDescent="0.35">
      <c r="A1195" s="22">
        <v>6</v>
      </c>
      <c r="B1195" t="s">
        <v>801</v>
      </c>
      <c r="C1195" t="s">
        <v>802</v>
      </c>
      <c r="E1195" t="s">
        <v>5113</v>
      </c>
      <c r="F1195"/>
      <c r="G1195" t="s">
        <v>5114</v>
      </c>
      <c r="H1195" t="s">
        <v>805</v>
      </c>
      <c r="I1195">
        <v>8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8</v>
      </c>
      <c r="P1195" s="44" t="e">
        <f>_xlfn.XLOOKUP(Tabla5[[#This Row],[EAN CORREGIDO]],'Tabla Articulos'!B:B,'Tabla Articulos'!D:D)</f>
        <v>#N/A</v>
      </c>
      <c r="Q1195" s="44" t="e">
        <f>_xlfn.XLOOKUP(S1195,'Tabla Articulos'!B:B,'Tabla Articulos'!E:E)</f>
        <v>#N/A</v>
      </c>
      <c r="R1195" s="44" t="e">
        <f t="shared" si="36"/>
        <v>#N/A</v>
      </c>
      <c r="S1195" s="45" t="str">
        <f t="shared" si="37"/>
        <v>BUSAT000368</v>
      </c>
    </row>
    <row r="1196" spans="1:19" hidden="1" x14ac:dyDescent="0.35">
      <c r="A1196" s="22">
        <v>6</v>
      </c>
      <c r="B1196" t="s">
        <v>801</v>
      </c>
      <c r="C1196" t="s">
        <v>802</v>
      </c>
      <c r="E1196" t="s">
        <v>5115</v>
      </c>
      <c r="F1196"/>
      <c r="G1196" t="s">
        <v>5116</v>
      </c>
      <c r="H1196" t="s">
        <v>805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</v>
      </c>
      <c r="P1196" s="44" t="e">
        <f>_xlfn.XLOOKUP(Tabla5[[#This Row],[EAN CORREGIDO]],'Tabla Articulos'!B:B,'Tabla Articulos'!D:D)</f>
        <v>#N/A</v>
      </c>
      <c r="Q1196" s="44" t="e">
        <f>_xlfn.XLOOKUP(S1196,'Tabla Articulos'!B:B,'Tabla Articulos'!E:E)</f>
        <v>#N/A</v>
      </c>
      <c r="R1196" s="44" t="e">
        <f t="shared" si="36"/>
        <v>#N/A</v>
      </c>
      <c r="S1196" s="45" t="str">
        <f t="shared" si="37"/>
        <v>OBR000111</v>
      </c>
    </row>
    <row r="1197" spans="1:19" hidden="1" x14ac:dyDescent="0.35">
      <c r="A1197" s="22">
        <v>6</v>
      </c>
      <c r="B1197" t="s">
        <v>801</v>
      </c>
      <c r="C1197" t="s">
        <v>802</v>
      </c>
      <c r="D1197" s="11" t="s">
        <v>1714</v>
      </c>
      <c r="E1197" t="s">
        <v>1715</v>
      </c>
      <c r="F1197">
        <v>2006364</v>
      </c>
      <c r="G1197" t="s">
        <v>1716</v>
      </c>
      <c r="H1197" t="s">
        <v>805</v>
      </c>
      <c r="I1197">
        <v>499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499</v>
      </c>
      <c r="P1197" s="44" t="e">
        <f>_xlfn.XLOOKUP(Tabla5[[#This Row],[EAN CORREGIDO]],'Tabla Articulos'!B:B,'Tabla Articulos'!D:D)</f>
        <v>#N/A</v>
      </c>
      <c r="Q1197" s="44" t="e">
        <f>_xlfn.XLOOKUP(S1197,'Tabla Articulos'!B:B,'Tabla Articulos'!E:E)</f>
        <v>#N/A</v>
      </c>
      <c r="R1197" s="44" t="e">
        <f t="shared" si="36"/>
        <v>#N/A</v>
      </c>
      <c r="S1197" s="45" t="str">
        <f t="shared" si="37"/>
        <v>7798188650362</v>
      </c>
    </row>
    <row r="1198" spans="1:19" hidden="1" x14ac:dyDescent="0.35">
      <c r="A1198" s="22">
        <v>5</v>
      </c>
      <c r="B1198" t="s">
        <v>829</v>
      </c>
      <c r="C1198" t="s">
        <v>802</v>
      </c>
      <c r="D1198" s="11" t="s">
        <v>1717</v>
      </c>
      <c r="E1198" t="s">
        <v>1718</v>
      </c>
      <c r="F1198">
        <v>4018843</v>
      </c>
      <c r="G1198" t="s">
        <v>1719</v>
      </c>
      <c r="H1198" t="s">
        <v>805</v>
      </c>
      <c r="I1198">
        <v>219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219</v>
      </c>
      <c r="P1198" s="44" t="e">
        <f>_xlfn.XLOOKUP(Tabla5[[#This Row],[EAN CORREGIDO]],'Tabla Articulos'!B:B,'Tabla Articulos'!D:D)</f>
        <v>#N/A</v>
      </c>
      <c r="Q1198" s="44" t="e">
        <f>_xlfn.XLOOKUP(S1198,'Tabla Articulos'!B:B,'Tabla Articulos'!E:E)</f>
        <v>#N/A</v>
      </c>
      <c r="R1198" s="44" t="e">
        <f t="shared" si="36"/>
        <v>#N/A</v>
      </c>
      <c r="S1198" s="45" t="str">
        <f t="shared" si="37"/>
        <v>7791376000925</v>
      </c>
    </row>
    <row r="1199" spans="1:19" hidden="1" x14ac:dyDescent="0.35">
      <c r="A1199" s="22">
        <v>5</v>
      </c>
      <c r="B1199" t="s">
        <v>829</v>
      </c>
      <c r="C1199" t="s">
        <v>802</v>
      </c>
      <c r="D1199" s="11" t="s">
        <v>1720</v>
      </c>
      <c r="E1199" t="s">
        <v>1721</v>
      </c>
      <c r="F1199">
        <v>4021353</v>
      </c>
      <c r="G1199" t="s">
        <v>1722</v>
      </c>
      <c r="H1199" t="s">
        <v>805</v>
      </c>
      <c r="I1199">
        <v>0</v>
      </c>
      <c r="J1199">
        <v>17</v>
      </c>
      <c r="K1199">
        <v>0</v>
      </c>
      <c r="L1199">
        <v>0</v>
      </c>
      <c r="M1199">
        <v>0</v>
      </c>
      <c r="N1199">
        <v>0</v>
      </c>
      <c r="O1199">
        <v>17</v>
      </c>
      <c r="P1199" s="44" t="e">
        <f>_xlfn.XLOOKUP(Tabla5[[#This Row],[EAN CORREGIDO]],'Tabla Articulos'!B:B,'Tabla Articulos'!D:D)</f>
        <v>#N/A</v>
      </c>
      <c r="Q1199" s="44" t="e">
        <f>_xlfn.XLOOKUP(S1199,'Tabla Articulos'!B:B,'Tabla Articulos'!E:E)</f>
        <v>#N/A</v>
      </c>
      <c r="R1199" s="44" t="e">
        <f t="shared" si="36"/>
        <v>#N/A</v>
      </c>
      <c r="S1199" s="45" t="str">
        <f t="shared" si="37"/>
        <v>8445290900654</v>
      </c>
    </row>
    <row r="1200" spans="1:19" hidden="1" x14ac:dyDescent="0.35">
      <c r="A1200" s="22">
        <v>6</v>
      </c>
      <c r="B1200" t="s">
        <v>801</v>
      </c>
      <c r="C1200" t="s">
        <v>802</v>
      </c>
      <c r="E1200" t="s">
        <v>5257</v>
      </c>
      <c r="F1200">
        <v>9003098</v>
      </c>
      <c r="G1200" t="s">
        <v>5258</v>
      </c>
      <c r="H1200" t="s">
        <v>805</v>
      </c>
      <c r="I1200">
        <v>11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11</v>
      </c>
      <c r="P1200" s="44" t="e">
        <f>_xlfn.XLOOKUP(Tabla5[[#This Row],[EAN CORREGIDO]],'Tabla Articulos'!B:B,'Tabla Articulos'!D:D)</f>
        <v>#N/A</v>
      </c>
      <c r="Q1200" s="44" t="e">
        <f>_xlfn.XLOOKUP(S1200,'Tabla Articulos'!B:B,'Tabla Articulos'!E:E)</f>
        <v>#N/A</v>
      </c>
      <c r="R1200" s="44" t="e">
        <f t="shared" si="36"/>
        <v>#N/A</v>
      </c>
      <c r="S1200" s="45" t="str">
        <f t="shared" si="37"/>
        <v>UNIF000560</v>
      </c>
    </row>
    <row r="1201" spans="1:19" hidden="1" x14ac:dyDescent="0.35">
      <c r="A1201" s="22">
        <v>6</v>
      </c>
      <c r="B1201" t="s">
        <v>801</v>
      </c>
      <c r="C1201" t="s">
        <v>802</v>
      </c>
      <c r="D1201" s="11" t="s">
        <v>4485</v>
      </c>
      <c r="E1201" t="s">
        <v>5259</v>
      </c>
      <c r="F1201">
        <v>2007428</v>
      </c>
      <c r="G1201" t="s">
        <v>5260</v>
      </c>
      <c r="H1201" t="s">
        <v>805</v>
      </c>
      <c r="I1201">
        <v>5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5</v>
      </c>
      <c r="P1201" s="44" t="e">
        <f>_xlfn.XLOOKUP(Tabla5[[#This Row],[EAN CORREGIDO]],'Tabla Articulos'!B:B,'Tabla Articulos'!D:D)</f>
        <v>#N/A</v>
      </c>
      <c r="Q1201" s="44" t="e">
        <f>_xlfn.XLOOKUP(S1201,'Tabla Articulos'!B:B,'Tabla Articulos'!E:E)</f>
        <v>#N/A</v>
      </c>
      <c r="R1201" s="44" t="e">
        <f t="shared" si="36"/>
        <v>#N/A</v>
      </c>
      <c r="S1201" s="45" t="str">
        <f t="shared" si="37"/>
        <v>7793071002488</v>
      </c>
    </row>
    <row r="1202" spans="1:19" hidden="1" x14ac:dyDescent="0.35">
      <c r="A1202" s="22">
        <v>1</v>
      </c>
      <c r="B1202" t="s">
        <v>812</v>
      </c>
      <c r="C1202" t="s">
        <v>802</v>
      </c>
      <c r="D1202" t="s">
        <v>3502</v>
      </c>
      <c r="E1202" t="s">
        <v>5261</v>
      </c>
      <c r="F1202">
        <v>4020246</v>
      </c>
      <c r="G1202" t="s">
        <v>5262</v>
      </c>
      <c r="H1202" t="s">
        <v>805</v>
      </c>
      <c r="I1202">
        <v>7817</v>
      </c>
      <c r="J1202">
        <v>0</v>
      </c>
      <c r="K1202">
        <v>1050</v>
      </c>
      <c r="L1202">
        <v>40</v>
      </c>
      <c r="M1202">
        <v>45</v>
      </c>
      <c r="N1202">
        <v>0</v>
      </c>
      <c r="O1202">
        <v>6682</v>
      </c>
      <c r="P1202" s="44" t="e">
        <f>_xlfn.XLOOKUP(Tabla5[[#This Row],[EAN CORREGIDO]],'Tabla Articulos'!B:B,'Tabla Articulos'!D:D)</f>
        <v>#N/A</v>
      </c>
      <c r="Q1202" s="44" t="e">
        <f>_xlfn.XLOOKUP(S1202,'Tabla Articulos'!B:B,'Tabla Articulos'!E:E)</f>
        <v>#N/A</v>
      </c>
      <c r="R1202" s="44" t="e">
        <f t="shared" si="36"/>
        <v>#N/A</v>
      </c>
      <c r="S1202" s="45" t="str">
        <f t="shared" si="37"/>
        <v>7793875360098</v>
      </c>
    </row>
    <row r="1203" spans="1:19" hidden="1" x14ac:dyDescent="0.35">
      <c r="A1203" s="22">
        <v>6</v>
      </c>
      <c r="B1203" t="s">
        <v>801</v>
      </c>
      <c r="C1203" t="s">
        <v>802</v>
      </c>
      <c r="E1203" t="s">
        <v>5263</v>
      </c>
      <c r="F1203">
        <v>9003218</v>
      </c>
      <c r="G1203" t="s">
        <v>5264</v>
      </c>
      <c r="H1203" t="s">
        <v>805</v>
      </c>
      <c r="I1203">
        <v>10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10</v>
      </c>
      <c r="P1203" s="44" t="e">
        <f>_xlfn.XLOOKUP(Tabla5[[#This Row],[EAN CORREGIDO]],'Tabla Articulos'!B:B,'Tabla Articulos'!D:D)</f>
        <v>#N/A</v>
      </c>
      <c r="Q1203" s="44" t="e">
        <f>_xlfn.XLOOKUP(S1203,'Tabla Articulos'!B:B,'Tabla Articulos'!E:E)</f>
        <v>#N/A</v>
      </c>
      <c r="R1203" s="44" t="e">
        <f t="shared" si="36"/>
        <v>#N/A</v>
      </c>
      <c r="S1203" s="45" t="str">
        <f t="shared" si="37"/>
        <v>UNIF000118</v>
      </c>
    </row>
    <row r="1204" spans="1:19" hidden="1" x14ac:dyDescent="0.35">
      <c r="A1204" s="22">
        <v>1</v>
      </c>
      <c r="B1204" t="s">
        <v>812</v>
      </c>
      <c r="C1204" t="s">
        <v>802</v>
      </c>
      <c r="D1204" t="s">
        <v>4633</v>
      </c>
      <c r="E1204" t="s">
        <v>5265</v>
      </c>
      <c r="F1204">
        <v>4019648</v>
      </c>
      <c r="G1204" t="s">
        <v>5266</v>
      </c>
      <c r="H1204" t="s">
        <v>805</v>
      </c>
      <c r="I1204">
        <v>926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926</v>
      </c>
      <c r="P1204" s="44" t="e">
        <f>_xlfn.XLOOKUP(Tabla5[[#This Row],[EAN CORREGIDO]],'Tabla Articulos'!B:B,'Tabla Articulos'!D:D)</f>
        <v>#N/A</v>
      </c>
      <c r="Q1204" s="44" t="e">
        <f>_xlfn.XLOOKUP(S1204,'Tabla Articulos'!B:B,'Tabla Articulos'!E:E)</f>
        <v>#N/A</v>
      </c>
      <c r="R1204" s="44" t="e">
        <f t="shared" si="36"/>
        <v>#N/A</v>
      </c>
      <c r="S1204" s="45" t="str">
        <f t="shared" si="37"/>
        <v>7790580138738</v>
      </c>
    </row>
    <row r="1205" spans="1:19" hidden="1" x14ac:dyDescent="0.35">
      <c r="A1205" s="22">
        <v>6</v>
      </c>
      <c r="B1205" t="s">
        <v>801</v>
      </c>
      <c r="C1205" t="s">
        <v>802</v>
      </c>
      <c r="E1205" t="s">
        <v>5088</v>
      </c>
      <c r="F1205">
        <v>9003558</v>
      </c>
      <c r="G1205" t="s">
        <v>5089</v>
      </c>
      <c r="H1205" t="s">
        <v>805</v>
      </c>
      <c r="I1205">
        <v>0</v>
      </c>
      <c r="J1205">
        <v>80</v>
      </c>
      <c r="K1205">
        <v>0</v>
      </c>
      <c r="L1205">
        <v>0</v>
      </c>
      <c r="M1205">
        <v>0</v>
      </c>
      <c r="N1205">
        <v>0</v>
      </c>
      <c r="O1205">
        <v>80</v>
      </c>
      <c r="P1205" s="44" t="e">
        <f>_xlfn.XLOOKUP(Tabla5[[#This Row],[EAN CORREGIDO]],'Tabla Articulos'!B:B,'Tabla Articulos'!D:D)</f>
        <v>#N/A</v>
      </c>
      <c r="Q1205" s="44" t="e">
        <f>_xlfn.XLOOKUP(S1205,'Tabla Articulos'!B:B,'Tabla Articulos'!E:E)</f>
        <v>#N/A</v>
      </c>
      <c r="R1205" s="44" t="e">
        <f t="shared" si="36"/>
        <v>#N/A</v>
      </c>
      <c r="S1205" s="45" t="str">
        <f t="shared" si="37"/>
        <v>UNIF000141</v>
      </c>
    </row>
    <row r="1206" spans="1:19" hidden="1" x14ac:dyDescent="0.35">
      <c r="A1206" s="22">
        <v>1</v>
      </c>
      <c r="B1206" t="s">
        <v>812</v>
      </c>
      <c r="C1206" t="s">
        <v>802</v>
      </c>
      <c r="D1206" s="11" t="s">
        <v>5090</v>
      </c>
      <c r="E1206" t="s">
        <v>5091</v>
      </c>
      <c r="F1206">
        <v>4077154</v>
      </c>
      <c r="G1206" t="s">
        <v>5092</v>
      </c>
      <c r="H1206" t="s">
        <v>805</v>
      </c>
      <c r="I1206">
        <v>19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19</v>
      </c>
      <c r="P1206" s="44" t="e">
        <f>_xlfn.XLOOKUP(Tabla5[[#This Row],[EAN CORREGIDO]],'Tabla Articulos'!B:B,'Tabla Articulos'!D:D)</f>
        <v>#N/A</v>
      </c>
      <c r="Q1206" s="44" t="e">
        <f>_xlfn.XLOOKUP(S1206,'Tabla Articulos'!B:B,'Tabla Articulos'!E:E)</f>
        <v>#N/A</v>
      </c>
      <c r="R1206" s="44" t="e">
        <f t="shared" si="36"/>
        <v>#N/A</v>
      </c>
      <c r="S1206" s="45" t="str">
        <f t="shared" si="37"/>
        <v>7795323776109</v>
      </c>
    </row>
    <row r="1207" spans="1:19" hidden="1" x14ac:dyDescent="0.35">
      <c r="A1207" s="22">
        <v>1</v>
      </c>
      <c r="B1207" t="s">
        <v>812</v>
      </c>
      <c r="C1207" t="s">
        <v>802</v>
      </c>
      <c r="D1207" s="11" t="s">
        <v>2645</v>
      </c>
      <c r="E1207" t="s">
        <v>5093</v>
      </c>
      <c r="F1207">
        <v>4019733</v>
      </c>
      <c r="G1207" t="s">
        <v>5094</v>
      </c>
      <c r="H1207" t="s">
        <v>805</v>
      </c>
      <c r="I1207">
        <v>9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9</v>
      </c>
      <c r="P1207" s="44" t="e">
        <f>_xlfn.XLOOKUP(Tabla5[[#This Row],[EAN CORREGIDO]],'Tabla Articulos'!B:B,'Tabla Articulos'!D:D)</f>
        <v>#N/A</v>
      </c>
      <c r="Q1207" s="44" t="e">
        <f>_xlfn.XLOOKUP(S1207,'Tabla Articulos'!B:B,'Tabla Articulos'!E:E)</f>
        <v>#N/A</v>
      </c>
      <c r="R1207" s="44" t="e">
        <f t="shared" si="36"/>
        <v>#N/A</v>
      </c>
      <c r="S1207" s="45" t="str">
        <f t="shared" si="37"/>
        <v>7790499017667</v>
      </c>
    </row>
    <row r="1208" spans="1:19" hidden="1" x14ac:dyDescent="0.35">
      <c r="A1208" s="22">
        <v>6</v>
      </c>
      <c r="B1208" t="s">
        <v>801</v>
      </c>
      <c r="C1208" t="s">
        <v>802</v>
      </c>
      <c r="D1208" t="s">
        <v>1957</v>
      </c>
      <c r="E1208" t="s">
        <v>5095</v>
      </c>
      <c r="F1208">
        <v>2007412</v>
      </c>
      <c r="G1208" t="s">
        <v>5096</v>
      </c>
      <c r="H1208" t="s">
        <v>805</v>
      </c>
      <c r="I1208">
        <v>18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18</v>
      </c>
      <c r="P1208" s="44" t="e">
        <f>_xlfn.XLOOKUP(Tabla5[[#This Row],[EAN CORREGIDO]],'Tabla Articulos'!B:B,'Tabla Articulos'!D:D)</f>
        <v>#N/A</v>
      </c>
      <c r="Q1208" s="44" t="e">
        <f>_xlfn.XLOOKUP(S1208,'Tabla Articulos'!B:B,'Tabla Articulos'!E:E)</f>
        <v>#N/A</v>
      </c>
      <c r="R1208" s="44" t="e">
        <f t="shared" si="36"/>
        <v>#N/A</v>
      </c>
      <c r="S1208" s="45" t="str">
        <f t="shared" si="37"/>
        <v>7798057860472</v>
      </c>
    </row>
    <row r="1209" spans="1:19" hidden="1" x14ac:dyDescent="0.35">
      <c r="A1209" s="22">
        <v>6</v>
      </c>
      <c r="B1209" t="s">
        <v>801</v>
      </c>
      <c r="C1209" t="s">
        <v>802</v>
      </c>
      <c r="E1209" t="s">
        <v>5255</v>
      </c>
      <c r="F1209"/>
      <c r="G1209" t="s">
        <v>5256</v>
      </c>
      <c r="H1209" t="s">
        <v>805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 s="44" t="e">
        <f>_xlfn.XLOOKUP(Tabla5[[#This Row],[EAN CORREGIDO]],'Tabla Articulos'!B:B,'Tabla Articulos'!D:D)</f>
        <v>#N/A</v>
      </c>
      <c r="Q1209" s="44" t="e">
        <f>_xlfn.XLOOKUP(S1209,'Tabla Articulos'!B:B,'Tabla Articulos'!E:E)</f>
        <v>#N/A</v>
      </c>
      <c r="R1209" s="44" t="e">
        <f t="shared" si="36"/>
        <v>#N/A</v>
      </c>
      <c r="S1209" s="45" t="str">
        <f t="shared" si="37"/>
        <v>BUSAT000549</v>
      </c>
    </row>
    <row r="1210" spans="1:19" hidden="1" x14ac:dyDescent="0.35">
      <c r="A1210" s="22">
        <v>6</v>
      </c>
      <c r="B1210" t="s">
        <v>801</v>
      </c>
      <c r="C1210" t="s">
        <v>802</v>
      </c>
      <c r="E1210" t="s">
        <v>5447</v>
      </c>
      <c r="F1210"/>
      <c r="G1210" t="s">
        <v>4612</v>
      </c>
      <c r="H1210" t="s">
        <v>805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</v>
      </c>
      <c r="P1210" s="44" t="e">
        <f>_xlfn.XLOOKUP(Tabla5[[#This Row],[EAN CORREGIDO]],'Tabla Articulos'!B:B,'Tabla Articulos'!D:D)</f>
        <v>#N/A</v>
      </c>
      <c r="Q1210" s="44" t="e">
        <f>_xlfn.XLOOKUP(S1210,'Tabla Articulos'!B:B,'Tabla Articulos'!E:E)</f>
        <v>#N/A</v>
      </c>
      <c r="R1210" s="44" t="e">
        <f t="shared" si="36"/>
        <v>#N/A</v>
      </c>
      <c r="S1210" s="45" t="str">
        <f t="shared" si="37"/>
        <v>BUSAT000616</v>
      </c>
    </row>
    <row r="1211" spans="1:19" hidden="1" x14ac:dyDescent="0.35">
      <c r="A1211" s="22">
        <v>6</v>
      </c>
      <c r="B1211" t="s">
        <v>801</v>
      </c>
      <c r="C1211" t="s">
        <v>802</v>
      </c>
      <c r="E1211" t="s">
        <v>5448</v>
      </c>
      <c r="F1211"/>
      <c r="G1211" t="s">
        <v>5449</v>
      </c>
      <c r="H1211" t="s">
        <v>805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 s="44" t="e">
        <f>_xlfn.XLOOKUP(Tabla5[[#This Row],[EAN CORREGIDO]],'Tabla Articulos'!B:B,'Tabla Articulos'!D:D)</f>
        <v>#N/A</v>
      </c>
      <c r="Q1211" s="44" t="e">
        <f>_xlfn.XLOOKUP(S1211,'Tabla Articulos'!B:B,'Tabla Articulos'!E:E)</f>
        <v>#N/A</v>
      </c>
      <c r="R1211" s="44" t="e">
        <f t="shared" si="36"/>
        <v>#N/A</v>
      </c>
      <c r="S1211" s="45" t="str">
        <f t="shared" si="37"/>
        <v>BUSAT000896</v>
      </c>
    </row>
    <row r="1212" spans="1:19" hidden="1" x14ac:dyDescent="0.35">
      <c r="A1212" s="22">
        <v>6</v>
      </c>
      <c r="B1212" t="s">
        <v>801</v>
      </c>
      <c r="C1212" t="s">
        <v>802</v>
      </c>
      <c r="D1212"/>
      <c r="E1212" t="s">
        <v>5450</v>
      </c>
      <c r="F1212"/>
      <c r="G1212" t="s">
        <v>5451</v>
      </c>
      <c r="H1212" t="s">
        <v>805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 s="44" t="e">
        <f>_xlfn.XLOOKUP(Tabla5[[#This Row],[EAN CORREGIDO]],'Tabla Articulos'!B:B,'Tabla Articulos'!D:D)</f>
        <v>#N/A</v>
      </c>
      <c r="Q1212" s="44" t="e">
        <f>_xlfn.XLOOKUP(S1212,'Tabla Articulos'!B:B,'Tabla Articulos'!E:E)</f>
        <v>#N/A</v>
      </c>
      <c r="R1212" s="44" t="e">
        <f t="shared" si="36"/>
        <v>#N/A</v>
      </c>
      <c r="S1212" s="45" t="str">
        <f t="shared" si="37"/>
        <v>BUSAT001118</v>
      </c>
    </row>
    <row r="1213" spans="1:19" hidden="1" x14ac:dyDescent="0.35">
      <c r="A1213" s="22">
        <v>6</v>
      </c>
      <c r="B1213" t="s">
        <v>801</v>
      </c>
      <c r="C1213" t="s">
        <v>802</v>
      </c>
      <c r="D1213"/>
      <c r="E1213" t="s">
        <v>5452</v>
      </c>
      <c r="F1213"/>
      <c r="G1213" t="s">
        <v>5453</v>
      </c>
      <c r="H1213" t="s">
        <v>805</v>
      </c>
      <c r="I1213">
        <v>28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28</v>
      </c>
      <c r="P1213" s="44" t="e">
        <f>_xlfn.XLOOKUP(Tabla5[[#This Row],[EAN CORREGIDO]],'Tabla Articulos'!B:B,'Tabla Articulos'!D:D)</f>
        <v>#N/A</v>
      </c>
      <c r="Q1213" s="44" t="e">
        <f>_xlfn.XLOOKUP(S1213,'Tabla Articulos'!B:B,'Tabla Articulos'!E:E)</f>
        <v>#N/A</v>
      </c>
      <c r="R1213" s="44" t="e">
        <f t="shared" si="36"/>
        <v>#N/A</v>
      </c>
      <c r="S1213" s="45" t="str">
        <f t="shared" si="37"/>
        <v>BUSAT000890</v>
      </c>
    </row>
    <row r="1214" spans="1:19" hidden="1" x14ac:dyDescent="0.35">
      <c r="A1214" s="22">
        <v>6</v>
      </c>
      <c r="B1214" t="s">
        <v>801</v>
      </c>
      <c r="C1214" t="s">
        <v>802</v>
      </c>
      <c r="E1214" t="s">
        <v>5454</v>
      </c>
      <c r="F1214"/>
      <c r="G1214" t="s">
        <v>5455</v>
      </c>
      <c r="H1214" t="s">
        <v>805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 s="44" t="e">
        <f>_xlfn.XLOOKUP(Tabla5[[#This Row],[EAN CORREGIDO]],'Tabla Articulos'!B:B,'Tabla Articulos'!D:D)</f>
        <v>#N/A</v>
      </c>
      <c r="Q1214" s="44" t="e">
        <f>_xlfn.XLOOKUP(S1214,'Tabla Articulos'!B:B,'Tabla Articulos'!E:E)</f>
        <v>#N/A</v>
      </c>
      <c r="R1214" s="44" t="e">
        <f t="shared" si="36"/>
        <v>#N/A</v>
      </c>
      <c r="S1214" s="45" t="str">
        <f t="shared" si="37"/>
        <v>BUSAT0011014</v>
      </c>
    </row>
    <row r="1215" spans="1:19" hidden="1" x14ac:dyDescent="0.35">
      <c r="A1215" s="22">
        <v>6</v>
      </c>
      <c r="B1215" t="s">
        <v>801</v>
      </c>
      <c r="C1215" t="s">
        <v>802</v>
      </c>
      <c r="D1215"/>
      <c r="E1215" t="s">
        <v>4437</v>
      </c>
      <c r="F1215"/>
      <c r="G1215" t="s">
        <v>4438</v>
      </c>
      <c r="H1215" t="s">
        <v>805</v>
      </c>
      <c r="I1215">
        <v>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6</v>
      </c>
      <c r="P1215" s="44" t="e">
        <f>_xlfn.XLOOKUP(Tabla5[[#This Row],[EAN CORREGIDO]],'Tabla Articulos'!B:B,'Tabla Articulos'!D:D)</f>
        <v>#N/A</v>
      </c>
      <c r="Q1215" s="44" t="e">
        <f>_xlfn.XLOOKUP(S1215,'Tabla Articulos'!B:B,'Tabla Articulos'!E:E)</f>
        <v>#N/A</v>
      </c>
      <c r="R1215" s="44" t="e">
        <f t="shared" si="36"/>
        <v>#N/A</v>
      </c>
      <c r="S1215" s="45" t="str">
        <f t="shared" si="37"/>
        <v>BUSAT000991</v>
      </c>
    </row>
    <row r="1216" spans="1:19" hidden="1" x14ac:dyDescent="0.35">
      <c r="A1216" s="22">
        <v>1</v>
      </c>
      <c r="B1216" t="s">
        <v>812</v>
      </c>
      <c r="C1216" t="s">
        <v>802</v>
      </c>
      <c r="D1216"/>
      <c r="E1216" t="s">
        <v>4441</v>
      </c>
      <c r="F1216"/>
      <c r="G1216" t="s">
        <v>4442</v>
      </c>
      <c r="H1216" t="s">
        <v>805</v>
      </c>
      <c r="I1216">
        <v>36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36</v>
      </c>
      <c r="P1216" s="44" t="e">
        <f>_xlfn.XLOOKUP(Tabla5[[#This Row],[EAN CORREGIDO]],'Tabla Articulos'!B:B,'Tabla Articulos'!D:D)</f>
        <v>#N/A</v>
      </c>
      <c r="Q1216" s="44" t="e">
        <f>_xlfn.XLOOKUP(S1216,'Tabla Articulos'!B:B,'Tabla Articulos'!E:E)</f>
        <v>#N/A</v>
      </c>
      <c r="R1216" s="44" t="e">
        <f t="shared" si="36"/>
        <v>#N/A</v>
      </c>
      <c r="S1216" s="45" t="str">
        <f t="shared" si="37"/>
        <v>0754697522108</v>
      </c>
    </row>
    <row r="1217" spans="1:19" hidden="1" x14ac:dyDescent="0.35">
      <c r="A1217" s="22">
        <v>6</v>
      </c>
      <c r="B1217" t="s">
        <v>801</v>
      </c>
      <c r="C1217" t="s">
        <v>802</v>
      </c>
      <c r="D1217"/>
      <c r="E1217" t="s">
        <v>4439</v>
      </c>
      <c r="F1217"/>
      <c r="G1217" t="s">
        <v>4440</v>
      </c>
      <c r="H1217" t="s">
        <v>805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 s="44" t="e">
        <f>_xlfn.XLOOKUP(Tabla5[[#This Row],[EAN CORREGIDO]],'Tabla Articulos'!B:B,'Tabla Articulos'!D:D)</f>
        <v>#N/A</v>
      </c>
      <c r="Q1217" s="44" t="e">
        <f>_xlfn.XLOOKUP(S1217,'Tabla Articulos'!B:B,'Tabla Articulos'!E:E)</f>
        <v>#N/A</v>
      </c>
      <c r="R1217" s="44" t="e">
        <f t="shared" ref="R1217:R1280" si="38">O1217*Q1217</f>
        <v>#N/A</v>
      </c>
      <c r="S1217" s="45" t="str">
        <f t="shared" ref="S1217:S1280" si="39">TRIM(E1217)</f>
        <v>BUSAT000945</v>
      </c>
    </row>
    <row r="1218" spans="1:19" hidden="1" x14ac:dyDescent="0.35">
      <c r="A1218" s="22">
        <v>6</v>
      </c>
      <c r="B1218" t="s">
        <v>801</v>
      </c>
      <c r="C1218" t="s">
        <v>802</v>
      </c>
      <c r="D1218"/>
      <c r="E1218" t="s">
        <v>4443</v>
      </c>
      <c r="F1218"/>
      <c r="G1218" t="s">
        <v>4444</v>
      </c>
      <c r="H1218" t="s">
        <v>805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</v>
      </c>
      <c r="P1218" s="44" t="e">
        <f>_xlfn.XLOOKUP(Tabla5[[#This Row],[EAN CORREGIDO]],'Tabla Articulos'!B:B,'Tabla Articulos'!D:D)</f>
        <v>#N/A</v>
      </c>
      <c r="Q1218" s="44" t="e">
        <f>_xlfn.XLOOKUP(S1218,'Tabla Articulos'!B:B,'Tabla Articulos'!E:E)</f>
        <v>#N/A</v>
      </c>
      <c r="R1218" s="44" t="e">
        <f t="shared" si="38"/>
        <v>#N/A</v>
      </c>
      <c r="S1218" s="45" t="str">
        <f t="shared" si="39"/>
        <v>BUSAT000911</v>
      </c>
    </row>
    <row r="1219" spans="1:19" hidden="1" x14ac:dyDescent="0.35">
      <c r="A1219" s="22">
        <v>6</v>
      </c>
      <c r="B1219" t="s">
        <v>801</v>
      </c>
      <c r="C1219" t="s">
        <v>802</v>
      </c>
      <c r="D1219"/>
      <c r="E1219" t="s">
        <v>4445</v>
      </c>
      <c r="F1219"/>
      <c r="G1219" t="s">
        <v>4446</v>
      </c>
      <c r="H1219" t="s">
        <v>805</v>
      </c>
      <c r="I1219">
        <v>15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15</v>
      </c>
      <c r="P1219" s="44" t="e">
        <f>_xlfn.XLOOKUP(Tabla5[[#This Row],[EAN CORREGIDO]],'Tabla Articulos'!B:B,'Tabla Articulos'!D:D)</f>
        <v>#N/A</v>
      </c>
      <c r="Q1219" s="44" t="e">
        <f>_xlfn.XLOOKUP(S1219,'Tabla Articulos'!B:B,'Tabla Articulos'!E:E)</f>
        <v>#N/A</v>
      </c>
      <c r="R1219" s="44" t="e">
        <f t="shared" si="38"/>
        <v>#N/A</v>
      </c>
      <c r="S1219" s="45" t="str">
        <f t="shared" si="39"/>
        <v>BUSAT000008</v>
      </c>
    </row>
    <row r="1220" spans="1:19" hidden="1" x14ac:dyDescent="0.35">
      <c r="A1220" s="22">
        <v>6</v>
      </c>
      <c r="B1220" t="s">
        <v>801</v>
      </c>
      <c r="C1220" t="s">
        <v>802</v>
      </c>
      <c r="E1220" t="s">
        <v>4447</v>
      </c>
      <c r="F1220"/>
      <c r="G1220" t="s">
        <v>4448</v>
      </c>
      <c r="H1220" t="s">
        <v>805</v>
      </c>
      <c r="I1220">
        <v>27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27</v>
      </c>
      <c r="P1220" s="44" t="e">
        <f>_xlfn.XLOOKUP(Tabla5[[#This Row],[EAN CORREGIDO]],'Tabla Articulos'!B:B,'Tabla Articulos'!D:D)</f>
        <v>#N/A</v>
      </c>
      <c r="Q1220" s="44" t="e">
        <f>_xlfn.XLOOKUP(S1220,'Tabla Articulos'!B:B,'Tabla Articulos'!E:E)</f>
        <v>#N/A</v>
      </c>
      <c r="R1220" s="44" t="e">
        <f t="shared" si="38"/>
        <v>#N/A</v>
      </c>
      <c r="S1220" s="45" t="str">
        <f t="shared" si="39"/>
        <v>BUSAT000049</v>
      </c>
    </row>
    <row r="1221" spans="1:19" hidden="1" x14ac:dyDescent="0.35">
      <c r="A1221" s="22">
        <v>6</v>
      </c>
      <c r="B1221" t="s">
        <v>801</v>
      </c>
      <c r="C1221" t="s">
        <v>802</v>
      </c>
      <c r="D1221"/>
      <c r="E1221" t="s">
        <v>4449</v>
      </c>
      <c r="F1221"/>
      <c r="G1221" t="s">
        <v>4450</v>
      </c>
      <c r="H1221" t="s">
        <v>805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 s="44" t="e">
        <f>_xlfn.XLOOKUP(Tabla5[[#This Row],[EAN CORREGIDO]],'Tabla Articulos'!B:B,'Tabla Articulos'!D:D)</f>
        <v>#N/A</v>
      </c>
      <c r="Q1221" s="44" t="e">
        <f>_xlfn.XLOOKUP(S1221,'Tabla Articulos'!B:B,'Tabla Articulos'!E:E)</f>
        <v>#N/A</v>
      </c>
      <c r="R1221" s="44" t="e">
        <f t="shared" si="38"/>
        <v>#N/A</v>
      </c>
      <c r="S1221" s="45" t="str">
        <f t="shared" si="39"/>
        <v>BUSAT000407</v>
      </c>
    </row>
    <row r="1222" spans="1:19" hidden="1" x14ac:dyDescent="0.35">
      <c r="A1222" s="22">
        <v>6</v>
      </c>
      <c r="B1222" t="s">
        <v>801</v>
      </c>
      <c r="C1222" t="s">
        <v>802</v>
      </c>
      <c r="D1222"/>
      <c r="E1222" t="s">
        <v>4451</v>
      </c>
      <c r="F1222"/>
      <c r="G1222" t="s">
        <v>4452</v>
      </c>
      <c r="H1222" t="s">
        <v>805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 s="44" t="e">
        <f>_xlfn.XLOOKUP(Tabla5[[#This Row],[EAN CORREGIDO]],'Tabla Articulos'!B:B,'Tabla Articulos'!D:D)</f>
        <v>#N/A</v>
      </c>
      <c r="Q1222" s="44" t="e">
        <f>_xlfn.XLOOKUP(S1222,'Tabla Articulos'!B:B,'Tabla Articulos'!E:E)</f>
        <v>#N/A</v>
      </c>
      <c r="R1222" s="44" t="e">
        <f t="shared" si="38"/>
        <v>#N/A</v>
      </c>
      <c r="S1222" s="45" t="str">
        <f t="shared" si="39"/>
        <v>BUSAT000730</v>
      </c>
    </row>
    <row r="1223" spans="1:19" hidden="1" x14ac:dyDescent="0.35">
      <c r="A1223" s="22">
        <v>6</v>
      </c>
      <c r="B1223" t="s">
        <v>801</v>
      </c>
      <c r="C1223" t="s">
        <v>802</v>
      </c>
      <c r="D1223"/>
      <c r="E1223" t="s">
        <v>4453</v>
      </c>
      <c r="F1223"/>
      <c r="G1223" t="s">
        <v>4454</v>
      </c>
      <c r="H1223" t="s">
        <v>805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</v>
      </c>
      <c r="P1223" s="44" t="e">
        <f>_xlfn.XLOOKUP(Tabla5[[#This Row],[EAN CORREGIDO]],'Tabla Articulos'!B:B,'Tabla Articulos'!D:D)</f>
        <v>#N/A</v>
      </c>
      <c r="Q1223" s="44" t="e">
        <f>_xlfn.XLOOKUP(S1223,'Tabla Articulos'!B:B,'Tabla Articulos'!E:E)</f>
        <v>#N/A</v>
      </c>
      <c r="R1223" s="44" t="e">
        <f t="shared" si="38"/>
        <v>#N/A</v>
      </c>
      <c r="S1223" s="45" t="str">
        <f t="shared" si="39"/>
        <v>BUSAT000706</v>
      </c>
    </row>
    <row r="1224" spans="1:19" hidden="1" x14ac:dyDescent="0.35">
      <c r="A1224" s="22">
        <v>6</v>
      </c>
      <c r="B1224" t="s">
        <v>801</v>
      </c>
      <c r="C1224" t="s">
        <v>802</v>
      </c>
      <c r="D1224"/>
      <c r="E1224" t="s">
        <v>4455</v>
      </c>
      <c r="F1224"/>
      <c r="G1224" t="s">
        <v>4456</v>
      </c>
      <c r="H1224" t="s">
        <v>805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</v>
      </c>
      <c r="P1224" s="44" t="e">
        <f>_xlfn.XLOOKUP(Tabla5[[#This Row],[EAN CORREGIDO]],'Tabla Articulos'!B:B,'Tabla Articulos'!D:D)</f>
        <v>#N/A</v>
      </c>
      <c r="Q1224" s="44" t="e">
        <f>_xlfn.XLOOKUP(S1224,'Tabla Articulos'!B:B,'Tabla Articulos'!E:E)</f>
        <v>#N/A</v>
      </c>
      <c r="R1224" s="44" t="e">
        <f t="shared" si="38"/>
        <v>#N/A</v>
      </c>
      <c r="S1224" s="45" t="str">
        <f t="shared" si="39"/>
        <v>BUSAT000577</v>
      </c>
    </row>
    <row r="1225" spans="1:19" hidden="1" x14ac:dyDescent="0.35">
      <c r="A1225" s="22">
        <v>6</v>
      </c>
      <c r="B1225" t="s">
        <v>801</v>
      </c>
      <c r="C1225" t="s">
        <v>802</v>
      </c>
      <c r="D1225"/>
      <c r="E1225" t="s">
        <v>4457</v>
      </c>
      <c r="F1225"/>
      <c r="G1225" t="s">
        <v>4458</v>
      </c>
      <c r="H1225" t="s">
        <v>805</v>
      </c>
      <c r="I1225">
        <v>13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13</v>
      </c>
      <c r="P1225" s="44" t="e">
        <f>_xlfn.XLOOKUP(Tabla5[[#This Row],[EAN CORREGIDO]],'Tabla Articulos'!B:B,'Tabla Articulos'!D:D)</f>
        <v>#N/A</v>
      </c>
      <c r="Q1225" s="44" t="e">
        <f>_xlfn.XLOOKUP(S1225,'Tabla Articulos'!B:B,'Tabla Articulos'!E:E)</f>
        <v>#N/A</v>
      </c>
      <c r="R1225" s="44" t="e">
        <f t="shared" si="38"/>
        <v>#N/A</v>
      </c>
      <c r="S1225" s="45" t="str">
        <f t="shared" si="39"/>
        <v>BUSAT000729</v>
      </c>
    </row>
    <row r="1226" spans="1:19" hidden="1" x14ac:dyDescent="0.35">
      <c r="A1226" s="22">
        <v>6</v>
      </c>
      <c r="B1226" t="s">
        <v>801</v>
      </c>
      <c r="C1226" t="s">
        <v>802</v>
      </c>
      <c r="E1226" t="s">
        <v>4459</v>
      </c>
      <c r="F1226"/>
      <c r="G1226" t="s">
        <v>4460</v>
      </c>
      <c r="H1226" t="s">
        <v>805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</v>
      </c>
      <c r="P1226" s="44" t="e">
        <f>_xlfn.XLOOKUP(Tabla5[[#This Row],[EAN CORREGIDO]],'Tabla Articulos'!B:B,'Tabla Articulos'!D:D)</f>
        <v>#N/A</v>
      </c>
      <c r="Q1226" s="44" t="e">
        <f>_xlfn.XLOOKUP(S1226,'Tabla Articulos'!B:B,'Tabla Articulos'!E:E)</f>
        <v>#N/A</v>
      </c>
      <c r="R1226" s="44" t="e">
        <f t="shared" si="38"/>
        <v>#N/A</v>
      </c>
      <c r="S1226" s="45" t="str">
        <f t="shared" si="39"/>
        <v>BUSAT000339</v>
      </c>
    </row>
    <row r="1227" spans="1:19" hidden="1" x14ac:dyDescent="0.35">
      <c r="A1227" s="22">
        <v>6</v>
      </c>
      <c r="B1227" t="s">
        <v>801</v>
      </c>
      <c r="C1227" t="s">
        <v>802</v>
      </c>
      <c r="D1227"/>
      <c r="E1227" t="s">
        <v>4461</v>
      </c>
      <c r="F1227"/>
      <c r="G1227" t="s">
        <v>4462</v>
      </c>
      <c r="H1227" t="s">
        <v>805</v>
      </c>
      <c r="I1227">
        <v>9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9</v>
      </c>
      <c r="P1227" s="44" t="e">
        <f>_xlfn.XLOOKUP(Tabla5[[#This Row],[EAN CORREGIDO]],'Tabla Articulos'!B:B,'Tabla Articulos'!D:D)</f>
        <v>#N/A</v>
      </c>
      <c r="Q1227" s="44" t="e">
        <f>_xlfn.XLOOKUP(S1227,'Tabla Articulos'!B:B,'Tabla Articulos'!E:E)</f>
        <v>#N/A</v>
      </c>
      <c r="R1227" s="44" t="e">
        <f t="shared" si="38"/>
        <v>#N/A</v>
      </c>
      <c r="S1227" s="45" t="str">
        <f t="shared" si="39"/>
        <v>BUSAT000052</v>
      </c>
    </row>
    <row r="1228" spans="1:19" hidden="1" x14ac:dyDescent="0.35">
      <c r="A1228" s="22">
        <v>6</v>
      </c>
      <c r="B1228" t="s">
        <v>801</v>
      </c>
      <c r="C1228" t="s">
        <v>802</v>
      </c>
      <c r="E1228" t="s">
        <v>4463</v>
      </c>
      <c r="F1228"/>
      <c r="G1228" t="s">
        <v>4464</v>
      </c>
      <c r="H1228" t="s">
        <v>805</v>
      </c>
      <c r="I1228">
        <v>4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4</v>
      </c>
      <c r="P1228" s="44" t="e">
        <f>_xlfn.XLOOKUP(Tabla5[[#This Row],[EAN CORREGIDO]],'Tabla Articulos'!B:B,'Tabla Articulos'!D:D)</f>
        <v>#N/A</v>
      </c>
      <c r="Q1228" s="44" t="e">
        <f>_xlfn.XLOOKUP(S1228,'Tabla Articulos'!B:B,'Tabla Articulos'!E:E)</f>
        <v>#N/A</v>
      </c>
      <c r="R1228" s="44" t="e">
        <f t="shared" si="38"/>
        <v>#N/A</v>
      </c>
      <c r="S1228" s="45" t="str">
        <f t="shared" si="39"/>
        <v>BUSAT000068</v>
      </c>
    </row>
    <row r="1229" spans="1:19" hidden="1" x14ac:dyDescent="0.35">
      <c r="A1229" s="22">
        <v>6</v>
      </c>
      <c r="B1229" t="s">
        <v>801</v>
      </c>
      <c r="C1229" t="s">
        <v>802</v>
      </c>
      <c r="D1229"/>
      <c r="E1229" t="s">
        <v>4465</v>
      </c>
      <c r="F1229"/>
      <c r="G1229" t="s">
        <v>4466</v>
      </c>
      <c r="H1229" t="s">
        <v>805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 s="44" t="e">
        <f>_xlfn.XLOOKUP(Tabla5[[#This Row],[EAN CORREGIDO]],'Tabla Articulos'!B:B,'Tabla Articulos'!D:D)</f>
        <v>#N/A</v>
      </c>
      <c r="Q1229" s="44" t="e">
        <f>_xlfn.XLOOKUP(S1229,'Tabla Articulos'!B:B,'Tabla Articulos'!E:E)</f>
        <v>#N/A</v>
      </c>
      <c r="R1229" s="44" t="e">
        <f t="shared" si="38"/>
        <v>#N/A</v>
      </c>
      <c r="S1229" s="45" t="str">
        <f t="shared" si="39"/>
        <v>BUSAT000338</v>
      </c>
    </row>
    <row r="1230" spans="1:19" hidden="1" x14ac:dyDescent="0.35">
      <c r="A1230" s="22">
        <v>6</v>
      </c>
      <c r="B1230" t="s">
        <v>801</v>
      </c>
      <c r="C1230" t="s">
        <v>802</v>
      </c>
      <c r="D1230"/>
      <c r="E1230" t="s">
        <v>4467</v>
      </c>
      <c r="F1230"/>
      <c r="G1230" t="s">
        <v>4468</v>
      </c>
      <c r="H1230" t="s">
        <v>805</v>
      </c>
      <c r="I1230">
        <v>20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20</v>
      </c>
      <c r="P1230" s="44" t="e">
        <f>_xlfn.XLOOKUP(Tabla5[[#This Row],[EAN CORREGIDO]],'Tabla Articulos'!B:B,'Tabla Articulos'!D:D)</f>
        <v>#N/A</v>
      </c>
      <c r="Q1230" s="44" t="e">
        <f>_xlfn.XLOOKUP(S1230,'Tabla Articulos'!B:B,'Tabla Articulos'!E:E)</f>
        <v>#N/A</v>
      </c>
      <c r="R1230" s="44" t="e">
        <f t="shared" si="38"/>
        <v>#N/A</v>
      </c>
      <c r="S1230" s="45" t="str">
        <f t="shared" si="39"/>
        <v>BUSAT000348</v>
      </c>
    </row>
    <row r="1231" spans="1:19" hidden="1" x14ac:dyDescent="0.35">
      <c r="A1231" s="22">
        <v>6</v>
      </c>
      <c r="B1231" t="s">
        <v>801</v>
      </c>
      <c r="C1231" t="s">
        <v>802</v>
      </c>
      <c r="D1231"/>
      <c r="E1231" t="s">
        <v>4469</v>
      </c>
      <c r="F1231"/>
      <c r="G1231" t="s">
        <v>4470</v>
      </c>
      <c r="H1231" t="s">
        <v>805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 s="44" t="e">
        <f>_xlfn.XLOOKUP(Tabla5[[#This Row],[EAN CORREGIDO]],'Tabla Articulos'!B:B,'Tabla Articulos'!D:D)</f>
        <v>#N/A</v>
      </c>
      <c r="Q1231" s="44" t="e">
        <f>_xlfn.XLOOKUP(S1231,'Tabla Articulos'!B:B,'Tabla Articulos'!E:E)</f>
        <v>#N/A</v>
      </c>
      <c r="R1231" s="44" t="e">
        <f t="shared" si="38"/>
        <v>#N/A</v>
      </c>
      <c r="S1231" s="45" t="str">
        <f t="shared" si="39"/>
        <v>BUSAT000451</v>
      </c>
    </row>
    <row r="1232" spans="1:19" hidden="1" x14ac:dyDescent="0.35">
      <c r="A1232" s="22">
        <v>6</v>
      </c>
      <c r="B1232" t="s">
        <v>801</v>
      </c>
      <c r="C1232" t="s">
        <v>802</v>
      </c>
      <c r="D1232"/>
      <c r="E1232" t="s">
        <v>4471</v>
      </c>
      <c r="F1232"/>
      <c r="G1232" t="s">
        <v>4472</v>
      </c>
      <c r="H1232" t="s">
        <v>805</v>
      </c>
      <c r="I1232">
        <v>68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68</v>
      </c>
      <c r="P1232" s="44" t="e">
        <f>_xlfn.XLOOKUP(Tabla5[[#This Row],[EAN CORREGIDO]],'Tabla Articulos'!B:B,'Tabla Articulos'!D:D)</f>
        <v>#N/A</v>
      </c>
      <c r="Q1232" s="44" t="e">
        <f>_xlfn.XLOOKUP(S1232,'Tabla Articulos'!B:B,'Tabla Articulos'!E:E)</f>
        <v>#N/A</v>
      </c>
      <c r="R1232" s="44" t="e">
        <f t="shared" si="38"/>
        <v>#N/A</v>
      </c>
      <c r="S1232" s="45" t="str">
        <f t="shared" si="39"/>
        <v>BUSAT000102</v>
      </c>
    </row>
    <row r="1233" spans="1:19" hidden="1" x14ac:dyDescent="0.35">
      <c r="A1233" s="22">
        <v>6</v>
      </c>
      <c r="B1233" t="s">
        <v>801</v>
      </c>
      <c r="C1233" t="s">
        <v>802</v>
      </c>
      <c r="D1233"/>
      <c r="E1233" t="s">
        <v>4473</v>
      </c>
      <c r="F1233"/>
      <c r="G1233" t="s">
        <v>4474</v>
      </c>
      <c r="H1233" t="s">
        <v>805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</v>
      </c>
      <c r="P1233" s="44" t="e">
        <f>_xlfn.XLOOKUP(Tabla5[[#This Row],[EAN CORREGIDO]],'Tabla Articulos'!B:B,'Tabla Articulos'!D:D)</f>
        <v>#N/A</v>
      </c>
      <c r="Q1233" s="44" t="e">
        <f>_xlfn.XLOOKUP(S1233,'Tabla Articulos'!B:B,'Tabla Articulos'!E:E)</f>
        <v>#N/A</v>
      </c>
      <c r="R1233" s="44" t="e">
        <f t="shared" si="38"/>
        <v>#N/A</v>
      </c>
      <c r="S1233" s="45" t="str">
        <f t="shared" si="39"/>
        <v>BUSAT000167</v>
      </c>
    </row>
    <row r="1234" spans="1:19" hidden="1" x14ac:dyDescent="0.35">
      <c r="A1234" s="22">
        <v>6</v>
      </c>
      <c r="B1234" t="s">
        <v>801</v>
      </c>
      <c r="C1234" t="s">
        <v>802</v>
      </c>
      <c r="D1234"/>
      <c r="E1234" t="s">
        <v>4475</v>
      </c>
      <c r="F1234"/>
      <c r="G1234" t="s">
        <v>4476</v>
      </c>
      <c r="H1234" t="s">
        <v>805</v>
      </c>
      <c r="I1234">
        <v>16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16</v>
      </c>
      <c r="P1234" s="44" t="e">
        <f>_xlfn.XLOOKUP(Tabla5[[#This Row],[EAN CORREGIDO]],'Tabla Articulos'!B:B,'Tabla Articulos'!D:D)</f>
        <v>#N/A</v>
      </c>
      <c r="Q1234" s="44" t="e">
        <f>_xlfn.XLOOKUP(S1234,'Tabla Articulos'!B:B,'Tabla Articulos'!E:E)</f>
        <v>#N/A</v>
      </c>
      <c r="R1234" s="44" t="e">
        <f t="shared" si="38"/>
        <v>#N/A</v>
      </c>
      <c r="S1234" s="45" t="str">
        <f t="shared" si="39"/>
        <v>BUSAT000793</v>
      </c>
    </row>
    <row r="1235" spans="1:19" hidden="1" x14ac:dyDescent="0.35">
      <c r="A1235" s="22">
        <v>6</v>
      </c>
      <c r="B1235" t="s">
        <v>801</v>
      </c>
      <c r="C1235" t="s">
        <v>802</v>
      </c>
      <c r="D1235"/>
      <c r="E1235" t="s">
        <v>4477</v>
      </c>
      <c r="F1235"/>
      <c r="G1235" t="s">
        <v>4478</v>
      </c>
      <c r="H1235" t="s">
        <v>805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</v>
      </c>
      <c r="P1235" s="44" t="e">
        <f>_xlfn.XLOOKUP(Tabla5[[#This Row],[EAN CORREGIDO]],'Tabla Articulos'!B:B,'Tabla Articulos'!D:D)</f>
        <v>#N/A</v>
      </c>
      <c r="Q1235" s="44" t="e">
        <f>_xlfn.XLOOKUP(S1235,'Tabla Articulos'!B:B,'Tabla Articulos'!E:E)</f>
        <v>#N/A</v>
      </c>
      <c r="R1235" s="44" t="e">
        <f t="shared" si="38"/>
        <v>#N/A</v>
      </c>
      <c r="S1235" s="45" t="str">
        <f t="shared" si="39"/>
        <v>BUSAT000643</v>
      </c>
    </row>
    <row r="1236" spans="1:19" hidden="1" x14ac:dyDescent="0.35">
      <c r="A1236" s="22">
        <v>6</v>
      </c>
      <c r="B1236" t="s">
        <v>801</v>
      </c>
      <c r="C1236" t="s">
        <v>802</v>
      </c>
      <c r="E1236" t="s">
        <v>4479</v>
      </c>
      <c r="F1236"/>
      <c r="G1236" t="s">
        <v>4480</v>
      </c>
      <c r="H1236" t="s">
        <v>805</v>
      </c>
      <c r="I1236">
        <v>54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54</v>
      </c>
      <c r="P1236" s="44" t="e">
        <f>_xlfn.XLOOKUP(Tabla5[[#This Row],[EAN CORREGIDO]],'Tabla Articulos'!B:B,'Tabla Articulos'!D:D)</f>
        <v>#N/A</v>
      </c>
      <c r="Q1236" s="44" t="e">
        <f>_xlfn.XLOOKUP(S1236,'Tabla Articulos'!B:B,'Tabla Articulos'!E:E)</f>
        <v>#N/A</v>
      </c>
      <c r="R1236" s="44" t="e">
        <f t="shared" si="38"/>
        <v>#N/A</v>
      </c>
      <c r="S1236" s="45" t="str">
        <f t="shared" si="39"/>
        <v>BUSAT000271</v>
      </c>
    </row>
    <row r="1237" spans="1:19" hidden="1" x14ac:dyDescent="0.35">
      <c r="A1237" s="22">
        <v>6</v>
      </c>
      <c r="B1237" t="s">
        <v>801</v>
      </c>
      <c r="C1237" t="s">
        <v>802</v>
      </c>
      <c r="E1237" t="s">
        <v>3846</v>
      </c>
      <c r="F1237"/>
      <c r="G1237" t="s">
        <v>3847</v>
      </c>
      <c r="H1237" t="s">
        <v>805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</v>
      </c>
      <c r="P1237" s="44" t="e">
        <f>_xlfn.XLOOKUP(Tabla5[[#This Row],[EAN CORREGIDO]],'Tabla Articulos'!B:B,'Tabla Articulos'!D:D)</f>
        <v>#N/A</v>
      </c>
      <c r="Q1237" s="44" t="e">
        <f>_xlfn.XLOOKUP(S1237,'Tabla Articulos'!B:B,'Tabla Articulos'!E:E)</f>
        <v>#N/A</v>
      </c>
      <c r="R1237" s="44" t="e">
        <f t="shared" si="38"/>
        <v>#N/A</v>
      </c>
      <c r="S1237" s="45" t="str">
        <f t="shared" si="39"/>
        <v>BAZ000834</v>
      </c>
    </row>
    <row r="1238" spans="1:19" hidden="1" x14ac:dyDescent="0.35">
      <c r="A1238" s="22">
        <v>6</v>
      </c>
      <c r="B1238" t="s">
        <v>801</v>
      </c>
      <c r="C1238" t="s">
        <v>802</v>
      </c>
      <c r="E1238" t="s">
        <v>3848</v>
      </c>
      <c r="F1238"/>
      <c r="G1238" t="s">
        <v>3849</v>
      </c>
      <c r="H1238" t="s">
        <v>1034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</v>
      </c>
      <c r="P1238" s="44" t="e">
        <f>_xlfn.XLOOKUP(Tabla5[[#This Row],[EAN CORREGIDO]],'Tabla Articulos'!B:B,'Tabla Articulos'!D:D)</f>
        <v>#N/A</v>
      </c>
      <c r="Q1238" s="44" t="e">
        <f>_xlfn.XLOOKUP(S1238,'Tabla Articulos'!B:B,'Tabla Articulos'!E:E)</f>
        <v>#N/A</v>
      </c>
      <c r="R1238" s="44" t="e">
        <f t="shared" si="38"/>
        <v>#N/A</v>
      </c>
      <c r="S1238" s="45" t="str">
        <f t="shared" si="39"/>
        <v>BUSAT000210</v>
      </c>
    </row>
    <row r="1239" spans="1:19" hidden="1" x14ac:dyDescent="0.35">
      <c r="A1239" s="22">
        <v>6</v>
      </c>
      <c r="B1239" t="s">
        <v>801</v>
      </c>
      <c r="C1239" t="s">
        <v>802</v>
      </c>
      <c r="D1239"/>
      <c r="E1239" t="s">
        <v>1411</v>
      </c>
      <c r="F1239">
        <v>9003100</v>
      </c>
      <c r="G1239" t="s">
        <v>1412</v>
      </c>
      <c r="H1239" t="s">
        <v>805</v>
      </c>
      <c r="I1239">
        <v>15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15</v>
      </c>
      <c r="P1239" s="44" t="e">
        <f>_xlfn.XLOOKUP(Tabla5[[#This Row],[EAN CORREGIDO]],'Tabla Articulos'!B:B,'Tabla Articulos'!D:D)</f>
        <v>#N/A</v>
      </c>
      <c r="Q1239" s="44" t="e">
        <f>_xlfn.XLOOKUP(S1239,'Tabla Articulos'!B:B,'Tabla Articulos'!E:E)</f>
        <v>#N/A</v>
      </c>
      <c r="R1239" s="44" t="e">
        <f t="shared" si="38"/>
        <v>#N/A</v>
      </c>
      <c r="S1239" s="45" t="str">
        <f t="shared" si="39"/>
        <v>UNIF000562</v>
      </c>
    </row>
    <row r="1240" spans="1:19" hidden="1" x14ac:dyDescent="0.35">
      <c r="A1240" s="22">
        <v>6</v>
      </c>
      <c r="B1240" t="s">
        <v>801</v>
      </c>
      <c r="C1240" t="s">
        <v>802</v>
      </c>
      <c r="D1240" s="11" t="s">
        <v>1413</v>
      </c>
      <c r="E1240" t="s">
        <v>1414</v>
      </c>
      <c r="F1240">
        <v>2006349</v>
      </c>
      <c r="G1240" t="s">
        <v>1415</v>
      </c>
      <c r="H1240" t="s">
        <v>837</v>
      </c>
      <c r="I1240">
        <v>455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455</v>
      </c>
      <c r="P1240" s="44" t="e">
        <f>_xlfn.XLOOKUP(Tabla5[[#This Row],[EAN CORREGIDO]],'Tabla Articulos'!B:B,'Tabla Articulos'!D:D)</f>
        <v>#N/A</v>
      </c>
      <c r="Q1240" s="44" t="e">
        <f>_xlfn.XLOOKUP(S1240,'Tabla Articulos'!B:B,'Tabla Articulos'!E:E)</f>
        <v>#N/A</v>
      </c>
      <c r="R1240" s="44" t="e">
        <f t="shared" si="38"/>
        <v>#N/A</v>
      </c>
      <c r="S1240" s="45" t="str">
        <f t="shared" si="39"/>
        <v>LIM000505</v>
      </c>
    </row>
    <row r="1241" spans="1:19" hidden="1" x14ac:dyDescent="0.35">
      <c r="A1241" s="22">
        <v>1</v>
      </c>
      <c r="B1241" t="s">
        <v>812</v>
      </c>
      <c r="C1241" t="s">
        <v>802</v>
      </c>
      <c r="D1241" t="s">
        <v>1416</v>
      </c>
      <c r="E1241" t="s">
        <v>1417</v>
      </c>
      <c r="F1241">
        <v>4019979</v>
      </c>
      <c r="G1241" t="s">
        <v>1418</v>
      </c>
      <c r="H1241" t="s">
        <v>805</v>
      </c>
      <c r="I1241">
        <v>16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16</v>
      </c>
      <c r="P1241" s="44" t="e">
        <f>_xlfn.XLOOKUP(Tabla5[[#This Row],[EAN CORREGIDO]],'Tabla Articulos'!B:B,'Tabla Articulos'!D:D)</f>
        <v>#N/A</v>
      </c>
      <c r="Q1241" s="44" t="e">
        <f>_xlfn.XLOOKUP(S1241,'Tabla Articulos'!B:B,'Tabla Articulos'!E:E)</f>
        <v>#N/A</v>
      </c>
      <c r="R1241" s="44" t="e">
        <f t="shared" si="38"/>
        <v>#N/A</v>
      </c>
      <c r="S1241" s="45" t="str">
        <f t="shared" si="39"/>
        <v>7792350067019</v>
      </c>
    </row>
    <row r="1242" spans="1:19" hidden="1" x14ac:dyDescent="0.35">
      <c r="A1242" s="22">
        <v>6</v>
      </c>
      <c r="B1242" t="s">
        <v>801</v>
      </c>
      <c r="C1242" t="s">
        <v>802</v>
      </c>
      <c r="D1242"/>
      <c r="E1242" t="s">
        <v>5547</v>
      </c>
      <c r="F1242"/>
      <c r="G1242" t="s">
        <v>5548</v>
      </c>
      <c r="H1242" t="s">
        <v>805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</v>
      </c>
      <c r="P1242" s="44" t="e">
        <f>_xlfn.XLOOKUP(Tabla5[[#This Row],[EAN CORREGIDO]],'Tabla Articulos'!B:B,'Tabla Articulos'!D:D)</f>
        <v>#N/A</v>
      </c>
      <c r="Q1242" s="44" t="e">
        <f>_xlfn.XLOOKUP(S1242,'Tabla Articulos'!B:B,'Tabla Articulos'!E:E)</f>
        <v>#N/A</v>
      </c>
      <c r="R1242" s="44" t="e">
        <f t="shared" si="38"/>
        <v>#N/A</v>
      </c>
      <c r="S1242" s="45" t="str">
        <f t="shared" si="39"/>
        <v>BUSAT000181</v>
      </c>
    </row>
    <row r="1243" spans="1:19" hidden="1" x14ac:dyDescent="0.35">
      <c r="A1243" s="22">
        <v>6</v>
      </c>
      <c r="B1243" t="s">
        <v>801</v>
      </c>
      <c r="C1243" t="s">
        <v>802</v>
      </c>
      <c r="D1243"/>
      <c r="E1243" t="s">
        <v>5549</v>
      </c>
      <c r="F1243"/>
      <c r="G1243" t="s">
        <v>5550</v>
      </c>
      <c r="H1243" t="s">
        <v>805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</v>
      </c>
      <c r="P1243" s="44" t="e">
        <f>_xlfn.XLOOKUP(Tabla5[[#This Row],[EAN CORREGIDO]],'Tabla Articulos'!B:B,'Tabla Articulos'!D:D)</f>
        <v>#N/A</v>
      </c>
      <c r="Q1243" s="44" t="e">
        <f>_xlfn.XLOOKUP(S1243,'Tabla Articulos'!B:B,'Tabla Articulos'!E:E)</f>
        <v>#N/A</v>
      </c>
      <c r="R1243" s="44" t="e">
        <f t="shared" si="38"/>
        <v>#N/A</v>
      </c>
      <c r="S1243" s="45" t="str">
        <f t="shared" si="39"/>
        <v>OBR000126</v>
      </c>
    </row>
    <row r="1244" spans="1:19" hidden="1" x14ac:dyDescent="0.35">
      <c r="A1244" s="22">
        <v>6</v>
      </c>
      <c r="B1244" t="s">
        <v>801</v>
      </c>
      <c r="C1244" t="s">
        <v>802</v>
      </c>
      <c r="D1244"/>
      <c r="E1244" t="s">
        <v>5551</v>
      </c>
      <c r="F1244"/>
      <c r="G1244" t="s">
        <v>5552</v>
      </c>
      <c r="H1244" t="s">
        <v>805</v>
      </c>
      <c r="I1244">
        <v>5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5</v>
      </c>
      <c r="P1244" s="44" t="e">
        <f>_xlfn.XLOOKUP(Tabla5[[#This Row],[EAN CORREGIDO]],'Tabla Articulos'!B:B,'Tabla Articulos'!D:D)</f>
        <v>#N/A</v>
      </c>
      <c r="Q1244" s="44" t="e">
        <f>_xlfn.XLOOKUP(S1244,'Tabla Articulos'!B:B,'Tabla Articulos'!E:E)</f>
        <v>#N/A</v>
      </c>
      <c r="R1244" s="44" t="e">
        <f t="shared" si="38"/>
        <v>#N/A</v>
      </c>
      <c r="S1244" s="45" t="str">
        <f t="shared" si="39"/>
        <v>BUSAT000020</v>
      </c>
    </row>
    <row r="1245" spans="1:19" hidden="1" x14ac:dyDescent="0.35">
      <c r="A1245" s="22">
        <v>6</v>
      </c>
      <c r="B1245" t="s">
        <v>801</v>
      </c>
      <c r="C1245" t="s">
        <v>802</v>
      </c>
      <c r="E1245" t="s">
        <v>5553</v>
      </c>
      <c r="F1245"/>
      <c r="G1245" t="s">
        <v>5554</v>
      </c>
      <c r="H1245" t="s">
        <v>805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 s="44" t="e">
        <f>_xlfn.XLOOKUP(Tabla5[[#This Row],[EAN CORREGIDO]],'Tabla Articulos'!B:B,'Tabla Articulos'!D:D)</f>
        <v>#N/A</v>
      </c>
      <c r="Q1245" s="44" t="e">
        <f>_xlfn.XLOOKUP(S1245,'Tabla Articulos'!B:B,'Tabla Articulos'!E:E)</f>
        <v>#N/A</v>
      </c>
      <c r="R1245" s="44" t="e">
        <f t="shared" si="38"/>
        <v>#N/A</v>
      </c>
      <c r="S1245" s="45" t="str">
        <f t="shared" si="39"/>
        <v>BUSAT000193</v>
      </c>
    </row>
    <row r="1246" spans="1:19" hidden="1" x14ac:dyDescent="0.35">
      <c r="A1246" s="22">
        <v>6</v>
      </c>
      <c r="B1246" t="s">
        <v>801</v>
      </c>
      <c r="C1246" t="s">
        <v>802</v>
      </c>
      <c r="D1246"/>
      <c r="E1246" t="s">
        <v>5555</v>
      </c>
      <c r="F1246"/>
      <c r="G1246" t="s">
        <v>5556</v>
      </c>
      <c r="H1246" t="s">
        <v>805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2</v>
      </c>
      <c r="P1246" s="44" t="e">
        <f>_xlfn.XLOOKUP(Tabla5[[#This Row],[EAN CORREGIDO]],'Tabla Articulos'!B:B,'Tabla Articulos'!D:D)</f>
        <v>#N/A</v>
      </c>
      <c r="Q1246" s="44" t="e">
        <f>_xlfn.XLOOKUP(S1246,'Tabla Articulos'!B:B,'Tabla Articulos'!E:E)</f>
        <v>#N/A</v>
      </c>
      <c r="R1246" s="44" t="e">
        <f t="shared" si="38"/>
        <v>#N/A</v>
      </c>
      <c r="S1246" s="45" t="str">
        <f t="shared" si="39"/>
        <v>F01005C2S/N103</v>
      </c>
    </row>
    <row r="1247" spans="1:19" hidden="1" x14ac:dyDescent="0.35">
      <c r="A1247" s="22">
        <v>6</v>
      </c>
      <c r="B1247" t="s">
        <v>801</v>
      </c>
      <c r="C1247" t="s">
        <v>802</v>
      </c>
      <c r="E1247" t="s">
        <v>5557</v>
      </c>
      <c r="F1247"/>
      <c r="G1247" t="s">
        <v>5558</v>
      </c>
      <c r="H1247" t="s">
        <v>805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</v>
      </c>
      <c r="P1247" s="44" t="e">
        <f>_xlfn.XLOOKUP(Tabla5[[#This Row],[EAN CORREGIDO]],'Tabla Articulos'!B:B,'Tabla Articulos'!D:D)</f>
        <v>#N/A</v>
      </c>
      <c r="Q1247" s="44" t="e">
        <f>_xlfn.XLOOKUP(S1247,'Tabla Articulos'!B:B,'Tabla Articulos'!E:E)</f>
        <v>#N/A</v>
      </c>
      <c r="R1247" s="44" t="e">
        <f t="shared" si="38"/>
        <v>#N/A</v>
      </c>
      <c r="S1247" s="45" t="str">
        <f t="shared" si="39"/>
        <v>BUSAT000997</v>
      </c>
    </row>
    <row r="1248" spans="1:19" hidden="1" x14ac:dyDescent="0.35">
      <c r="A1248" s="22">
        <v>6</v>
      </c>
      <c r="B1248" t="s">
        <v>801</v>
      </c>
      <c r="C1248" t="s">
        <v>802</v>
      </c>
      <c r="E1248" t="s">
        <v>5559</v>
      </c>
      <c r="F1248"/>
      <c r="G1248" t="s">
        <v>5560</v>
      </c>
      <c r="H1248" t="s">
        <v>805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 s="44" t="e">
        <f>_xlfn.XLOOKUP(Tabla5[[#This Row],[EAN CORREGIDO]],'Tabla Articulos'!B:B,'Tabla Articulos'!D:D)</f>
        <v>#N/A</v>
      </c>
      <c r="Q1248" s="44" t="e">
        <f>_xlfn.XLOOKUP(S1248,'Tabla Articulos'!B:B,'Tabla Articulos'!E:E)</f>
        <v>#N/A</v>
      </c>
      <c r="R1248" s="44" t="e">
        <f t="shared" si="38"/>
        <v>#N/A</v>
      </c>
      <c r="S1248" s="45" t="str">
        <f t="shared" si="39"/>
        <v>BUSAT000006</v>
      </c>
    </row>
    <row r="1249" spans="1:19" hidden="1" x14ac:dyDescent="0.35">
      <c r="A1249" s="22">
        <v>6</v>
      </c>
      <c r="B1249" t="s">
        <v>801</v>
      </c>
      <c r="C1249" t="s">
        <v>802</v>
      </c>
      <c r="D1249"/>
      <c r="E1249" t="s">
        <v>5561</v>
      </c>
      <c r="F1249"/>
      <c r="G1249" t="s">
        <v>5562</v>
      </c>
      <c r="H1249" t="s">
        <v>805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 s="44" t="e">
        <f>_xlfn.XLOOKUP(Tabla5[[#This Row],[EAN CORREGIDO]],'Tabla Articulos'!B:B,'Tabla Articulos'!D:D)</f>
        <v>#N/A</v>
      </c>
      <c r="Q1249" s="44" t="e">
        <f>_xlfn.XLOOKUP(S1249,'Tabla Articulos'!B:B,'Tabla Articulos'!E:E)</f>
        <v>#N/A</v>
      </c>
      <c r="R1249" s="44" t="e">
        <f t="shared" si="38"/>
        <v>#N/A</v>
      </c>
      <c r="S1249" s="45" t="str">
        <f t="shared" si="39"/>
        <v>BUSAT000413</v>
      </c>
    </row>
    <row r="1250" spans="1:19" hidden="1" x14ac:dyDescent="0.35">
      <c r="A1250" s="22">
        <v>6</v>
      </c>
      <c r="B1250" t="s">
        <v>801</v>
      </c>
      <c r="C1250" t="s">
        <v>802</v>
      </c>
      <c r="D1250"/>
      <c r="E1250" t="s">
        <v>5563</v>
      </c>
      <c r="F1250"/>
      <c r="G1250" t="s">
        <v>5564</v>
      </c>
      <c r="H1250" t="s">
        <v>805</v>
      </c>
      <c r="I1250">
        <v>94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94</v>
      </c>
      <c r="P1250" s="44" t="e">
        <f>_xlfn.XLOOKUP(Tabla5[[#This Row],[EAN CORREGIDO]],'Tabla Articulos'!B:B,'Tabla Articulos'!D:D)</f>
        <v>#N/A</v>
      </c>
      <c r="Q1250" s="44" t="e">
        <f>_xlfn.XLOOKUP(S1250,'Tabla Articulos'!B:B,'Tabla Articulos'!E:E)</f>
        <v>#N/A</v>
      </c>
      <c r="R1250" s="44" t="e">
        <f t="shared" si="38"/>
        <v>#N/A</v>
      </c>
      <c r="S1250" s="45" t="str">
        <f t="shared" si="39"/>
        <v>BUSAT000042</v>
      </c>
    </row>
    <row r="1251" spans="1:19" hidden="1" x14ac:dyDescent="0.35">
      <c r="A1251" s="22">
        <v>6</v>
      </c>
      <c r="B1251" t="s">
        <v>801</v>
      </c>
      <c r="C1251" t="s">
        <v>802</v>
      </c>
      <c r="D1251"/>
      <c r="E1251" t="s">
        <v>5565</v>
      </c>
      <c r="F1251"/>
      <c r="G1251" t="s">
        <v>5566</v>
      </c>
      <c r="H1251" t="s">
        <v>805</v>
      </c>
      <c r="I1251">
        <v>8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8</v>
      </c>
      <c r="P1251" s="44" t="e">
        <f>_xlfn.XLOOKUP(Tabla5[[#This Row],[EAN CORREGIDO]],'Tabla Articulos'!B:B,'Tabla Articulos'!D:D)</f>
        <v>#N/A</v>
      </c>
      <c r="Q1251" s="44" t="e">
        <f>_xlfn.XLOOKUP(S1251,'Tabla Articulos'!B:B,'Tabla Articulos'!E:E)</f>
        <v>#N/A</v>
      </c>
      <c r="R1251" s="44" t="e">
        <f t="shared" si="38"/>
        <v>#N/A</v>
      </c>
      <c r="S1251" s="45" t="str">
        <f t="shared" si="39"/>
        <v>BUSAT000036</v>
      </c>
    </row>
    <row r="1252" spans="1:19" hidden="1" x14ac:dyDescent="0.35">
      <c r="A1252" s="22">
        <v>6</v>
      </c>
      <c r="B1252" t="s">
        <v>801</v>
      </c>
      <c r="C1252" t="s">
        <v>802</v>
      </c>
      <c r="E1252" t="s">
        <v>5567</v>
      </c>
      <c r="F1252"/>
      <c r="G1252" t="s">
        <v>5568</v>
      </c>
      <c r="H1252" t="s">
        <v>805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</v>
      </c>
      <c r="P1252" s="44" t="e">
        <f>_xlfn.XLOOKUP(Tabla5[[#This Row],[EAN CORREGIDO]],'Tabla Articulos'!B:B,'Tabla Articulos'!D:D)</f>
        <v>#N/A</v>
      </c>
      <c r="Q1252" s="44" t="e">
        <f>_xlfn.XLOOKUP(S1252,'Tabla Articulos'!B:B,'Tabla Articulos'!E:E)</f>
        <v>#N/A</v>
      </c>
      <c r="R1252" s="44" t="e">
        <f t="shared" si="38"/>
        <v>#N/A</v>
      </c>
      <c r="S1252" s="45" t="str">
        <f t="shared" si="39"/>
        <v>OBR000124</v>
      </c>
    </row>
    <row r="1253" spans="1:19" hidden="1" x14ac:dyDescent="0.35">
      <c r="A1253" s="22">
        <v>6</v>
      </c>
      <c r="B1253" t="s">
        <v>801</v>
      </c>
      <c r="C1253" t="s">
        <v>802</v>
      </c>
      <c r="D1253"/>
      <c r="E1253" t="s">
        <v>5569</v>
      </c>
      <c r="F1253"/>
      <c r="G1253" t="s">
        <v>5570</v>
      </c>
      <c r="H1253" t="s">
        <v>805</v>
      </c>
      <c r="I1253">
        <v>0</v>
      </c>
      <c r="J1253">
        <v>2</v>
      </c>
      <c r="K1253">
        <v>0</v>
      </c>
      <c r="L1253">
        <v>0</v>
      </c>
      <c r="M1253">
        <v>0</v>
      </c>
      <c r="N1253">
        <v>0</v>
      </c>
      <c r="O1253">
        <v>2</v>
      </c>
      <c r="P1253" s="44" t="e">
        <f>_xlfn.XLOOKUP(Tabla5[[#This Row],[EAN CORREGIDO]],'Tabla Articulos'!B:B,'Tabla Articulos'!D:D)</f>
        <v>#N/A</v>
      </c>
      <c r="Q1253" s="44" t="e">
        <f>_xlfn.XLOOKUP(S1253,'Tabla Articulos'!B:B,'Tabla Articulos'!E:E)</f>
        <v>#N/A</v>
      </c>
      <c r="R1253" s="44" t="e">
        <f t="shared" si="38"/>
        <v>#N/A</v>
      </c>
      <c r="S1253" s="45" t="str">
        <f t="shared" si="39"/>
        <v>BUSAT000202</v>
      </c>
    </row>
    <row r="1254" spans="1:19" hidden="1" x14ac:dyDescent="0.35">
      <c r="A1254" s="22">
        <v>6</v>
      </c>
      <c r="B1254" t="s">
        <v>801</v>
      </c>
      <c r="C1254" t="s">
        <v>802</v>
      </c>
      <c r="E1254" t="s">
        <v>5571</v>
      </c>
      <c r="F1254"/>
      <c r="G1254" t="s">
        <v>5572</v>
      </c>
      <c r="H1254" t="s">
        <v>805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 s="44" t="e">
        <f>_xlfn.XLOOKUP(Tabla5[[#This Row],[EAN CORREGIDO]],'Tabla Articulos'!B:B,'Tabla Articulos'!D:D)</f>
        <v>#N/A</v>
      </c>
      <c r="Q1254" s="44" t="e">
        <f>_xlfn.XLOOKUP(S1254,'Tabla Articulos'!B:B,'Tabla Articulos'!E:E)</f>
        <v>#N/A</v>
      </c>
      <c r="R1254" s="44" t="e">
        <f t="shared" si="38"/>
        <v>#N/A</v>
      </c>
      <c r="S1254" s="45" t="str">
        <f t="shared" si="39"/>
        <v>BUSAT000126</v>
      </c>
    </row>
    <row r="1255" spans="1:19" hidden="1" x14ac:dyDescent="0.35">
      <c r="A1255" s="22">
        <v>6</v>
      </c>
      <c r="B1255" t="s">
        <v>801</v>
      </c>
      <c r="C1255" t="s">
        <v>802</v>
      </c>
      <c r="D1255"/>
      <c r="E1255" t="s">
        <v>5573</v>
      </c>
      <c r="F1255"/>
      <c r="G1255" t="s">
        <v>5574</v>
      </c>
      <c r="H1255" t="s">
        <v>805</v>
      </c>
      <c r="I1255">
        <v>3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</v>
      </c>
      <c r="P1255" s="44" t="e">
        <f>_xlfn.XLOOKUP(Tabla5[[#This Row],[EAN CORREGIDO]],'Tabla Articulos'!B:B,'Tabla Articulos'!D:D)</f>
        <v>#N/A</v>
      </c>
      <c r="Q1255" s="44" t="e">
        <f>_xlfn.XLOOKUP(S1255,'Tabla Articulos'!B:B,'Tabla Articulos'!E:E)</f>
        <v>#N/A</v>
      </c>
      <c r="R1255" s="44" t="e">
        <f t="shared" si="38"/>
        <v>#N/A</v>
      </c>
      <c r="S1255" s="45" t="str">
        <f t="shared" si="39"/>
        <v>BUSAT000019</v>
      </c>
    </row>
    <row r="1256" spans="1:19" hidden="1" x14ac:dyDescent="0.35">
      <c r="A1256" s="22">
        <v>6</v>
      </c>
      <c r="B1256" t="s">
        <v>801</v>
      </c>
      <c r="C1256" t="s">
        <v>802</v>
      </c>
      <c r="E1256" t="s">
        <v>5575</v>
      </c>
      <c r="F1256"/>
      <c r="G1256" t="s">
        <v>5576</v>
      </c>
      <c r="H1256" t="s">
        <v>805</v>
      </c>
      <c r="I1256">
        <v>6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6</v>
      </c>
      <c r="P1256" s="44" t="e">
        <f>_xlfn.XLOOKUP(Tabla5[[#This Row],[EAN CORREGIDO]],'Tabla Articulos'!B:B,'Tabla Articulos'!D:D)</f>
        <v>#N/A</v>
      </c>
      <c r="Q1256" s="44" t="e">
        <f>_xlfn.XLOOKUP(S1256,'Tabla Articulos'!B:B,'Tabla Articulos'!E:E)</f>
        <v>#N/A</v>
      </c>
      <c r="R1256" s="44" t="e">
        <f t="shared" si="38"/>
        <v>#N/A</v>
      </c>
      <c r="S1256" s="45" t="str">
        <f t="shared" si="39"/>
        <v>BUSAT000081</v>
      </c>
    </row>
    <row r="1257" spans="1:19" hidden="1" x14ac:dyDescent="0.35">
      <c r="A1257" s="22">
        <v>6</v>
      </c>
      <c r="B1257" t="s">
        <v>801</v>
      </c>
      <c r="C1257" t="s">
        <v>802</v>
      </c>
      <c r="D1257"/>
      <c r="E1257" t="s">
        <v>5577</v>
      </c>
      <c r="F1257"/>
      <c r="G1257" t="s">
        <v>5578</v>
      </c>
      <c r="H1257" t="s">
        <v>805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 s="44" t="e">
        <f>_xlfn.XLOOKUP(Tabla5[[#This Row],[EAN CORREGIDO]],'Tabla Articulos'!B:B,'Tabla Articulos'!D:D)</f>
        <v>#N/A</v>
      </c>
      <c r="Q1257" s="44" t="e">
        <f>_xlfn.XLOOKUP(S1257,'Tabla Articulos'!B:B,'Tabla Articulos'!E:E)</f>
        <v>#N/A</v>
      </c>
      <c r="R1257" s="44" t="e">
        <f t="shared" si="38"/>
        <v>#N/A</v>
      </c>
      <c r="S1257" s="45" t="str">
        <f t="shared" si="39"/>
        <v>BUSAT000907</v>
      </c>
    </row>
    <row r="1258" spans="1:19" hidden="1" x14ac:dyDescent="0.35">
      <c r="A1258" s="22">
        <v>6</v>
      </c>
      <c r="B1258" t="s">
        <v>801</v>
      </c>
      <c r="C1258" t="s">
        <v>802</v>
      </c>
      <c r="D1258"/>
      <c r="E1258" t="s">
        <v>5579</v>
      </c>
      <c r="F1258"/>
      <c r="G1258" t="s">
        <v>5580</v>
      </c>
      <c r="H1258" t="s">
        <v>805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 s="44" t="e">
        <f>_xlfn.XLOOKUP(Tabla5[[#This Row],[EAN CORREGIDO]],'Tabla Articulos'!B:B,'Tabla Articulos'!D:D)</f>
        <v>#N/A</v>
      </c>
      <c r="Q1258" s="44" t="e">
        <f>_xlfn.XLOOKUP(S1258,'Tabla Articulos'!B:B,'Tabla Articulos'!E:E)</f>
        <v>#N/A</v>
      </c>
      <c r="R1258" s="44" t="e">
        <f t="shared" si="38"/>
        <v>#N/A</v>
      </c>
      <c r="S1258" s="45" t="str">
        <f t="shared" si="39"/>
        <v>BUSAT001110</v>
      </c>
    </row>
    <row r="1259" spans="1:19" hidden="1" x14ac:dyDescent="0.35">
      <c r="A1259" s="22">
        <v>6</v>
      </c>
      <c r="B1259" t="s">
        <v>801</v>
      </c>
      <c r="C1259" t="s">
        <v>802</v>
      </c>
      <c r="D1259"/>
      <c r="E1259" t="s">
        <v>5581</v>
      </c>
      <c r="F1259"/>
      <c r="G1259" t="s">
        <v>5582</v>
      </c>
      <c r="H1259" t="s">
        <v>805</v>
      </c>
      <c r="I1259">
        <v>1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3</v>
      </c>
      <c r="P1259" s="44" t="e">
        <f>_xlfn.XLOOKUP(Tabla5[[#This Row],[EAN CORREGIDO]],'Tabla Articulos'!B:B,'Tabla Articulos'!D:D)</f>
        <v>#N/A</v>
      </c>
      <c r="Q1259" s="44" t="e">
        <f>_xlfn.XLOOKUP(S1259,'Tabla Articulos'!B:B,'Tabla Articulos'!E:E)</f>
        <v>#N/A</v>
      </c>
      <c r="R1259" s="44" t="e">
        <f t="shared" si="38"/>
        <v>#N/A</v>
      </c>
      <c r="S1259" s="45" t="str">
        <f t="shared" si="39"/>
        <v>BUSAT000135</v>
      </c>
    </row>
    <row r="1260" spans="1:19" hidden="1" x14ac:dyDescent="0.35">
      <c r="A1260" s="22">
        <v>6</v>
      </c>
      <c r="B1260" t="s">
        <v>801</v>
      </c>
      <c r="C1260" t="s">
        <v>802</v>
      </c>
      <c r="D1260"/>
      <c r="E1260" t="s">
        <v>5583</v>
      </c>
      <c r="F1260"/>
      <c r="G1260" t="s">
        <v>5584</v>
      </c>
      <c r="H1260" t="s">
        <v>805</v>
      </c>
      <c r="I1260">
        <v>8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8</v>
      </c>
      <c r="P1260" s="44" t="e">
        <f>_xlfn.XLOOKUP(Tabla5[[#This Row],[EAN CORREGIDO]],'Tabla Articulos'!B:B,'Tabla Articulos'!D:D)</f>
        <v>#N/A</v>
      </c>
      <c r="Q1260" s="44" t="e">
        <f>_xlfn.XLOOKUP(S1260,'Tabla Articulos'!B:B,'Tabla Articulos'!E:E)</f>
        <v>#N/A</v>
      </c>
      <c r="R1260" s="44" t="e">
        <f t="shared" si="38"/>
        <v>#N/A</v>
      </c>
      <c r="S1260" s="45" t="str">
        <f t="shared" si="39"/>
        <v>BUSAT000923</v>
      </c>
    </row>
    <row r="1261" spans="1:19" hidden="1" x14ac:dyDescent="0.35">
      <c r="A1261" s="22">
        <v>6</v>
      </c>
      <c r="B1261" t="s">
        <v>801</v>
      </c>
      <c r="C1261" t="s">
        <v>802</v>
      </c>
      <c r="E1261" t="s">
        <v>5585</v>
      </c>
      <c r="F1261"/>
      <c r="G1261" t="s">
        <v>5586</v>
      </c>
      <c r="H1261" t="s">
        <v>805</v>
      </c>
      <c r="I1261">
        <v>3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3</v>
      </c>
      <c r="P1261" s="44" t="e">
        <f>_xlfn.XLOOKUP(Tabla5[[#This Row],[EAN CORREGIDO]],'Tabla Articulos'!B:B,'Tabla Articulos'!D:D)</f>
        <v>#N/A</v>
      </c>
      <c r="Q1261" s="44" t="e">
        <f>_xlfn.XLOOKUP(S1261,'Tabla Articulos'!B:B,'Tabla Articulos'!E:E)</f>
        <v>#N/A</v>
      </c>
      <c r="R1261" s="44" t="e">
        <f t="shared" si="38"/>
        <v>#N/A</v>
      </c>
      <c r="S1261" s="45" t="str">
        <f t="shared" si="39"/>
        <v>BUSAT000457</v>
      </c>
    </row>
    <row r="1262" spans="1:19" hidden="1" x14ac:dyDescent="0.35">
      <c r="A1262" s="22">
        <v>6</v>
      </c>
      <c r="B1262" t="s">
        <v>801</v>
      </c>
      <c r="C1262" t="s">
        <v>802</v>
      </c>
      <c r="D1262"/>
      <c r="E1262" t="s">
        <v>5587</v>
      </c>
      <c r="F1262"/>
      <c r="G1262" t="s">
        <v>5588</v>
      </c>
      <c r="H1262" t="s">
        <v>805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 s="44" t="e">
        <f>_xlfn.XLOOKUP(Tabla5[[#This Row],[EAN CORREGIDO]],'Tabla Articulos'!B:B,'Tabla Articulos'!D:D)</f>
        <v>#N/A</v>
      </c>
      <c r="Q1262" s="44" t="e">
        <f>_xlfn.XLOOKUP(S1262,'Tabla Articulos'!B:B,'Tabla Articulos'!E:E)</f>
        <v>#N/A</v>
      </c>
      <c r="R1262" s="44" t="e">
        <f t="shared" si="38"/>
        <v>#N/A</v>
      </c>
      <c r="S1262" s="45" t="str">
        <f t="shared" si="39"/>
        <v>BUSAT000358</v>
      </c>
    </row>
    <row r="1263" spans="1:19" hidden="1" x14ac:dyDescent="0.35">
      <c r="A1263" s="22">
        <v>6</v>
      </c>
      <c r="B1263" t="s">
        <v>801</v>
      </c>
      <c r="C1263" t="s">
        <v>802</v>
      </c>
      <c r="D1263"/>
      <c r="E1263" t="s">
        <v>5177</v>
      </c>
      <c r="F1263">
        <v>9003231</v>
      </c>
      <c r="G1263" t="s">
        <v>5178</v>
      </c>
      <c r="H1263" t="s">
        <v>805</v>
      </c>
      <c r="I1263">
        <v>48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48</v>
      </c>
      <c r="P1263" s="44" t="e">
        <f>_xlfn.XLOOKUP(Tabla5[[#This Row],[EAN CORREGIDO]],'Tabla Articulos'!B:B,'Tabla Articulos'!D:D)</f>
        <v>#N/A</v>
      </c>
      <c r="Q1263" s="44" t="e">
        <f>_xlfn.XLOOKUP(S1263,'Tabla Articulos'!B:B,'Tabla Articulos'!E:E)</f>
        <v>#N/A</v>
      </c>
      <c r="R1263" s="44" t="e">
        <f t="shared" si="38"/>
        <v>#N/A</v>
      </c>
      <c r="S1263" s="45" t="str">
        <f t="shared" si="39"/>
        <v>UNIF000244</v>
      </c>
    </row>
    <row r="1264" spans="1:19" hidden="1" x14ac:dyDescent="0.35">
      <c r="A1264" s="22">
        <v>1</v>
      </c>
      <c r="B1264" t="s">
        <v>812</v>
      </c>
      <c r="C1264" t="s">
        <v>802</v>
      </c>
      <c r="D1264" s="11" t="s">
        <v>5179</v>
      </c>
      <c r="E1264" t="s">
        <v>5180</v>
      </c>
      <c r="F1264">
        <v>4019936</v>
      </c>
      <c r="G1264" t="s">
        <v>5181</v>
      </c>
      <c r="H1264" t="s">
        <v>805</v>
      </c>
      <c r="I1264">
        <v>80401</v>
      </c>
      <c r="J1264">
        <v>0</v>
      </c>
      <c r="K1264">
        <v>0</v>
      </c>
      <c r="L1264">
        <v>300</v>
      </c>
      <c r="M1264">
        <v>300</v>
      </c>
      <c r="N1264">
        <v>0</v>
      </c>
      <c r="O1264">
        <v>79801</v>
      </c>
      <c r="P1264" s="44" t="e">
        <f>_xlfn.XLOOKUP(Tabla5[[#This Row],[EAN CORREGIDO]],'Tabla Articulos'!B:B,'Tabla Articulos'!D:D)</f>
        <v>#N/A</v>
      </c>
      <c r="Q1264" s="44" t="e">
        <f>_xlfn.XLOOKUP(S1264,'Tabla Articulos'!B:B,'Tabla Articulos'!E:E)</f>
        <v>#N/A</v>
      </c>
      <c r="R1264" s="44" t="e">
        <f t="shared" si="38"/>
        <v>#N/A</v>
      </c>
      <c r="S1264" s="45" t="str">
        <f t="shared" si="39"/>
        <v>7790989004290</v>
      </c>
    </row>
    <row r="1265" spans="1:19" hidden="1" x14ac:dyDescent="0.35">
      <c r="A1265" s="22">
        <v>5</v>
      </c>
      <c r="B1265" t="s">
        <v>829</v>
      </c>
      <c r="C1265" t="s">
        <v>802</v>
      </c>
      <c r="D1265" s="11" t="s">
        <v>5179</v>
      </c>
      <c r="E1265" t="s">
        <v>5180</v>
      </c>
      <c r="F1265">
        <v>4019936</v>
      </c>
      <c r="G1265" t="s">
        <v>5181</v>
      </c>
      <c r="H1265" t="s">
        <v>805</v>
      </c>
      <c r="I1265">
        <v>7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7</v>
      </c>
      <c r="P1265" s="44" t="e">
        <f>_xlfn.XLOOKUP(Tabla5[[#This Row],[EAN CORREGIDO]],'Tabla Articulos'!B:B,'Tabla Articulos'!D:D)</f>
        <v>#N/A</v>
      </c>
      <c r="Q1265" s="44" t="e">
        <f>_xlfn.XLOOKUP(S1265,'Tabla Articulos'!B:B,'Tabla Articulos'!E:E)</f>
        <v>#N/A</v>
      </c>
      <c r="R1265" s="44" t="e">
        <f t="shared" si="38"/>
        <v>#N/A</v>
      </c>
      <c r="S1265" s="45" t="str">
        <f t="shared" si="39"/>
        <v>7790989004290</v>
      </c>
    </row>
    <row r="1266" spans="1:19" hidden="1" x14ac:dyDescent="0.35">
      <c r="A1266" s="22">
        <v>5</v>
      </c>
      <c r="B1266" t="s">
        <v>829</v>
      </c>
      <c r="C1266" t="s">
        <v>802</v>
      </c>
      <c r="D1266" s="11" t="s">
        <v>4666</v>
      </c>
      <c r="E1266" t="s">
        <v>5182</v>
      </c>
      <c r="F1266">
        <v>4020042</v>
      </c>
      <c r="G1266" t="s">
        <v>5183</v>
      </c>
      <c r="H1266" t="s">
        <v>805</v>
      </c>
      <c r="I1266">
        <v>10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10</v>
      </c>
      <c r="P1266" s="44" t="e">
        <f>_xlfn.XLOOKUP(Tabla5[[#This Row],[EAN CORREGIDO]],'Tabla Articulos'!B:B,'Tabla Articulos'!D:D)</f>
        <v>#N/A</v>
      </c>
      <c r="Q1266" s="44" t="e">
        <f>_xlfn.XLOOKUP(S1266,'Tabla Articulos'!B:B,'Tabla Articulos'!E:E)</f>
        <v>#N/A</v>
      </c>
      <c r="R1266" s="44" t="e">
        <f t="shared" si="38"/>
        <v>#N/A</v>
      </c>
      <c r="S1266" s="45" t="str">
        <f t="shared" si="39"/>
        <v>7792280000377</v>
      </c>
    </row>
    <row r="1267" spans="1:19" hidden="1" x14ac:dyDescent="0.35">
      <c r="A1267" s="22">
        <v>6</v>
      </c>
      <c r="B1267" t="s">
        <v>801</v>
      </c>
      <c r="C1267" t="s">
        <v>802</v>
      </c>
      <c r="D1267" s="11" t="s">
        <v>1374</v>
      </c>
      <c r="E1267" t="s">
        <v>5184</v>
      </c>
      <c r="F1267">
        <v>2006927</v>
      </c>
      <c r="G1267" t="s">
        <v>5185</v>
      </c>
      <c r="H1267" t="s">
        <v>805</v>
      </c>
      <c r="I1267">
        <v>60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60</v>
      </c>
      <c r="P1267" s="44" t="e">
        <f>_xlfn.XLOOKUP(Tabla5[[#This Row],[EAN CORREGIDO]],'Tabla Articulos'!B:B,'Tabla Articulos'!D:D)</f>
        <v>#N/A</v>
      </c>
      <c r="Q1267" s="44" t="e">
        <f>_xlfn.XLOOKUP(S1267,'Tabla Articulos'!B:B,'Tabla Articulos'!E:E)</f>
        <v>#N/A</v>
      </c>
      <c r="R1267" s="44" t="e">
        <f t="shared" si="38"/>
        <v>#N/A</v>
      </c>
      <c r="S1267" s="45" t="str">
        <f t="shared" si="39"/>
        <v>7798011944131</v>
      </c>
    </row>
    <row r="1268" spans="1:19" hidden="1" x14ac:dyDescent="0.35">
      <c r="A1268" s="22">
        <v>6</v>
      </c>
      <c r="B1268" t="s">
        <v>801</v>
      </c>
      <c r="C1268" t="s">
        <v>802</v>
      </c>
      <c r="D1268" t="s">
        <v>4485</v>
      </c>
      <c r="E1268" t="s">
        <v>4486</v>
      </c>
      <c r="F1268">
        <v>2006617</v>
      </c>
      <c r="G1268" t="s">
        <v>4487</v>
      </c>
      <c r="H1268" t="s">
        <v>805</v>
      </c>
      <c r="I1268">
        <v>123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123</v>
      </c>
      <c r="P1268" s="44" t="e">
        <f>_xlfn.XLOOKUP(Tabla5[[#This Row],[EAN CORREGIDO]],'Tabla Articulos'!B:B,'Tabla Articulos'!D:D)</f>
        <v>#N/A</v>
      </c>
      <c r="Q1268" s="44" t="e">
        <f>_xlfn.XLOOKUP(S1268,'Tabla Articulos'!B:B,'Tabla Articulos'!E:E)</f>
        <v>#N/A</v>
      </c>
      <c r="R1268" s="44" t="e">
        <f t="shared" si="38"/>
        <v>#N/A</v>
      </c>
      <c r="S1268" s="45" t="str">
        <f t="shared" si="39"/>
        <v>LIM000106</v>
      </c>
    </row>
    <row r="1269" spans="1:19" hidden="1" x14ac:dyDescent="0.35">
      <c r="A1269" s="22">
        <v>6</v>
      </c>
      <c r="B1269" t="s">
        <v>801</v>
      </c>
      <c r="C1269" t="s">
        <v>802</v>
      </c>
      <c r="D1269"/>
      <c r="E1269" t="s">
        <v>4488</v>
      </c>
      <c r="F1269">
        <v>5002957</v>
      </c>
      <c r="G1269" t="s">
        <v>4489</v>
      </c>
      <c r="H1269" t="s">
        <v>805</v>
      </c>
      <c r="I1269">
        <v>5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5</v>
      </c>
      <c r="P1269" s="44" t="e">
        <f>_xlfn.XLOOKUP(Tabla5[[#This Row],[EAN CORREGIDO]],'Tabla Articulos'!B:B,'Tabla Articulos'!D:D)</f>
        <v>#N/A</v>
      </c>
      <c r="Q1269" s="44" t="e">
        <f>_xlfn.XLOOKUP(S1269,'Tabla Articulos'!B:B,'Tabla Articulos'!E:E)</f>
        <v>#N/A</v>
      </c>
      <c r="R1269" s="44" t="e">
        <f t="shared" si="38"/>
        <v>#N/A</v>
      </c>
      <c r="S1269" s="45" t="str">
        <f t="shared" si="39"/>
        <v>BAZ000705</v>
      </c>
    </row>
    <row r="1270" spans="1:19" hidden="1" x14ac:dyDescent="0.35">
      <c r="A1270" s="22">
        <v>5</v>
      </c>
      <c r="B1270" t="s">
        <v>829</v>
      </c>
      <c r="C1270" t="s">
        <v>802</v>
      </c>
      <c r="D1270" s="11" t="s">
        <v>4490</v>
      </c>
      <c r="E1270" t="s">
        <v>4491</v>
      </c>
      <c r="F1270">
        <v>4024505</v>
      </c>
      <c r="G1270" t="s">
        <v>4492</v>
      </c>
      <c r="H1270" t="s">
        <v>805</v>
      </c>
      <c r="I1270">
        <v>48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48</v>
      </c>
      <c r="P1270" s="44" t="e">
        <f>_xlfn.XLOOKUP(Tabla5[[#This Row],[EAN CORREGIDO]],'Tabla Articulos'!B:B,'Tabla Articulos'!D:D)</f>
        <v>#N/A</v>
      </c>
      <c r="Q1270" s="44" t="e">
        <f>_xlfn.XLOOKUP(S1270,'Tabla Articulos'!B:B,'Tabla Articulos'!E:E)</f>
        <v>#N/A</v>
      </c>
      <c r="R1270" s="44" t="e">
        <f t="shared" si="38"/>
        <v>#N/A</v>
      </c>
      <c r="S1270" s="45" t="str">
        <f t="shared" si="39"/>
        <v>7790199604587</v>
      </c>
    </row>
    <row r="1271" spans="1:19" hidden="1" x14ac:dyDescent="0.35">
      <c r="A1271" s="22">
        <v>1</v>
      </c>
      <c r="B1271" t="s">
        <v>812</v>
      </c>
      <c r="C1271" t="s">
        <v>802</v>
      </c>
      <c r="D1271" t="s">
        <v>4490</v>
      </c>
      <c r="E1271" t="s">
        <v>4491</v>
      </c>
      <c r="F1271">
        <v>4024505</v>
      </c>
      <c r="G1271" t="s">
        <v>4492</v>
      </c>
      <c r="H1271" t="s">
        <v>805</v>
      </c>
      <c r="I1271">
        <v>2158</v>
      </c>
      <c r="J1271">
        <v>0</v>
      </c>
      <c r="K1271">
        <v>0</v>
      </c>
      <c r="L1271">
        <v>184</v>
      </c>
      <c r="M1271">
        <v>184</v>
      </c>
      <c r="N1271">
        <v>0</v>
      </c>
      <c r="O1271">
        <v>1790</v>
      </c>
      <c r="P1271" s="44" t="e">
        <f>_xlfn.XLOOKUP(Tabla5[[#This Row],[EAN CORREGIDO]],'Tabla Articulos'!B:B,'Tabla Articulos'!D:D)</f>
        <v>#N/A</v>
      </c>
      <c r="Q1271" s="44" t="e">
        <f>_xlfn.XLOOKUP(S1271,'Tabla Articulos'!B:B,'Tabla Articulos'!E:E)</f>
        <v>#N/A</v>
      </c>
      <c r="R1271" s="44" t="e">
        <f t="shared" si="38"/>
        <v>#N/A</v>
      </c>
      <c r="S1271" s="45" t="str">
        <f t="shared" si="39"/>
        <v>7790199604587</v>
      </c>
    </row>
    <row r="1272" spans="1:19" hidden="1" x14ac:dyDescent="0.35">
      <c r="A1272" s="22">
        <v>1</v>
      </c>
      <c r="B1272" t="s">
        <v>812</v>
      </c>
      <c r="C1272" t="s">
        <v>802</v>
      </c>
      <c r="D1272" t="s">
        <v>2165</v>
      </c>
      <c r="E1272" t="s">
        <v>4493</v>
      </c>
      <c r="F1272">
        <v>4022557</v>
      </c>
      <c r="G1272" t="s">
        <v>4494</v>
      </c>
      <c r="H1272" t="s">
        <v>805</v>
      </c>
      <c r="I1272">
        <v>6441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6441</v>
      </c>
      <c r="P1272" s="44" t="e">
        <f>_xlfn.XLOOKUP(Tabla5[[#This Row],[EAN CORREGIDO]],'Tabla Articulos'!B:B,'Tabla Articulos'!D:D)</f>
        <v>#N/A</v>
      </c>
      <c r="Q1272" s="44" t="e">
        <f>_xlfn.XLOOKUP(S1272,'Tabla Articulos'!B:B,'Tabla Articulos'!E:E)</f>
        <v>#N/A</v>
      </c>
      <c r="R1272" s="44" t="e">
        <f t="shared" si="38"/>
        <v>#N/A</v>
      </c>
      <c r="S1272" s="45" t="str">
        <f t="shared" si="39"/>
        <v>7798181641459</v>
      </c>
    </row>
    <row r="1273" spans="1:19" hidden="1" x14ac:dyDescent="0.35">
      <c r="A1273" s="22">
        <v>6</v>
      </c>
      <c r="B1273" t="s">
        <v>801</v>
      </c>
      <c r="C1273" t="s">
        <v>802</v>
      </c>
      <c r="D1273"/>
      <c r="E1273" t="s">
        <v>4495</v>
      </c>
      <c r="F1273">
        <v>9003998</v>
      </c>
      <c r="G1273" t="s">
        <v>4496</v>
      </c>
      <c r="H1273" t="s">
        <v>805</v>
      </c>
      <c r="I1273">
        <v>20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20</v>
      </c>
      <c r="P1273" s="44" t="e">
        <f>_xlfn.XLOOKUP(Tabla5[[#This Row],[EAN CORREGIDO]],'Tabla Articulos'!B:B,'Tabla Articulos'!D:D)</f>
        <v>#N/A</v>
      </c>
      <c r="Q1273" s="44" t="e">
        <f>_xlfn.XLOOKUP(S1273,'Tabla Articulos'!B:B,'Tabla Articulos'!E:E)</f>
        <v>#N/A</v>
      </c>
      <c r="R1273" s="44" t="e">
        <f t="shared" si="38"/>
        <v>#N/A</v>
      </c>
      <c r="S1273" s="45" t="str">
        <f t="shared" si="39"/>
        <v>UNIF000662</v>
      </c>
    </row>
    <row r="1274" spans="1:19" hidden="1" x14ac:dyDescent="0.35">
      <c r="A1274" s="22">
        <v>5</v>
      </c>
      <c r="B1274" t="s">
        <v>829</v>
      </c>
      <c r="C1274" t="s">
        <v>802</v>
      </c>
      <c r="D1274" t="s">
        <v>2894</v>
      </c>
      <c r="E1274" t="s">
        <v>4497</v>
      </c>
      <c r="F1274">
        <v>4022359</v>
      </c>
      <c r="G1274" t="s">
        <v>4498</v>
      </c>
      <c r="H1274" t="s">
        <v>805</v>
      </c>
      <c r="I1274">
        <v>98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98</v>
      </c>
      <c r="P1274" s="44" t="e">
        <f>_xlfn.XLOOKUP(Tabla5[[#This Row],[EAN CORREGIDO]],'Tabla Articulos'!B:B,'Tabla Articulos'!D:D)</f>
        <v>#N/A</v>
      </c>
      <c r="Q1274" s="44" t="e">
        <f>_xlfn.XLOOKUP(S1274,'Tabla Articulos'!B:B,'Tabla Articulos'!E:E)</f>
        <v>#N/A</v>
      </c>
      <c r="R1274" s="44" t="e">
        <f t="shared" si="38"/>
        <v>#N/A</v>
      </c>
      <c r="S1274" s="45" t="str">
        <f t="shared" si="39"/>
        <v>7790499000867</v>
      </c>
    </row>
    <row r="1275" spans="1:19" hidden="1" x14ac:dyDescent="0.35">
      <c r="A1275" s="22">
        <v>1</v>
      </c>
      <c r="B1275" t="s">
        <v>812</v>
      </c>
      <c r="C1275" t="s">
        <v>802</v>
      </c>
      <c r="D1275" t="s">
        <v>2894</v>
      </c>
      <c r="E1275" t="s">
        <v>4497</v>
      </c>
      <c r="F1275">
        <v>4022359</v>
      </c>
      <c r="G1275" t="s">
        <v>4498</v>
      </c>
      <c r="H1275" t="s">
        <v>805</v>
      </c>
      <c r="I1275">
        <v>146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146</v>
      </c>
      <c r="P1275" s="44" t="e">
        <f>_xlfn.XLOOKUP(Tabla5[[#This Row],[EAN CORREGIDO]],'Tabla Articulos'!B:B,'Tabla Articulos'!D:D)</f>
        <v>#N/A</v>
      </c>
      <c r="Q1275" s="44" t="e">
        <f>_xlfn.XLOOKUP(S1275,'Tabla Articulos'!B:B,'Tabla Articulos'!E:E)</f>
        <v>#N/A</v>
      </c>
      <c r="R1275" s="44" t="e">
        <f t="shared" si="38"/>
        <v>#N/A</v>
      </c>
      <c r="S1275" s="45" t="str">
        <f t="shared" si="39"/>
        <v>7790499000867</v>
      </c>
    </row>
    <row r="1276" spans="1:19" hidden="1" x14ac:dyDescent="0.35">
      <c r="A1276" s="22">
        <v>6</v>
      </c>
      <c r="B1276" t="s">
        <v>801</v>
      </c>
      <c r="C1276" t="s">
        <v>802</v>
      </c>
      <c r="D1276" t="s">
        <v>1198</v>
      </c>
      <c r="E1276" t="s">
        <v>4499</v>
      </c>
      <c r="F1276">
        <v>2016727</v>
      </c>
      <c r="G1276" t="s">
        <v>4500</v>
      </c>
      <c r="H1276" t="s">
        <v>805</v>
      </c>
      <c r="I1276">
        <v>281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281</v>
      </c>
      <c r="P1276" s="44" t="e">
        <f>_xlfn.XLOOKUP(Tabla5[[#This Row],[EAN CORREGIDO]],'Tabla Articulos'!B:B,'Tabla Articulos'!D:D)</f>
        <v>#N/A</v>
      </c>
      <c r="Q1276" s="44" t="e">
        <f>_xlfn.XLOOKUP(S1276,'Tabla Articulos'!B:B,'Tabla Articulos'!E:E)</f>
        <v>#N/A</v>
      </c>
      <c r="R1276" s="44" t="e">
        <f t="shared" si="38"/>
        <v>#N/A</v>
      </c>
      <c r="S1276" s="45" t="str">
        <f t="shared" si="39"/>
        <v>7797390401281</v>
      </c>
    </row>
    <row r="1277" spans="1:19" hidden="1" x14ac:dyDescent="0.35">
      <c r="A1277" s="22">
        <v>1</v>
      </c>
      <c r="B1277" t="s">
        <v>812</v>
      </c>
      <c r="C1277" t="s">
        <v>802</v>
      </c>
      <c r="D1277" t="s">
        <v>1861</v>
      </c>
      <c r="E1277" t="s">
        <v>4501</v>
      </c>
      <c r="F1277">
        <v>4019602</v>
      </c>
      <c r="G1277" t="s">
        <v>4502</v>
      </c>
      <c r="H1277" t="s">
        <v>805</v>
      </c>
      <c r="I1277">
        <v>66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66</v>
      </c>
      <c r="P1277" s="44" t="e">
        <f>_xlfn.XLOOKUP(Tabla5[[#This Row],[EAN CORREGIDO]],'Tabla Articulos'!B:B,'Tabla Articulos'!D:D)</f>
        <v>#N/A</v>
      </c>
      <c r="Q1277" s="44" t="e">
        <f>_xlfn.XLOOKUP(S1277,'Tabla Articulos'!B:B,'Tabla Articulos'!E:E)</f>
        <v>#N/A</v>
      </c>
      <c r="R1277" s="44" t="e">
        <f t="shared" si="38"/>
        <v>#N/A</v>
      </c>
      <c r="S1277" s="45" t="str">
        <f t="shared" si="39"/>
        <v>7790971001948</v>
      </c>
    </row>
    <row r="1278" spans="1:19" hidden="1" x14ac:dyDescent="0.35">
      <c r="A1278" s="22">
        <v>6</v>
      </c>
      <c r="B1278" t="s">
        <v>801</v>
      </c>
      <c r="C1278" t="s">
        <v>802</v>
      </c>
      <c r="D1278" t="s">
        <v>1723</v>
      </c>
      <c r="E1278" t="s">
        <v>1724</v>
      </c>
      <c r="F1278">
        <v>2006566</v>
      </c>
      <c r="G1278" t="s">
        <v>1725</v>
      </c>
      <c r="H1278" t="s">
        <v>805</v>
      </c>
      <c r="I1278">
        <v>21</v>
      </c>
      <c r="J1278">
        <v>0</v>
      </c>
      <c r="K1278">
        <v>0</v>
      </c>
      <c r="L1278">
        <v>0</v>
      </c>
      <c r="M1278">
        <v>2</v>
      </c>
      <c r="N1278">
        <v>0</v>
      </c>
      <c r="O1278">
        <v>19</v>
      </c>
      <c r="P1278" s="44" t="e">
        <f>_xlfn.XLOOKUP(Tabla5[[#This Row],[EAN CORREGIDO]],'Tabla Articulos'!B:B,'Tabla Articulos'!D:D)</f>
        <v>#N/A</v>
      </c>
      <c r="Q1278" s="44" t="e">
        <f>_xlfn.XLOOKUP(S1278,'Tabla Articulos'!B:B,'Tabla Articulos'!E:E)</f>
        <v>#N/A</v>
      </c>
      <c r="R1278" s="44" t="e">
        <f t="shared" si="38"/>
        <v>#N/A</v>
      </c>
      <c r="S1278" s="45" t="str">
        <f t="shared" si="39"/>
        <v>7798188650782</v>
      </c>
    </row>
    <row r="1279" spans="1:19" hidden="1" x14ac:dyDescent="0.35">
      <c r="A1279" s="22">
        <v>6</v>
      </c>
      <c r="B1279" t="s">
        <v>801</v>
      </c>
      <c r="C1279" t="s">
        <v>802</v>
      </c>
      <c r="D1279" t="s">
        <v>1726</v>
      </c>
      <c r="E1279" t="s">
        <v>1727</v>
      </c>
      <c r="F1279">
        <v>2016560</v>
      </c>
      <c r="G1279" t="s">
        <v>1728</v>
      </c>
      <c r="H1279" t="s">
        <v>805</v>
      </c>
      <c r="I1279">
        <v>10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10</v>
      </c>
      <c r="P1279" s="44" t="str">
        <f>_xlfn.XLOOKUP(Tabla5[[#This Row],[EAN CORREGIDO]],'Tabla Articulos'!B:B,'Tabla Articulos'!D:D)</f>
        <v>DEGUSTADOR</v>
      </c>
      <c r="Q1279" s="44">
        <f>_xlfn.XLOOKUP(S1279,'Tabla Articulos'!B:B,'Tabla Articulos'!E:E)</f>
        <v>2000</v>
      </c>
      <c r="R1279" s="44">
        <f t="shared" si="38"/>
        <v>20000</v>
      </c>
      <c r="S1279" s="45" t="str">
        <f t="shared" si="39"/>
        <v>7790000000735</v>
      </c>
    </row>
    <row r="1280" spans="1:19" hidden="1" x14ac:dyDescent="0.35">
      <c r="A1280" s="22">
        <v>6</v>
      </c>
      <c r="B1280" t="s">
        <v>801</v>
      </c>
      <c r="C1280" t="s">
        <v>802</v>
      </c>
      <c r="D1280"/>
      <c r="E1280" t="s">
        <v>1729</v>
      </c>
      <c r="F1280">
        <v>9003487</v>
      </c>
      <c r="G1280" t="s">
        <v>1730</v>
      </c>
      <c r="H1280" t="s">
        <v>805</v>
      </c>
      <c r="I1280">
        <v>10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10</v>
      </c>
      <c r="P1280" s="44" t="e">
        <f>_xlfn.XLOOKUP(Tabla5[[#This Row],[EAN CORREGIDO]],'Tabla Articulos'!B:B,'Tabla Articulos'!D:D)</f>
        <v>#N/A</v>
      </c>
      <c r="Q1280" s="44" t="e">
        <f>_xlfn.XLOOKUP(S1280,'Tabla Articulos'!B:B,'Tabla Articulos'!E:E)</f>
        <v>#N/A</v>
      </c>
      <c r="R1280" s="44" t="e">
        <f t="shared" si="38"/>
        <v>#N/A</v>
      </c>
      <c r="S1280" s="45" t="str">
        <f t="shared" si="39"/>
        <v>UNIF000219</v>
      </c>
    </row>
    <row r="1281" spans="1:19" hidden="1" x14ac:dyDescent="0.35">
      <c r="A1281" s="22">
        <v>1</v>
      </c>
      <c r="B1281" t="s">
        <v>812</v>
      </c>
      <c r="C1281" t="s">
        <v>802</v>
      </c>
      <c r="D1281" t="s">
        <v>1393</v>
      </c>
      <c r="E1281" t="s">
        <v>1731</v>
      </c>
      <c r="F1281">
        <v>4020778</v>
      </c>
      <c r="G1281" t="s">
        <v>1732</v>
      </c>
      <c r="H1281" t="s">
        <v>805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</v>
      </c>
      <c r="P1281" s="44" t="e">
        <f>_xlfn.XLOOKUP(Tabla5[[#This Row],[EAN CORREGIDO]],'Tabla Articulos'!B:B,'Tabla Articulos'!D:D)</f>
        <v>#N/A</v>
      </c>
      <c r="Q1281" s="44" t="e">
        <f>_xlfn.XLOOKUP(S1281,'Tabla Articulos'!B:B,'Tabla Articulos'!E:E)</f>
        <v>#N/A</v>
      </c>
      <c r="R1281" s="44" t="e">
        <f t="shared" ref="R1281:R1344" si="40">O1281*Q1281</f>
        <v>#N/A</v>
      </c>
      <c r="S1281" s="45" t="str">
        <f t="shared" ref="S1281:S1344" si="41">TRIM(E1281)</f>
        <v>7797470004838</v>
      </c>
    </row>
    <row r="1282" spans="1:19" hidden="1" x14ac:dyDescent="0.35">
      <c r="A1282" s="22">
        <v>6</v>
      </c>
      <c r="B1282" t="s">
        <v>801</v>
      </c>
      <c r="C1282" t="s">
        <v>802</v>
      </c>
      <c r="D1282"/>
      <c r="E1282" t="s">
        <v>1733</v>
      </c>
      <c r="F1282">
        <v>9003783</v>
      </c>
      <c r="G1282" t="s">
        <v>1734</v>
      </c>
      <c r="H1282" t="s">
        <v>805</v>
      </c>
      <c r="I1282">
        <v>60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60</v>
      </c>
      <c r="P1282" s="44" t="e">
        <f>_xlfn.XLOOKUP(Tabla5[[#This Row],[EAN CORREGIDO]],'Tabla Articulos'!B:B,'Tabla Articulos'!D:D)</f>
        <v>#N/A</v>
      </c>
      <c r="Q1282" s="44" t="e">
        <f>_xlfn.XLOOKUP(S1282,'Tabla Articulos'!B:B,'Tabla Articulos'!E:E)</f>
        <v>#N/A</v>
      </c>
      <c r="R1282" s="44" t="e">
        <f t="shared" si="40"/>
        <v>#N/A</v>
      </c>
      <c r="S1282" s="45" t="str">
        <f t="shared" si="41"/>
        <v>BAZ001247</v>
      </c>
    </row>
    <row r="1283" spans="1:19" hidden="1" x14ac:dyDescent="0.35">
      <c r="A1283" s="22">
        <v>6</v>
      </c>
      <c r="B1283" t="s">
        <v>801</v>
      </c>
      <c r="C1283" t="s">
        <v>802</v>
      </c>
      <c r="E1283" t="s">
        <v>1735</v>
      </c>
      <c r="F1283">
        <v>9004203</v>
      </c>
      <c r="G1283" t="s">
        <v>1736</v>
      </c>
      <c r="H1283" t="s">
        <v>805</v>
      </c>
      <c r="I1283">
        <v>10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10</v>
      </c>
      <c r="P1283" s="44" t="e">
        <f>_xlfn.XLOOKUP(Tabla5[[#This Row],[EAN CORREGIDO]],'Tabla Articulos'!B:B,'Tabla Articulos'!D:D)</f>
        <v>#N/A</v>
      </c>
      <c r="Q1283" s="44" t="e">
        <f>_xlfn.XLOOKUP(S1283,'Tabla Articulos'!B:B,'Tabla Articulos'!E:E)</f>
        <v>#N/A</v>
      </c>
      <c r="R1283" s="44" t="e">
        <f t="shared" si="40"/>
        <v>#N/A</v>
      </c>
      <c r="S1283" s="45" t="str">
        <f t="shared" si="41"/>
        <v>UNIF000749</v>
      </c>
    </row>
    <row r="1284" spans="1:19" hidden="1" x14ac:dyDescent="0.35">
      <c r="A1284" s="22">
        <v>6</v>
      </c>
      <c r="B1284" t="s">
        <v>801</v>
      </c>
      <c r="C1284" t="s">
        <v>802</v>
      </c>
      <c r="E1284" t="s">
        <v>4799</v>
      </c>
      <c r="F1284"/>
      <c r="G1284" t="s">
        <v>4800</v>
      </c>
      <c r="H1284" t="s">
        <v>805</v>
      </c>
      <c r="I1284">
        <v>47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47</v>
      </c>
      <c r="P1284" s="44" t="e">
        <f>_xlfn.XLOOKUP(Tabla5[[#This Row],[EAN CORREGIDO]],'Tabla Articulos'!B:B,'Tabla Articulos'!D:D)</f>
        <v>#N/A</v>
      </c>
      <c r="Q1284" s="44" t="e">
        <f>_xlfn.XLOOKUP(S1284,'Tabla Articulos'!B:B,'Tabla Articulos'!E:E)</f>
        <v>#N/A</v>
      </c>
      <c r="R1284" s="44" t="e">
        <f t="shared" si="40"/>
        <v>#N/A</v>
      </c>
      <c r="S1284" s="45" t="str">
        <f t="shared" si="41"/>
        <v>BUSAT000148</v>
      </c>
    </row>
    <row r="1285" spans="1:19" hidden="1" x14ac:dyDescent="0.35">
      <c r="A1285" s="22">
        <v>6</v>
      </c>
      <c r="B1285" t="s">
        <v>801</v>
      </c>
      <c r="C1285" t="s">
        <v>802</v>
      </c>
      <c r="D1285"/>
      <c r="E1285" t="s">
        <v>4801</v>
      </c>
      <c r="F1285"/>
      <c r="G1285" t="s">
        <v>4802</v>
      </c>
      <c r="H1285" t="s">
        <v>1034</v>
      </c>
      <c r="I1285">
        <v>16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16</v>
      </c>
      <c r="P1285" s="44" t="e">
        <f>_xlfn.XLOOKUP(Tabla5[[#This Row],[EAN CORREGIDO]],'Tabla Articulos'!B:B,'Tabla Articulos'!D:D)</f>
        <v>#N/A</v>
      </c>
      <c r="Q1285" s="44" t="e">
        <f>_xlfn.XLOOKUP(S1285,'Tabla Articulos'!B:B,'Tabla Articulos'!E:E)</f>
        <v>#N/A</v>
      </c>
      <c r="R1285" s="44" t="e">
        <f t="shared" si="40"/>
        <v>#N/A</v>
      </c>
      <c r="S1285" s="45" t="str">
        <f t="shared" si="41"/>
        <v>BUSAT000084</v>
      </c>
    </row>
    <row r="1286" spans="1:19" hidden="1" x14ac:dyDescent="0.35">
      <c r="A1286" s="22">
        <v>6</v>
      </c>
      <c r="B1286" t="s">
        <v>801</v>
      </c>
      <c r="C1286" t="s">
        <v>802</v>
      </c>
      <c r="D1286"/>
      <c r="E1286" t="s">
        <v>4803</v>
      </c>
      <c r="F1286"/>
      <c r="G1286" t="s">
        <v>4804</v>
      </c>
      <c r="H1286" t="s">
        <v>805</v>
      </c>
      <c r="I1286">
        <v>42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42</v>
      </c>
      <c r="P1286" s="44" t="e">
        <f>_xlfn.XLOOKUP(Tabla5[[#This Row],[EAN CORREGIDO]],'Tabla Articulos'!B:B,'Tabla Articulos'!D:D)</f>
        <v>#N/A</v>
      </c>
      <c r="Q1286" s="44" t="e">
        <f>_xlfn.XLOOKUP(S1286,'Tabla Articulos'!B:B,'Tabla Articulos'!E:E)</f>
        <v>#N/A</v>
      </c>
      <c r="R1286" s="44" t="e">
        <f t="shared" si="40"/>
        <v>#N/A</v>
      </c>
      <c r="S1286" s="45" t="str">
        <f t="shared" si="41"/>
        <v>BUSAT000204</v>
      </c>
    </row>
    <row r="1287" spans="1:19" hidden="1" x14ac:dyDescent="0.35">
      <c r="A1287" s="22">
        <v>6</v>
      </c>
      <c r="B1287" t="s">
        <v>801</v>
      </c>
      <c r="C1287" t="s">
        <v>802</v>
      </c>
      <c r="E1287" t="s">
        <v>4973</v>
      </c>
      <c r="F1287"/>
      <c r="G1287" t="s">
        <v>4974</v>
      </c>
      <c r="H1287" t="s">
        <v>805</v>
      </c>
      <c r="I1287">
        <v>4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4</v>
      </c>
      <c r="P1287" s="44" t="e">
        <f>_xlfn.XLOOKUP(Tabla5[[#This Row],[EAN CORREGIDO]],'Tabla Articulos'!B:B,'Tabla Articulos'!D:D)</f>
        <v>#N/A</v>
      </c>
      <c r="Q1287" s="44" t="e">
        <f>_xlfn.XLOOKUP(S1287,'Tabla Articulos'!B:B,'Tabla Articulos'!E:E)</f>
        <v>#N/A</v>
      </c>
      <c r="R1287" s="44" t="e">
        <f t="shared" si="40"/>
        <v>#N/A</v>
      </c>
      <c r="S1287" s="45" t="str">
        <f t="shared" si="41"/>
        <v>BUSAT000601</v>
      </c>
    </row>
    <row r="1288" spans="1:19" hidden="1" x14ac:dyDescent="0.35">
      <c r="A1288" s="22">
        <v>1</v>
      </c>
      <c r="B1288" t="s">
        <v>812</v>
      </c>
      <c r="C1288" t="s">
        <v>802</v>
      </c>
      <c r="D1288" s="11" t="s">
        <v>1497</v>
      </c>
      <c r="E1288" t="s">
        <v>4975</v>
      </c>
      <c r="F1288"/>
      <c r="G1288" t="s">
        <v>4976</v>
      </c>
      <c r="H1288" t="s">
        <v>805</v>
      </c>
      <c r="I1288">
        <v>24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24</v>
      </c>
      <c r="P1288" s="44" t="e">
        <f>_xlfn.XLOOKUP(Tabla5[[#This Row],[EAN CORREGIDO]],'Tabla Articulos'!B:B,'Tabla Articulos'!D:D)</f>
        <v>#N/A</v>
      </c>
      <c r="Q1288" s="44" t="e">
        <f>_xlfn.XLOOKUP(S1288,'Tabla Articulos'!B:B,'Tabla Articulos'!E:E)</f>
        <v>#N/A</v>
      </c>
      <c r="R1288" s="44" t="e">
        <f t="shared" si="40"/>
        <v>#N/A</v>
      </c>
      <c r="S1288" s="45" t="str">
        <f t="shared" si="41"/>
        <v>7790971002426</v>
      </c>
    </row>
    <row r="1289" spans="1:19" hidden="1" x14ac:dyDescent="0.35">
      <c r="A1289" s="22">
        <v>6</v>
      </c>
      <c r="B1289" t="s">
        <v>801</v>
      </c>
      <c r="C1289" t="s">
        <v>802</v>
      </c>
      <c r="D1289"/>
      <c r="E1289" t="s">
        <v>4977</v>
      </c>
      <c r="F1289"/>
      <c r="G1289" t="s">
        <v>4978</v>
      </c>
      <c r="H1289" t="s">
        <v>1034</v>
      </c>
      <c r="I1289">
        <v>4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</v>
      </c>
      <c r="P1289" s="44" t="e">
        <f>_xlfn.XLOOKUP(Tabla5[[#This Row],[EAN CORREGIDO]],'Tabla Articulos'!B:B,'Tabla Articulos'!D:D)</f>
        <v>#N/A</v>
      </c>
      <c r="Q1289" s="44" t="e">
        <f>_xlfn.XLOOKUP(S1289,'Tabla Articulos'!B:B,'Tabla Articulos'!E:E)</f>
        <v>#N/A</v>
      </c>
      <c r="R1289" s="44" t="e">
        <f t="shared" si="40"/>
        <v>#N/A</v>
      </c>
      <c r="S1289" s="45" t="str">
        <f t="shared" si="41"/>
        <v>LIM000569</v>
      </c>
    </row>
    <row r="1290" spans="1:19" hidden="1" x14ac:dyDescent="0.35">
      <c r="A1290" s="22">
        <v>6</v>
      </c>
      <c r="B1290" t="s">
        <v>801</v>
      </c>
      <c r="C1290" t="s">
        <v>802</v>
      </c>
      <c r="D1290"/>
      <c r="E1290" t="s">
        <v>4979</v>
      </c>
      <c r="F1290"/>
      <c r="G1290" t="s">
        <v>4980</v>
      </c>
      <c r="H1290" t="s">
        <v>805</v>
      </c>
      <c r="I1290">
        <v>4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</v>
      </c>
      <c r="P1290" s="44" t="e">
        <f>_xlfn.XLOOKUP(Tabla5[[#This Row],[EAN CORREGIDO]],'Tabla Articulos'!B:B,'Tabla Articulos'!D:D)</f>
        <v>#N/A</v>
      </c>
      <c r="Q1290" s="44" t="e">
        <f>_xlfn.XLOOKUP(S1290,'Tabla Articulos'!B:B,'Tabla Articulos'!E:E)</f>
        <v>#N/A</v>
      </c>
      <c r="R1290" s="44" t="e">
        <f t="shared" si="40"/>
        <v>#N/A</v>
      </c>
      <c r="S1290" s="45" t="str">
        <f t="shared" si="41"/>
        <v>BUSAT000336</v>
      </c>
    </row>
    <row r="1291" spans="1:19" hidden="1" x14ac:dyDescent="0.35">
      <c r="A1291" s="22">
        <v>6</v>
      </c>
      <c r="B1291" t="s">
        <v>801</v>
      </c>
      <c r="C1291" t="s">
        <v>802</v>
      </c>
      <c r="D1291"/>
      <c r="E1291" t="s">
        <v>4981</v>
      </c>
      <c r="F1291"/>
      <c r="G1291" t="s">
        <v>4982</v>
      </c>
      <c r="H1291" t="s">
        <v>805</v>
      </c>
      <c r="I1291">
        <v>140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140</v>
      </c>
      <c r="P1291" s="44" t="e">
        <f>_xlfn.XLOOKUP(Tabla5[[#This Row],[EAN CORREGIDO]],'Tabla Articulos'!B:B,'Tabla Articulos'!D:D)</f>
        <v>#N/A</v>
      </c>
      <c r="Q1291" s="44" t="e">
        <f>_xlfn.XLOOKUP(S1291,'Tabla Articulos'!B:B,'Tabla Articulos'!E:E)</f>
        <v>#N/A</v>
      </c>
      <c r="R1291" s="44" t="e">
        <f t="shared" si="40"/>
        <v>#N/A</v>
      </c>
      <c r="S1291" s="45" t="str">
        <f t="shared" si="41"/>
        <v>BUSAT000988</v>
      </c>
    </row>
    <row r="1292" spans="1:19" hidden="1" x14ac:dyDescent="0.35">
      <c r="A1292" s="22">
        <v>6</v>
      </c>
      <c r="B1292" t="s">
        <v>801</v>
      </c>
      <c r="C1292" t="s">
        <v>802</v>
      </c>
      <c r="E1292" t="s">
        <v>4983</v>
      </c>
      <c r="F1292"/>
      <c r="G1292" t="s">
        <v>4984</v>
      </c>
      <c r="H1292" t="s">
        <v>805</v>
      </c>
      <c r="I1292">
        <v>6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6</v>
      </c>
      <c r="P1292" s="44" t="e">
        <f>_xlfn.XLOOKUP(Tabla5[[#This Row],[EAN CORREGIDO]],'Tabla Articulos'!B:B,'Tabla Articulos'!D:D)</f>
        <v>#N/A</v>
      </c>
      <c r="Q1292" s="44" t="e">
        <f>_xlfn.XLOOKUP(S1292,'Tabla Articulos'!B:B,'Tabla Articulos'!E:E)</f>
        <v>#N/A</v>
      </c>
      <c r="R1292" s="44" t="e">
        <f t="shared" si="40"/>
        <v>#N/A</v>
      </c>
      <c r="S1292" s="45" t="str">
        <f t="shared" si="41"/>
        <v>BUSAT000066</v>
      </c>
    </row>
    <row r="1293" spans="1:19" hidden="1" x14ac:dyDescent="0.35">
      <c r="A1293" s="22">
        <v>6</v>
      </c>
      <c r="B1293" t="s">
        <v>801</v>
      </c>
      <c r="C1293" t="s">
        <v>802</v>
      </c>
      <c r="D1293"/>
      <c r="E1293" t="s">
        <v>4985</v>
      </c>
      <c r="F1293"/>
      <c r="G1293" t="s">
        <v>4986</v>
      </c>
      <c r="H1293" t="s">
        <v>805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 s="44" t="e">
        <f>_xlfn.XLOOKUP(Tabla5[[#This Row],[EAN CORREGIDO]],'Tabla Articulos'!B:B,'Tabla Articulos'!D:D)</f>
        <v>#N/A</v>
      </c>
      <c r="Q1293" s="44" t="e">
        <f>_xlfn.XLOOKUP(S1293,'Tabla Articulos'!B:B,'Tabla Articulos'!E:E)</f>
        <v>#N/A</v>
      </c>
      <c r="R1293" s="44" t="e">
        <f t="shared" si="40"/>
        <v>#N/A</v>
      </c>
      <c r="S1293" s="45" t="str">
        <f t="shared" si="41"/>
        <v>BUSAT001100</v>
      </c>
    </row>
    <row r="1294" spans="1:19" hidden="1" x14ac:dyDescent="0.35">
      <c r="A1294" s="22">
        <v>6</v>
      </c>
      <c r="B1294" t="s">
        <v>801</v>
      </c>
      <c r="C1294" t="s">
        <v>802</v>
      </c>
      <c r="D1294"/>
      <c r="E1294" t="s">
        <v>4987</v>
      </c>
      <c r="F1294"/>
      <c r="G1294" t="s">
        <v>4988</v>
      </c>
      <c r="H1294" t="s">
        <v>805</v>
      </c>
      <c r="I1294">
        <v>13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13</v>
      </c>
      <c r="P1294" s="44" t="e">
        <f>_xlfn.XLOOKUP(Tabla5[[#This Row],[EAN CORREGIDO]],'Tabla Articulos'!B:B,'Tabla Articulos'!D:D)</f>
        <v>#N/A</v>
      </c>
      <c r="Q1294" s="44" t="e">
        <f>_xlfn.XLOOKUP(S1294,'Tabla Articulos'!B:B,'Tabla Articulos'!E:E)</f>
        <v>#N/A</v>
      </c>
      <c r="R1294" s="44" t="e">
        <f t="shared" si="40"/>
        <v>#N/A</v>
      </c>
      <c r="S1294" s="45" t="str">
        <f t="shared" si="41"/>
        <v>705958</v>
      </c>
    </row>
    <row r="1295" spans="1:19" hidden="1" x14ac:dyDescent="0.35">
      <c r="A1295" s="22">
        <v>6</v>
      </c>
      <c r="B1295" t="s">
        <v>801</v>
      </c>
      <c r="C1295" t="s">
        <v>802</v>
      </c>
      <c r="E1295" t="s">
        <v>4989</v>
      </c>
      <c r="F1295"/>
      <c r="G1295" t="s">
        <v>4990</v>
      </c>
      <c r="H1295" t="s">
        <v>805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2</v>
      </c>
      <c r="P1295" s="44" t="e">
        <f>_xlfn.XLOOKUP(Tabla5[[#This Row],[EAN CORREGIDO]],'Tabla Articulos'!B:B,'Tabla Articulos'!D:D)</f>
        <v>#N/A</v>
      </c>
      <c r="Q1295" s="44" t="e">
        <f>_xlfn.XLOOKUP(S1295,'Tabla Articulos'!B:B,'Tabla Articulos'!E:E)</f>
        <v>#N/A</v>
      </c>
      <c r="R1295" s="44" t="e">
        <f t="shared" si="40"/>
        <v>#N/A</v>
      </c>
      <c r="S1295" s="45" t="str">
        <f t="shared" si="41"/>
        <v>BUSAT000894</v>
      </c>
    </row>
    <row r="1296" spans="1:19" hidden="1" x14ac:dyDescent="0.35">
      <c r="A1296" s="22">
        <v>6</v>
      </c>
      <c r="B1296" t="s">
        <v>801</v>
      </c>
      <c r="C1296" t="s">
        <v>802</v>
      </c>
      <c r="D1296"/>
      <c r="E1296" t="s">
        <v>4991</v>
      </c>
      <c r="F1296"/>
      <c r="G1296" t="s">
        <v>4992</v>
      </c>
      <c r="H1296" t="s">
        <v>805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</v>
      </c>
      <c r="P1296" s="44" t="e">
        <f>_xlfn.XLOOKUP(Tabla5[[#This Row],[EAN CORREGIDO]],'Tabla Articulos'!B:B,'Tabla Articulos'!D:D)</f>
        <v>#N/A</v>
      </c>
      <c r="Q1296" s="44" t="e">
        <f>_xlfn.XLOOKUP(S1296,'Tabla Articulos'!B:B,'Tabla Articulos'!E:E)</f>
        <v>#N/A</v>
      </c>
      <c r="R1296" s="44" t="e">
        <f t="shared" si="40"/>
        <v>#N/A</v>
      </c>
      <c r="S1296" s="45" t="str">
        <f t="shared" si="41"/>
        <v>BUSAT000318</v>
      </c>
    </row>
    <row r="1297" spans="1:19" hidden="1" x14ac:dyDescent="0.35">
      <c r="A1297" s="22">
        <v>6</v>
      </c>
      <c r="B1297" t="s">
        <v>801</v>
      </c>
      <c r="C1297" t="s">
        <v>802</v>
      </c>
      <c r="D1297"/>
      <c r="E1297" t="s">
        <v>4993</v>
      </c>
      <c r="F1297"/>
      <c r="G1297" t="s">
        <v>4994</v>
      </c>
      <c r="H1297" t="s">
        <v>805</v>
      </c>
      <c r="I1297">
        <v>5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5</v>
      </c>
      <c r="P1297" s="44" t="e">
        <f>_xlfn.XLOOKUP(Tabla5[[#This Row],[EAN CORREGIDO]],'Tabla Articulos'!B:B,'Tabla Articulos'!D:D)</f>
        <v>#N/A</v>
      </c>
      <c r="Q1297" s="44" t="e">
        <f>_xlfn.XLOOKUP(S1297,'Tabla Articulos'!B:B,'Tabla Articulos'!E:E)</f>
        <v>#N/A</v>
      </c>
      <c r="R1297" s="44" t="e">
        <f t="shared" si="40"/>
        <v>#N/A</v>
      </c>
      <c r="S1297" s="45" t="str">
        <f t="shared" si="41"/>
        <v>BUSAT000087</v>
      </c>
    </row>
    <row r="1298" spans="1:19" hidden="1" x14ac:dyDescent="0.35">
      <c r="A1298" s="22">
        <v>6</v>
      </c>
      <c r="B1298" t="s">
        <v>801</v>
      </c>
      <c r="C1298" t="s">
        <v>802</v>
      </c>
      <c r="E1298" t="s">
        <v>4995</v>
      </c>
      <c r="F1298"/>
      <c r="G1298" t="s">
        <v>4996</v>
      </c>
      <c r="H1298" t="s">
        <v>805</v>
      </c>
      <c r="I1298">
        <v>11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11</v>
      </c>
      <c r="P1298" s="44" t="e">
        <f>_xlfn.XLOOKUP(Tabla5[[#This Row],[EAN CORREGIDO]],'Tabla Articulos'!B:B,'Tabla Articulos'!D:D)</f>
        <v>#N/A</v>
      </c>
      <c r="Q1298" s="44" t="e">
        <f>_xlfn.XLOOKUP(S1298,'Tabla Articulos'!B:B,'Tabla Articulos'!E:E)</f>
        <v>#N/A</v>
      </c>
      <c r="R1298" s="44" t="e">
        <f t="shared" si="40"/>
        <v>#N/A</v>
      </c>
      <c r="S1298" s="45" t="str">
        <f t="shared" si="41"/>
        <v>BUSAT000381</v>
      </c>
    </row>
    <row r="1299" spans="1:19" hidden="1" x14ac:dyDescent="0.35">
      <c r="A1299" s="22">
        <v>6</v>
      </c>
      <c r="B1299" t="s">
        <v>801</v>
      </c>
      <c r="C1299" t="s">
        <v>802</v>
      </c>
      <c r="E1299" t="s">
        <v>4997</v>
      </c>
      <c r="F1299"/>
      <c r="G1299" t="s">
        <v>4998</v>
      </c>
      <c r="H1299" t="s">
        <v>805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 s="44" t="e">
        <f>_xlfn.XLOOKUP(Tabla5[[#This Row],[EAN CORREGIDO]],'Tabla Articulos'!B:B,'Tabla Articulos'!D:D)</f>
        <v>#N/A</v>
      </c>
      <c r="Q1299" s="44" t="e">
        <f>_xlfn.XLOOKUP(S1299,'Tabla Articulos'!B:B,'Tabla Articulos'!E:E)</f>
        <v>#N/A</v>
      </c>
      <c r="R1299" s="44" t="e">
        <f t="shared" si="40"/>
        <v>#N/A</v>
      </c>
      <c r="S1299" s="45" t="str">
        <f t="shared" si="41"/>
        <v>BUSAT000014</v>
      </c>
    </row>
    <row r="1300" spans="1:19" hidden="1" x14ac:dyDescent="0.35">
      <c r="A1300" s="22">
        <v>6</v>
      </c>
      <c r="B1300" t="s">
        <v>801</v>
      </c>
      <c r="C1300" t="s">
        <v>802</v>
      </c>
      <c r="D1300"/>
      <c r="E1300" t="s">
        <v>4999</v>
      </c>
      <c r="F1300"/>
      <c r="G1300" t="s">
        <v>5000</v>
      </c>
      <c r="H1300" t="s">
        <v>805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</v>
      </c>
      <c r="P1300" s="44" t="e">
        <f>_xlfn.XLOOKUP(Tabla5[[#This Row],[EAN CORREGIDO]],'Tabla Articulos'!B:B,'Tabla Articulos'!D:D)</f>
        <v>#N/A</v>
      </c>
      <c r="Q1300" s="44" t="e">
        <f>_xlfn.XLOOKUP(S1300,'Tabla Articulos'!B:B,'Tabla Articulos'!E:E)</f>
        <v>#N/A</v>
      </c>
      <c r="R1300" s="44" t="e">
        <f t="shared" si="40"/>
        <v>#N/A</v>
      </c>
      <c r="S1300" s="45" t="str">
        <f t="shared" si="41"/>
        <v>BUSAT000351</v>
      </c>
    </row>
    <row r="1301" spans="1:19" hidden="1" x14ac:dyDescent="0.35">
      <c r="A1301" s="22">
        <v>6</v>
      </c>
      <c r="B1301" t="s">
        <v>801</v>
      </c>
      <c r="C1301" t="s">
        <v>802</v>
      </c>
      <c r="E1301" t="s">
        <v>5001</v>
      </c>
      <c r="F1301"/>
      <c r="G1301" t="s">
        <v>5002</v>
      </c>
      <c r="H1301" t="s">
        <v>1034</v>
      </c>
      <c r="I1301">
        <v>6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6</v>
      </c>
      <c r="P1301" s="44" t="e">
        <f>_xlfn.XLOOKUP(Tabla5[[#This Row],[EAN CORREGIDO]],'Tabla Articulos'!B:B,'Tabla Articulos'!D:D)</f>
        <v>#N/A</v>
      </c>
      <c r="Q1301" s="44" t="e">
        <f>_xlfn.XLOOKUP(S1301,'Tabla Articulos'!B:B,'Tabla Articulos'!E:E)</f>
        <v>#N/A</v>
      </c>
      <c r="R1301" s="44" t="e">
        <f t="shared" si="40"/>
        <v>#N/A</v>
      </c>
      <c r="S1301" s="45" t="str">
        <f t="shared" si="41"/>
        <v>BUSAT000855</v>
      </c>
    </row>
    <row r="1302" spans="1:19" hidden="1" x14ac:dyDescent="0.35">
      <c r="A1302" s="22">
        <v>6</v>
      </c>
      <c r="B1302" t="s">
        <v>801</v>
      </c>
      <c r="C1302" t="s">
        <v>802</v>
      </c>
      <c r="E1302" t="s">
        <v>5003</v>
      </c>
      <c r="F1302"/>
      <c r="G1302" t="s">
        <v>5004</v>
      </c>
      <c r="H1302" t="s">
        <v>805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</v>
      </c>
      <c r="P1302" s="44" t="e">
        <f>_xlfn.XLOOKUP(Tabla5[[#This Row],[EAN CORREGIDO]],'Tabla Articulos'!B:B,'Tabla Articulos'!D:D)</f>
        <v>#N/A</v>
      </c>
      <c r="Q1302" s="44" t="e">
        <f>_xlfn.XLOOKUP(S1302,'Tabla Articulos'!B:B,'Tabla Articulos'!E:E)</f>
        <v>#N/A</v>
      </c>
      <c r="R1302" s="44" t="e">
        <f t="shared" si="40"/>
        <v>#N/A</v>
      </c>
      <c r="S1302" s="45" t="str">
        <f t="shared" si="41"/>
        <v>BUM314</v>
      </c>
    </row>
    <row r="1303" spans="1:19" hidden="1" x14ac:dyDescent="0.35">
      <c r="A1303" s="22">
        <v>6</v>
      </c>
      <c r="B1303" t="s">
        <v>801</v>
      </c>
      <c r="C1303" t="s">
        <v>802</v>
      </c>
      <c r="E1303" t="s">
        <v>5005</v>
      </c>
      <c r="F1303"/>
      <c r="G1303" t="s">
        <v>5006</v>
      </c>
      <c r="H1303" t="s">
        <v>805</v>
      </c>
      <c r="I1303">
        <v>3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3</v>
      </c>
      <c r="P1303" s="44" t="e">
        <f>_xlfn.XLOOKUP(Tabla5[[#This Row],[EAN CORREGIDO]],'Tabla Articulos'!B:B,'Tabla Articulos'!D:D)</f>
        <v>#N/A</v>
      </c>
      <c r="Q1303" s="44" t="e">
        <f>_xlfn.XLOOKUP(S1303,'Tabla Articulos'!B:B,'Tabla Articulos'!E:E)</f>
        <v>#N/A</v>
      </c>
      <c r="R1303" s="44" t="e">
        <f t="shared" si="40"/>
        <v>#N/A</v>
      </c>
      <c r="S1303" s="45" t="str">
        <f t="shared" si="41"/>
        <v>BUSAT001117</v>
      </c>
    </row>
    <row r="1304" spans="1:19" hidden="1" x14ac:dyDescent="0.35">
      <c r="A1304" s="22">
        <v>6</v>
      </c>
      <c r="B1304" t="s">
        <v>801</v>
      </c>
      <c r="C1304" t="s">
        <v>802</v>
      </c>
      <c r="E1304" t="s">
        <v>5007</v>
      </c>
      <c r="F1304"/>
      <c r="G1304" t="s">
        <v>5008</v>
      </c>
      <c r="H1304" t="s">
        <v>805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1</v>
      </c>
      <c r="P1304" s="44" t="e">
        <f>_xlfn.XLOOKUP(Tabla5[[#This Row],[EAN CORREGIDO]],'Tabla Articulos'!B:B,'Tabla Articulos'!D:D)</f>
        <v>#N/A</v>
      </c>
      <c r="Q1304" s="44" t="e">
        <f>_xlfn.XLOOKUP(S1304,'Tabla Articulos'!B:B,'Tabla Articulos'!E:E)</f>
        <v>#N/A</v>
      </c>
      <c r="R1304" s="44" t="e">
        <f t="shared" si="40"/>
        <v>#N/A</v>
      </c>
      <c r="S1304" s="45" t="str">
        <f t="shared" si="41"/>
        <v>BUSAT000173</v>
      </c>
    </row>
    <row r="1305" spans="1:19" hidden="1" x14ac:dyDescent="0.35">
      <c r="A1305" s="22">
        <v>6</v>
      </c>
      <c r="B1305" t="s">
        <v>801</v>
      </c>
      <c r="C1305" t="s">
        <v>802</v>
      </c>
      <c r="E1305" t="s">
        <v>5009</v>
      </c>
      <c r="F1305"/>
      <c r="G1305" t="s">
        <v>5010</v>
      </c>
      <c r="H1305" t="s">
        <v>805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1</v>
      </c>
      <c r="P1305" s="44" t="e">
        <f>_xlfn.XLOOKUP(Tabla5[[#This Row],[EAN CORREGIDO]],'Tabla Articulos'!B:B,'Tabla Articulos'!D:D)</f>
        <v>#N/A</v>
      </c>
      <c r="Q1305" s="44" t="e">
        <f>_xlfn.XLOOKUP(S1305,'Tabla Articulos'!B:B,'Tabla Articulos'!E:E)</f>
        <v>#N/A</v>
      </c>
      <c r="R1305" s="44" t="e">
        <f t="shared" si="40"/>
        <v>#N/A</v>
      </c>
      <c r="S1305" s="45" t="str">
        <f t="shared" si="41"/>
        <v>BUSAT000198</v>
      </c>
    </row>
    <row r="1306" spans="1:19" hidden="1" x14ac:dyDescent="0.35">
      <c r="A1306" s="22">
        <v>6</v>
      </c>
      <c r="B1306" t="s">
        <v>801</v>
      </c>
      <c r="C1306" t="s">
        <v>802</v>
      </c>
      <c r="E1306" t="s">
        <v>5011</v>
      </c>
      <c r="F1306"/>
      <c r="G1306" t="s">
        <v>5012</v>
      </c>
      <c r="H1306" t="s">
        <v>805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1</v>
      </c>
      <c r="P1306" s="44" t="e">
        <f>_xlfn.XLOOKUP(Tabla5[[#This Row],[EAN CORREGIDO]],'Tabla Articulos'!B:B,'Tabla Articulos'!D:D)</f>
        <v>#N/A</v>
      </c>
      <c r="Q1306" s="44" t="e">
        <f>_xlfn.XLOOKUP(S1306,'Tabla Articulos'!B:B,'Tabla Articulos'!E:E)</f>
        <v>#N/A</v>
      </c>
      <c r="R1306" s="44" t="e">
        <f t="shared" si="40"/>
        <v>#N/A</v>
      </c>
      <c r="S1306" s="45" t="str">
        <f t="shared" si="41"/>
        <v>BUSAT000183</v>
      </c>
    </row>
    <row r="1307" spans="1:19" hidden="1" x14ac:dyDescent="0.35">
      <c r="A1307" s="22">
        <v>6</v>
      </c>
      <c r="B1307" t="s">
        <v>801</v>
      </c>
      <c r="C1307" t="s">
        <v>802</v>
      </c>
      <c r="D1307"/>
      <c r="E1307" t="s">
        <v>5013</v>
      </c>
      <c r="F1307"/>
      <c r="G1307" t="s">
        <v>3952</v>
      </c>
      <c r="H1307" t="s">
        <v>805</v>
      </c>
      <c r="I1307">
        <v>208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208</v>
      </c>
      <c r="P1307" s="44" t="e">
        <f>_xlfn.XLOOKUP(Tabla5[[#This Row],[EAN CORREGIDO]],'Tabla Articulos'!B:B,'Tabla Articulos'!D:D)</f>
        <v>#N/A</v>
      </c>
      <c r="Q1307" s="44" t="e">
        <f>_xlfn.XLOOKUP(S1307,'Tabla Articulos'!B:B,'Tabla Articulos'!E:E)</f>
        <v>#N/A</v>
      </c>
      <c r="R1307" s="44" t="e">
        <f t="shared" si="40"/>
        <v>#N/A</v>
      </c>
      <c r="S1307" s="45" t="str">
        <f t="shared" si="41"/>
        <v>2006255</v>
      </c>
    </row>
    <row r="1308" spans="1:19" hidden="1" x14ac:dyDescent="0.35">
      <c r="A1308" s="22">
        <v>1</v>
      </c>
      <c r="B1308" t="s">
        <v>812</v>
      </c>
      <c r="C1308" t="s">
        <v>802</v>
      </c>
      <c r="D1308" t="s">
        <v>1737</v>
      </c>
      <c r="E1308" t="s">
        <v>1738</v>
      </c>
      <c r="F1308">
        <v>4002136</v>
      </c>
      <c r="G1308" t="s">
        <v>1739</v>
      </c>
      <c r="H1308" t="s">
        <v>805</v>
      </c>
      <c r="I1308">
        <v>13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13</v>
      </c>
      <c r="P1308" s="44" t="e">
        <f>_xlfn.XLOOKUP(Tabla5[[#This Row],[EAN CORREGIDO]],'Tabla Articulos'!B:B,'Tabla Articulos'!D:D)</f>
        <v>#N/A</v>
      </c>
      <c r="Q1308" s="44" t="e">
        <f>_xlfn.XLOOKUP(S1308,'Tabla Articulos'!B:B,'Tabla Articulos'!E:E)</f>
        <v>#N/A</v>
      </c>
      <c r="R1308" s="44" t="e">
        <f t="shared" si="40"/>
        <v>#N/A</v>
      </c>
      <c r="S1308" s="45" t="str">
        <f t="shared" si="41"/>
        <v>7790000000617</v>
      </c>
    </row>
    <row r="1309" spans="1:19" hidden="1" x14ac:dyDescent="0.35">
      <c r="A1309" s="22">
        <v>5</v>
      </c>
      <c r="B1309" t="s">
        <v>829</v>
      </c>
      <c r="C1309" t="s">
        <v>802</v>
      </c>
      <c r="D1309" t="s">
        <v>1740</v>
      </c>
      <c r="E1309" t="s">
        <v>1741</v>
      </c>
      <c r="F1309">
        <v>4021309</v>
      </c>
      <c r="G1309" t="s">
        <v>1742</v>
      </c>
      <c r="H1309" t="s">
        <v>805</v>
      </c>
      <c r="I1309">
        <v>40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40</v>
      </c>
      <c r="P1309" s="44" t="e">
        <f>_xlfn.XLOOKUP(Tabla5[[#This Row],[EAN CORREGIDO]],'Tabla Articulos'!B:B,'Tabla Articulos'!D:D)</f>
        <v>#N/A</v>
      </c>
      <c r="Q1309" s="44" t="e">
        <f>_xlfn.XLOOKUP(S1309,'Tabla Articulos'!B:B,'Tabla Articulos'!E:E)</f>
        <v>#N/A</v>
      </c>
      <c r="R1309" s="44" t="e">
        <f t="shared" si="40"/>
        <v>#N/A</v>
      </c>
      <c r="S1309" s="45" t="str">
        <f t="shared" si="41"/>
        <v>7790984005162</v>
      </c>
    </row>
    <row r="1310" spans="1:19" hidden="1" x14ac:dyDescent="0.35">
      <c r="A1310" s="22">
        <v>6</v>
      </c>
      <c r="B1310" t="s">
        <v>801</v>
      </c>
      <c r="C1310" t="s">
        <v>802</v>
      </c>
      <c r="D1310"/>
      <c r="E1310" t="s">
        <v>1743</v>
      </c>
      <c r="F1310">
        <v>9003642</v>
      </c>
      <c r="G1310" t="s">
        <v>1744</v>
      </c>
      <c r="H1310" t="s">
        <v>805</v>
      </c>
      <c r="I1310">
        <v>8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8</v>
      </c>
      <c r="P1310" s="44" t="e">
        <f>_xlfn.XLOOKUP(Tabla5[[#This Row],[EAN CORREGIDO]],'Tabla Articulos'!B:B,'Tabla Articulos'!D:D)</f>
        <v>#N/A</v>
      </c>
      <c r="Q1310" s="44" t="e">
        <f>_xlfn.XLOOKUP(S1310,'Tabla Articulos'!B:B,'Tabla Articulos'!E:E)</f>
        <v>#N/A</v>
      </c>
      <c r="R1310" s="44" t="e">
        <f t="shared" si="40"/>
        <v>#N/A</v>
      </c>
      <c r="S1310" s="45" t="str">
        <f t="shared" si="41"/>
        <v>UNIF000378</v>
      </c>
    </row>
    <row r="1311" spans="1:19" hidden="1" x14ac:dyDescent="0.35">
      <c r="A1311" s="22">
        <v>6</v>
      </c>
      <c r="B1311" t="s">
        <v>801</v>
      </c>
      <c r="C1311" t="s">
        <v>802</v>
      </c>
      <c r="D1311" t="s">
        <v>420</v>
      </c>
      <c r="E1311" t="s">
        <v>1745</v>
      </c>
      <c r="F1311">
        <v>2006665</v>
      </c>
      <c r="G1311" t="s">
        <v>1746</v>
      </c>
      <c r="H1311" t="s">
        <v>805</v>
      </c>
      <c r="I1311">
        <v>30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30</v>
      </c>
      <c r="P1311" s="44" t="str">
        <f>_xlfn.XLOOKUP(Tabla5[[#This Row],[EAN CORREGIDO]],'Tabla Articulos'!B:B,'Tabla Articulos'!D:D)</f>
        <v xml:space="preserve">SERVILLETA 16X21 </v>
      </c>
      <c r="Q1311" s="44">
        <f>_xlfn.XLOOKUP(S1311,'Tabla Articulos'!B:B,'Tabla Articulos'!E:E)</f>
        <v>8400</v>
      </c>
      <c r="R1311" s="44">
        <f t="shared" si="40"/>
        <v>252000</v>
      </c>
      <c r="S1311" s="45" t="str">
        <f t="shared" si="41"/>
        <v>17790250912825</v>
      </c>
    </row>
    <row r="1312" spans="1:19" hidden="1" x14ac:dyDescent="0.35">
      <c r="A1312" s="22">
        <v>6</v>
      </c>
      <c r="B1312" t="s">
        <v>801</v>
      </c>
      <c r="C1312" t="s">
        <v>802</v>
      </c>
      <c r="D1312"/>
      <c r="E1312" t="s">
        <v>1747</v>
      </c>
      <c r="F1312">
        <v>9003806</v>
      </c>
      <c r="G1312" t="s">
        <v>1748</v>
      </c>
      <c r="H1312" t="s">
        <v>805</v>
      </c>
      <c r="I1312">
        <v>40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40</v>
      </c>
      <c r="P1312" s="44" t="e">
        <f>_xlfn.XLOOKUP(Tabla5[[#This Row],[EAN CORREGIDO]],'Tabla Articulos'!B:B,'Tabla Articulos'!D:D)</f>
        <v>#N/A</v>
      </c>
      <c r="Q1312" s="44" t="e">
        <f>_xlfn.XLOOKUP(S1312,'Tabla Articulos'!B:B,'Tabla Articulos'!E:E)</f>
        <v>#N/A</v>
      </c>
      <c r="R1312" s="44" t="e">
        <f t="shared" si="40"/>
        <v>#N/A</v>
      </c>
      <c r="S1312" s="45" t="str">
        <f t="shared" si="41"/>
        <v>BAZ001361</v>
      </c>
    </row>
    <row r="1313" spans="1:19" hidden="1" x14ac:dyDescent="0.35">
      <c r="A1313" s="22">
        <v>5</v>
      </c>
      <c r="B1313" t="s">
        <v>829</v>
      </c>
      <c r="C1313" t="s">
        <v>802</v>
      </c>
      <c r="D1313" t="s">
        <v>1749</v>
      </c>
      <c r="E1313" t="s">
        <v>1750</v>
      </c>
      <c r="F1313">
        <v>4020135</v>
      </c>
      <c r="G1313" t="s">
        <v>1751</v>
      </c>
      <c r="H1313" t="s">
        <v>805</v>
      </c>
      <c r="I1313">
        <v>6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6</v>
      </c>
      <c r="P1313" s="44" t="e">
        <f>_xlfn.XLOOKUP(Tabla5[[#This Row],[EAN CORREGIDO]],'Tabla Articulos'!B:B,'Tabla Articulos'!D:D)</f>
        <v>#N/A</v>
      </c>
      <c r="Q1313" s="44" t="e">
        <f>_xlfn.XLOOKUP(S1313,'Tabla Articulos'!B:B,'Tabla Articulos'!E:E)</f>
        <v>#N/A</v>
      </c>
      <c r="R1313" s="44" t="e">
        <f t="shared" si="40"/>
        <v>#N/A</v>
      </c>
      <c r="S1313" s="45" t="str">
        <f t="shared" si="41"/>
        <v>7794000004061</v>
      </c>
    </row>
    <row r="1314" spans="1:19" hidden="1" x14ac:dyDescent="0.35">
      <c r="A1314" s="22">
        <v>1</v>
      </c>
      <c r="B1314" t="s">
        <v>812</v>
      </c>
      <c r="C1314" t="s">
        <v>802</v>
      </c>
      <c r="D1314" s="11" t="s">
        <v>1749</v>
      </c>
      <c r="E1314" t="s">
        <v>1750</v>
      </c>
      <c r="F1314">
        <v>4020135</v>
      </c>
      <c r="G1314" t="s">
        <v>1751</v>
      </c>
      <c r="H1314" t="s">
        <v>805</v>
      </c>
      <c r="I1314">
        <v>30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30</v>
      </c>
      <c r="P1314" s="44" t="e">
        <f>_xlfn.XLOOKUP(Tabla5[[#This Row],[EAN CORREGIDO]],'Tabla Articulos'!B:B,'Tabla Articulos'!D:D)</f>
        <v>#N/A</v>
      </c>
      <c r="Q1314" s="44" t="e">
        <f>_xlfn.XLOOKUP(S1314,'Tabla Articulos'!B:B,'Tabla Articulos'!E:E)</f>
        <v>#N/A</v>
      </c>
      <c r="R1314" s="44" t="e">
        <f t="shared" si="40"/>
        <v>#N/A</v>
      </c>
      <c r="S1314" s="45" t="str">
        <f t="shared" si="41"/>
        <v>7794000004061</v>
      </c>
    </row>
    <row r="1315" spans="1:19" hidden="1" x14ac:dyDescent="0.35">
      <c r="A1315" s="22">
        <v>6</v>
      </c>
      <c r="B1315" t="s">
        <v>801</v>
      </c>
      <c r="C1315" t="s">
        <v>802</v>
      </c>
      <c r="E1315" t="s">
        <v>1752</v>
      </c>
      <c r="F1315">
        <v>9003269</v>
      </c>
      <c r="G1315" t="s">
        <v>1753</v>
      </c>
      <c r="H1315" t="s">
        <v>805</v>
      </c>
      <c r="I1315">
        <v>57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57</v>
      </c>
      <c r="P1315" s="44" t="e">
        <f>_xlfn.XLOOKUP(Tabla5[[#This Row],[EAN CORREGIDO]],'Tabla Articulos'!B:B,'Tabla Articulos'!D:D)</f>
        <v>#N/A</v>
      </c>
      <c r="Q1315" s="44" t="e">
        <f>_xlfn.XLOOKUP(S1315,'Tabla Articulos'!B:B,'Tabla Articulos'!E:E)</f>
        <v>#N/A</v>
      </c>
      <c r="R1315" s="44" t="e">
        <f t="shared" si="40"/>
        <v>#N/A</v>
      </c>
      <c r="S1315" s="45" t="str">
        <f t="shared" si="41"/>
        <v>UNIF000426</v>
      </c>
    </row>
    <row r="1316" spans="1:19" hidden="1" x14ac:dyDescent="0.35">
      <c r="A1316" s="22">
        <v>6</v>
      </c>
      <c r="B1316" t="s">
        <v>801</v>
      </c>
      <c r="C1316" t="s">
        <v>802</v>
      </c>
      <c r="D1316"/>
      <c r="E1316" t="s">
        <v>5267</v>
      </c>
      <c r="F1316"/>
      <c r="G1316" t="s">
        <v>5268</v>
      </c>
      <c r="H1316" t="s">
        <v>805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 s="44" t="e">
        <f>_xlfn.XLOOKUP(Tabla5[[#This Row],[EAN CORREGIDO]],'Tabla Articulos'!B:B,'Tabla Articulos'!D:D)</f>
        <v>#N/A</v>
      </c>
      <c r="Q1316" s="44" t="e">
        <f>_xlfn.XLOOKUP(S1316,'Tabla Articulos'!B:B,'Tabla Articulos'!E:E)</f>
        <v>#N/A</v>
      </c>
      <c r="R1316" s="44" t="e">
        <f t="shared" si="40"/>
        <v>#N/A</v>
      </c>
      <c r="S1316" s="45" t="str">
        <f t="shared" si="41"/>
        <v>BUSAT000177</v>
      </c>
    </row>
    <row r="1317" spans="1:19" hidden="1" x14ac:dyDescent="0.35">
      <c r="A1317" s="22">
        <v>6</v>
      </c>
      <c r="B1317" t="s">
        <v>801</v>
      </c>
      <c r="C1317" t="s">
        <v>802</v>
      </c>
      <c r="D1317"/>
      <c r="E1317" t="s">
        <v>5269</v>
      </c>
      <c r="F1317"/>
      <c r="G1317" t="s">
        <v>5270</v>
      </c>
      <c r="H1317" t="s">
        <v>805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</v>
      </c>
      <c r="P1317" s="44" t="e">
        <f>_xlfn.XLOOKUP(Tabla5[[#This Row],[EAN CORREGIDO]],'Tabla Articulos'!B:B,'Tabla Articulos'!D:D)</f>
        <v>#N/A</v>
      </c>
      <c r="Q1317" s="44" t="e">
        <f>_xlfn.XLOOKUP(S1317,'Tabla Articulos'!B:B,'Tabla Articulos'!E:E)</f>
        <v>#N/A</v>
      </c>
      <c r="R1317" s="44" t="e">
        <f t="shared" si="40"/>
        <v>#N/A</v>
      </c>
      <c r="S1317" s="45" t="str">
        <f t="shared" si="41"/>
        <v>BUSAT000374</v>
      </c>
    </row>
    <row r="1318" spans="1:19" hidden="1" x14ac:dyDescent="0.35">
      <c r="A1318" s="22">
        <v>6</v>
      </c>
      <c r="B1318" t="s">
        <v>801</v>
      </c>
      <c r="C1318" t="s">
        <v>802</v>
      </c>
      <c r="D1318"/>
      <c r="E1318" t="s">
        <v>5271</v>
      </c>
      <c r="F1318"/>
      <c r="G1318" t="s">
        <v>5272</v>
      </c>
      <c r="H1318" t="s">
        <v>805</v>
      </c>
      <c r="I1318">
        <v>8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8</v>
      </c>
      <c r="P1318" s="44" t="e">
        <f>_xlfn.XLOOKUP(Tabla5[[#This Row],[EAN CORREGIDO]],'Tabla Articulos'!B:B,'Tabla Articulos'!D:D)</f>
        <v>#N/A</v>
      </c>
      <c r="Q1318" s="44" t="e">
        <f>_xlfn.XLOOKUP(S1318,'Tabla Articulos'!B:B,'Tabla Articulos'!E:E)</f>
        <v>#N/A</v>
      </c>
      <c r="R1318" s="44" t="e">
        <f t="shared" si="40"/>
        <v>#N/A</v>
      </c>
      <c r="S1318" s="45" t="str">
        <f t="shared" si="41"/>
        <v>BUSAT000909</v>
      </c>
    </row>
    <row r="1319" spans="1:19" hidden="1" x14ac:dyDescent="0.35">
      <c r="A1319" s="22">
        <v>6</v>
      </c>
      <c r="B1319" t="s">
        <v>801</v>
      </c>
      <c r="C1319" t="s">
        <v>802</v>
      </c>
      <c r="E1319" t="s">
        <v>5273</v>
      </c>
      <c r="F1319"/>
      <c r="G1319" t="s">
        <v>5274</v>
      </c>
      <c r="H1319" t="s">
        <v>805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 s="44" t="e">
        <f>_xlfn.XLOOKUP(Tabla5[[#This Row],[EAN CORREGIDO]],'Tabla Articulos'!B:B,'Tabla Articulos'!D:D)</f>
        <v>#N/A</v>
      </c>
      <c r="Q1319" s="44" t="e">
        <f>_xlfn.XLOOKUP(S1319,'Tabla Articulos'!B:B,'Tabla Articulos'!E:E)</f>
        <v>#N/A</v>
      </c>
      <c r="R1319" s="44" t="e">
        <f t="shared" si="40"/>
        <v>#N/A</v>
      </c>
      <c r="S1319" s="45" t="str">
        <f t="shared" si="41"/>
        <v>BUSAT000190</v>
      </c>
    </row>
    <row r="1320" spans="1:19" hidden="1" x14ac:dyDescent="0.35">
      <c r="A1320" s="22">
        <v>6</v>
      </c>
      <c r="B1320" t="s">
        <v>801</v>
      </c>
      <c r="C1320" t="s">
        <v>802</v>
      </c>
      <c r="E1320" t="s">
        <v>5275</v>
      </c>
      <c r="F1320"/>
      <c r="G1320" t="s">
        <v>5276</v>
      </c>
      <c r="H1320" t="s">
        <v>805</v>
      </c>
      <c r="I1320">
        <v>12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12</v>
      </c>
      <c r="P1320" s="44" t="e">
        <f>_xlfn.XLOOKUP(Tabla5[[#This Row],[EAN CORREGIDO]],'Tabla Articulos'!B:B,'Tabla Articulos'!D:D)</f>
        <v>#N/A</v>
      </c>
      <c r="Q1320" s="44" t="e">
        <f>_xlfn.XLOOKUP(S1320,'Tabla Articulos'!B:B,'Tabla Articulos'!E:E)</f>
        <v>#N/A</v>
      </c>
      <c r="R1320" s="44" t="e">
        <f t="shared" si="40"/>
        <v>#N/A</v>
      </c>
      <c r="S1320" s="45" t="str">
        <f t="shared" si="41"/>
        <v>BUSAT000100</v>
      </c>
    </row>
    <row r="1321" spans="1:19" hidden="1" x14ac:dyDescent="0.35">
      <c r="A1321" s="22">
        <v>6</v>
      </c>
      <c r="B1321" t="s">
        <v>801</v>
      </c>
      <c r="C1321" t="s">
        <v>802</v>
      </c>
      <c r="E1321" t="s">
        <v>5277</v>
      </c>
      <c r="F1321"/>
      <c r="G1321" t="s">
        <v>5278</v>
      </c>
      <c r="H1321" t="s">
        <v>805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 s="44" t="e">
        <f>_xlfn.XLOOKUP(Tabla5[[#This Row],[EAN CORREGIDO]],'Tabla Articulos'!B:B,'Tabla Articulos'!D:D)</f>
        <v>#N/A</v>
      </c>
      <c r="Q1321" s="44" t="e">
        <f>_xlfn.XLOOKUP(S1321,'Tabla Articulos'!B:B,'Tabla Articulos'!E:E)</f>
        <v>#N/A</v>
      </c>
      <c r="R1321" s="44" t="e">
        <f t="shared" si="40"/>
        <v>#N/A</v>
      </c>
      <c r="S1321" s="45" t="str">
        <f t="shared" si="41"/>
        <v>BUSAT0011006</v>
      </c>
    </row>
    <row r="1322" spans="1:19" hidden="1" x14ac:dyDescent="0.35">
      <c r="A1322" s="22">
        <v>6</v>
      </c>
      <c r="B1322" t="s">
        <v>801</v>
      </c>
      <c r="C1322" t="s">
        <v>802</v>
      </c>
      <c r="E1322" t="s">
        <v>5279</v>
      </c>
      <c r="F1322"/>
      <c r="G1322" t="s">
        <v>4251</v>
      </c>
      <c r="H1322" t="s">
        <v>805</v>
      </c>
      <c r="I1322">
        <v>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3</v>
      </c>
      <c r="P1322" s="44" t="e">
        <f>_xlfn.XLOOKUP(Tabla5[[#This Row],[EAN CORREGIDO]],'Tabla Articulos'!B:B,'Tabla Articulos'!D:D)</f>
        <v>#N/A</v>
      </c>
      <c r="Q1322" s="44" t="e">
        <f>_xlfn.XLOOKUP(S1322,'Tabla Articulos'!B:B,'Tabla Articulos'!E:E)</f>
        <v>#N/A</v>
      </c>
      <c r="R1322" s="44" t="e">
        <f t="shared" si="40"/>
        <v>#N/A</v>
      </c>
      <c r="S1322" s="45" t="str">
        <f t="shared" si="41"/>
        <v>BUSAT000436</v>
      </c>
    </row>
    <row r="1323" spans="1:19" hidden="1" x14ac:dyDescent="0.35">
      <c r="A1323" s="22">
        <v>6</v>
      </c>
      <c r="B1323" t="s">
        <v>801</v>
      </c>
      <c r="C1323" t="s">
        <v>802</v>
      </c>
      <c r="D1323"/>
      <c r="E1323" t="s">
        <v>5280</v>
      </c>
      <c r="F1323"/>
      <c r="G1323" t="s">
        <v>5281</v>
      </c>
      <c r="H1323" t="s">
        <v>805</v>
      </c>
      <c r="I1323">
        <v>3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</v>
      </c>
      <c r="P1323" s="44" t="e">
        <f>_xlfn.XLOOKUP(Tabla5[[#This Row],[EAN CORREGIDO]],'Tabla Articulos'!B:B,'Tabla Articulos'!D:D)</f>
        <v>#N/A</v>
      </c>
      <c r="Q1323" s="44" t="e">
        <f>_xlfn.XLOOKUP(S1323,'Tabla Articulos'!B:B,'Tabla Articulos'!E:E)</f>
        <v>#N/A</v>
      </c>
      <c r="R1323" s="44" t="e">
        <f t="shared" si="40"/>
        <v>#N/A</v>
      </c>
      <c r="S1323" s="45" t="str">
        <f t="shared" si="41"/>
        <v>BUSAT000448</v>
      </c>
    </row>
    <row r="1324" spans="1:19" hidden="1" x14ac:dyDescent="0.35">
      <c r="A1324" s="22">
        <v>6</v>
      </c>
      <c r="B1324" t="s">
        <v>801</v>
      </c>
      <c r="C1324" t="s">
        <v>802</v>
      </c>
      <c r="D1324"/>
      <c r="E1324" t="s">
        <v>5282</v>
      </c>
      <c r="F1324"/>
      <c r="G1324" t="s">
        <v>5283</v>
      </c>
      <c r="H1324" t="s">
        <v>805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2</v>
      </c>
      <c r="P1324" s="44" t="e">
        <f>_xlfn.XLOOKUP(Tabla5[[#This Row],[EAN CORREGIDO]],'Tabla Articulos'!B:B,'Tabla Articulos'!D:D)</f>
        <v>#N/A</v>
      </c>
      <c r="Q1324" s="44" t="e">
        <f>_xlfn.XLOOKUP(S1324,'Tabla Articulos'!B:B,'Tabla Articulos'!E:E)</f>
        <v>#N/A</v>
      </c>
      <c r="R1324" s="44" t="e">
        <f t="shared" si="40"/>
        <v>#N/A</v>
      </c>
      <c r="S1324" s="45" t="str">
        <f t="shared" si="41"/>
        <v>BUSAT000564</v>
      </c>
    </row>
    <row r="1325" spans="1:19" hidden="1" x14ac:dyDescent="0.35">
      <c r="A1325" s="22">
        <v>6</v>
      </c>
      <c r="B1325" t="s">
        <v>801</v>
      </c>
      <c r="C1325" t="s">
        <v>802</v>
      </c>
      <c r="D1325"/>
      <c r="E1325" t="s">
        <v>5284</v>
      </c>
      <c r="F1325"/>
      <c r="G1325" t="s">
        <v>5285</v>
      </c>
      <c r="H1325" t="s">
        <v>805</v>
      </c>
      <c r="I1325">
        <v>10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10</v>
      </c>
      <c r="P1325" s="44" t="e">
        <f>_xlfn.XLOOKUP(Tabla5[[#This Row],[EAN CORREGIDO]],'Tabla Articulos'!B:B,'Tabla Articulos'!D:D)</f>
        <v>#N/A</v>
      </c>
      <c r="Q1325" s="44" t="e">
        <f>_xlfn.XLOOKUP(S1325,'Tabla Articulos'!B:B,'Tabla Articulos'!E:E)</f>
        <v>#N/A</v>
      </c>
      <c r="R1325" s="44" t="e">
        <f t="shared" si="40"/>
        <v>#N/A</v>
      </c>
      <c r="S1325" s="45" t="str">
        <f t="shared" si="41"/>
        <v>BUSAT000092</v>
      </c>
    </row>
    <row r="1326" spans="1:19" hidden="1" x14ac:dyDescent="0.35">
      <c r="A1326" s="22">
        <v>6</v>
      </c>
      <c r="B1326" t="s">
        <v>801</v>
      </c>
      <c r="C1326" t="s">
        <v>802</v>
      </c>
      <c r="D1326"/>
      <c r="E1326" t="s">
        <v>5286</v>
      </c>
      <c r="F1326"/>
      <c r="G1326" t="s">
        <v>5287</v>
      </c>
      <c r="H1326" t="s">
        <v>805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 s="44" t="e">
        <f>_xlfn.XLOOKUP(Tabla5[[#This Row],[EAN CORREGIDO]],'Tabla Articulos'!B:B,'Tabla Articulos'!D:D)</f>
        <v>#N/A</v>
      </c>
      <c r="Q1326" s="44" t="e">
        <f>_xlfn.XLOOKUP(S1326,'Tabla Articulos'!B:B,'Tabla Articulos'!E:E)</f>
        <v>#N/A</v>
      </c>
      <c r="R1326" s="44" t="e">
        <f t="shared" si="40"/>
        <v>#N/A</v>
      </c>
      <c r="S1326" s="45" t="str">
        <f t="shared" si="41"/>
        <v>BUSAT000889</v>
      </c>
    </row>
    <row r="1327" spans="1:19" hidden="1" x14ac:dyDescent="0.35">
      <c r="A1327" s="22">
        <v>6</v>
      </c>
      <c r="B1327" t="s">
        <v>801</v>
      </c>
      <c r="C1327" t="s">
        <v>802</v>
      </c>
      <c r="E1327" t="s">
        <v>5288</v>
      </c>
      <c r="F1327"/>
      <c r="G1327" t="s">
        <v>5289</v>
      </c>
      <c r="H1327" t="s">
        <v>805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</v>
      </c>
      <c r="P1327" s="44" t="e">
        <f>_xlfn.XLOOKUP(Tabla5[[#This Row],[EAN CORREGIDO]],'Tabla Articulos'!B:B,'Tabla Articulos'!D:D)</f>
        <v>#N/A</v>
      </c>
      <c r="Q1327" s="44" t="e">
        <f>_xlfn.XLOOKUP(S1327,'Tabla Articulos'!B:B,'Tabla Articulos'!E:E)</f>
        <v>#N/A</v>
      </c>
      <c r="R1327" s="44" t="e">
        <f t="shared" si="40"/>
        <v>#N/A</v>
      </c>
      <c r="S1327" s="45" t="str">
        <f t="shared" si="41"/>
        <v>BUSAT000004</v>
      </c>
    </row>
    <row r="1328" spans="1:19" hidden="1" x14ac:dyDescent="0.35">
      <c r="A1328" s="22">
        <v>6</v>
      </c>
      <c r="B1328" t="s">
        <v>801</v>
      </c>
      <c r="C1328" t="s">
        <v>802</v>
      </c>
      <c r="D1328"/>
      <c r="E1328" t="s">
        <v>5290</v>
      </c>
      <c r="F1328"/>
      <c r="G1328" t="s">
        <v>5291</v>
      </c>
      <c r="H1328" t="s">
        <v>805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2</v>
      </c>
      <c r="P1328" s="44" t="e">
        <f>_xlfn.XLOOKUP(Tabla5[[#This Row],[EAN CORREGIDO]],'Tabla Articulos'!B:B,'Tabla Articulos'!D:D)</f>
        <v>#N/A</v>
      </c>
      <c r="Q1328" s="44" t="e">
        <f>_xlfn.XLOOKUP(S1328,'Tabla Articulos'!B:B,'Tabla Articulos'!E:E)</f>
        <v>#N/A</v>
      </c>
      <c r="R1328" s="44" t="e">
        <f t="shared" si="40"/>
        <v>#N/A</v>
      </c>
      <c r="S1328" s="45" t="str">
        <f t="shared" si="41"/>
        <v>BUSAT000875</v>
      </c>
    </row>
    <row r="1329" spans="1:19" hidden="1" x14ac:dyDescent="0.35">
      <c r="A1329" s="22">
        <v>6</v>
      </c>
      <c r="B1329" t="s">
        <v>801</v>
      </c>
      <c r="C1329" t="s">
        <v>802</v>
      </c>
      <c r="D1329"/>
      <c r="E1329" t="s">
        <v>5292</v>
      </c>
      <c r="F1329"/>
      <c r="G1329" t="s">
        <v>5293</v>
      </c>
      <c r="H1329" t="s">
        <v>805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 s="44" t="e">
        <f>_xlfn.XLOOKUP(Tabla5[[#This Row],[EAN CORREGIDO]],'Tabla Articulos'!B:B,'Tabla Articulos'!D:D)</f>
        <v>#N/A</v>
      </c>
      <c r="Q1329" s="44" t="e">
        <f>_xlfn.XLOOKUP(S1329,'Tabla Articulos'!B:B,'Tabla Articulos'!E:E)</f>
        <v>#N/A</v>
      </c>
      <c r="R1329" s="44" t="e">
        <f t="shared" si="40"/>
        <v>#N/A</v>
      </c>
      <c r="S1329" s="45" t="str">
        <f t="shared" si="41"/>
        <v>BUSAT000063</v>
      </c>
    </row>
    <row r="1330" spans="1:19" hidden="1" x14ac:dyDescent="0.35">
      <c r="A1330" s="22">
        <v>6</v>
      </c>
      <c r="B1330" t="s">
        <v>801</v>
      </c>
      <c r="C1330" t="s">
        <v>802</v>
      </c>
      <c r="D1330"/>
      <c r="E1330" t="s">
        <v>5294</v>
      </c>
      <c r="F1330"/>
      <c r="G1330" t="s">
        <v>5295</v>
      </c>
      <c r="H1330" t="s">
        <v>805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2</v>
      </c>
      <c r="P1330" s="44" t="e">
        <f>_xlfn.XLOOKUP(Tabla5[[#This Row],[EAN CORREGIDO]],'Tabla Articulos'!B:B,'Tabla Articulos'!D:D)</f>
        <v>#N/A</v>
      </c>
      <c r="Q1330" s="44" t="e">
        <f>_xlfn.XLOOKUP(S1330,'Tabla Articulos'!B:B,'Tabla Articulos'!E:E)</f>
        <v>#N/A</v>
      </c>
      <c r="R1330" s="44" t="e">
        <f t="shared" si="40"/>
        <v>#N/A</v>
      </c>
      <c r="S1330" s="45" t="str">
        <f t="shared" si="41"/>
        <v>BUSAT000124</v>
      </c>
    </row>
    <row r="1331" spans="1:19" hidden="1" x14ac:dyDescent="0.35">
      <c r="A1331" s="22">
        <v>6</v>
      </c>
      <c r="B1331" t="s">
        <v>801</v>
      </c>
      <c r="C1331" t="s">
        <v>802</v>
      </c>
      <c r="E1331" t="s">
        <v>1592</v>
      </c>
      <c r="F1331">
        <v>9003893</v>
      </c>
      <c r="G1331" t="s">
        <v>1593</v>
      </c>
      <c r="H1331" t="s">
        <v>805</v>
      </c>
      <c r="I1331">
        <v>22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22</v>
      </c>
      <c r="P1331" s="44" t="e">
        <f>_xlfn.XLOOKUP(Tabla5[[#This Row],[EAN CORREGIDO]],'Tabla Articulos'!B:B,'Tabla Articulos'!D:D)</f>
        <v>#N/A</v>
      </c>
      <c r="Q1331" s="44" t="e">
        <f>_xlfn.XLOOKUP(S1331,'Tabla Articulos'!B:B,'Tabla Articulos'!E:E)</f>
        <v>#N/A</v>
      </c>
      <c r="R1331" s="44" t="e">
        <f t="shared" si="40"/>
        <v>#N/A</v>
      </c>
      <c r="S1331" s="45" t="str">
        <f t="shared" si="41"/>
        <v>BAZ001379</v>
      </c>
    </row>
    <row r="1332" spans="1:19" hidden="1" x14ac:dyDescent="0.35">
      <c r="A1332" s="22">
        <v>5</v>
      </c>
      <c r="B1332" t="s">
        <v>829</v>
      </c>
      <c r="C1332" t="s">
        <v>802</v>
      </c>
      <c r="D1332" s="11" t="s">
        <v>1594</v>
      </c>
      <c r="E1332" t="s">
        <v>1595</v>
      </c>
      <c r="F1332">
        <v>4022812</v>
      </c>
      <c r="G1332" t="s">
        <v>1596</v>
      </c>
      <c r="H1332" t="s">
        <v>805</v>
      </c>
      <c r="I1332">
        <v>61</v>
      </c>
      <c r="J1332">
        <v>10</v>
      </c>
      <c r="K1332">
        <v>0</v>
      </c>
      <c r="L1332">
        <v>0</v>
      </c>
      <c r="M1332">
        <v>0</v>
      </c>
      <c r="N1332">
        <v>0</v>
      </c>
      <c r="O1332">
        <v>71</v>
      </c>
      <c r="P1332" s="44" t="e">
        <f>_xlfn.XLOOKUP(Tabla5[[#This Row],[EAN CORREGIDO]],'Tabla Articulos'!B:B,'Tabla Articulos'!D:D)</f>
        <v>#N/A</v>
      </c>
      <c r="Q1332" s="44" t="e">
        <f>_xlfn.XLOOKUP(S1332,'Tabla Articulos'!B:B,'Tabla Articulos'!E:E)</f>
        <v>#N/A</v>
      </c>
      <c r="R1332" s="44" t="e">
        <f t="shared" si="40"/>
        <v>#N/A</v>
      </c>
      <c r="S1332" s="45" t="str">
        <f t="shared" si="41"/>
        <v>7793323001894</v>
      </c>
    </row>
    <row r="1333" spans="1:19" hidden="1" x14ac:dyDescent="0.35">
      <c r="A1333" s="22">
        <v>6</v>
      </c>
      <c r="B1333" t="s">
        <v>801</v>
      </c>
      <c r="C1333" t="s">
        <v>802</v>
      </c>
      <c r="D1333"/>
      <c r="E1333" t="s">
        <v>1597</v>
      </c>
      <c r="F1333">
        <v>2006326</v>
      </c>
      <c r="G1333" t="s">
        <v>1598</v>
      </c>
      <c r="H1333" t="s">
        <v>805</v>
      </c>
      <c r="I1333">
        <v>25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25</v>
      </c>
      <c r="P1333" s="44" t="e">
        <f>_xlfn.XLOOKUP(Tabla5[[#This Row],[EAN CORREGIDO]],'Tabla Articulos'!B:B,'Tabla Articulos'!D:D)</f>
        <v>#N/A</v>
      </c>
      <c r="Q1333" s="44" t="e">
        <f>_xlfn.XLOOKUP(S1333,'Tabla Articulos'!B:B,'Tabla Articulos'!E:E)</f>
        <v>#N/A</v>
      </c>
      <c r="R1333" s="44" t="e">
        <f t="shared" si="40"/>
        <v>#N/A</v>
      </c>
      <c r="S1333" s="45" t="str">
        <f t="shared" si="41"/>
        <v>LIM000255</v>
      </c>
    </row>
    <row r="1334" spans="1:19" hidden="1" x14ac:dyDescent="0.35">
      <c r="A1334" s="22">
        <v>6</v>
      </c>
      <c r="B1334" t="s">
        <v>801</v>
      </c>
      <c r="C1334" t="s">
        <v>802</v>
      </c>
      <c r="D1334"/>
      <c r="E1334" t="s">
        <v>1599</v>
      </c>
      <c r="F1334">
        <v>9003055</v>
      </c>
      <c r="G1334" t="s">
        <v>1600</v>
      </c>
      <c r="H1334" t="s">
        <v>805</v>
      </c>
      <c r="I1334">
        <v>19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19</v>
      </c>
      <c r="P1334" s="44" t="e">
        <f>_xlfn.XLOOKUP(Tabla5[[#This Row],[EAN CORREGIDO]],'Tabla Articulos'!B:B,'Tabla Articulos'!D:D)</f>
        <v>#N/A</v>
      </c>
      <c r="Q1334" s="44" t="e">
        <f>_xlfn.XLOOKUP(S1334,'Tabla Articulos'!B:B,'Tabla Articulos'!E:E)</f>
        <v>#N/A</v>
      </c>
      <c r="R1334" s="44" t="e">
        <f t="shared" si="40"/>
        <v>#N/A</v>
      </c>
      <c r="S1334" s="45" t="str">
        <f t="shared" si="41"/>
        <v>UNIF000024</v>
      </c>
    </row>
    <row r="1335" spans="1:19" hidden="1" x14ac:dyDescent="0.35">
      <c r="A1335" s="22">
        <v>5</v>
      </c>
      <c r="B1335" t="s">
        <v>829</v>
      </c>
      <c r="C1335" t="s">
        <v>802</v>
      </c>
      <c r="D1335" s="11" t="s">
        <v>1601</v>
      </c>
      <c r="E1335" t="s">
        <v>1602</v>
      </c>
      <c r="F1335">
        <v>4019790</v>
      </c>
      <c r="G1335" t="s">
        <v>1603</v>
      </c>
      <c r="H1335" t="s">
        <v>805</v>
      </c>
      <c r="I1335">
        <v>5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5</v>
      </c>
      <c r="P1335" s="44" t="e">
        <f>_xlfn.XLOOKUP(Tabla5[[#This Row],[EAN CORREGIDO]],'Tabla Articulos'!B:B,'Tabla Articulos'!D:D)</f>
        <v>#N/A</v>
      </c>
      <c r="Q1335" s="44" t="e">
        <f>_xlfn.XLOOKUP(S1335,'Tabla Articulos'!B:B,'Tabla Articulos'!E:E)</f>
        <v>#N/A</v>
      </c>
      <c r="R1335" s="44" t="e">
        <f t="shared" si="40"/>
        <v>#N/A</v>
      </c>
      <c r="S1335" s="45" t="str">
        <f t="shared" si="41"/>
        <v>7790971002488</v>
      </c>
    </row>
    <row r="1336" spans="1:19" hidden="1" x14ac:dyDescent="0.35">
      <c r="A1336" s="22">
        <v>1</v>
      </c>
      <c r="B1336" t="s">
        <v>812</v>
      </c>
      <c r="C1336" t="s">
        <v>802</v>
      </c>
      <c r="D1336" s="11" t="s">
        <v>1601</v>
      </c>
      <c r="E1336" t="s">
        <v>1602</v>
      </c>
      <c r="F1336">
        <v>4019790</v>
      </c>
      <c r="G1336" t="s">
        <v>1603</v>
      </c>
      <c r="H1336" t="s">
        <v>805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 s="44" t="e">
        <f>_xlfn.XLOOKUP(Tabla5[[#This Row],[EAN CORREGIDO]],'Tabla Articulos'!B:B,'Tabla Articulos'!D:D)</f>
        <v>#N/A</v>
      </c>
      <c r="Q1336" s="44" t="e">
        <f>_xlfn.XLOOKUP(S1336,'Tabla Articulos'!B:B,'Tabla Articulos'!E:E)</f>
        <v>#N/A</v>
      </c>
      <c r="R1336" s="44" t="e">
        <f t="shared" si="40"/>
        <v>#N/A</v>
      </c>
      <c r="S1336" s="45" t="str">
        <f t="shared" si="41"/>
        <v>7790971002488</v>
      </c>
    </row>
    <row r="1337" spans="1:19" hidden="1" x14ac:dyDescent="0.35">
      <c r="A1337" s="22">
        <v>6</v>
      </c>
      <c r="B1337" t="s">
        <v>801</v>
      </c>
      <c r="C1337" t="s">
        <v>802</v>
      </c>
      <c r="D1337" s="11" t="s">
        <v>301</v>
      </c>
      <c r="E1337" t="s">
        <v>1604</v>
      </c>
      <c r="F1337">
        <v>2016511</v>
      </c>
      <c r="G1337" t="s">
        <v>1605</v>
      </c>
      <c r="H1337" t="s">
        <v>805</v>
      </c>
      <c r="I1337">
        <v>40</v>
      </c>
      <c r="J1337">
        <v>0</v>
      </c>
      <c r="K1337">
        <v>0</v>
      </c>
      <c r="L1337">
        <v>20</v>
      </c>
      <c r="M1337">
        <v>20</v>
      </c>
      <c r="N1337">
        <v>0</v>
      </c>
      <c r="O1337">
        <v>0</v>
      </c>
      <c r="P1337" s="44" t="str">
        <f>_xlfn.XLOOKUP(Tabla5[[#This Row],[EAN CORREGIDO]],'Tabla Articulos'!B:B,'Tabla Articulos'!D:D)</f>
        <v>INDIVIDUAL BLUE ESPECIALIDAD</v>
      </c>
      <c r="Q1337" s="44">
        <f>_xlfn.XLOOKUP(S1337,'Tabla Articulos'!B:B,'Tabla Articulos'!E:E)</f>
        <v>1000</v>
      </c>
      <c r="R1337" s="44">
        <f t="shared" si="40"/>
        <v>0</v>
      </c>
      <c r="S1337" s="45" t="str">
        <f t="shared" si="41"/>
        <v>7790000000711</v>
      </c>
    </row>
    <row r="1338" spans="1:19" hidden="1" x14ac:dyDescent="0.35">
      <c r="A1338" s="22">
        <v>5</v>
      </c>
      <c r="B1338" t="s">
        <v>829</v>
      </c>
      <c r="C1338" t="s">
        <v>802</v>
      </c>
      <c r="D1338"/>
      <c r="E1338" t="s">
        <v>2097</v>
      </c>
      <c r="F1338">
        <v>4077372</v>
      </c>
      <c r="G1338" t="s">
        <v>2098</v>
      </c>
      <c r="H1338" t="s">
        <v>805</v>
      </c>
      <c r="I1338">
        <v>3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3</v>
      </c>
      <c r="P1338" s="44" t="e">
        <f>_xlfn.XLOOKUP(Tabla5[[#This Row],[EAN CORREGIDO]],'Tabla Articulos'!B:B,'Tabla Articulos'!D:D)</f>
        <v>#N/A</v>
      </c>
      <c r="Q1338" s="44" t="e">
        <f>_xlfn.XLOOKUP(S1338,'Tabla Articulos'!B:B,'Tabla Articulos'!E:E)</f>
        <v>#N/A</v>
      </c>
      <c r="R1338" s="44" t="e">
        <f t="shared" si="40"/>
        <v>#N/A</v>
      </c>
      <c r="S1338" s="45" t="str">
        <f t="shared" si="41"/>
        <v>MOD21131</v>
      </c>
    </row>
    <row r="1339" spans="1:19" hidden="1" x14ac:dyDescent="0.35">
      <c r="A1339" s="22">
        <v>6</v>
      </c>
      <c r="B1339" t="s">
        <v>801</v>
      </c>
      <c r="C1339" t="s">
        <v>802</v>
      </c>
      <c r="D1339" t="s">
        <v>3252</v>
      </c>
      <c r="E1339" t="s">
        <v>3407</v>
      </c>
      <c r="F1339">
        <v>2007451</v>
      </c>
      <c r="G1339" t="s">
        <v>3408</v>
      </c>
      <c r="H1339" t="s">
        <v>805</v>
      </c>
      <c r="I1339">
        <v>4071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4071</v>
      </c>
      <c r="P1339" s="44" t="e">
        <f>_xlfn.XLOOKUP(Tabla5[[#This Row],[EAN CORREGIDO]],'Tabla Articulos'!B:B,'Tabla Articulos'!D:D)</f>
        <v>#N/A</v>
      </c>
      <c r="Q1339" s="44" t="e">
        <f>_xlfn.XLOOKUP(S1339,'Tabla Articulos'!B:B,'Tabla Articulos'!E:E)</f>
        <v>#N/A</v>
      </c>
      <c r="R1339" s="44" t="e">
        <f t="shared" si="40"/>
        <v>#N/A</v>
      </c>
      <c r="S1339" s="45" t="str">
        <f t="shared" si="41"/>
        <v>7796322010911</v>
      </c>
    </row>
    <row r="1340" spans="1:19" hidden="1" x14ac:dyDescent="0.35">
      <c r="A1340" s="22">
        <v>5</v>
      </c>
      <c r="B1340" t="s">
        <v>829</v>
      </c>
      <c r="C1340" t="s">
        <v>802</v>
      </c>
      <c r="D1340" s="11" t="s">
        <v>3132</v>
      </c>
      <c r="E1340" t="s">
        <v>3409</v>
      </c>
      <c r="F1340">
        <v>4021272</v>
      </c>
      <c r="G1340" t="s">
        <v>3410</v>
      </c>
      <c r="H1340" t="s">
        <v>805</v>
      </c>
      <c r="I1340">
        <v>120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120</v>
      </c>
      <c r="P1340" s="44" t="e">
        <f>_xlfn.XLOOKUP(Tabla5[[#This Row],[EAN CORREGIDO]],'Tabla Articulos'!B:B,'Tabla Articulos'!D:D)</f>
        <v>#N/A</v>
      </c>
      <c r="Q1340" s="44" t="e">
        <f>_xlfn.XLOOKUP(S1340,'Tabla Articulos'!B:B,'Tabla Articulos'!E:E)</f>
        <v>#N/A</v>
      </c>
      <c r="R1340" s="44" t="e">
        <f t="shared" si="40"/>
        <v>#N/A</v>
      </c>
      <c r="S1340" s="45" t="str">
        <f t="shared" si="41"/>
        <v>7790580131364</v>
      </c>
    </row>
    <row r="1341" spans="1:19" hidden="1" x14ac:dyDescent="0.35">
      <c r="A1341" s="22">
        <v>1</v>
      </c>
      <c r="B1341" t="s">
        <v>812</v>
      </c>
      <c r="C1341" t="s">
        <v>802</v>
      </c>
      <c r="D1341" t="s">
        <v>3132</v>
      </c>
      <c r="E1341" t="s">
        <v>3409</v>
      </c>
      <c r="F1341">
        <v>4021272</v>
      </c>
      <c r="G1341" t="s">
        <v>3410</v>
      </c>
      <c r="H1341" t="s">
        <v>805</v>
      </c>
      <c r="I1341">
        <v>172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172</v>
      </c>
      <c r="P1341" s="44" t="e">
        <f>_xlfn.XLOOKUP(Tabla5[[#This Row],[EAN CORREGIDO]],'Tabla Articulos'!B:B,'Tabla Articulos'!D:D)</f>
        <v>#N/A</v>
      </c>
      <c r="Q1341" s="44" t="e">
        <f>_xlfn.XLOOKUP(S1341,'Tabla Articulos'!B:B,'Tabla Articulos'!E:E)</f>
        <v>#N/A</v>
      </c>
      <c r="R1341" s="44" t="e">
        <f t="shared" si="40"/>
        <v>#N/A</v>
      </c>
      <c r="S1341" s="45" t="str">
        <f t="shared" si="41"/>
        <v>7790580131364</v>
      </c>
    </row>
    <row r="1342" spans="1:19" hidden="1" x14ac:dyDescent="0.35">
      <c r="A1342" s="22">
        <v>1</v>
      </c>
      <c r="B1342" t="s">
        <v>812</v>
      </c>
      <c r="C1342" t="s">
        <v>802</v>
      </c>
      <c r="D1342" s="11" t="s">
        <v>1577</v>
      </c>
      <c r="E1342" t="s">
        <v>3411</v>
      </c>
      <c r="F1342">
        <v>4019750</v>
      </c>
      <c r="G1342" t="s">
        <v>3412</v>
      </c>
      <c r="H1342" t="s">
        <v>805</v>
      </c>
      <c r="I1342">
        <v>1640</v>
      </c>
      <c r="J1342">
        <v>0</v>
      </c>
      <c r="K1342">
        <v>0</v>
      </c>
      <c r="L1342">
        <v>0</v>
      </c>
      <c r="M1342">
        <v>580</v>
      </c>
      <c r="N1342">
        <v>0</v>
      </c>
      <c r="O1342">
        <v>1060</v>
      </c>
      <c r="P1342" s="44" t="e">
        <f>_xlfn.XLOOKUP(Tabla5[[#This Row],[EAN CORREGIDO]],'Tabla Articulos'!B:B,'Tabla Articulos'!D:D)</f>
        <v>#N/A</v>
      </c>
      <c r="Q1342" s="44" t="e">
        <f>_xlfn.XLOOKUP(S1342,'Tabla Articulos'!B:B,'Tabla Articulos'!E:E)</f>
        <v>#N/A</v>
      </c>
      <c r="R1342" s="44" t="e">
        <f t="shared" si="40"/>
        <v>#N/A</v>
      </c>
      <c r="S1342" s="45" t="str">
        <f t="shared" si="41"/>
        <v>7790199602910</v>
      </c>
    </row>
    <row r="1343" spans="1:19" hidden="1" x14ac:dyDescent="0.35">
      <c r="A1343" s="22">
        <v>5</v>
      </c>
      <c r="B1343" t="s">
        <v>829</v>
      </c>
      <c r="C1343" t="s">
        <v>802</v>
      </c>
      <c r="D1343" t="s">
        <v>1577</v>
      </c>
      <c r="E1343" t="s">
        <v>3411</v>
      </c>
      <c r="F1343">
        <v>4019750</v>
      </c>
      <c r="G1343" t="s">
        <v>3412</v>
      </c>
      <c r="H1343" t="s">
        <v>805</v>
      </c>
      <c r="I1343">
        <v>14980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14980</v>
      </c>
      <c r="P1343" s="44" t="e">
        <f>_xlfn.XLOOKUP(Tabla5[[#This Row],[EAN CORREGIDO]],'Tabla Articulos'!B:B,'Tabla Articulos'!D:D)</f>
        <v>#N/A</v>
      </c>
      <c r="Q1343" s="44" t="e">
        <f>_xlfn.XLOOKUP(S1343,'Tabla Articulos'!B:B,'Tabla Articulos'!E:E)</f>
        <v>#N/A</v>
      </c>
      <c r="R1343" s="44" t="e">
        <f t="shared" si="40"/>
        <v>#N/A</v>
      </c>
      <c r="S1343" s="45" t="str">
        <f t="shared" si="41"/>
        <v>7790199602910</v>
      </c>
    </row>
    <row r="1344" spans="1:19" hidden="1" x14ac:dyDescent="0.35">
      <c r="A1344" s="22">
        <v>6</v>
      </c>
      <c r="B1344" t="s">
        <v>801</v>
      </c>
      <c r="C1344" t="s">
        <v>802</v>
      </c>
      <c r="D1344"/>
      <c r="E1344" t="s">
        <v>3413</v>
      </c>
      <c r="F1344">
        <v>9003041</v>
      </c>
      <c r="G1344" t="s">
        <v>3414</v>
      </c>
      <c r="H1344" t="s">
        <v>805</v>
      </c>
      <c r="I1344">
        <v>19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19</v>
      </c>
      <c r="P1344" s="44" t="e">
        <f>_xlfn.XLOOKUP(Tabla5[[#This Row],[EAN CORREGIDO]],'Tabla Articulos'!B:B,'Tabla Articulos'!D:D)</f>
        <v>#N/A</v>
      </c>
      <c r="Q1344" s="44" t="e">
        <f>_xlfn.XLOOKUP(S1344,'Tabla Articulos'!B:B,'Tabla Articulos'!E:E)</f>
        <v>#N/A</v>
      </c>
      <c r="R1344" s="44" t="e">
        <f t="shared" si="40"/>
        <v>#N/A</v>
      </c>
      <c r="S1344" s="45" t="str">
        <f t="shared" si="41"/>
        <v>UNIF000010</v>
      </c>
    </row>
    <row r="1345" spans="1:19" hidden="1" x14ac:dyDescent="0.35">
      <c r="A1345" s="22">
        <v>6</v>
      </c>
      <c r="B1345" t="s">
        <v>801</v>
      </c>
      <c r="C1345" t="s">
        <v>802</v>
      </c>
      <c r="D1345" t="s">
        <v>841</v>
      </c>
      <c r="E1345" t="s">
        <v>3415</v>
      </c>
      <c r="F1345">
        <v>2006829</v>
      </c>
      <c r="G1345" t="s">
        <v>3416</v>
      </c>
      <c r="H1345" t="s">
        <v>805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</v>
      </c>
      <c r="P1345" s="44" t="e">
        <f>_xlfn.XLOOKUP(Tabla5[[#This Row],[EAN CORREGIDO]],'Tabla Articulos'!B:B,'Tabla Articulos'!D:D)</f>
        <v>#N/A</v>
      </c>
      <c r="Q1345" s="44" t="e">
        <f>_xlfn.XLOOKUP(S1345,'Tabla Articulos'!B:B,'Tabla Articulos'!E:E)</f>
        <v>#N/A</v>
      </c>
      <c r="R1345" s="44" t="e">
        <f t="shared" ref="R1345:R1408" si="42">O1345*Q1345</f>
        <v>#N/A</v>
      </c>
      <c r="S1345" s="45" t="str">
        <f t="shared" ref="S1345:S1408" si="43">TRIM(E1345)</f>
        <v>7795323141173</v>
      </c>
    </row>
    <row r="1346" spans="1:19" hidden="1" x14ac:dyDescent="0.35">
      <c r="A1346" s="22">
        <v>6</v>
      </c>
      <c r="B1346" t="s">
        <v>801</v>
      </c>
      <c r="C1346" t="s">
        <v>802</v>
      </c>
      <c r="E1346" t="s">
        <v>3417</v>
      </c>
      <c r="F1346">
        <v>9003011</v>
      </c>
      <c r="G1346" t="s">
        <v>3418</v>
      </c>
      <c r="H1346" t="s">
        <v>805</v>
      </c>
      <c r="I1346">
        <v>134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134</v>
      </c>
      <c r="P1346" s="44" t="e">
        <f>_xlfn.XLOOKUP(Tabla5[[#This Row],[EAN CORREGIDO]],'Tabla Articulos'!B:B,'Tabla Articulos'!D:D)</f>
        <v>#N/A</v>
      </c>
      <c r="Q1346" s="44" t="e">
        <f>_xlfn.XLOOKUP(S1346,'Tabla Articulos'!B:B,'Tabla Articulos'!E:E)</f>
        <v>#N/A</v>
      </c>
      <c r="R1346" s="44" t="e">
        <f t="shared" si="42"/>
        <v>#N/A</v>
      </c>
      <c r="S1346" s="45" t="str">
        <f t="shared" si="43"/>
        <v>UNIF000002</v>
      </c>
    </row>
    <row r="1347" spans="1:19" hidden="1" x14ac:dyDescent="0.35">
      <c r="A1347" s="22">
        <v>5</v>
      </c>
      <c r="B1347" t="s">
        <v>829</v>
      </c>
      <c r="C1347" t="s">
        <v>802</v>
      </c>
      <c r="D1347" t="s">
        <v>2522</v>
      </c>
      <c r="E1347" t="s">
        <v>3419</v>
      </c>
      <c r="F1347">
        <v>4022238</v>
      </c>
      <c r="G1347" t="s">
        <v>3420</v>
      </c>
      <c r="H1347" t="s">
        <v>805</v>
      </c>
      <c r="I1347">
        <v>36754</v>
      </c>
      <c r="J1347">
        <v>0</v>
      </c>
      <c r="K1347">
        <v>0</v>
      </c>
      <c r="L1347">
        <v>0</v>
      </c>
      <c r="M1347">
        <v>50</v>
      </c>
      <c r="N1347">
        <v>0</v>
      </c>
      <c r="O1347">
        <v>36704</v>
      </c>
      <c r="P1347" s="44" t="e">
        <f>_xlfn.XLOOKUP(Tabla5[[#This Row],[EAN CORREGIDO]],'Tabla Articulos'!B:B,'Tabla Articulos'!D:D)</f>
        <v>#N/A</v>
      </c>
      <c r="Q1347" s="44" t="e">
        <f>_xlfn.XLOOKUP(S1347,'Tabla Articulos'!B:B,'Tabla Articulos'!E:E)</f>
        <v>#N/A</v>
      </c>
      <c r="R1347" s="44" t="e">
        <f t="shared" si="42"/>
        <v>#N/A</v>
      </c>
      <c r="S1347" s="45" t="str">
        <f t="shared" si="43"/>
        <v>7797470007426</v>
      </c>
    </row>
    <row r="1348" spans="1:19" hidden="1" x14ac:dyDescent="0.35">
      <c r="A1348" s="22">
        <v>1</v>
      </c>
      <c r="B1348" t="s">
        <v>812</v>
      </c>
      <c r="C1348" t="s">
        <v>802</v>
      </c>
      <c r="D1348" t="s">
        <v>2756</v>
      </c>
      <c r="E1348" t="s">
        <v>3421</v>
      </c>
      <c r="F1348">
        <v>4020473</v>
      </c>
      <c r="G1348" t="s">
        <v>3422</v>
      </c>
      <c r="H1348" t="s">
        <v>805</v>
      </c>
      <c r="I1348">
        <v>753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753</v>
      </c>
      <c r="P1348" s="44" t="e">
        <f>_xlfn.XLOOKUP(Tabla5[[#This Row],[EAN CORREGIDO]],'Tabla Articulos'!B:B,'Tabla Articulos'!D:D)</f>
        <v>#N/A</v>
      </c>
      <c r="Q1348" s="44" t="e">
        <f>_xlfn.XLOOKUP(S1348,'Tabla Articulos'!B:B,'Tabla Articulos'!E:E)</f>
        <v>#N/A</v>
      </c>
      <c r="R1348" s="44" t="e">
        <f t="shared" si="42"/>
        <v>#N/A</v>
      </c>
      <c r="S1348" s="45" t="str">
        <f t="shared" si="43"/>
        <v>7791113001567</v>
      </c>
    </row>
    <row r="1349" spans="1:19" hidden="1" x14ac:dyDescent="0.35">
      <c r="A1349" s="22">
        <v>6</v>
      </c>
      <c r="B1349" t="s">
        <v>801</v>
      </c>
      <c r="C1349" t="s">
        <v>802</v>
      </c>
      <c r="D1349"/>
      <c r="E1349" t="s">
        <v>5296</v>
      </c>
      <c r="F1349"/>
      <c r="G1349" t="s">
        <v>5297</v>
      </c>
      <c r="H1349" t="s">
        <v>805</v>
      </c>
      <c r="I1349">
        <v>8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8</v>
      </c>
      <c r="P1349" s="44" t="e">
        <f>_xlfn.XLOOKUP(Tabla5[[#This Row],[EAN CORREGIDO]],'Tabla Articulos'!B:B,'Tabla Articulos'!D:D)</f>
        <v>#N/A</v>
      </c>
      <c r="Q1349" s="44" t="e">
        <f>_xlfn.XLOOKUP(S1349,'Tabla Articulos'!B:B,'Tabla Articulos'!E:E)</f>
        <v>#N/A</v>
      </c>
      <c r="R1349" s="44" t="e">
        <f t="shared" si="42"/>
        <v>#N/A</v>
      </c>
      <c r="S1349" s="45" t="str">
        <f t="shared" si="43"/>
        <v>BUSAT000574</v>
      </c>
    </row>
    <row r="1350" spans="1:19" hidden="1" x14ac:dyDescent="0.35">
      <c r="A1350" s="22">
        <v>6</v>
      </c>
      <c r="B1350" t="s">
        <v>801</v>
      </c>
      <c r="C1350" t="s">
        <v>802</v>
      </c>
      <c r="D1350" t="s">
        <v>5372</v>
      </c>
      <c r="E1350" t="s">
        <v>5373</v>
      </c>
      <c r="F1350"/>
      <c r="G1350" t="s">
        <v>5374</v>
      </c>
      <c r="H1350" t="s">
        <v>805</v>
      </c>
      <c r="I1350">
        <v>9</v>
      </c>
      <c r="J1350">
        <v>0</v>
      </c>
      <c r="K1350">
        <v>9</v>
      </c>
      <c r="L1350">
        <v>0</v>
      </c>
      <c r="M1350">
        <v>0</v>
      </c>
      <c r="N1350">
        <v>0</v>
      </c>
      <c r="O1350">
        <v>0</v>
      </c>
      <c r="P1350" s="44" t="e">
        <f>_xlfn.XLOOKUP(Tabla5[[#This Row],[EAN CORREGIDO]],'Tabla Articulos'!B:B,'Tabla Articulos'!D:D)</f>
        <v>#N/A</v>
      </c>
      <c r="Q1350" s="44" t="e">
        <f>_xlfn.XLOOKUP(S1350,'Tabla Articulos'!B:B,'Tabla Articulos'!E:E)</f>
        <v>#N/A</v>
      </c>
      <c r="R1350" s="44" t="e">
        <f t="shared" si="42"/>
        <v>#N/A</v>
      </c>
      <c r="S1350" s="45" t="str">
        <f t="shared" si="43"/>
        <v>7798040051920</v>
      </c>
    </row>
    <row r="1351" spans="1:19" hidden="1" x14ac:dyDescent="0.35">
      <c r="A1351" s="22">
        <v>6</v>
      </c>
      <c r="B1351" t="s">
        <v>801</v>
      </c>
      <c r="C1351" t="s">
        <v>802</v>
      </c>
      <c r="D1351"/>
      <c r="E1351" t="s">
        <v>5375</v>
      </c>
      <c r="F1351"/>
      <c r="G1351" t="s">
        <v>5376</v>
      </c>
      <c r="H1351" t="s">
        <v>805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</v>
      </c>
      <c r="P1351" s="44" t="e">
        <f>_xlfn.XLOOKUP(Tabla5[[#This Row],[EAN CORREGIDO]],'Tabla Articulos'!B:B,'Tabla Articulos'!D:D)</f>
        <v>#N/A</v>
      </c>
      <c r="Q1351" s="44" t="e">
        <f>_xlfn.XLOOKUP(S1351,'Tabla Articulos'!B:B,'Tabla Articulos'!E:E)</f>
        <v>#N/A</v>
      </c>
      <c r="R1351" s="44" t="e">
        <f t="shared" si="42"/>
        <v>#N/A</v>
      </c>
      <c r="S1351" s="45" t="str">
        <f t="shared" si="43"/>
        <v>BUSAT000164</v>
      </c>
    </row>
    <row r="1352" spans="1:19" hidden="1" x14ac:dyDescent="0.35">
      <c r="A1352" s="22">
        <v>6</v>
      </c>
      <c r="B1352" t="s">
        <v>801</v>
      </c>
      <c r="C1352" t="s">
        <v>802</v>
      </c>
      <c r="E1352" t="s">
        <v>5377</v>
      </c>
      <c r="F1352"/>
      <c r="G1352" t="s">
        <v>5378</v>
      </c>
      <c r="H1352" t="s">
        <v>805</v>
      </c>
      <c r="I1352">
        <v>0</v>
      </c>
      <c r="J1352">
        <v>30</v>
      </c>
      <c r="K1352">
        <v>0</v>
      </c>
      <c r="L1352">
        <v>0</v>
      </c>
      <c r="M1352">
        <v>0</v>
      </c>
      <c r="N1352">
        <v>0</v>
      </c>
      <c r="O1352">
        <v>30</v>
      </c>
      <c r="P1352" s="44" t="e">
        <f>_xlfn.XLOOKUP(Tabla5[[#This Row],[EAN CORREGIDO]],'Tabla Articulos'!B:B,'Tabla Articulos'!D:D)</f>
        <v>#N/A</v>
      </c>
      <c r="Q1352" s="44" t="e">
        <f>_xlfn.XLOOKUP(S1352,'Tabla Articulos'!B:B,'Tabla Articulos'!E:E)</f>
        <v>#N/A</v>
      </c>
      <c r="R1352" s="44" t="e">
        <f t="shared" si="42"/>
        <v>#N/A</v>
      </c>
      <c r="S1352" s="45" t="str">
        <f t="shared" si="43"/>
        <v>2007078</v>
      </c>
    </row>
    <row r="1353" spans="1:19" hidden="1" x14ac:dyDescent="0.35">
      <c r="A1353" s="22">
        <v>6</v>
      </c>
      <c r="B1353" t="s">
        <v>801</v>
      </c>
      <c r="C1353" t="s">
        <v>802</v>
      </c>
      <c r="D1353"/>
      <c r="E1353" t="s">
        <v>5379</v>
      </c>
      <c r="F1353"/>
      <c r="G1353" t="s">
        <v>5380</v>
      </c>
      <c r="H1353" t="s">
        <v>805</v>
      </c>
      <c r="I1353">
        <v>4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4</v>
      </c>
      <c r="P1353" s="44" t="e">
        <f>_xlfn.XLOOKUP(Tabla5[[#This Row],[EAN CORREGIDO]],'Tabla Articulos'!B:B,'Tabla Articulos'!D:D)</f>
        <v>#N/A</v>
      </c>
      <c r="Q1353" s="44" t="e">
        <f>_xlfn.XLOOKUP(S1353,'Tabla Articulos'!B:B,'Tabla Articulos'!E:E)</f>
        <v>#N/A</v>
      </c>
      <c r="R1353" s="44" t="e">
        <f t="shared" si="42"/>
        <v>#N/A</v>
      </c>
      <c r="S1353" s="45" t="str">
        <f t="shared" si="43"/>
        <v>BUSAT000360</v>
      </c>
    </row>
    <row r="1354" spans="1:19" hidden="1" x14ac:dyDescent="0.35">
      <c r="A1354" s="22">
        <v>6</v>
      </c>
      <c r="B1354" t="s">
        <v>801</v>
      </c>
      <c r="C1354" t="s">
        <v>802</v>
      </c>
      <c r="D1354"/>
      <c r="E1354" t="s">
        <v>5381</v>
      </c>
      <c r="F1354"/>
      <c r="G1354" t="s">
        <v>5382</v>
      </c>
      <c r="H1354" t="s">
        <v>805</v>
      </c>
      <c r="I1354">
        <v>0</v>
      </c>
      <c r="J1354">
        <v>2</v>
      </c>
      <c r="K1354">
        <v>0</v>
      </c>
      <c r="L1354">
        <v>0</v>
      </c>
      <c r="M1354">
        <v>0</v>
      </c>
      <c r="N1354">
        <v>0</v>
      </c>
      <c r="O1354">
        <v>2</v>
      </c>
      <c r="P1354" s="44" t="e">
        <f>_xlfn.XLOOKUP(Tabla5[[#This Row],[EAN CORREGIDO]],'Tabla Articulos'!B:B,'Tabla Articulos'!D:D)</f>
        <v>#N/A</v>
      </c>
      <c r="Q1354" s="44" t="e">
        <f>_xlfn.XLOOKUP(S1354,'Tabla Articulos'!B:B,'Tabla Articulos'!E:E)</f>
        <v>#N/A</v>
      </c>
      <c r="R1354" s="44" t="e">
        <f t="shared" si="42"/>
        <v>#N/A</v>
      </c>
      <c r="S1354" s="45" t="str">
        <f t="shared" si="43"/>
        <v>BUSAT000200</v>
      </c>
    </row>
    <row r="1355" spans="1:19" hidden="1" x14ac:dyDescent="0.35">
      <c r="A1355" s="22">
        <v>1</v>
      </c>
      <c r="B1355" t="s">
        <v>812</v>
      </c>
      <c r="C1355" t="s">
        <v>802</v>
      </c>
      <c r="D1355" s="11" t="s">
        <v>3423</v>
      </c>
      <c r="E1355" t="s">
        <v>3424</v>
      </c>
      <c r="F1355" s="11">
        <v>4024822</v>
      </c>
      <c r="G1355" t="s">
        <v>3425</v>
      </c>
      <c r="H1355" t="s">
        <v>805</v>
      </c>
      <c r="I1355">
        <v>7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7</v>
      </c>
      <c r="P1355" s="44" t="e">
        <f>_xlfn.XLOOKUP(Tabla5[[#This Row],[EAN CORREGIDO]],'Tabla Articulos'!B:B,'Tabla Articulos'!D:D)</f>
        <v>#N/A</v>
      </c>
      <c r="Q1355" s="44" t="e">
        <f>_xlfn.XLOOKUP(S1355,'Tabla Articulos'!B:B,'Tabla Articulos'!E:E)</f>
        <v>#N/A</v>
      </c>
      <c r="R1355" s="44" t="e">
        <f t="shared" si="42"/>
        <v>#N/A</v>
      </c>
      <c r="S1355" s="45" t="str">
        <f t="shared" si="43"/>
        <v>7790895009259</v>
      </c>
    </row>
    <row r="1356" spans="1:19" hidden="1" x14ac:dyDescent="0.35">
      <c r="A1356" s="22">
        <v>1</v>
      </c>
      <c r="B1356" t="s">
        <v>812</v>
      </c>
      <c r="C1356" t="s">
        <v>802</v>
      </c>
      <c r="D1356" t="s">
        <v>2483</v>
      </c>
      <c r="E1356" t="s">
        <v>3426</v>
      </c>
      <c r="F1356">
        <v>4020619</v>
      </c>
      <c r="G1356" t="s">
        <v>3427</v>
      </c>
      <c r="H1356" t="s">
        <v>805</v>
      </c>
      <c r="I1356">
        <v>3005</v>
      </c>
      <c r="J1356">
        <v>1200</v>
      </c>
      <c r="K1356">
        <v>0</v>
      </c>
      <c r="L1356">
        <v>0</v>
      </c>
      <c r="M1356">
        <v>344</v>
      </c>
      <c r="N1356">
        <v>0</v>
      </c>
      <c r="O1356">
        <v>3861</v>
      </c>
      <c r="P1356" s="44" t="e">
        <f>_xlfn.XLOOKUP(Tabla5[[#This Row],[EAN CORREGIDO]],'Tabla Articulos'!B:B,'Tabla Articulos'!D:D)</f>
        <v>#N/A</v>
      </c>
      <c r="Q1356" s="44" t="e">
        <f>_xlfn.XLOOKUP(S1356,'Tabla Articulos'!B:B,'Tabla Articulos'!E:E)</f>
        <v>#N/A</v>
      </c>
      <c r="R1356" s="44" t="e">
        <f t="shared" si="42"/>
        <v>#N/A</v>
      </c>
      <c r="S1356" s="45" t="str">
        <f t="shared" si="43"/>
        <v>7793650000034</v>
      </c>
    </row>
    <row r="1357" spans="1:19" hidden="1" x14ac:dyDescent="0.35">
      <c r="A1357" s="22">
        <v>5</v>
      </c>
      <c r="B1357" t="s">
        <v>829</v>
      </c>
      <c r="C1357" t="s">
        <v>802</v>
      </c>
      <c r="D1357" t="s">
        <v>2483</v>
      </c>
      <c r="E1357" t="s">
        <v>3426</v>
      </c>
      <c r="F1357">
        <v>4020619</v>
      </c>
      <c r="G1357" t="s">
        <v>3427</v>
      </c>
      <c r="H1357" t="s">
        <v>805</v>
      </c>
      <c r="I1357">
        <v>48338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48338</v>
      </c>
      <c r="P1357" s="44" t="e">
        <f>_xlfn.XLOOKUP(Tabla5[[#This Row],[EAN CORREGIDO]],'Tabla Articulos'!B:B,'Tabla Articulos'!D:D)</f>
        <v>#N/A</v>
      </c>
      <c r="Q1357" s="44" t="e">
        <f>_xlfn.XLOOKUP(S1357,'Tabla Articulos'!B:B,'Tabla Articulos'!E:E)</f>
        <v>#N/A</v>
      </c>
      <c r="R1357" s="44" t="e">
        <f t="shared" si="42"/>
        <v>#N/A</v>
      </c>
      <c r="S1357" s="45" t="str">
        <f t="shared" si="43"/>
        <v>7793650000034</v>
      </c>
    </row>
    <row r="1358" spans="1:19" hidden="1" x14ac:dyDescent="0.35">
      <c r="A1358" s="22">
        <v>5</v>
      </c>
      <c r="B1358" t="s">
        <v>829</v>
      </c>
      <c r="C1358" t="s">
        <v>802</v>
      </c>
      <c r="D1358" s="11" t="s">
        <v>6320</v>
      </c>
      <c r="E1358" t="s">
        <v>6321</v>
      </c>
      <c r="F1358">
        <v>4024054</v>
      </c>
      <c r="G1358" t="s">
        <v>6322</v>
      </c>
      <c r="H1358" t="s">
        <v>816</v>
      </c>
      <c r="I1358">
        <v>20</v>
      </c>
      <c r="J1358">
        <v>0</v>
      </c>
      <c r="K1358">
        <v>0</v>
      </c>
      <c r="L1358">
        <v>0</v>
      </c>
      <c r="M1358">
        <v>20</v>
      </c>
      <c r="N1358">
        <v>0</v>
      </c>
      <c r="O1358">
        <v>0</v>
      </c>
      <c r="P1358" s="44" t="e">
        <f>_xlfn.XLOOKUP(Tabla5[[#This Row],[EAN CORREGIDO]],'Tabla Articulos'!B:B,'Tabla Articulos'!D:D)</f>
        <v>#N/A</v>
      </c>
      <c r="Q1358" s="44" t="e">
        <f>_xlfn.XLOOKUP(S1358,'Tabla Articulos'!B:B,'Tabla Articulos'!E:E)</f>
        <v>#N/A</v>
      </c>
      <c r="R1358" s="44" t="e">
        <f t="shared" si="42"/>
        <v>#N/A</v>
      </c>
      <c r="S1358" s="45" t="str">
        <f t="shared" si="43"/>
        <v>7790216010023</v>
      </c>
    </row>
    <row r="1359" spans="1:19" hidden="1" x14ac:dyDescent="0.35">
      <c r="A1359" s="22">
        <v>6</v>
      </c>
      <c r="B1359" t="s">
        <v>801</v>
      </c>
      <c r="C1359" t="s">
        <v>802</v>
      </c>
      <c r="D1359" s="11" t="s">
        <v>3428</v>
      </c>
      <c r="E1359" t="s">
        <v>3429</v>
      </c>
      <c r="F1359">
        <v>2006203</v>
      </c>
      <c r="G1359" t="s">
        <v>3430</v>
      </c>
      <c r="H1359" t="s">
        <v>805</v>
      </c>
      <c r="I1359">
        <v>204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204</v>
      </c>
      <c r="P1359" s="44" t="str">
        <f>_xlfn.XLOOKUP(Tabla5[[#This Row],[EAN CORREGIDO]],'Tabla Articulos'!B:B,'Tabla Articulos'!D:D)</f>
        <v>CANCELADO</v>
      </c>
      <c r="Q1359" s="44">
        <f>_xlfn.XLOOKUP(S1359,'Tabla Articulos'!B:B,'Tabla Articulos'!E:E)</f>
        <v>100</v>
      </c>
      <c r="R1359" s="44">
        <f t="shared" si="42"/>
        <v>20400</v>
      </c>
      <c r="S1359" s="45" t="str">
        <f t="shared" si="43"/>
        <v>7790321020307</v>
      </c>
    </row>
    <row r="1360" spans="1:19" hidden="1" x14ac:dyDescent="0.35">
      <c r="A1360" s="22">
        <v>1</v>
      </c>
      <c r="B1360" t="s">
        <v>812</v>
      </c>
      <c r="C1360" t="s">
        <v>802</v>
      </c>
      <c r="D1360" s="11" t="s">
        <v>2347</v>
      </c>
      <c r="E1360" t="s">
        <v>4354</v>
      </c>
      <c r="F1360">
        <v>4017537</v>
      </c>
      <c r="G1360" t="s">
        <v>4355</v>
      </c>
      <c r="H1360" t="s">
        <v>805</v>
      </c>
      <c r="I1360">
        <v>119</v>
      </c>
      <c r="J1360">
        <v>0</v>
      </c>
      <c r="K1360">
        <v>0</v>
      </c>
      <c r="L1360">
        <v>18</v>
      </c>
      <c r="M1360">
        <v>28</v>
      </c>
      <c r="N1360">
        <v>0</v>
      </c>
      <c r="O1360">
        <v>73</v>
      </c>
      <c r="P1360" s="44" t="e">
        <f>_xlfn.XLOOKUP(Tabla5[[#This Row],[EAN CORREGIDO]],'Tabla Articulos'!B:B,'Tabla Articulos'!D:D)</f>
        <v>#N/A</v>
      </c>
      <c r="Q1360" s="44" t="e">
        <f>_xlfn.XLOOKUP(S1360,'Tabla Articulos'!B:B,'Tabla Articulos'!E:E)</f>
        <v>#N/A</v>
      </c>
      <c r="R1360" s="44" t="e">
        <f t="shared" si="42"/>
        <v>#N/A</v>
      </c>
      <c r="S1360" s="45" t="str">
        <f t="shared" si="43"/>
        <v>7790212040089</v>
      </c>
    </row>
    <row r="1361" spans="1:19" hidden="1" x14ac:dyDescent="0.35">
      <c r="A1361" s="22">
        <v>1</v>
      </c>
      <c r="B1361" t="s">
        <v>812</v>
      </c>
      <c r="C1361" t="s">
        <v>802</v>
      </c>
      <c r="D1361" s="11" t="s">
        <v>3111</v>
      </c>
      <c r="E1361" t="s">
        <v>4356</v>
      </c>
      <c r="F1361">
        <v>4017995</v>
      </c>
      <c r="G1361" t="s">
        <v>4357</v>
      </c>
      <c r="H1361" t="s">
        <v>816</v>
      </c>
      <c r="I1361">
        <v>463.22199999999998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463.22199999999998</v>
      </c>
      <c r="P1361" s="44" t="e">
        <f>_xlfn.XLOOKUP(Tabla5[[#This Row],[EAN CORREGIDO]],'Tabla Articulos'!B:B,'Tabla Articulos'!D:D)</f>
        <v>#N/A</v>
      </c>
      <c r="Q1361" s="44" t="e">
        <f>_xlfn.XLOOKUP(S1361,'Tabla Articulos'!B:B,'Tabla Articulos'!E:E)</f>
        <v>#N/A</v>
      </c>
      <c r="R1361" s="44" t="e">
        <f t="shared" si="42"/>
        <v>#N/A</v>
      </c>
      <c r="S1361" s="45" t="str">
        <f t="shared" si="43"/>
        <v>7790216020108</v>
      </c>
    </row>
    <row r="1362" spans="1:19" hidden="1" x14ac:dyDescent="0.35">
      <c r="A1362" s="22">
        <v>6</v>
      </c>
      <c r="B1362" t="s">
        <v>801</v>
      </c>
      <c r="C1362" t="s">
        <v>802</v>
      </c>
      <c r="D1362"/>
      <c r="E1362" t="s">
        <v>4358</v>
      </c>
      <c r="F1362">
        <v>9003356</v>
      </c>
      <c r="G1362" t="s">
        <v>4359</v>
      </c>
      <c r="H1362" t="s">
        <v>805</v>
      </c>
      <c r="I1362">
        <v>7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7</v>
      </c>
      <c r="P1362" s="44" t="e">
        <f>_xlfn.XLOOKUP(Tabla5[[#This Row],[EAN CORREGIDO]],'Tabla Articulos'!B:B,'Tabla Articulos'!D:D)</f>
        <v>#N/A</v>
      </c>
      <c r="Q1362" s="44" t="e">
        <f>_xlfn.XLOOKUP(S1362,'Tabla Articulos'!B:B,'Tabla Articulos'!E:E)</f>
        <v>#N/A</v>
      </c>
      <c r="R1362" s="44" t="e">
        <f t="shared" si="42"/>
        <v>#N/A</v>
      </c>
      <c r="S1362" s="45" t="str">
        <f t="shared" si="43"/>
        <v>UNIF000261</v>
      </c>
    </row>
    <row r="1363" spans="1:19" hidden="1" x14ac:dyDescent="0.35">
      <c r="A1363" s="22">
        <v>6</v>
      </c>
      <c r="B1363" t="s">
        <v>801</v>
      </c>
      <c r="C1363" t="s">
        <v>802</v>
      </c>
      <c r="D1363" t="s">
        <v>4360</v>
      </c>
      <c r="E1363" t="s">
        <v>4361</v>
      </c>
      <c r="F1363">
        <v>2011390</v>
      </c>
      <c r="G1363" t="s">
        <v>4362</v>
      </c>
      <c r="H1363" t="s">
        <v>805</v>
      </c>
      <c r="I1363">
        <v>25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25</v>
      </c>
      <c r="P1363" s="44" t="e">
        <f>_xlfn.XLOOKUP(Tabla5[[#This Row],[EAN CORREGIDO]],'Tabla Articulos'!B:B,'Tabla Articulos'!D:D)</f>
        <v>#N/A</v>
      </c>
      <c r="Q1363" s="44" t="e">
        <f>_xlfn.XLOOKUP(S1363,'Tabla Articulos'!B:B,'Tabla Articulos'!E:E)</f>
        <v>#N/A</v>
      </c>
      <c r="R1363" s="44" t="e">
        <f t="shared" si="42"/>
        <v>#N/A</v>
      </c>
      <c r="S1363" s="45" t="str">
        <f t="shared" si="43"/>
        <v>7798188650577</v>
      </c>
    </row>
    <row r="1364" spans="1:19" hidden="1" x14ac:dyDescent="0.35">
      <c r="A1364" s="22">
        <v>6</v>
      </c>
      <c r="B1364" t="s">
        <v>801</v>
      </c>
      <c r="C1364" t="s">
        <v>802</v>
      </c>
      <c r="D1364" s="11" t="s">
        <v>1198</v>
      </c>
      <c r="E1364" t="s">
        <v>4363</v>
      </c>
      <c r="F1364">
        <v>2006352</v>
      </c>
      <c r="G1364" t="s">
        <v>4364</v>
      </c>
      <c r="H1364" t="s">
        <v>805</v>
      </c>
      <c r="I1364">
        <v>516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516</v>
      </c>
      <c r="P1364" s="44" t="e">
        <f>_xlfn.XLOOKUP(Tabla5[[#This Row],[EAN CORREGIDO]],'Tabla Articulos'!B:B,'Tabla Articulos'!D:D)</f>
        <v>#N/A</v>
      </c>
      <c r="Q1364" s="44" t="e">
        <f>_xlfn.XLOOKUP(S1364,'Tabla Articulos'!B:B,'Tabla Articulos'!E:E)</f>
        <v>#N/A</v>
      </c>
      <c r="R1364" s="44" t="e">
        <f t="shared" si="42"/>
        <v>#N/A</v>
      </c>
      <c r="S1364" s="45" t="str">
        <f t="shared" si="43"/>
        <v>7798024079500</v>
      </c>
    </row>
    <row r="1365" spans="1:19" hidden="1" x14ac:dyDescent="0.35">
      <c r="A1365" s="22">
        <v>6</v>
      </c>
      <c r="B1365" t="s">
        <v>801</v>
      </c>
      <c r="C1365" t="s">
        <v>802</v>
      </c>
      <c r="D1365"/>
      <c r="E1365" t="s">
        <v>4365</v>
      </c>
      <c r="F1365">
        <v>2011416</v>
      </c>
      <c r="G1365" t="s">
        <v>4366</v>
      </c>
      <c r="H1365" t="s">
        <v>805</v>
      </c>
      <c r="I1365">
        <v>248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248</v>
      </c>
      <c r="P1365" s="44" t="e">
        <f>_xlfn.XLOOKUP(Tabla5[[#This Row],[EAN CORREGIDO]],'Tabla Articulos'!B:B,'Tabla Articulos'!D:D)</f>
        <v>#N/A</v>
      </c>
      <c r="Q1365" s="44" t="e">
        <f>_xlfn.XLOOKUP(S1365,'Tabla Articulos'!B:B,'Tabla Articulos'!E:E)</f>
        <v>#N/A</v>
      </c>
      <c r="R1365" s="44" t="e">
        <f t="shared" si="42"/>
        <v>#N/A</v>
      </c>
      <c r="S1365" s="45" t="str">
        <f t="shared" si="43"/>
        <v>7790000000661</v>
      </c>
    </row>
    <row r="1366" spans="1:19" hidden="1" x14ac:dyDescent="0.35">
      <c r="A1366" s="22">
        <v>5</v>
      </c>
      <c r="B1366" t="s">
        <v>829</v>
      </c>
      <c r="C1366" t="s">
        <v>802</v>
      </c>
      <c r="D1366" s="11" t="s">
        <v>2831</v>
      </c>
      <c r="E1366" t="s">
        <v>4367</v>
      </c>
      <c r="F1366">
        <v>4021310</v>
      </c>
      <c r="G1366" t="s">
        <v>4368</v>
      </c>
      <c r="H1366" t="s">
        <v>805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</v>
      </c>
      <c r="P1366" s="44" t="e">
        <f>_xlfn.XLOOKUP(Tabla5[[#This Row],[EAN CORREGIDO]],'Tabla Articulos'!B:B,'Tabla Articulos'!D:D)</f>
        <v>#N/A</v>
      </c>
      <c r="Q1366" s="44" t="e">
        <f>_xlfn.XLOOKUP(S1366,'Tabla Articulos'!B:B,'Tabla Articulos'!E:E)</f>
        <v>#N/A</v>
      </c>
      <c r="R1366" s="44" t="e">
        <f t="shared" si="42"/>
        <v>#N/A</v>
      </c>
      <c r="S1366" s="45" t="str">
        <f t="shared" si="43"/>
        <v>7792100000273</v>
      </c>
    </row>
    <row r="1367" spans="1:19" hidden="1" x14ac:dyDescent="0.35">
      <c r="A1367" s="22">
        <v>6</v>
      </c>
      <c r="B1367" t="s">
        <v>801</v>
      </c>
      <c r="C1367" t="s">
        <v>802</v>
      </c>
      <c r="D1367"/>
      <c r="E1367" t="s">
        <v>4369</v>
      </c>
      <c r="F1367">
        <v>2007613</v>
      </c>
      <c r="G1367" t="s">
        <v>4370</v>
      </c>
      <c r="H1367" t="s">
        <v>805</v>
      </c>
      <c r="I1367">
        <v>0</v>
      </c>
      <c r="J1367">
        <v>12</v>
      </c>
      <c r="K1367">
        <v>0</v>
      </c>
      <c r="L1367">
        <v>0</v>
      </c>
      <c r="M1367">
        <v>0</v>
      </c>
      <c r="N1367">
        <v>0</v>
      </c>
      <c r="O1367">
        <v>12</v>
      </c>
      <c r="P1367" s="44" t="e">
        <f>_xlfn.XLOOKUP(Tabla5[[#This Row],[EAN CORREGIDO]],'Tabla Articulos'!B:B,'Tabla Articulos'!D:D)</f>
        <v>#N/A</v>
      </c>
      <c r="Q1367" s="44" t="e">
        <f>_xlfn.XLOOKUP(S1367,'Tabla Articulos'!B:B,'Tabla Articulos'!E:E)</f>
        <v>#N/A</v>
      </c>
      <c r="R1367" s="44" t="e">
        <f t="shared" si="42"/>
        <v>#N/A</v>
      </c>
      <c r="S1367" s="45" t="str">
        <f t="shared" si="43"/>
        <v>7798057869864</v>
      </c>
    </row>
    <row r="1368" spans="1:19" hidden="1" x14ac:dyDescent="0.35">
      <c r="A1368" s="22">
        <v>1</v>
      </c>
      <c r="B1368" t="s">
        <v>812</v>
      </c>
      <c r="C1368" t="s">
        <v>802</v>
      </c>
      <c r="D1368" t="s">
        <v>4371</v>
      </c>
      <c r="E1368" t="s">
        <v>4372</v>
      </c>
      <c r="F1368">
        <v>4023839</v>
      </c>
      <c r="G1368" t="s">
        <v>4373</v>
      </c>
      <c r="H1368" t="s">
        <v>805</v>
      </c>
      <c r="I1368">
        <v>15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15</v>
      </c>
      <c r="P1368" s="44" t="e">
        <f>_xlfn.XLOOKUP(Tabla5[[#This Row],[EAN CORREGIDO]],'Tabla Articulos'!B:B,'Tabla Articulos'!D:D)</f>
        <v>#N/A</v>
      </c>
      <c r="Q1368" s="44" t="e">
        <f>_xlfn.XLOOKUP(S1368,'Tabla Articulos'!B:B,'Tabla Articulos'!E:E)</f>
        <v>#N/A</v>
      </c>
      <c r="R1368" s="44" t="e">
        <f t="shared" si="42"/>
        <v>#N/A</v>
      </c>
      <c r="S1368" s="45" t="str">
        <f t="shared" si="43"/>
        <v>7790045827306</v>
      </c>
    </row>
    <row r="1369" spans="1:19" hidden="1" x14ac:dyDescent="0.35">
      <c r="A1369" s="22">
        <v>1</v>
      </c>
      <c r="B1369" t="s">
        <v>812</v>
      </c>
      <c r="C1369" t="s">
        <v>802</v>
      </c>
      <c r="D1369" t="s">
        <v>4374</v>
      </c>
      <c r="E1369" t="s">
        <v>4375</v>
      </c>
      <c r="F1369">
        <v>4017703</v>
      </c>
      <c r="G1369" t="s">
        <v>4376</v>
      </c>
      <c r="H1369" t="s">
        <v>816</v>
      </c>
      <c r="I1369">
        <v>9.32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9.32</v>
      </c>
      <c r="P1369" s="44" t="e">
        <f>_xlfn.XLOOKUP(Tabla5[[#This Row],[EAN CORREGIDO]],'Tabla Articulos'!B:B,'Tabla Articulos'!D:D)</f>
        <v>#N/A</v>
      </c>
      <c r="Q1369" s="44" t="e">
        <f>_xlfn.XLOOKUP(S1369,'Tabla Articulos'!B:B,'Tabla Articulos'!E:E)</f>
        <v>#N/A</v>
      </c>
      <c r="R1369" s="44" t="e">
        <f t="shared" si="42"/>
        <v>#N/A</v>
      </c>
      <c r="S1369" s="45" t="str">
        <f t="shared" si="43"/>
        <v>7790013877013</v>
      </c>
    </row>
    <row r="1370" spans="1:19" hidden="1" x14ac:dyDescent="0.35">
      <c r="A1370" s="22">
        <v>6</v>
      </c>
      <c r="B1370" t="s">
        <v>801</v>
      </c>
      <c r="C1370" t="s">
        <v>802</v>
      </c>
      <c r="D1370" s="11" t="s">
        <v>4377</v>
      </c>
      <c r="E1370" t="s">
        <v>4378</v>
      </c>
      <c r="F1370">
        <v>2006332</v>
      </c>
      <c r="G1370" t="s">
        <v>4379</v>
      </c>
      <c r="H1370" t="s">
        <v>805</v>
      </c>
      <c r="I1370">
        <v>38</v>
      </c>
      <c r="J1370">
        <v>10</v>
      </c>
      <c r="K1370">
        <v>0</v>
      </c>
      <c r="L1370">
        <v>0</v>
      </c>
      <c r="M1370">
        <v>0</v>
      </c>
      <c r="N1370">
        <v>0</v>
      </c>
      <c r="O1370">
        <v>48</v>
      </c>
      <c r="P1370" s="44" t="e">
        <f>_xlfn.XLOOKUP(Tabla5[[#This Row],[EAN CORREGIDO]],'Tabla Articulos'!B:B,'Tabla Articulos'!D:D)</f>
        <v>#N/A</v>
      </c>
      <c r="Q1370" s="44" t="e">
        <f>_xlfn.XLOOKUP(S1370,'Tabla Articulos'!B:B,'Tabla Articulos'!E:E)</f>
        <v>#N/A</v>
      </c>
      <c r="R1370" s="44" t="e">
        <f t="shared" si="42"/>
        <v>#N/A</v>
      </c>
      <c r="S1370" s="45" t="str">
        <f t="shared" si="43"/>
        <v>7798057860861</v>
      </c>
    </row>
    <row r="1371" spans="1:19" hidden="1" x14ac:dyDescent="0.35">
      <c r="A1371" s="22">
        <v>5</v>
      </c>
      <c r="B1371" t="s">
        <v>829</v>
      </c>
      <c r="C1371" t="s">
        <v>802</v>
      </c>
      <c r="D1371" t="s">
        <v>4380</v>
      </c>
      <c r="E1371" t="s">
        <v>4381</v>
      </c>
      <c r="F1371">
        <v>4019613</v>
      </c>
      <c r="G1371" t="s">
        <v>4382</v>
      </c>
      <c r="H1371" t="s">
        <v>805</v>
      </c>
      <c r="I1371">
        <v>45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45</v>
      </c>
      <c r="P1371" s="44" t="e">
        <f>_xlfn.XLOOKUP(Tabla5[[#This Row],[EAN CORREGIDO]],'Tabla Articulos'!B:B,'Tabla Articulos'!D:D)</f>
        <v>#N/A</v>
      </c>
      <c r="Q1371" s="44" t="e">
        <f>_xlfn.XLOOKUP(S1371,'Tabla Articulos'!B:B,'Tabla Articulos'!E:E)</f>
        <v>#N/A</v>
      </c>
      <c r="R1371" s="44" t="e">
        <f t="shared" si="42"/>
        <v>#N/A</v>
      </c>
      <c r="S1371" s="45" t="str">
        <f t="shared" si="43"/>
        <v>7790407031273</v>
      </c>
    </row>
    <row r="1372" spans="1:19" hidden="1" x14ac:dyDescent="0.35">
      <c r="A1372" s="22">
        <v>5</v>
      </c>
      <c r="B1372" t="s">
        <v>829</v>
      </c>
      <c r="C1372" t="s">
        <v>802</v>
      </c>
      <c r="D1372" t="s">
        <v>2637</v>
      </c>
      <c r="E1372" t="s">
        <v>4383</v>
      </c>
      <c r="F1372">
        <v>4021622</v>
      </c>
      <c r="G1372" t="s">
        <v>4384</v>
      </c>
      <c r="H1372" t="s">
        <v>805</v>
      </c>
      <c r="I1372">
        <v>1941</v>
      </c>
      <c r="J1372">
        <v>0</v>
      </c>
      <c r="K1372">
        <v>0</v>
      </c>
      <c r="L1372">
        <v>0</v>
      </c>
      <c r="M1372">
        <v>12</v>
      </c>
      <c r="N1372">
        <v>0</v>
      </c>
      <c r="O1372">
        <v>1929</v>
      </c>
      <c r="P1372" s="44" t="e">
        <f>_xlfn.XLOOKUP(Tabla5[[#This Row],[EAN CORREGIDO]],'Tabla Articulos'!B:B,'Tabla Articulos'!D:D)</f>
        <v>#N/A</v>
      </c>
      <c r="Q1372" s="44" t="e">
        <f>_xlfn.XLOOKUP(S1372,'Tabla Articulos'!B:B,'Tabla Articulos'!E:E)</f>
        <v>#N/A</v>
      </c>
      <c r="R1372" s="44" t="e">
        <f t="shared" si="42"/>
        <v>#N/A</v>
      </c>
      <c r="S1372" s="45" t="str">
        <f t="shared" si="43"/>
        <v>7798113472694</v>
      </c>
    </row>
    <row r="1373" spans="1:19" hidden="1" x14ac:dyDescent="0.35">
      <c r="A1373" s="22">
        <v>6</v>
      </c>
      <c r="B1373" t="s">
        <v>801</v>
      </c>
      <c r="C1373" t="s">
        <v>802</v>
      </c>
      <c r="D1373"/>
      <c r="E1373" t="s">
        <v>980</v>
      </c>
      <c r="F1373">
        <v>9003796</v>
      </c>
      <c r="G1373" t="s">
        <v>981</v>
      </c>
      <c r="H1373" t="s">
        <v>805</v>
      </c>
      <c r="I1373">
        <v>68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68</v>
      </c>
      <c r="P1373" s="44" t="e">
        <f>_xlfn.XLOOKUP(Tabla5[[#This Row],[EAN CORREGIDO]],'Tabla Articulos'!B:B,'Tabla Articulos'!D:D)</f>
        <v>#N/A</v>
      </c>
      <c r="Q1373" s="44" t="e">
        <f>_xlfn.XLOOKUP(S1373,'Tabla Articulos'!B:B,'Tabla Articulos'!E:E)</f>
        <v>#N/A</v>
      </c>
      <c r="R1373" s="44" t="e">
        <f t="shared" si="42"/>
        <v>#N/A</v>
      </c>
      <c r="S1373" s="45" t="str">
        <f t="shared" si="43"/>
        <v>BAZ001283</v>
      </c>
    </row>
    <row r="1374" spans="1:19" hidden="1" x14ac:dyDescent="0.35">
      <c r="A1374" s="22">
        <v>6</v>
      </c>
      <c r="B1374" t="s">
        <v>801</v>
      </c>
      <c r="C1374" t="s">
        <v>802</v>
      </c>
      <c r="D1374"/>
      <c r="E1374" t="s">
        <v>982</v>
      </c>
      <c r="F1374">
        <v>9003256</v>
      </c>
      <c r="G1374" t="s">
        <v>983</v>
      </c>
      <c r="H1374" t="s">
        <v>805</v>
      </c>
      <c r="I1374">
        <v>39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39</v>
      </c>
      <c r="P1374" s="44" t="e">
        <f>_xlfn.XLOOKUP(Tabla5[[#This Row],[EAN CORREGIDO]],'Tabla Articulos'!B:B,'Tabla Articulos'!D:D)</f>
        <v>#N/A</v>
      </c>
      <c r="Q1374" s="44" t="e">
        <f>_xlfn.XLOOKUP(S1374,'Tabla Articulos'!B:B,'Tabla Articulos'!E:E)</f>
        <v>#N/A</v>
      </c>
      <c r="R1374" s="44" t="e">
        <f t="shared" si="42"/>
        <v>#N/A</v>
      </c>
      <c r="S1374" s="45" t="str">
        <f t="shared" si="43"/>
        <v>UNIF000484</v>
      </c>
    </row>
    <row r="1375" spans="1:19" hidden="1" x14ac:dyDescent="0.35">
      <c r="A1375" s="22">
        <v>6</v>
      </c>
      <c r="B1375" t="s">
        <v>801</v>
      </c>
      <c r="C1375" t="s">
        <v>802</v>
      </c>
      <c r="E1375" t="s">
        <v>984</v>
      </c>
      <c r="F1375">
        <v>9003464</v>
      </c>
      <c r="G1375" t="s">
        <v>985</v>
      </c>
      <c r="H1375" t="s">
        <v>805</v>
      </c>
      <c r="I1375">
        <v>4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4</v>
      </c>
      <c r="P1375" s="44" t="e">
        <f>_xlfn.XLOOKUP(Tabla5[[#This Row],[EAN CORREGIDO]],'Tabla Articulos'!B:B,'Tabla Articulos'!D:D)</f>
        <v>#N/A</v>
      </c>
      <c r="Q1375" s="44" t="e">
        <f>_xlfn.XLOOKUP(S1375,'Tabla Articulos'!B:B,'Tabla Articulos'!E:E)</f>
        <v>#N/A</v>
      </c>
      <c r="R1375" s="44" t="e">
        <f t="shared" si="42"/>
        <v>#N/A</v>
      </c>
      <c r="S1375" s="45" t="str">
        <f t="shared" si="43"/>
        <v>UNIF000403</v>
      </c>
    </row>
    <row r="1376" spans="1:19" hidden="1" x14ac:dyDescent="0.35">
      <c r="A1376" s="22">
        <v>6</v>
      </c>
      <c r="B1376" t="s">
        <v>801</v>
      </c>
      <c r="C1376" t="s">
        <v>802</v>
      </c>
      <c r="D1376"/>
      <c r="E1376" t="s">
        <v>986</v>
      </c>
      <c r="F1376">
        <v>9003654</v>
      </c>
      <c r="G1376" t="s">
        <v>987</v>
      </c>
      <c r="H1376" t="s">
        <v>805</v>
      </c>
      <c r="I1376">
        <v>39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39</v>
      </c>
      <c r="P1376" s="44" t="e">
        <f>_xlfn.XLOOKUP(Tabla5[[#This Row],[EAN CORREGIDO]],'Tabla Articulos'!B:B,'Tabla Articulos'!D:D)</f>
        <v>#N/A</v>
      </c>
      <c r="Q1376" s="44" t="e">
        <f>_xlfn.XLOOKUP(S1376,'Tabla Articulos'!B:B,'Tabla Articulos'!E:E)</f>
        <v>#N/A</v>
      </c>
      <c r="R1376" s="44" t="e">
        <f t="shared" si="42"/>
        <v>#N/A</v>
      </c>
      <c r="S1376" s="45" t="str">
        <f t="shared" si="43"/>
        <v>UNIF000162</v>
      </c>
    </row>
    <row r="1377" spans="1:19" hidden="1" x14ac:dyDescent="0.35">
      <c r="A1377" s="22">
        <v>1</v>
      </c>
      <c r="B1377" t="s">
        <v>812</v>
      </c>
      <c r="C1377" t="s">
        <v>802</v>
      </c>
      <c r="D1377" t="s">
        <v>988</v>
      </c>
      <c r="E1377" t="s">
        <v>989</v>
      </c>
      <c r="F1377">
        <v>4019943</v>
      </c>
      <c r="G1377" t="s">
        <v>990</v>
      </c>
      <c r="H1377" t="s">
        <v>805</v>
      </c>
      <c r="I1377">
        <v>7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7</v>
      </c>
      <c r="P1377" s="44" t="e">
        <f>_xlfn.XLOOKUP(Tabla5[[#This Row],[EAN CORREGIDO]],'Tabla Articulos'!B:B,'Tabla Articulos'!D:D)</f>
        <v>#N/A</v>
      </c>
      <c r="Q1377" s="44" t="e">
        <f>_xlfn.XLOOKUP(S1377,'Tabla Articulos'!B:B,'Tabla Articulos'!E:E)</f>
        <v>#N/A</v>
      </c>
      <c r="R1377" s="44" t="e">
        <f t="shared" si="42"/>
        <v>#N/A</v>
      </c>
      <c r="S1377" s="45" t="str">
        <f t="shared" si="43"/>
        <v>7791113005411</v>
      </c>
    </row>
    <row r="1378" spans="1:19" hidden="1" x14ac:dyDescent="0.35">
      <c r="A1378" s="22">
        <v>1</v>
      </c>
      <c r="B1378" t="s">
        <v>812</v>
      </c>
      <c r="C1378" t="s">
        <v>802</v>
      </c>
      <c r="D1378" s="11" t="s">
        <v>1266</v>
      </c>
      <c r="E1378" t="s">
        <v>4385</v>
      </c>
      <c r="F1378">
        <v>4017731</v>
      </c>
      <c r="G1378" t="s">
        <v>4386</v>
      </c>
      <c r="H1378" t="s">
        <v>816</v>
      </c>
      <c r="I1378">
        <v>2209.4</v>
      </c>
      <c r="J1378">
        <v>2230.88</v>
      </c>
      <c r="K1378">
        <v>2230.88</v>
      </c>
      <c r="L1378">
        <v>0</v>
      </c>
      <c r="M1378">
        <v>0</v>
      </c>
      <c r="N1378">
        <v>0</v>
      </c>
      <c r="O1378">
        <v>2209.4</v>
      </c>
      <c r="P1378" s="44" t="e">
        <f>_xlfn.XLOOKUP(Tabla5[[#This Row],[EAN CORREGIDO]],'Tabla Articulos'!B:B,'Tabla Articulos'!D:D)</f>
        <v>#N/A</v>
      </c>
      <c r="Q1378" s="44" t="e">
        <f>_xlfn.XLOOKUP(S1378,'Tabla Articulos'!B:B,'Tabla Articulos'!E:E)</f>
        <v>#N/A</v>
      </c>
      <c r="R1378" s="44" t="e">
        <f t="shared" si="42"/>
        <v>#N/A</v>
      </c>
      <c r="S1378" s="45" t="str">
        <f t="shared" si="43"/>
        <v>7790212030122</v>
      </c>
    </row>
    <row r="1379" spans="1:19" hidden="1" x14ac:dyDescent="0.35">
      <c r="A1379" s="22">
        <v>1</v>
      </c>
      <c r="B1379" t="s">
        <v>812</v>
      </c>
      <c r="C1379" t="s">
        <v>802</v>
      </c>
      <c r="D1379" t="s">
        <v>3189</v>
      </c>
      <c r="E1379" t="s">
        <v>4387</v>
      </c>
      <c r="F1379">
        <v>4022384</v>
      </c>
      <c r="G1379" t="s">
        <v>4388</v>
      </c>
      <c r="H1379" t="s">
        <v>805</v>
      </c>
      <c r="I1379">
        <v>30</v>
      </c>
      <c r="J1379">
        <v>10</v>
      </c>
      <c r="K1379">
        <v>0</v>
      </c>
      <c r="L1379">
        <v>0</v>
      </c>
      <c r="M1379">
        <v>0</v>
      </c>
      <c r="N1379">
        <v>0</v>
      </c>
      <c r="O1379">
        <v>40</v>
      </c>
      <c r="P1379" s="44" t="e">
        <f>_xlfn.XLOOKUP(Tabla5[[#This Row],[EAN CORREGIDO]],'Tabla Articulos'!B:B,'Tabla Articulos'!D:D)</f>
        <v>#N/A</v>
      </c>
      <c r="Q1379" s="44" t="e">
        <f>_xlfn.XLOOKUP(S1379,'Tabla Articulos'!B:B,'Tabla Articulos'!E:E)</f>
        <v>#N/A</v>
      </c>
      <c r="R1379" s="44" t="e">
        <f t="shared" si="42"/>
        <v>#N/A</v>
      </c>
      <c r="S1379" s="45" t="str">
        <f t="shared" si="43"/>
        <v>7798261761404</v>
      </c>
    </row>
    <row r="1380" spans="1:19" hidden="1" x14ac:dyDescent="0.35">
      <c r="A1380" s="22">
        <v>5</v>
      </c>
      <c r="B1380" t="s">
        <v>829</v>
      </c>
      <c r="C1380" t="s">
        <v>802</v>
      </c>
      <c r="D1380" t="s">
        <v>3189</v>
      </c>
      <c r="E1380" t="s">
        <v>4387</v>
      </c>
      <c r="F1380">
        <v>4022384</v>
      </c>
      <c r="G1380" t="s">
        <v>4388</v>
      </c>
      <c r="H1380" t="s">
        <v>805</v>
      </c>
      <c r="I1380">
        <v>9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9</v>
      </c>
      <c r="P1380" s="44" t="e">
        <f>_xlfn.XLOOKUP(Tabla5[[#This Row],[EAN CORREGIDO]],'Tabla Articulos'!B:B,'Tabla Articulos'!D:D)</f>
        <v>#N/A</v>
      </c>
      <c r="Q1380" s="44" t="e">
        <f>_xlfn.XLOOKUP(S1380,'Tabla Articulos'!B:B,'Tabla Articulos'!E:E)</f>
        <v>#N/A</v>
      </c>
      <c r="R1380" s="44" t="e">
        <f t="shared" si="42"/>
        <v>#N/A</v>
      </c>
      <c r="S1380" s="45" t="str">
        <f t="shared" si="43"/>
        <v>7798261761404</v>
      </c>
    </row>
    <row r="1381" spans="1:19" hidden="1" x14ac:dyDescent="0.35">
      <c r="A1381" s="22">
        <v>5</v>
      </c>
      <c r="B1381" t="s">
        <v>829</v>
      </c>
      <c r="C1381" t="s">
        <v>802</v>
      </c>
      <c r="D1381" t="s">
        <v>4389</v>
      </c>
      <c r="E1381" t="s">
        <v>4390</v>
      </c>
      <c r="F1381">
        <v>4020051</v>
      </c>
      <c r="G1381" t="s">
        <v>4391</v>
      </c>
      <c r="H1381" t="s">
        <v>805</v>
      </c>
      <c r="I1381">
        <v>58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58</v>
      </c>
      <c r="P1381" s="44" t="e">
        <f>_xlfn.XLOOKUP(Tabla5[[#This Row],[EAN CORREGIDO]],'Tabla Articulos'!B:B,'Tabla Articulos'!D:D)</f>
        <v>#N/A</v>
      </c>
      <c r="Q1381" s="44" t="e">
        <f>_xlfn.XLOOKUP(S1381,'Tabla Articulos'!B:B,'Tabla Articulos'!E:E)</f>
        <v>#N/A</v>
      </c>
      <c r="R1381" s="44" t="e">
        <f t="shared" si="42"/>
        <v>#N/A</v>
      </c>
      <c r="S1381" s="45" t="str">
        <f t="shared" si="43"/>
        <v>7793323024442</v>
      </c>
    </row>
    <row r="1382" spans="1:19" hidden="1" x14ac:dyDescent="0.35">
      <c r="A1382" s="22">
        <v>6</v>
      </c>
      <c r="B1382" t="s">
        <v>801</v>
      </c>
      <c r="C1382" t="s">
        <v>802</v>
      </c>
      <c r="D1382"/>
      <c r="E1382" t="s">
        <v>4805</v>
      </c>
      <c r="F1382">
        <v>9003560</v>
      </c>
      <c r="G1382" t="s">
        <v>4806</v>
      </c>
      <c r="H1382" t="s">
        <v>805</v>
      </c>
      <c r="I1382">
        <v>6</v>
      </c>
      <c r="J1382">
        <v>20</v>
      </c>
      <c r="K1382">
        <v>0</v>
      </c>
      <c r="L1382">
        <v>0</v>
      </c>
      <c r="M1382">
        <v>0</v>
      </c>
      <c r="N1382">
        <v>0</v>
      </c>
      <c r="O1382">
        <v>26</v>
      </c>
      <c r="P1382" s="44" t="e">
        <f>_xlfn.XLOOKUP(Tabla5[[#This Row],[EAN CORREGIDO]],'Tabla Articulos'!B:B,'Tabla Articulos'!D:D)</f>
        <v>#N/A</v>
      </c>
      <c r="Q1382" s="44" t="e">
        <f>_xlfn.XLOOKUP(S1382,'Tabla Articulos'!B:B,'Tabla Articulos'!E:E)</f>
        <v>#N/A</v>
      </c>
      <c r="R1382" s="44" t="e">
        <f t="shared" si="42"/>
        <v>#N/A</v>
      </c>
      <c r="S1382" s="45" t="str">
        <f t="shared" si="43"/>
        <v>UNIF000143</v>
      </c>
    </row>
    <row r="1383" spans="1:19" hidden="1" x14ac:dyDescent="0.35">
      <c r="A1383" s="22">
        <v>1</v>
      </c>
      <c r="B1383" t="s">
        <v>812</v>
      </c>
      <c r="C1383" t="s">
        <v>802</v>
      </c>
      <c r="D1383" t="s">
        <v>4807</v>
      </c>
      <c r="E1383" t="s">
        <v>4808</v>
      </c>
      <c r="F1383">
        <v>4017988</v>
      </c>
      <c r="G1383" t="s">
        <v>4809</v>
      </c>
      <c r="H1383" t="s">
        <v>816</v>
      </c>
      <c r="I1383">
        <v>24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24</v>
      </c>
      <c r="P1383" s="44" t="e">
        <f>_xlfn.XLOOKUP(Tabla5[[#This Row],[EAN CORREGIDO]],'Tabla Articulos'!B:B,'Tabla Articulos'!D:D)</f>
        <v>#N/A</v>
      </c>
      <c r="Q1383" s="44" t="e">
        <f>_xlfn.XLOOKUP(S1383,'Tabla Articulos'!B:B,'Tabla Articulos'!E:E)</f>
        <v>#N/A</v>
      </c>
      <c r="R1383" s="44" t="e">
        <f t="shared" si="42"/>
        <v>#N/A</v>
      </c>
      <c r="S1383" s="45" t="str">
        <f t="shared" si="43"/>
        <v>7790216012603</v>
      </c>
    </row>
    <row r="1384" spans="1:19" hidden="1" x14ac:dyDescent="0.35">
      <c r="A1384" s="22">
        <v>1</v>
      </c>
      <c r="B1384" t="s">
        <v>812</v>
      </c>
      <c r="C1384" t="s">
        <v>802</v>
      </c>
      <c r="D1384" t="s">
        <v>4675</v>
      </c>
      <c r="E1384" t="s">
        <v>4810</v>
      </c>
      <c r="F1384">
        <v>4049041</v>
      </c>
      <c r="G1384" t="s">
        <v>4811</v>
      </c>
      <c r="H1384" t="s">
        <v>805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 s="44" t="e">
        <f>_xlfn.XLOOKUP(Tabla5[[#This Row],[EAN CORREGIDO]],'Tabla Articulos'!B:B,'Tabla Articulos'!D:D)</f>
        <v>#N/A</v>
      </c>
      <c r="Q1384" s="44" t="e">
        <f>_xlfn.XLOOKUP(S1384,'Tabla Articulos'!B:B,'Tabla Articulos'!E:E)</f>
        <v>#N/A</v>
      </c>
      <c r="R1384" s="44" t="e">
        <f t="shared" si="42"/>
        <v>#N/A</v>
      </c>
      <c r="S1384" s="45" t="str">
        <f t="shared" si="43"/>
        <v>7799086000389</v>
      </c>
    </row>
    <row r="1385" spans="1:19" hidden="1" x14ac:dyDescent="0.35">
      <c r="A1385" s="22">
        <v>6</v>
      </c>
      <c r="B1385" t="s">
        <v>801</v>
      </c>
      <c r="C1385" t="s">
        <v>802</v>
      </c>
      <c r="E1385" t="s">
        <v>4812</v>
      </c>
      <c r="F1385">
        <v>5000721</v>
      </c>
      <c r="G1385" t="s">
        <v>4813</v>
      </c>
      <c r="H1385" t="s">
        <v>805</v>
      </c>
      <c r="I1385">
        <v>230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230</v>
      </c>
      <c r="P1385" s="44" t="e">
        <f>_xlfn.XLOOKUP(Tabla5[[#This Row],[EAN CORREGIDO]],'Tabla Articulos'!B:B,'Tabla Articulos'!D:D)</f>
        <v>#N/A</v>
      </c>
      <c r="Q1385" s="44" t="e">
        <f>_xlfn.XLOOKUP(S1385,'Tabla Articulos'!B:B,'Tabla Articulos'!E:E)</f>
        <v>#N/A</v>
      </c>
      <c r="R1385" s="44" t="e">
        <f t="shared" si="42"/>
        <v>#N/A</v>
      </c>
      <c r="S1385" s="45" t="str">
        <f t="shared" si="43"/>
        <v>5000721</v>
      </c>
    </row>
    <row r="1386" spans="1:19" hidden="1" x14ac:dyDescent="0.35">
      <c r="A1386" s="22">
        <v>1</v>
      </c>
      <c r="B1386" t="s">
        <v>812</v>
      </c>
      <c r="C1386" t="s">
        <v>802</v>
      </c>
      <c r="D1386" t="s">
        <v>4814</v>
      </c>
      <c r="E1386" t="s">
        <v>4815</v>
      </c>
      <c r="F1386">
        <v>4020580</v>
      </c>
      <c r="G1386" t="s">
        <v>4816</v>
      </c>
      <c r="H1386" t="s">
        <v>805</v>
      </c>
      <c r="I1386">
        <v>9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9</v>
      </c>
      <c r="P1386" s="44" t="e">
        <f>_xlfn.XLOOKUP(Tabla5[[#This Row],[EAN CORREGIDO]],'Tabla Articulos'!B:B,'Tabla Articulos'!D:D)</f>
        <v>#N/A</v>
      </c>
      <c r="Q1386" s="44" t="e">
        <f>_xlfn.XLOOKUP(S1386,'Tabla Articulos'!B:B,'Tabla Articulos'!E:E)</f>
        <v>#N/A</v>
      </c>
      <c r="R1386" s="44" t="e">
        <f t="shared" si="42"/>
        <v>#N/A</v>
      </c>
      <c r="S1386" s="45" t="str">
        <f t="shared" si="43"/>
        <v>7891150049574</v>
      </c>
    </row>
    <row r="1387" spans="1:19" hidden="1" x14ac:dyDescent="0.35">
      <c r="A1387" s="22">
        <v>5</v>
      </c>
      <c r="B1387" t="s">
        <v>829</v>
      </c>
      <c r="C1387" t="s">
        <v>802</v>
      </c>
      <c r="D1387" t="s">
        <v>4814</v>
      </c>
      <c r="E1387" t="s">
        <v>4815</v>
      </c>
      <c r="F1387">
        <v>4020580</v>
      </c>
      <c r="G1387" t="s">
        <v>4816</v>
      </c>
      <c r="H1387" t="s">
        <v>805</v>
      </c>
      <c r="I1387">
        <v>8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8</v>
      </c>
      <c r="P1387" s="44" t="e">
        <f>_xlfn.XLOOKUP(Tabla5[[#This Row],[EAN CORREGIDO]],'Tabla Articulos'!B:B,'Tabla Articulos'!D:D)</f>
        <v>#N/A</v>
      </c>
      <c r="Q1387" s="44" t="e">
        <f>_xlfn.XLOOKUP(S1387,'Tabla Articulos'!B:B,'Tabla Articulos'!E:E)</f>
        <v>#N/A</v>
      </c>
      <c r="R1387" s="44" t="e">
        <f t="shared" si="42"/>
        <v>#N/A</v>
      </c>
      <c r="S1387" s="45" t="str">
        <f t="shared" si="43"/>
        <v>7891150049574</v>
      </c>
    </row>
    <row r="1388" spans="1:19" hidden="1" x14ac:dyDescent="0.35">
      <c r="A1388" s="22">
        <v>5</v>
      </c>
      <c r="B1388" t="s">
        <v>829</v>
      </c>
      <c r="C1388" t="s">
        <v>802</v>
      </c>
      <c r="D1388" t="s">
        <v>4817</v>
      </c>
      <c r="E1388" t="s">
        <v>4818</v>
      </c>
      <c r="F1388">
        <v>4018830</v>
      </c>
      <c r="G1388" t="s">
        <v>4819</v>
      </c>
      <c r="H1388" t="s">
        <v>805</v>
      </c>
      <c r="I1388">
        <v>64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64</v>
      </c>
      <c r="P1388" s="44" t="e">
        <f>_xlfn.XLOOKUP(Tabla5[[#This Row],[EAN CORREGIDO]],'Tabla Articulos'!B:B,'Tabla Articulos'!D:D)</f>
        <v>#N/A</v>
      </c>
      <c r="Q1388" s="44" t="e">
        <f>_xlfn.XLOOKUP(S1388,'Tabla Articulos'!B:B,'Tabla Articulos'!E:E)</f>
        <v>#N/A</v>
      </c>
      <c r="R1388" s="44" t="e">
        <f t="shared" si="42"/>
        <v>#N/A</v>
      </c>
      <c r="S1388" s="45" t="str">
        <f t="shared" si="43"/>
        <v>7790412000400</v>
      </c>
    </row>
    <row r="1389" spans="1:19" hidden="1" x14ac:dyDescent="0.35">
      <c r="A1389" s="22">
        <v>1</v>
      </c>
      <c r="B1389" t="s">
        <v>812</v>
      </c>
      <c r="C1389" t="s">
        <v>802</v>
      </c>
      <c r="D1389" s="11" t="s">
        <v>4817</v>
      </c>
      <c r="E1389" t="s">
        <v>4818</v>
      </c>
      <c r="F1389">
        <v>4018830</v>
      </c>
      <c r="G1389" t="s">
        <v>4819</v>
      </c>
      <c r="H1389" t="s">
        <v>805</v>
      </c>
      <c r="I1389">
        <v>480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480</v>
      </c>
      <c r="P1389" s="44" t="e">
        <f>_xlfn.XLOOKUP(Tabla5[[#This Row],[EAN CORREGIDO]],'Tabla Articulos'!B:B,'Tabla Articulos'!D:D)</f>
        <v>#N/A</v>
      </c>
      <c r="Q1389" s="44" t="e">
        <f>_xlfn.XLOOKUP(S1389,'Tabla Articulos'!B:B,'Tabla Articulos'!E:E)</f>
        <v>#N/A</v>
      </c>
      <c r="R1389" s="44" t="e">
        <f t="shared" si="42"/>
        <v>#N/A</v>
      </c>
      <c r="S1389" s="45" t="str">
        <f t="shared" si="43"/>
        <v>7790412000400</v>
      </c>
    </row>
    <row r="1390" spans="1:19" hidden="1" x14ac:dyDescent="0.35">
      <c r="A1390" s="22">
        <v>5</v>
      </c>
      <c r="B1390" t="s">
        <v>829</v>
      </c>
      <c r="C1390" t="s">
        <v>802</v>
      </c>
      <c r="D1390" t="s">
        <v>2121</v>
      </c>
      <c r="E1390" t="s">
        <v>4820</v>
      </c>
      <c r="F1390">
        <v>4022527</v>
      </c>
      <c r="G1390" t="s">
        <v>4821</v>
      </c>
      <c r="H1390" t="s">
        <v>805</v>
      </c>
      <c r="I1390">
        <v>6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6</v>
      </c>
      <c r="P1390" s="44" t="e">
        <f>_xlfn.XLOOKUP(Tabla5[[#This Row],[EAN CORREGIDO]],'Tabla Articulos'!B:B,'Tabla Articulos'!D:D)</f>
        <v>#N/A</v>
      </c>
      <c r="Q1390" s="44" t="e">
        <f>_xlfn.XLOOKUP(S1390,'Tabla Articulos'!B:B,'Tabla Articulos'!E:E)</f>
        <v>#N/A</v>
      </c>
      <c r="R1390" s="44" t="e">
        <f t="shared" si="42"/>
        <v>#N/A</v>
      </c>
      <c r="S1390" s="45" t="str">
        <f t="shared" si="43"/>
        <v>763571701973</v>
      </c>
    </row>
    <row r="1391" spans="1:19" hidden="1" x14ac:dyDescent="0.35">
      <c r="A1391" s="22">
        <v>5</v>
      </c>
      <c r="B1391" t="s">
        <v>829</v>
      </c>
      <c r="C1391" t="s">
        <v>802</v>
      </c>
      <c r="D1391" t="s">
        <v>2878</v>
      </c>
      <c r="E1391" t="s">
        <v>2879</v>
      </c>
      <c r="F1391">
        <v>4018038</v>
      </c>
      <c r="G1391" t="s">
        <v>2880</v>
      </c>
      <c r="H1391" t="s">
        <v>816</v>
      </c>
      <c r="I1391">
        <v>2.4239999999999999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2.4239999999999999</v>
      </c>
      <c r="P1391" s="44" t="e">
        <f>_xlfn.XLOOKUP(Tabla5[[#This Row],[EAN CORREGIDO]],'Tabla Articulos'!B:B,'Tabla Articulos'!D:D)</f>
        <v>#N/A</v>
      </c>
      <c r="Q1391" s="44" t="e">
        <f>_xlfn.XLOOKUP(S1391,'Tabla Articulos'!B:B,'Tabla Articulos'!E:E)</f>
        <v>#N/A</v>
      </c>
      <c r="R1391" s="44" t="e">
        <f t="shared" si="42"/>
        <v>#N/A</v>
      </c>
      <c r="S1391" s="45" t="str">
        <f t="shared" si="43"/>
        <v>7790216020095</v>
      </c>
    </row>
    <row r="1392" spans="1:19" hidden="1" x14ac:dyDescent="0.35">
      <c r="A1392" s="22">
        <v>6</v>
      </c>
      <c r="B1392" t="s">
        <v>801</v>
      </c>
      <c r="C1392" t="s">
        <v>802</v>
      </c>
      <c r="D1392"/>
      <c r="E1392" t="s">
        <v>2881</v>
      </c>
      <c r="F1392">
        <v>9003241</v>
      </c>
      <c r="G1392" t="s">
        <v>2882</v>
      </c>
      <c r="H1392" t="s">
        <v>805</v>
      </c>
      <c r="I1392">
        <v>14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14</v>
      </c>
      <c r="P1392" s="44" t="e">
        <f>_xlfn.XLOOKUP(Tabla5[[#This Row],[EAN CORREGIDO]],'Tabla Articulos'!B:B,'Tabla Articulos'!D:D)</f>
        <v>#N/A</v>
      </c>
      <c r="Q1392" s="44" t="e">
        <f>_xlfn.XLOOKUP(S1392,'Tabla Articulos'!B:B,'Tabla Articulos'!E:E)</f>
        <v>#N/A</v>
      </c>
      <c r="R1392" s="44" t="e">
        <f t="shared" si="42"/>
        <v>#N/A</v>
      </c>
      <c r="S1392" s="45" t="str">
        <f t="shared" si="43"/>
        <v>UNIF000469</v>
      </c>
    </row>
    <row r="1393" spans="1:19" hidden="1" x14ac:dyDescent="0.35">
      <c r="A1393" s="22">
        <v>6</v>
      </c>
      <c r="B1393" t="s">
        <v>801</v>
      </c>
      <c r="C1393" t="s">
        <v>802</v>
      </c>
      <c r="D1393" s="11" t="s">
        <v>2883</v>
      </c>
      <c r="E1393" t="s">
        <v>2884</v>
      </c>
      <c r="F1393">
        <v>2016495</v>
      </c>
      <c r="G1393" t="s">
        <v>2885</v>
      </c>
      <c r="H1393" t="s">
        <v>805</v>
      </c>
      <c r="I1393">
        <v>3211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3211</v>
      </c>
      <c r="P1393" s="44" t="e">
        <f>_xlfn.XLOOKUP(Tabla5[[#This Row],[EAN CORREGIDO]],'Tabla Articulos'!B:B,'Tabla Articulos'!D:D)</f>
        <v>#N/A</v>
      </c>
      <c r="Q1393" s="44" t="e">
        <f>_xlfn.XLOOKUP(S1393,'Tabla Articulos'!B:B,'Tabla Articulos'!E:E)</f>
        <v>#N/A</v>
      </c>
      <c r="R1393" s="44" t="e">
        <f t="shared" si="42"/>
        <v>#N/A</v>
      </c>
      <c r="S1393" s="45" t="str">
        <f t="shared" si="43"/>
        <v>798065720034</v>
      </c>
    </row>
    <row r="1394" spans="1:19" hidden="1" x14ac:dyDescent="0.35">
      <c r="A1394" s="22">
        <v>5</v>
      </c>
      <c r="B1394" t="s">
        <v>829</v>
      </c>
      <c r="C1394" t="s">
        <v>802</v>
      </c>
      <c r="D1394" t="s">
        <v>2522</v>
      </c>
      <c r="E1394" t="s">
        <v>3394</v>
      </c>
      <c r="F1394">
        <v>4020729</v>
      </c>
      <c r="G1394" t="s">
        <v>3395</v>
      </c>
      <c r="H1394" t="s">
        <v>805</v>
      </c>
      <c r="I1394">
        <v>1211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1211</v>
      </c>
      <c r="P1394" s="44" t="e">
        <f>_xlfn.XLOOKUP(Tabla5[[#This Row],[EAN CORREGIDO]],'Tabla Articulos'!B:B,'Tabla Articulos'!D:D)</f>
        <v>#N/A</v>
      </c>
      <c r="Q1394" s="44" t="e">
        <f>_xlfn.XLOOKUP(S1394,'Tabla Articulos'!B:B,'Tabla Articulos'!E:E)</f>
        <v>#N/A</v>
      </c>
      <c r="R1394" s="44" t="e">
        <f t="shared" si="42"/>
        <v>#N/A</v>
      </c>
      <c r="S1394" s="45" t="str">
        <f t="shared" si="43"/>
        <v>7798096031055</v>
      </c>
    </row>
    <row r="1395" spans="1:19" hidden="1" x14ac:dyDescent="0.35">
      <c r="A1395" s="22">
        <v>1</v>
      </c>
      <c r="B1395" t="s">
        <v>812</v>
      </c>
      <c r="C1395" t="s">
        <v>802</v>
      </c>
      <c r="D1395" t="s">
        <v>3396</v>
      </c>
      <c r="E1395" t="s">
        <v>3397</v>
      </c>
      <c r="F1395">
        <v>4017753</v>
      </c>
      <c r="G1395" t="s">
        <v>3398</v>
      </c>
      <c r="H1395" t="s">
        <v>816</v>
      </c>
      <c r="I1395">
        <v>599.29999999999995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599.29999999999995</v>
      </c>
      <c r="P1395" s="44" t="e">
        <f>_xlfn.XLOOKUP(Tabla5[[#This Row],[EAN CORREGIDO]],'Tabla Articulos'!B:B,'Tabla Articulos'!D:D)</f>
        <v>#N/A</v>
      </c>
      <c r="Q1395" s="44" t="e">
        <f>_xlfn.XLOOKUP(S1395,'Tabla Articulos'!B:B,'Tabla Articulos'!E:E)</f>
        <v>#N/A</v>
      </c>
      <c r="R1395" s="44" t="e">
        <f t="shared" si="42"/>
        <v>#N/A</v>
      </c>
      <c r="S1395" s="45" t="str">
        <f t="shared" si="43"/>
        <v>7790212050012</v>
      </c>
    </row>
    <row r="1396" spans="1:19" hidden="1" x14ac:dyDescent="0.35">
      <c r="A1396" s="22">
        <v>5</v>
      </c>
      <c r="B1396" t="s">
        <v>829</v>
      </c>
      <c r="C1396" t="s">
        <v>802</v>
      </c>
      <c r="D1396" s="11" t="s">
        <v>3399</v>
      </c>
      <c r="E1396" t="s">
        <v>3400</v>
      </c>
      <c r="F1396">
        <v>4018003</v>
      </c>
      <c r="G1396" t="s">
        <v>3401</v>
      </c>
      <c r="H1396" t="s">
        <v>816</v>
      </c>
      <c r="I1396">
        <v>0.95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0.95</v>
      </c>
      <c r="P1396" s="44" t="e">
        <f>_xlfn.XLOOKUP(Tabla5[[#This Row],[EAN CORREGIDO]],'Tabla Articulos'!B:B,'Tabla Articulos'!D:D)</f>
        <v>#N/A</v>
      </c>
      <c r="Q1396" s="44" t="e">
        <f>_xlfn.XLOOKUP(S1396,'Tabla Articulos'!B:B,'Tabla Articulos'!E:E)</f>
        <v>#N/A</v>
      </c>
      <c r="R1396" s="44" t="e">
        <f t="shared" si="42"/>
        <v>#N/A</v>
      </c>
      <c r="S1396" s="45" t="str">
        <f t="shared" si="43"/>
        <v>7790216012655</v>
      </c>
    </row>
    <row r="1397" spans="1:19" hidden="1" x14ac:dyDescent="0.35">
      <c r="A1397" s="22">
        <v>1</v>
      </c>
      <c r="B1397" t="s">
        <v>812</v>
      </c>
      <c r="C1397" t="s">
        <v>802</v>
      </c>
      <c r="D1397" t="s">
        <v>3402</v>
      </c>
      <c r="E1397" t="s">
        <v>3403</v>
      </c>
      <c r="F1397">
        <v>4020623</v>
      </c>
      <c r="G1397" t="s">
        <v>3404</v>
      </c>
      <c r="H1397" t="s">
        <v>805</v>
      </c>
      <c r="I1397">
        <v>66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66</v>
      </c>
      <c r="P1397" s="44" t="e">
        <f>_xlfn.XLOOKUP(Tabla5[[#This Row],[EAN CORREGIDO]],'Tabla Articulos'!B:B,'Tabla Articulos'!D:D)</f>
        <v>#N/A</v>
      </c>
      <c r="Q1397" s="44" t="e">
        <f>_xlfn.XLOOKUP(S1397,'Tabla Articulos'!B:B,'Tabla Articulos'!E:E)</f>
        <v>#N/A</v>
      </c>
      <c r="R1397" s="44" t="e">
        <f t="shared" si="42"/>
        <v>#N/A</v>
      </c>
      <c r="S1397" s="45" t="str">
        <f t="shared" si="43"/>
        <v>7793875317405</v>
      </c>
    </row>
    <row r="1398" spans="1:19" hidden="1" x14ac:dyDescent="0.35">
      <c r="A1398" s="22">
        <v>6</v>
      </c>
      <c r="B1398" t="s">
        <v>801</v>
      </c>
      <c r="C1398" t="s">
        <v>802</v>
      </c>
      <c r="D1398"/>
      <c r="E1398" t="s">
        <v>3405</v>
      </c>
      <c r="F1398">
        <v>9003097</v>
      </c>
      <c r="G1398" t="s">
        <v>3406</v>
      </c>
      <c r="H1398" t="s">
        <v>805</v>
      </c>
      <c r="I1398">
        <v>8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8</v>
      </c>
      <c r="P1398" s="44" t="e">
        <f>_xlfn.XLOOKUP(Tabla5[[#This Row],[EAN CORREGIDO]],'Tabla Articulos'!B:B,'Tabla Articulos'!D:D)</f>
        <v>#N/A</v>
      </c>
      <c r="Q1398" s="44" t="e">
        <f>_xlfn.XLOOKUP(S1398,'Tabla Articulos'!B:B,'Tabla Articulos'!E:E)</f>
        <v>#N/A</v>
      </c>
      <c r="R1398" s="44" t="e">
        <f t="shared" si="42"/>
        <v>#N/A</v>
      </c>
      <c r="S1398" s="45" t="str">
        <f t="shared" si="43"/>
        <v>UNIF000559</v>
      </c>
    </row>
    <row r="1399" spans="1:19" hidden="1" x14ac:dyDescent="0.35">
      <c r="A1399" s="22">
        <v>6</v>
      </c>
      <c r="B1399" t="s">
        <v>801</v>
      </c>
      <c r="C1399" t="s">
        <v>802</v>
      </c>
      <c r="D1399"/>
      <c r="E1399" t="s">
        <v>2108</v>
      </c>
      <c r="F1399">
        <v>9003402</v>
      </c>
      <c r="G1399" t="s">
        <v>2109</v>
      </c>
      <c r="H1399" t="s">
        <v>805</v>
      </c>
      <c r="I1399">
        <v>120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120</v>
      </c>
      <c r="P1399" s="44" t="e">
        <f>_xlfn.XLOOKUP(Tabla5[[#This Row],[EAN CORREGIDO]],'Tabla Articulos'!B:B,'Tabla Articulos'!D:D)</f>
        <v>#N/A</v>
      </c>
      <c r="Q1399" s="44" t="e">
        <f>_xlfn.XLOOKUP(S1399,'Tabla Articulos'!B:B,'Tabla Articulos'!E:E)</f>
        <v>#N/A</v>
      </c>
      <c r="R1399" s="44" t="e">
        <f t="shared" si="42"/>
        <v>#N/A</v>
      </c>
      <c r="S1399" s="45" t="str">
        <f t="shared" si="43"/>
        <v>UNIF000523</v>
      </c>
    </row>
    <row r="1400" spans="1:19" hidden="1" x14ac:dyDescent="0.35">
      <c r="A1400" s="22">
        <v>6</v>
      </c>
      <c r="B1400" t="s">
        <v>801</v>
      </c>
      <c r="C1400" t="s">
        <v>802</v>
      </c>
      <c r="E1400" t="s">
        <v>2110</v>
      </c>
      <c r="F1400">
        <v>9003066</v>
      </c>
      <c r="G1400" t="s">
        <v>2111</v>
      </c>
      <c r="H1400" t="s">
        <v>805</v>
      </c>
      <c r="I1400">
        <v>3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</v>
      </c>
      <c r="P1400" s="44" t="e">
        <f>_xlfn.XLOOKUP(Tabla5[[#This Row],[EAN CORREGIDO]],'Tabla Articulos'!B:B,'Tabla Articulos'!D:D)</f>
        <v>#N/A</v>
      </c>
      <c r="Q1400" s="44" t="e">
        <f>_xlfn.XLOOKUP(S1400,'Tabla Articulos'!B:B,'Tabla Articulos'!E:E)</f>
        <v>#N/A</v>
      </c>
      <c r="R1400" s="44" t="e">
        <f t="shared" si="42"/>
        <v>#N/A</v>
      </c>
      <c r="S1400" s="45" t="str">
        <f t="shared" si="43"/>
        <v>UNIF000130</v>
      </c>
    </row>
    <row r="1401" spans="1:19" hidden="1" x14ac:dyDescent="0.35">
      <c r="A1401" s="22">
        <v>6</v>
      </c>
      <c r="B1401" t="s">
        <v>801</v>
      </c>
      <c r="C1401" t="s">
        <v>802</v>
      </c>
      <c r="D1401" s="11" t="s">
        <v>328</v>
      </c>
      <c r="E1401" t="s">
        <v>2112</v>
      </c>
      <c r="F1401">
        <v>2006827</v>
      </c>
      <c r="G1401" t="s">
        <v>2113</v>
      </c>
      <c r="H1401" t="s">
        <v>805</v>
      </c>
      <c r="I1401">
        <v>55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55</v>
      </c>
      <c r="P1401" s="44" t="str">
        <f>_xlfn.XLOOKUP(Tabla5[[#This Row],[EAN CORREGIDO]],'Tabla Articulos'!B:B,'Tabla Articulos'!D:D)</f>
        <v>TAPA R5</v>
      </c>
      <c r="Q1401" s="44">
        <f>_xlfn.XLOOKUP(S1401,'Tabla Articulos'!B:B,'Tabla Articulos'!E:E)</f>
        <v>400</v>
      </c>
      <c r="R1401" s="44">
        <f t="shared" si="42"/>
        <v>22000</v>
      </c>
      <c r="S1401" s="45" t="str">
        <f t="shared" si="43"/>
        <v>7790321020306</v>
      </c>
    </row>
    <row r="1402" spans="1:19" hidden="1" x14ac:dyDescent="0.35">
      <c r="A1402" s="22">
        <v>1</v>
      </c>
      <c r="B1402" t="s">
        <v>812</v>
      </c>
      <c r="C1402" t="s">
        <v>802</v>
      </c>
      <c r="D1402" t="s">
        <v>1252</v>
      </c>
      <c r="E1402" t="s">
        <v>2114</v>
      </c>
      <c r="F1402">
        <v>4077144</v>
      </c>
      <c r="G1402" t="s">
        <v>2115</v>
      </c>
      <c r="H1402" t="s">
        <v>805</v>
      </c>
      <c r="I1402">
        <v>12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12</v>
      </c>
      <c r="P1402" s="44" t="e">
        <f>_xlfn.XLOOKUP(Tabla5[[#This Row],[EAN CORREGIDO]],'Tabla Articulos'!B:B,'Tabla Articulos'!D:D)</f>
        <v>#N/A</v>
      </c>
      <c r="Q1402" s="44" t="e">
        <f>_xlfn.XLOOKUP(S1402,'Tabla Articulos'!B:B,'Tabla Articulos'!E:E)</f>
        <v>#N/A</v>
      </c>
      <c r="R1402" s="44" t="e">
        <f t="shared" si="42"/>
        <v>#N/A</v>
      </c>
      <c r="S1402" s="45" t="str">
        <f t="shared" si="43"/>
        <v>17792180005950</v>
      </c>
    </row>
    <row r="1403" spans="1:19" hidden="1" x14ac:dyDescent="0.35">
      <c r="A1403" s="22">
        <v>6</v>
      </c>
      <c r="B1403" t="s">
        <v>801</v>
      </c>
      <c r="C1403" t="s">
        <v>802</v>
      </c>
      <c r="D1403"/>
      <c r="E1403" t="s">
        <v>2116</v>
      </c>
      <c r="F1403">
        <v>9003267</v>
      </c>
      <c r="G1403" t="s">
        <v>2117</v>
      </c>
      <c r="H1403" t="s">
        <v>805</v>
      </c>
      <c r="I1403">
        <v>69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69</v>
      </c>
      <c r="P1403" s="44" t="e">
        <f>_xlfn.XLOOKUP(Tabla5[[#This Row],[EAN CORREGIDO]],'Tabla Articulos'!B:B,'Tabla Articulos'!D:D)</f>
        <v>#N/A</v>
      </c>
      <c r="Q1403" s="44" t="e">
        <f>_xlfn.XLOOKUP(S1403,'Tabla Articulos'!B:B,'Tabla Articulos'!E:E)</f>
        <v>#N/A</v>
      </c>
      <c r="R1403" s="44" t="e">
        <f t="shared" si="42"/>
        <v>#N/A</v>
      </c>
      <c r="S1403" s="45" t="str">
        <f t="shared" si="43"/>
        <v>UNIF000424</v>
      </c>
    </row>
    <row r="1404" spans="1:19" hidden="1" x14ac:dyDescent="0.35">
      <c r="A1404" s="22">
        <v>1</v>
      </c>
      <c r="B1404" t="s">
        <v>812</v>
      </c>
      <c r="C1404" t="s">
        <v>802</v>
      </c>
      <c r="D1404" s="11" t="s">
        <v>2118</v>
      </c>
      <c r="E1404" t="s">
        <v>2119</v>
      </c>
      <c r="F1404">
        <v>4018201</v>
      </c>
      <c r="G1404" t="s">
        <v>2120</v>
      </c>
      <c r="H1404" t="s">
        <v>805</v>
      </c>
      <c r="I1404">
        <v>20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20</v>
      </c>
      <c r="P1404" s="44" t="e">
        <f>_xlfn.XLOOKUP(Tabla5[[#This Row],[EAN CORREGIDO]],'Tabla Articulos'!B:B,'Tabla Articulos'!D:D)</f>
        <v>#N/A</v>
      </c>
      <c r="Q1404" s="44" t="e">
        <f>_xlfn.XLOOKUP(S1404,'Tabla Articulos'!B:B,'Tabla Articulos'!E:E)</f>
        <v>#N/A</v>
      </c>
      <c r="R1404" s="44" t="e">
        <f t="shared" si="42"/>
        <v>#N/A</v>
      </c>
      <c r="S1404" s="45" t="str">
        <f t="shared" si="43"/>
        <v>7795323775263</v>
      </c>
    </row>
    <row r="1405" spans="1:19" hidden="1" x14ac:dyDescent="0.35">
      <c r="A1405" s="22">
        <v>1</v>
      </c>
      <c r="B1405" t="s">
        <v>812</v>
      </c>
      <c r="C1405" t="s">
        <v>802</v>
      </c>
      <c r="D1405" t="s">
        <v>2121</v>
      </c>
      <c r="E1405" t="s">
        <v>2122</v>
      </c>
      <c r="F1405">
        <v>4020649</v>
      </c>
      <c r="G1405" t="s">
        <v>2123</v>
      </c>
      <c r="H1405" t="s">
        <v>805</v>
      </c>
      <c r="I1405">
        <v>100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100</v>
      </c>
      <c r="P1405" s="44" t="e">
        <f>_xlfn.XLOOKUP(Tabla5[[#This Row],[EAN CORREGIDO]],'Tabla Articulos'!B:B,'Tabla Articulos'!D:D)</f>
        <v>#N/A</v>
      </c>
      <c r="Q1405" s="44" t="e">
        <f>_xlfn.XLOOKUP(S1405,'Tabla Articulos'!B:B,'Tabla Articulos'!E:E)</f>
        <v>#N/A</v>
      </c>
      <c r="R1405" s="44" t="e">
        <f t="shared" si="42"/>
        <v>#N/A</v>
      </c>
      <c r="S1405" s="45" t="str">
        <f t="shared" si="43"/>
        <v>7790971001139</v>
      </c>
    </row>
    <row r="1406" spans="1:19" hidden="1" x14ac:dyDescent="0.35">
      <c r="A1406" s="22">
        <v>1</v>
      </c>
      <c r="B1406" t="s">
        <v>812</v>
      </c>
      <c r="C1406" t="s">
        <v>802</v>
      </c>
      <c r="D1406" t="s">
        <v>2124</v>
      </c>
      <c r="E1406" t="s">
        <v>2125</v>
      </c>
      <c r="F1406">
        <v>4020760</v>
      </c>
      <c r="G1406" t="s">
        <v>2126</v>
      </c>
      <c r="H1406" t="s">
        <v>805</v>
      </c>
      <c r="I1406">
        <v>552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552</v>
      </c>
      <c r="P1406" s="44" t="e">
        <f>_xlfn.XLOOKUP(Tabla5[[#This Row],[EAN CORREGIDO]],'Tabla Articulos'!B:B,'Tabla Articulos'!D:D)</f>
        <v>#N/A</v>
      </c>
      <c r="Q1406" s="44" t="e">
        <f>_xlfn.XLOOKUP(S1406,'Tabla Articulos'!B:B,'Tabla Articulos'!E:E)</f>
        <v>#N/A</v>
      </c>
      <c r="R1406" s="44" t="e">
        <f t="shared" si="42"/>
        <v>#N/A</v>
      </c>
      <c r="S1406" s="45" t="str">
        <f t="shared" si="43"/>
        <v>7793875360296</v>
      </c>
    </row>
    <row r="1407" spans="1:19" hidden="1" x14ac:dyDescent="0.35">
      <c r="A1407" s="22">
        <v>1</v>
      </c>
      <c r="B1407" t="s">
        <v>812</v>
      </c>
      <c r="C1407" t="s">
        <v>802</v>
      </c>
      <c r="D1407" t="s">
        <v>1663</v>
      </c>
      <c r="E1407" t="s">
        <v>2127</v>
      </c>
      <c r="F1407">
        <v>4020548</v>
      </c>
      <c r="G1407" t="s">
        <v>2128</v>
      </c>
      <c r="H1407" t="s">
        <v>805</v>
      </c>
      <c r="I1407">
        <v>33348</v>
      </c>
      <c r="J1407">
        <v>0</v>
      </c>
      <c r="K1407">
        <v>0</v>
      </c>
      <c r="L1407">
        <v>0</v>
      </c>
      <c r="M1407">
        <v>526</v>
      </c>
      <c r="N1407">
        <v>0</v>
      </c>
      <c r="O1407">
        <v>32822</v>
      </c>
      <c r="P1407" s="44" t="e">
        <f>_xlfn.XLOOKUP(Tabla5[[#This Row],[EAN CORREGIDO]],'Tabla Articulos'!B:B,'Tabla Articulos'!D:D)</f>
        <v>#N/A</v>
      </c>
      <c r="Q1407" s="44" t="e">
        <f>_xlfn.XLOOKUP(S1407,'Tabla Articulos'!B:B,'Tabla Articulos'!E:E)</f>
        <v>#N/A</v>
      </c>
      <c r="R1407" s="44" t="e">
        <f t="shared" si="42"/>
        <v>#N/A</v>
      </c>
      <c r="S1407" s="45" t="str">
        <f t="shared" si="43"/>
        <v>7797470199237</v>
      </c>
    </row>
    <row r="1408" spans="1:19" hidden="1" x14ac:dyDescent="0.35">
      <c r="A1408" s="22">
        <v>6</v>
      </c>
      <c r="B1408" t="s">
        <v>801</v>
      </c>
      <c r="C1408" t="s">
        <v>802</v>
      </c>
      <c r="D1408"/>
      <c r="E1408" t="s">
        <v>2129</v>
      </c>
      <c r="F1408">
        <v>2011483</v>
      </c>
      <c r="G1408" t="s">
        <v>2130</v>
      </c>
      <c r="H1408" t="s">
        <v>805</v>
      </c>
      <c r="I1408">
        <v>218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218</v>
      </c>
      <c r="P1408" s="44" t="e">
        <f>_xlfn.XLOOKUP(Tabla5[[#This Row],[EAN CORREGIDO]],'Tabla Articulos'!B:B,'Tabla Articulos'!D:D)</f>
        <v>#N/A</v>
      </c>
      <c r="Q1408" s="44" t="e">
        <f>_xlfn.XLOOKUP(S1408,'Tabla Articulos'!B:B,'Tabla Articulos'!E:E)</f>
        <v>#N/A</v>
      </c>
      <c r="R1408" s="44" t="e">
        <f t="shared" si="42"/>
        <v>#N/A</v>
      </c>
      <c r="S1408" s="45" t="str">
        <f t="shared" si="43"/>
        <v>7798188650294</v>
      </c>
    </row>
    <row r="1409" spans="1:19" hidden="1" x14ac:dyDescent="0.35">
      <c r="A1409" s="22">
        <v>6</v>
      </c>
      <c r="B1409" t="s">
        <v>801</v>
      </c>
      <c r="C1409" t="s">
        <v>802</v>
      </c>
      <c r="E1409" t="s">
        <v>2131</v>
      </c>
      <c r="F1409">
        <v>9003013</v>
      </c>
      <c r="G1409" t="s">
        <v>2132</v>
      </c>
      <c r="H1409" t="s">
        <v>805</v>
      </c>
      <c r="I1409">
        <v>106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106</v>
      </c>
      <c r="P1409" s="44" t="e">
        <f>_xlfn.XLOOKUP(Tabla5[[#This Row],[EAN CORREGIDO]],'Tabla Articulos'!B:B,'Tabla Articulos'!D:D)</f>
        <v>#N/A</v>
      </c>
      <c r="Q1409" s="44" t="e">
        <f>_xlfn.XLOOKUP(S1409,'Tabla Articulos'!B:B,'Tabla Articulos'!E:E)</f>
        <v>#N/A</v>
      </c>
      <c r="R1409" s="44" t="e">
        <f t="shared" ref="R1409:R1472" si="44">O1409*Q1409</f>
        <v>#N/A</v>
      </c>
      <c r="S1409" s="45" t="str">
        <f t="shared" ref="S1409:S1472" si="45">TRIM(E1409)</f>
        <v>UNIF000004</v>
      </c>
    </row>
    <row r="1410" spans="1:19" hidden="1" x14ac:dyDescent="0.35">
      <c r="A1410" s="22">
        <v>1</v>
      </c>
      <c r="B1410" t="s">
        <v>812</v>
      </c>
      <c r="C1410" t="s">
        <v>802</v>
      </c>
      <c r="D1410" s="11" t="s">
        <v>2133</v>
      </c>
      <c r="E1410" t="s">
        <v>2134</v>
      </c>
      <c r="F1410">
        <v>4019932</v>
      </c>
      <c r="G1410" t="s">
        <v>2135</v>
      </c>
      <c r="H1410" t="s">
        <v>805</v>
      </c>
      <c r="I1410">
        <v>5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5</v>
      </c>
      <c r="P1410" s="44" t="e">
        <f>_xlfn.XLOOKUP(Tabla5[[#This Row],[EAN CORREGIDO]],'Tabla Articulos'!B:B,'Tabla Articulos'!D:D)</f>
        <v>#N/A</v>
      </c>
      <c r="Q1410" s="44" t="e">
        <f>_xlfn.XLOOKUP(S1410,'Tabla Articulos'!B:B,'Tabla Articulos'!E:E)</f>
        <v>#N/A</v>
      </c>
      <c r="R1410" s="44" t="e">
        <f t="shared" si="44"/>
        <v>#N/A</v>
      </c>
      <c r="S1410" s="45" t="str">
        <f t="shared" si="45"/>
        <v>7790971001115</v>
      </c>
    </row>
    <row r="1411" spans="1:19" hidden="1" x14ac:dyDescent="0.35">
      <c r="A1411" s="22">
        <v>1</v>
      </c>
      <c r="B1411" t="s">
        <v>812</v>
      </c>
      <c r="C1411" t="s">
        <v>802</v>
      </c>
      <c r="D1411" s="11" t="s">
        <v>2136</v>
      </c>
      <c r="E1411" t="s">
        <v>2137</v>
      </c>
      <c r="F1411">
        <v>4019671</v>
      </c>
      <c r="G1411" t="s">
        <v>2138</v>
      </c>
      <c r="H1411" t="s">
        <v>805</v>
      </c>
      <c r="I1411">
        <v>38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38</v>
      </c>
      <c r="P1411" s="44" t="e">
        <f>_xlfn.XLOOKUP(Tabla5[[#This Row],[EAN CORREGIDO]],'Tabla Articulos'!B:B,'Tabla Articulos'!D:D)</f>
        <v>#N/A</v>
      </c>
      <c r="Q1411" s="44" t="e">
        <f>_xlfn.XLOOKUP(S1411,'Tabla Articulos'!B:B,'Tabla Articulos'!E:E)</f>
        <v>#N/A</v>
      </c>
      <c r="R1411" s="44" t="e">
        <f t="shared" si="44"/>
        <v>#N/A</v>
      </c>
      <c r="S1411" s="45" t="str">
        <f t="shared" si="45"/>
        <v>7790971000972</v>
      </c>
    </row>
    <row r="1412" spans="1:19" hidden="1" x14ac:dyDescent="0.35">
      <c r="A1412" s="22">
        <v>1</v>
      </c>
      <c r="B1412" t="s">
        <v>812</v>
      </c>
      <c r="C1412" t="s">
        <v>802</v>
      </c>
      <c r="D1412" t="s">
        <v>991</v>
      </c>
      <c r="E1412" t="s">
        <v>992</v>
      </c>
      <c r="F1412">
        <v>4022195</v>
      </c>
      <c r="G1412" t="s">
        <v>993</v>
      </c>
      <c r="H1412" t="s">
        <v>816</v>
      </c>
      <c r="I1412">
        <v>350.83</v>
      </c>
      <c r="J1412">
        <v>0</v>
      </c>
      <c r="K1412">
        <v>0</v>
      </c>
      <c r="L1412">
        <v>0</v>
      </c>
      <c r="M1412">
        <v>92.575000000000003</v>
      </c>
      <c r="N1412">
        <v>0</v>
      </c>
      <c r="O1412">
        <v>258.255</v>
      </c>
      <c r="P1412" s="44" t="e">
        <f>_xlfn.XLOOKUP(Tabla5[[#This Row],[EAN CORREGIDO]],'Tabla Articulos'!B:B,'Tabla Articulos'!D:D)</f>
        <v>#N/A</v>
      </c>
      <c r="Q1412" s="44" t="e">
        <f>_xlfn.XLOOKUP(S1412,'Tabla Articulos'!B:B,'Tabla Articulos'!E:E)</f>
        <v>#N/A</v>
      </c>
      <c r="R1412" s="44" t="e">
        <f t="shared" si="44"/>
        <v>#N/A</v>
      </c>
      <c r="S1412" s="45" t="str">
        <f t="shared" si="45"/>
        <v>7798001560267</v>
      </c>
    </row>
    <row r="1413" spans="1:19" hidden="1" x14ac:dyDescent="0.35">
      <c r="A1413" s="22">
        <v>1</v>
      </c>
      <c r="B1413" t="s">
        <v>812</v>
      </c>
      <c r="C1413" t="s">
        <v>802</v>
      </c>
      <c r="D1413" s="11" t="s">
        <v>994</v>
      </c>
      <c r="E1413" t="s">
        <v>995</v>
      </c>
      <c r="F1413" s="11">
        <v>4018362</v>
      </c>
      <c r="G1413" t="s">
        <v>996</v>
      </c>
      <c r="H1413" t="s">
        <v>805</v>
      </c>
      <c r="I1413">
        <v>17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17</v>
      </c>
      <c r="P1413" s="44" t="e">
        <f>_xlfn.XLOOKUP(Tabla5[[#This Row],[EAN CORREGIDO]],'Tabla Articulos'!B:B,'Tabla Articulos'!D:D)</f>
        <v>#N/A</v>
      </c>
      <c r="Q1413" s="44" t="e">
        <f>_xlfn.XLOOKUP(S1413,'Tabla Articulos'!B:B,'Tabla Articulos'!E:E)</f>
        <v>#N/A</v>
      </c>
      <c r="R1413" s="44" t="e">
        <f t="shared" si="44"/>
        <v>#N/A</v>
      </c>
      <c r="S1413" s="45" t="str">
        <f t="shared" si="45"/>
        <v>7795323001973</v>
      </c>
    </row>
    <row r="1414" spans="1:19" hidden="1" x14ac:dyDescent="0.35">
      <c r="A1414" s="22">
        <v>5</v>
      </c>
      <c r="B1414" t="s">
        <v>829</v>
      </c>
      <c r="C1414" t="s">
        <v>802</v>
      </c>
      <c r="D1414" s="11" t="s">
        <v>997</v>
      </c>
      <c r="E1414" t="s">
        <v>998</v>
      </c>
      <c r="F1414" s="11">
        <v>4018041</v>
      </c>
      <c r="G1414" t="s">
        <v>999</v>
      </c>
      <c r="H1414" t="s">
        <v>816</v>
      </c>
      <c r="I1414">
        <v>5.24</v>
      </c>
      <c r="J1414">
        <v>0</v>
      </c>
      <c r="K1414">
        <v>0</v>
      </c>
      <c r="L1414">
        <v>0</v>
      </c>
      <c r="M1414">
        <v>4.5</v>
      </c>
      <c r="N1414">
        <v>0</v>
      </c>
      <c r="O1414">
        <v>0.74</v>
      </c>
      <c r="P1414" s="44" t="e">
        <f>_xlfn.XLOOKUP(Tabla5[[#This Row],[EAN CORREGIDO]],'Tabla Articulos'!B:B,'Tabla Articulos'!D:D)</f>
        <v>#N/A</v>
      </c>
      <c r="Q1414" s="44" t="e">
        <f>_xlfn.XLOOKUP(S1414,'Tabla Articulos'!B:B,'Tabla Articulos'!E:E)</f>
        <v>#N/A</v>
      </c>
      <c r="R1414" s="44" t="e">
        <f t="shared" si="44"/>
        <v>#N/A</v>
      </c>
      <c r="S1414" s="45" t="str">
        <f t="shared" si="45"/>
        <v>7790216010062</v>
      </c>
    </row>
    <row r="1415" spans="1:19" hidden="1" x14ac:dyDescent="0.35">
      <c r="A1415" s="22">
        <v>1</v>
      </c>
      <c r="B1415" t="s">
        <v>812</v>
      </c>
      <c r="C1415" t="s">
        <v>802</v>
      </c>
      <c r="D1415" s="11" t="s">
        <v>997</v>
      </c>
      <c r="E1415" t="s">
        <v>998</v>
      </c>
      <c r="F1415" s="11">
        <v>4018041</v>
      </c>
      <c r="G1415" t="s">
        <v>999</v>
      </c>
      <c r="H1415" t="s">
        <v>816</v>
      </c>
      <c r="I1415">
        <v>827.44500000000005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827.44500000000005</v>
      </c>
      <c r="P1415" s="44" t="e">
        <f>_xlfn.XLOOKUP(Tabla5[[#This Row],[EAN CORREGIDO]],'Tabla Articulos'!B:B,'Tabla Articulos'!D:D)</f>
        <v>#N/A</v>
      </c>
      <c r="Q1415" s="44" t="e">
        <f>_xlfn.XLOOKUP(S1415,'Tabla Articulos'!B:B,'Tabla Articulos'!E:E)</f>
        <v>#N/A</v>
      </c>
      <c r="R1415" s="44" t="e">
        <f t="shared" si="44"/>
        <v>#N/A</v>
      </c>
      <c r="S1415" s="45" t="str">
        <f t="shared" si="45"/>
        <v>7790216010062</v>
      </c>
    </row>
    <row r="1416" spans="1:19" hidden="1" x14ac:dyDescent="0.35">
      <c r="A1416" s="22">
        <v>6</v>
      </c>
      <c r="B1416" t="s">
        <v>801</v>
      </c>
      <c r="C1416" t="s">
        <v>802</v>
      </c>
      <c r="E1416" t="s">
        <v>1000</v>
      </c>
      <c r="F1416" s="11">
        <v>9003971</v>
      </c>
      <c r="G1416" t="s">
        <v>1001</v>
      </c>
      <c r="H1416" t="s">
        <v>805</v>
      </c>
      <c r="I1416">
        <v>15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15</v>
      </c>
      <c r="P1416" s="44" t="e">
        <f>_xlfn.XLOOKUP(Tabla5[[#This Row],[EAN CORREGIDO]],'Tabla Articulos'!B:B,'Tabla Articulos'!D:D)</f>
        <v>#N/A</v>
      </c>
      <c r="Q1416" s="44" t="e">
        <f>_xlfn.XLOOKUP(S1416,'Tabla Articulos'!B:B,'Tabla Articulos'!E:E)</f>
        <v>#N/A</v>
      </c>
      <c r="R1416" s="44" t="e">
        <f t="shared" si="44"/>
        <v>#N/A</v>
      </c>
      <c r="S1416" s="45" t="str">
        <f t="shared" si="45"/>
        <v>UNIF000641</v>
      </c>
    </row>
    <row r="1417" spans="1:19" hidden="1" x14ac:dyDescent="0.35">
      <c r="A1417" s="22">
        <v>6</v>
      </c>
      <c r="B1417" t="s">
        <v>801</v>
      </c>
      <c r="C1417" t="s">
        <v>802</v>
      </c>
      <c r="D1417" s="11" t="s">
        <v>1002</v>
      </c>
      <c r="E1417" t="s">
        <v>1003</v>
      </c>
      <c r="F1417" s="11">
        <v>2006284</v>
      </c>
      <c r="G1417" t="s">
        <v>1004</v>
      </c>
      <c r="H1417" t="s">
        <v>805</v>
      </c>
      <c r="I1417">
        <v>1440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1440</v>
      </c>
      <c r="P1417" s="44" t="e">
        <f>_xlfn.XLOOKUP(Tabla5[[#This Row],[EAN CORREGIDO]],'Tabla Articulos'!B:B,'Tabla Articulos'!D:D)</f>
        <v>#N/A</v>
      </c>
      <c r="Q1417" s="44" t="e">
        <f>_xlfn.XLOOKUP(S1417,'Tabla Articulos'!B:B,'Tabla Articulos'!E:E)</f>
        <v>#N/A</v>
      </c>
      <c r="R1417" s="44" t="e">
        <f t="shared" si="44"/>
        <v>#N/A</v>
      </c>
      <c r="S1417" s="45" t="str">
        <f t="shared" si="45"/>
        <v>7795864000800</v>
      </c>
    </row>
    <row r="1418" spans="1:19" hidden="1" x14ac:dyDescent="0.35">
      <c r="A1418" s="22">
        <v>1</v>
      </c>
      <c r="B1418" t="s">
        <v>812</v>
      </c>
      <c r="C1418" t="s">
        <v>802</v>
      </c>
      <c r="D1418" s="11" t="s">
        <v>1005</v>
      </c>
      <c r="E1418" t="s">
        <v>1006</v>
      </c>
      <c r="F1418" s="11">
        <v>4017970</v>
      </c>
      <c r="G1418" t="s">
        <v>1007</v>
      </c>
      <c r="H1418" t="s">
        <v>805</v>
      </c>
      <c r="I1418">
        <v>67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67</v>
      </c>
      <c r="P1418" s="44" t="e">
        <f>_xlfn.XLOOKUP(Tabla5[[#This Row],[EAN CORREGIDO]],'Tabla Articulos'!B:B,'Tabla Articulos'!D:D)</f>
        <v>#N/A</v>
      </c>
      <c r="Q1418" s="44" t="e">
        <f>_xlfn.XLOOKUP(S1418,'Tabla Articulos'!B:B,'Tabla Articulos'!E:E)</f>
        <v>#N/A</v>
      </c>
      <c r="R1418" s="44" t="e">
        <f t="shared" si="44"/>
        <v>#N/A</v>
      </c>
      <c r="S1418" s="45" t="str">
        <f t="shared" si="45"/>
        <v>7797906000526</v>
      </c>
    </row>
    <row r="1419" spans="1:19" hidden="1" x14ac:dyDescent="0.35">
      <c r="A1419" s="22">
        <v>1</v>
      </c>
      <c r="B1419" t="s">
        <v>812</v>
      </c>
      <c r="C1419" t="s">
        <v>802</v>
      </c>
      <c r="D1419" s="11" t="s">
        <v>1008</v>
      </c>
      <c r="E1419" t="s">
        <v>1009</v>
      </c>
      <c r="F1419" s="11">
        <v>4018347</v>
      </c>
      <c r="G1419" t="s">
        <v>1010</v>
      </c>
      <c r="H1419" t="s">
        <v>805</v>
      </c>
      <c r="I1419">
        <v>0</v>
      </c>
      <c r="J1419">
        <v>30</v>
      </c>
      <c r="K1419">
        <v>0</v>
      </c>
      <c r="L1419">
        <v>0</v>
      </c>
      <c r="M1419">
        <v>0</v>
      </c>
      <c r="N1419">
        <v>0</v>
      </c>
      <c r="O1419">
        <v>30</v>
      </c>
      <c r="P1419" s="44" t="e">
        <f>_xlfn.XLOOKUP(Tabla5[[#This Row],[EAN CORREGIDO]],'Tabla Articulos'!B:B,'Tabla Articulos'!D:D)</f>
        <v>#N/A</v>
      </c>
      <c r="Q1419" s="44" t="e">
        <f>_xlfn.XLOOKUP(S1419,'Tabla Articulos'!B:B,'Tabla Articulos'!E:E)</f>
        <v>#N/A</v>
      </c>
      <c r="R1419" s="44" t="e">
        <f t="shared" si="44"/>
        <v>#N/A</v>
      </c>
      <c r="S1419" s="45" t="str">
        <f t="shared" si="45"/>
        <v>17790787960696</v>
      </c>
    </row>
    <row r="1420" spans="1:19" hidden="1" x14ac:dyDescent="0.35">
      <c r="A1420" s="22">
        <v>6</v>
      </c>
      <c r="B1420" t="s">
        <v>801</v>
      </c>
      <c r="C1420" t="s">
        <v>802</v>
      </c>
      <c r="E1420" t="s">
        <v>4822</v>
      </c>
      <c r="G1420" t="s">
        <v>4823</v>
      </c>
      <c r="H1420" t="s">
        <v>805</v>
      </c>
      <c r="I1420">
        <v>195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195</v>
      </c>
      <c r="P1420" s="44" t="e">
        <f>_xlfn.XLOOKUP(Tabla5[[#This Row],[EAN CORREGIDO]],'Tabla Articulos'!B:B,'Tabla Articulos'!D:D)</f>
        <v>#N/A</v>
      </c>
      <c r="Q1420" s="44" t="e">
        <f>_xlfn.XLOOKUP(S1420,'Tabla Articulos'!B:B,'Tabla Articulos'!E:E)</f>
        <v>#N/A</v>
      </c>
      <c r="R1420" s="44" t="e">
        <f t="shared" si="44"/>
        <v>#N/A</v>
      </c>
      <c r="S1420" s="45" t="str">
        <f t="shared" si="45"/>
        <v>BUSAT000051</v>
      </c>
    </row>
    <row r="1421" spans="1:19" hidden="1" x14ac:dyDescent="0.35">
      <c r="A1421" s="22">
        <v>6</v>
      </c>
      <c r="B1421" t="s">
        <v>801</v>
      </c>
      <c r="C1421" t="s">
        <v>802</v>
      </c>
      <c r="E1421" t="s">
        <v>4824</v>
      </c>
      <c r="G1421" t="s">
        <v>4825</v>
      </c>
      <c r="H1421" t="s">
        <v>805</v>
      </c>
      <c r="I1421">
        <v>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</v>
      </c>
      <c r="P1421" s="44" t="e">
        <f>_xlfn.XLOOKUP(Tabla5[[#This Row],[EAN CORREGIDO]],'Tabla Articulos'!B:B,'Tabla Articulos'!D:D)</f>
        <v>#N/A</v>
      </c>
      <c r="Q1421" s="44" t="e">
        <f>_xlfn.XLOOKUP(S1421,'Tabla Articulos'!B:B,'Tabla Articulos'!E:E)</f>
        <v>#N/A</v>
      </c>
      <c r="R1421" s="44" t="e">
        <f t="shared" si="44"/>
        <v>#N/A</v>
      </c>
      <c r="S1421" s="45" t="str">
        <f t="shared" si="45"/>
        <v>BUSAT000061</v>
      </c>
    </row>
    <row r="1422" spans="1:19" hidden="1" x14ac:dyDescent="0.35">
      <c r="A1422" s="22">
        <v>6</v>
      </c>
      <c r="B1422" t="s">
        <v>801</v>
      </c>
      <c r="C1422" t="s">
        <v>802</v>
      </c>
      <c r="E1422" t="s">
        <v>4826</v>
      </c>
      <c r="G1422" t="s">
        <v>4827</v>
      </c>
      <c r="H1422" t="s">
        <v>805</v>
      </c>
      <c r="I1422">
        <v>22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22</v>
      </c>
      <c r="P1422" s="44" t="e">
        <f>_xlfn.XLOOKUP(Tabla5[[#This Row],[EAN CORREGIDO]],'Tabla Articulos'!B:B,'Tabla Articulos'!D:D)</f>
        <v>#N/A</v>
      </c>
      <c r="Q1422" s="44" t="e">
        <f>_xlfn.XLOOKUP(S1422,'Tabla Articulos'!B:B,'Tabla Articulos'!E:E)</f>
        <v>#N/A</v>
      </c>
      <c r="R1422" s="44" t="e">
        <f t="shared" si="44"/>
        <v>#N/A</v>
      </c>
      <c r="S1422" s="45" t="str">
        <f t="shared" si="45"/>
        <v>OBR000101</v>
      </c>
    </row>
    <row r="1423" spans="1:19" hidden="1" x14ac:dyDescent="0.35">
      <c r="A1423" s="22">
        <v>6</v>
      </c>
      <c r="B1423" t="s">
        <v>801</v>
      </c>
      <c r="C1423" t="s">
        <v>802</v>
      </c>
      <c r="E1423" t="s">
        <v>4828</v>
      </c>
      <c r="G1423" t="s">
        <v>4829</v>
      </c>
      <c r="H1423" t="s">
        <v>805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</v>
      </c>
      <c r="P1423" s="44" t="e">
        <f>_xlfn.XLOOKUP(Tabla5[[#This Row],[EAN CORREGIDO]],'Tabla Articulos'!B:B,'Tabla Articulos'!D:D)</f>
        <v>#N/A</v>
      </c>
      <c r="Q1423" s="44" t="e">
        <f>_xlfn.XLOOKUP(S1423,'Tabla Articulos'!B:B,'Tabla Articulos'!E:E)</f>
        <v>#N/A</v>
      </c>
      <c r="R1423" s="44" t="e">
        <f t="shared" si="44"/>
        <v>#N/A</v>
      </c>
      <c r="S1423" s="45" t="str">
        <f t="shared" si="45"/>
        <v>BUSAT000934</v>
      </c>
    </row>
    <row r="1424" spans="1:19" hidden="1" x14ac:dyDescent="0.35">
      <c r="A1424" s="22">
        <v>6</v>
      </c>
      <c r="B1424" t="s">
        <v>801</v>
      </c>
      <c r="C1424" t="s">
        <v>802</v>
      </c>
      <c r="E1424" t="s">
        <v>4830</v>
      </c>
      <c r="G1424" t="s">
        <v>4831</v>
      </c>
      <c r="H1424" t="s">
        <v>805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 s="44" t="e">
        <f>_xlfn.XLOOKUP(Tabla5[[#This Row],[EAN CORREGIDO]],'Tabla Articulos'!B:B,'Tabla Articulos'!D:D)</f>
        <v>#N/A</v>
      </c>
      <c r="Q1424" s="44" t="e">
        <f>_xlfn.XLOOKUP(S1424,'Tabla Articulos'!B:B,'Tabla Articulos'!E:E)</f>
        <v>#N/A</v>
      </c>
      <c r="R1424" s="44" t="e">
        <f t="shared" si="44"/>
        <v>#N/A</v>
      </c>
      <c r="S1424" s="45" t="str">
        <f t="shared" si="45"/>
        <v>BUSAT0011012</v>
      </c>
    </row>
    <row r="1425" spans="1:19" hidden="1" x14ac:dyDescent="0.35">
      <c r="A1425" s="22">
        <v>6</v>
      </c>
      <c r="B1425" t="s">
        <v>801</v>
      </c>
      <c r="C1425" t="s">
        <v>802</v>
      </c>
      <c r="E1425" t="s">
        <v>4832</v>
      </c>
      <c r="G1425" t="s">
        <v>4833</v>
      </c>
      <c r="H1425" t="s">
        <v>805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  <c r="P1425" s="44" t="e">
        <f>_xlfn.XLOOKUP(Tabla5[[#This Row],[EAN CORREGIDO]],'Tabla Articulos'!B:B,'Tabla Articulos'!D:D)</f>
        <v>#N/A</v>
      </c>
      <c r="Q1425" s="44" t="e">
        <f>_xlfn.XLOOKUP(S1425,'Tabla Articulos'!B:B,'Tabla Articulos'!E:E)</f>
        <v>#N/A</v>
      </c>
      <c r="R1425" s="44" t="e">
        <f t="shared" si="44"/>
        <v>#N/A</v>
      </c>
      <c r="S1425" s="45" t="str">
        <f t="shared" si="45"/>
        <v>BUSAT000319</v>
      </c>
    </row>
    <row r="1426" spans="1:19" hidden="1" x14ac:dyDescent="0.35">
      <c r="A1426" s="22">
        <v>6</v>
      </c>
      <c r="B1426" t="s">
        <v>801</v>
      </c>
      <c r="C1426" t="s">
        <v>802</v>
      </c>
      <c r="E1426" t="s">
        <v>4834</v>
      </c>
      <c r="G1426" t="s">
        <v>4835</v>
      </c>
      <c r="H1426" t="s">
        <v>1034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 s="44" t="e">
        <f>_xlfn.XLOOKUP(Tabla5[[#This Row],[EAN CORREGIDO]],'Tabla Articulos'!B:B,'Tabla Articulos'!D:D)</f>
        <v>#N/A</v>
      </c>
      <c r="Q1426" s="44" t="e">
        <f>_xlfn.XLOOKUP(S1426,'Tabla Articulos'!B:B,'Tabla Articulos'!E:E)</f>
        <v>#N/A</v>
      </c>
      <c r="R1426" s="44" t="e">
        <f t="shared" si="44"/>
        <v>#N/A</v>
      </c>
      <c r="S1426" s="45" t="str">
        <f t="shared" si="45"/>
        <v>BUSAT000128</v>
      </c>
    </row>
    <row r="1427" spans="1:19" hidden="1" x14ac:dyDescent="0.35">
      <c r="A1427" s="22">
        <v>6</v>
      </c>
      <c r="B1427" t="s">
        <v>801</v>
      </c>
      <c r="C1427" t="s">
        <v>802</v>
      </c>
      <c r="E1427" t="s">
        <v>4836</v>
      </c>
      <c r="G1427" t="s">
        <v>4837</v>
      </c>
      <c r="H1427" t="s">
        <v>805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2</v>
      </c>
      <c r="P1427" s="44" t="e">
        <f>_xlfn.XLOOKUP(Tabla5[[#This Row],[EAN CORREGIDO]],'Tabla Articulos'!B:B,'Tabla Articulos'!D:D)</f>
        <v>#N/A</v>
      </c>
      <c r="Q1427" s="44" t="e">
        <f>_xlfn.XLOOKUP(S1427,'Tabla Articulos'!B:B,'Tabla Articulos'!E:E)</f>
        <v>#N/A</v>
      </c>
      <c r="R1427" s="44" t="e">
        <f t="shared" si="44"/>
        <v>#N/A</v>
      </c>
      <c r="S1427" s="45" t="str">
        <f t="shared" si="45"/>
        <v>BUSAT000946</v>
      </c>
    </row>
    <row r="1428" spans="1:19" hidden="1" x14ac:dyDescent="0.35">
      <c r="A1428" s="22">
        <v>6</v>
      </c>
      <c r="B1428" t="s">
        <v>801</v>
      </c>
      <c r="C1428" t="s">
        <v>802</v>
      </c>
      <c r="E1428" t="s">
        <v>4838</v>
      </c>
      <c r="G1428" t="s">
        <v>4839</v>
      </c>
      <c r="H1428" t="s">
        <v>805</v>
      </c>
      <c r="I1428">
        <v>8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8</v>
      </c>
      <c r="P1428" s="44" t="e">
        <f>_xlfn.XLOOKUP(Tabla5[[#This Row],[EAN CORREGIDO]],'Tabla Articulos'!B:B,'Tabla Articulos'!D:D)</f>
        <v>#N/A</v>
      </c>
      <c r="Q1428" s="44" t="e">
        <f>_xlfn.XLOOKUP(S1428,'Tabla Articulos'!B:B,'Tabla Articulos'!E:E)</f>
        <v>#N/A</v>
      </c>
      <c r="R1428" s="44" t="e">
        <f t="shared" si="44"/>
        <v>#N/A</v>
      </c>
      <c r="S1428" s="45" t="str">
        <f t="shared" si="45"/>
        <v>BUSAT000905</v>
      </c>
    </row>
    <row r="1429" spans="1:19" hidden="1" x14ac:dyDescent="0.35">
      <c r="A1429" s="22">
        <v>6</v>
      </c>
      <c r="B1429" t="s">
        <v>801</v>
      </c>
      <c r="C1429" t="s">
        <v>802</v>
      </c>
      <c r="E1429" t="s">
        <v>4840</v>
      </c>
      <c r="G1429" t="s">
        <v>4841</v>
      </c>
      <c r="H1429" t="s">
        <v>1034</v>
      </c>
      <c r="I1429">
        <v>5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5</v>
      </c>
      <c r="P1429" s="44" t="e">
        <f>_xlfn.XLOOKUP(Tabla5[[#This Row],[EAN CORREGIDO]],'Tabla Articulos'!B:B,'Tabla Articulos'!D:D)</f>
        <v>#N/A</v>
      </c>
      <c r="Q1429" s="44" t="e">
        <f>_xlfn.XLOOKUP(S1429,'Tabla Articulos'!B:B,'Tabla Articulos'!E:E)</f>
        <v>#N/A</v>
      </c>
      <c r="R1429" s="44" t="e">
        <f t="shared" si="44"/>
        <v>#N/A</v>
      </c>
      <c r="S1429" s="45" t="str">
        <f t="shared" si="45"/>
        <v>BUM313</v>
      </c>
    </row>
    <row r="1430" spans="1:19" hidden="1" x14ac:dyDescent="0.35">
      <c r="A1430" s="22">
        <v>6</v>
      </c>
      <c r="B1430" t="s">
        <v>801</v>
      </c>
      <c r="C1430" t="s">
        <v>802</v>
      </c>
      <c r="E1430" t="s">
        <v>4842</v>
      </c>
      <c r="G1430" t="s">
        <v>4843</v>
      </c>
      <c r="H1430" t="s">
        <v>805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 s="44" t="e">
        <f>_xlfn.XLOOKUP(Tabla5[[#This Row],[EAN CORREGIDO]],'Tabla Articulos'!B:B,'Tabla Articulos'!D:D)</f>
        <v>#N/A</v>
      </c>
      <c r="Q1430" s="44" t="e">
        <f>_xlfn.XLOOKUP(S1430,'Tabla Articulos'!B:B,'Tabla Articulos'!E:E)</f>
        <v>#N/A</v>
      </c>
      <c r="R1430" s="44" t="e">
        <f t="shared" si="44"/>
        <v>#N/A</v>
      </c>
      <c r="S1430" s="45" t="str">
        <f t="shared" si="45"/>
        <v>BUSAT000856</v>
      </c>
    </row>
    <row r="1431" spans="1:19" hidden="1" x14ac:dyDescent="0.35">
      <c r="A1431" s="22">
        <v>6</v>
      </c>
      <c r="B1431" t="s">
        <v>801</v>
      </c>
      <c r="C1431" t="s">
        <v>802</v>
      </c>
      <c r="E1431" t="s">
        <v>4844</v>
      </c>
      <c r="G1431" t="s">
        <v>4845</v>
      </c>
      <c r="H1431" t="s">
        <v>805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</v>
      </c>
      <c r="P1431" s="44" t="e">
        <f>_xlfn.XLOOKUP(Tabla5[[#This Row],[EAN CORREGIDO]],'Tabla Articulos'!B:B,'Tabla Articulos'!D:D)</f>
        <v>#N/A</v>
      </c>
      <c r="Q1431" s="44" t="e">
        <f>_xlfn.XLOOKUP(S1431,'Tabla Articulos'!B:B,'Tabla Articulos'!E:E)</f>
        <v>#N/A</v>
      </c>
      <c r="R1431" s="44" t="e">
        <f t="shared" si="44"/>
        <v>#N/A</v>
      </c>
      <c r="S1431" s="45" t="str">
        <f t="shared" si="45"/>
        <v>BUSAT000372</v>
      </c>
    </row>
    <row r="1432" spans="1:19" hidden="1" x14ac:dyDescent="0.35">
      <c r="A1432" s="22">
        <v>6</v>
      </c>
      <c r="B1432" t="s">
        <v>801</v>
      </c>
      <c r="C1432" t="s">
        <v>802</v>
      </c>
      <c r="E1432" t="s">
        <v>4846</v>
      </c>
      <c r="G1432" t="s">
        <v>4847</v>
      </c>
      <c r="H1432" t="s">
        <v>805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 s="44" t="e">
        <f>_xlfn.XLOOKUP(Tabla5[[#This Row],[EAN CORREGIDO]],'Tabla Articulos'!B:B,'Tabla Articulos'!D:D)</f>
        <v>#N/A</v>
      </c>
      <c r="Q1432" s="44" t="e">
        <f>_xlfn.XLOOKUP(S1432,'Tabla Articulos'!B:B,'Tabla Articulos'!E:E)</f>
        <v>#N/A</v>
      </c>
      <c r="R1432" s="44" t="e">
        <f t="shared" si="44"/>
        <v>#N/A</v>
      </c>
      <c r="S1432" s="45" t="str">
        <f t="shared" si="45"/>
        <v>BUSAT000337</v>
      </c>
    </row>
    <row r="1433" spans="1:19" hidden="1" x14ac:dyDescent="0.35">
      <c r="A1433" s="22">
        <v>6</v>
      </c>
      <c r="B1433" t="s">
        <v>801</v>
      </c>
      <c r="C1433" t="s">
        <v>802</v>
      </c>
      <c r="E1433" t="s">
        <v>4848</v>
      </c>
      <c r="G1433" t="s">
        <v>4849</v>
      </c>
      <c r="H1433" t="s">
        <v>805</v>
      </c>
      <c r="I1433">
        <v>5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5</v>
      </c>
      <c r="P1433" s="44" t="e">
        <f>_xlfn.XLOOKUP(Tabla5[[#This Row],[EAN CORREGIDO]],'Tabla Articulos'!B:B,'Tabla Articulos'!D:D)</f>
        <v>#N/A</v>
      </c>
      <c r="Q1433" s="44" t="e">
        <f>_xlfn.XLOOKUP(S1433,'Tabla Articulos'!B:B,'Tabla Articulos'!E:E)</f>
        <v>#N/A</v>
      </c>
      <c r="R1433" s="44" t="e">
        <f t="shared" si="44"/>
        <v>#N/A</v>
      </c>
      <c r="S1433" s="45" t="str">
        <f t="shared" si="45"/>
        <v>BUSAT001009</v>
      </c>
    </row>
    <row r="1434" spans="1:19" hidden="1" x14ac:dyDescent="0.35">
      <c r="A1434" s="22">
        <v>6</v>
      </c>
      <c r="B1434" t="s">
        <v>801</v>
      </c>
      <c r="C1434" t="s">
        <v>802</v>
      </c>
      <c r="E1434" t="s">
        <v>4850</v>
      </c>
      <c r="G1434" t="s">
        <v>4592</v>
      </c>
      <c r="H1434" t="s">
        <v>805</v>
      </c>
      <c r="I1434">
        <v>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</v>
      </c>
      <c r="P1434" s="44" t="e">
        <f>_xlfn.XLOOKUP(Tabla5[[#This Row],[EAN CORREGIDO]],'Tabla Articulos'!B:B,'Tabla Articulos'!D:D)</f>
        <v>#N/A</v>
      </c>
      <c r="Q1434" s="44" t="e">
        <f>_xlfn.XLOOKUP(S1434,'Tabla Articulos'!B:B,'Tabla Articulos'!E:E)</f>
        <v>#N/A</v>
      </c>
      <c r="R1434" s="44" t="e">
        <f t="shared" si="44"/>
        <v>#N/A</v>
      </c>
      <c r="S1434" s="45" t="str">
        <f t="shared" si="45"/>
        <v>BUSAT000989</v>
      </c>
    </row>
    <row r="1435" spans="1:19" hidden="1" x14ac:dyDescent="0.35">
      <c r="A1435" s="22">
        <v>1</v>
      </c>
      <c r="B1435" t="s">
        <v>812</v>
      </c>
      <c r="C1435" t="s">
        <v>802</v>
      </c>
      <c r="D1435" s="11" t="s">
        <v>3660</v>
      </c>
      <c r="E1435" t="s">
        <v>4851</v>
      </c>
      <c r="G1435" t="s">
        <v>4852</v>
      </c>
      <c r="H1435" t="s">
        <v>805</v>
      </c>
      <c r="I1435">
        <v>24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24</v>
      </c>
      <c r="P1435" s="44" t="e">
        <f>_xlfn.XLOOKUP(Tabla5[[#This Row],[EAN CORREGIDO]],'Tabla Articulos'!B:B,'Tabla Articulos'!D:D)</f>
        <v>#N/A</v>
      </c>
      <c r="Q1435" s="44" t="e">
        <f>_xlfn.XLOOKUP(S1435,'Tabla Articulos'!B:B,'Tabla Articulos'!E:E)</f>
        <v>#N/A</v>
      </c>
      <c r="R1435" s="44" t="e">
        <f t="shared" si="44"/>
        <v>#N/A</v>
      </c>
      <c r="S1435" s="45" t="str">
        <f t="shared" si="45"/>
        <v>7790045001584</v>
      </c>
    </row>
    <row r="1436" spans="1:19" hidden="1" x14ac:dyDescent="0.35">
      <c r="A1436" s="22">
        <v>6</v>
      </c>
      <c r="B1436" t="s">
        <v>801</v>
      </c>
      <c r="C1436" t="s">
        <v>802</v>
      </c>
      <c r="E1436" t="s">
        <v>4957</v>
      </c>
      <c r="G1436" t="s">
        <v>4958</v>
      </c>
      <c r="H1436" t="s">
        <v>805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 s="44" t="e">
        <f>_xlfn.XLOOKUP(Tabla5[[#This Row],[EAN CORREGIDO]],'Tabla Articulos'!B:B,'Tabla Articulos'!D:D)</f>
        <v>#N/A</v>
      </c>
      <c r="Q1436" s="44" t="e">
        <f>_xlfn.XLOOKUP(S1436,'Tabla Articulos'!B:B,'Tabla Articulos'!E:E)</f>
        <v>#N/A</v>
      </c>
      <c r="R1436" s="44" t="e">
        <f t="shared" si="44"/>
        <v>#N/A</v>
      </c>
      <c r="S1436" s="45" t="str">
        <f t="shared" si="45"/>
        <v>BUSAT000919</v>
      </c>
    </row>
    <row r="1437" spans="1:19" hidden="1" x14ac:dyDescent="0.35">
      <c r="A1437" s="22">
        <v>6</v>
      </c>
      <c r="B1437" t="s">
        <v>801</v>
      </c>
      <c r="C1437" t="s">
        <v>802</v>
      </c>
      <c r="E1437" t="s">
        <v>4959</v>
      </c>
      <c r="G1437" t="s">
        <v>4960</v>
      </c>
      <c r="H1437" t="s">
        <v>805</v>
      </c>
      <c r="I1437">
        <v>2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</v>
      </c>
      <c r="P1437" s="44" t="e">
        <f>_xlfn.XLOOKUP(Tabla5[[#This Row],[EAN CORREGIDO]],'Tabla Articulos'!B:B,'Tabla Articulos'!D:D)</f>
        <v>#N/A</v>
      </c>
      <c r="Q1437" s="44" t="e">
        <f>_xlfn.XLOOKUP(S1437,'Tabla Articulos'!B:B,'Tabla Articulos'!E:E)</f>
        <v>#N/A</v>
      </c>
      <c r="R1437" s="44" t="e">
        <f t="shared" si="44"/>
        <v>#N/A</v>
      </c>
      <c r="S1437" s="45" t="str">
        <f t="shared" si="45"/>
        <v>BUSAT000860</v>
      </c>
    </row>
    <row r="1438" spans="1:19" hidden="1" x14ac:dyDescent="0.35">
      <c r="A1438" s="22">
        <v>6</v>
      </c>
      <c r="B1438" t="s">
        <v>801</v>
      </c>
      <c r="C1438" t="s">
        <v>802</v>
      </c>
      <c r="E1438" t="s">
        <v>4961</v>
      </c>
      <c r="G1438" t="s">
        <v>4962</v>
      </c>
      <c r="H1438" t="s">
        <v>805</v>
      </c>
      <c r="I1438">
        <v>13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13</v>
      </c>
      <c r="P1438" s="44" t="e">
        <f>_xlfn.XLOOKUP(Tabla5[[#This Row],[EAN CORREGIDO]],'Tabla Articulos'!B:B,'Tabla Articulos'!D:D)</f>
        <v>#N/A</v>
      </c>
      <c r="Q1438" s="44" t="e">
        <f>_xlfn.XLOOKUP(S1438,'Tabla Articulos'!B:B,'Tabla Articulos'!E:E)</f>
        <v>#N/A</v>
      </c>
      <c r="R1438" s="44" t="e">
        <f t="shared" si="44"/>
        <v>#N/A</v>
      </c>
      <c r="S1438" s="45" t="str">
        <f t="shared" si="45"/>
        <v>BUSAT000393</v>
      </c>
    </row>
    <row r="1439" spans="1:19" hidden="1" x14ac:dyDescent="0.35">
      <c r="A1439" s="22">
        <v>6</v>
      </c>
      <c r="B1439" t="s">
        <v>801</v>
      </c>
      <c r="C1439" t="s">
        <v>802</v>
      </c>
      <c r="E1439" t="s">
        <v>4963</v>
      </c>
      <c r="G1439" t="s">
        <v>4964</v>
      </c>
      <c r="H1439" t="s">
        <v>805</v>
      </c>
      <c r="I1439">
        <v>8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8</v>
      </c>
      <c r="P1439" s="44" t="e">
        <f>_xlfn.XLOOKUP(Tabla5[[#This Row],[EAN CORREGIDO]],'Tabla Articulos'!B:B,'Tabla Articulos'!D:D)</f>
        <v>#N/A</v>
      </c>
      <c r="Q1439" s="44" t="e">
        <f>_xlfn.XLOOKUP(S1439,'Tabla Articulos'!B:B,'Tabla Articulos'!E:E)</f>
        <v>#N/A</v>
      </c>
      <c r="R1439" s="44" t="e">
        <f t="shared" si="44"/>
        <v>#N/A</v>
      </c>
      <c r="S1439" s="45" t="str">
        <f t="shared" si="45"/>
        <v>BUSAT000362</v>
      </c>
    </row>
    <row r="1440" spans="1:19" hidden="1" x14ac:dyDescent="0.35">
      <c r="A1440" s="22">
        <v>6</v>
      </c>
      <c r="B1440" t="s">
        <v>801</v>
      </c>
      <c r="C1440" t="s">
        <v>802</v>
      </c>
      <c r="E1440" t="s">
        <v>4965</v>
      </c>
      <c r="G1440" t="s">
        <v>4966</v>
      </c>
      <c r="H1440" t="s">
        <v>805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</v>
      </c>
      <c r="P1440" s="44" t="e">
        <f>_xlfn.XLOOKUP(Tabla5[[#This Row],[EAN CORREGIDO]],'Tabla Articulos'!B:B,'Tabla Articulos'!D:D)</f>
        <v>#N/A</v>
      </c>
      <c r="Q1440" s="44" t="e">
        <f>_xlfn.XLOOKUP(S1440,'Tabla Articulos'!B:B,'Tabla Articulos'!E:E)</f>
        <v>#N/A</v>
      </c>
      <c r="R1440" s="44" t="e">
        <f t="shared" si="44"/>
        <v>#N/A</v>
      </c>
      <c r="S1440" s="45" t="str">
        <f t="shared" si="45"/>
        <v>BUSAT000352</v>
      </c>
    </row>
    <row r="1441" spans="1:19" hidden="1" x14ac:dyDescent="0.35">
      <c r="A1441" s="22">
        <v>6</v>
      </c>
      <c r="B1441" t="s">
        <v>801</v>
      </c>
      <c r="C1441" t="s">
        <v>802</v>
      </c>
      <c r="E1441" t="s">
        <v>4967</v>
      </c>
      <c r="G1441" t="s">
        <v>4968</v>
      </c>
      <c r="H1441" t="s">
        <v>805</v>
      </c>
      <c r="I1441">
        <v>4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4</v>
      </c>
      <c r="P1441" s="44" t="e">
        <f>_xlfn.XLOOKUP(Tabla5[[#This Row],[EAN CORREGIDO]],'Tabla Articulos'!B:B,'Tabla Articulos'!D:D)</f>
        <v>#N/A</v>
      </c>
      <c r="Q1441" s="44" t="e">
        <f>_xlfn.XLOOKUP(S1441,'Tabla Articulos'!B:B,'Tabla Articulos'!E:E)</f>
        <v>#N/A</v>
      </c>
      <c r="R1441" s="44" t="e">
        <f t="shared" si="44"/>
        <v>#N/A</v>
      </c>
      <c r="S1441" s="45" t="str">
        <f t="shared" si="45"/>
        <v>BUSAT000912</v>
      </c>
    </row>
    <row r="1442" spans="1:19" hidden="1" x14ac:dyDescent="0.35">
      <c r="A1442" s="22">
        <v>6</v>
      </c>
      <c r="B1442" t="s">
        <v>801</v>
      </c>
      <c r="C1442" t="s">
        <v>802</v>
      </c>
      <c r="E1442" t="s">
        <v>4969</v>
      </c>
      <c r="G1442" t="s">
        <v>4970</v>
      </c>
      <c r="H1442" t="s">
        <v>805</v>
      </c>
      <c r="I1442">
        <v>3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</v>
      </c>
      <c r="P1442" s="44" t="e">
        <f>_xlfn.XLOOKUP(Tabla5[[#This Row],[EAN CORREGIDO]],'Tabla Articulos'!B:B,'Tabla Articulos'!D:D)</f>
        <v>#N/A</v>
      </c>
      <c r="Q1442" s="44" t="e">
        <f>_xlfn.XLOOKUP(S1442,'Tabla Articulos'!B:B,'Tabla Articulos'!E:E)</f>
        <v>#N/A</v>
      </c>
      <c r="R1442" s="44" t="e">
        <f t="shared" si="44"/>
        <v>#N/A</v>
      </c>
      <c r="S1442" s="45" t="str">
        <f t="shared" si="45"/>
        <v>BUSAT000057</v>
      </c>
    </row>
    <row r="1443" spans="1:19" hidden="1" x14ac:dyDescent="0.35">
      <c r="A1443" s="22">
        <v>6</v>
      </c>
      <c r="B1443" t="s">
        <v>801</v>
      </c>
      <c r="C1443" t="s">
        <v>802</v>
      </c>
      <c r="E1443" t="s">
        <v>4971</v>
      </c>
      <c r="F1443"/>
      <c r="G1443" t="s">
        <v>4972</v>
      </c>
      <c r="H1443" t="s">
        <v>1034</v>
      </c>
      <c r="I1443">
        <v>56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56</v>
      </c>
      <c r="P1443" s="44" t="e">
        <f>_xlfn.XLOOKUP(Tabla5[[#This Row],[EAN CORREGIDO]],'Tabla Articulos'!B:B,'Tabla Articulos'!D:D)</f>
        <v>#N/A</v>
      </c>
      <c r="Q1443" s="44" t="e">
        <f>_xlfn.XLOOKUP(S1443,'Tabla Articulos'!B:B,'Tabla Articulos'!E:E)</f>
        <v>#N/A</v>
      </c>
      <c r="R1443" s="44" t="e">
        <f t="shared" si="44"/>
        <v>#N/A</v>
      </c>
      <c r="S1443" s="45" t="str">
        <f t="shared" si="45"/>
        <v>BUM00216</v>
      </c>
    </row>
    <row r="1444" spans="1:19" hidden="1" x14ac:dyDescent="0.35">
      <c r="A1444" s="22">
        <v>6</v>
      </c>
      <c r="B1444" t="s">
        <v>801</v>
      </c>
      <c r="C1444" t="s">
        <v>802</v>
      </c>
      <c r="D1444"/>
      <c r="E1444" t="s">
        <v>3738</v>
      </c>
      <c r="F1444">
        <v>2011425</v>
      </c>
      <c r="G1444" t="s">
        <v>3739</v>
      </c>
      <c r="H1444" t="s">
        <v>805</v>
      </c>
      <c r="I1444">
        <v>22</v>
      </c>
      <c r="J1444">
        <v>90</v>
      </c>
      <c r="K1444">
        <v>0</v>
      </c>
      <c r="L1444">
        <v>0</v>
      </c>
      <c r="M1444">
        <v>0</v>
      </c>
      <c r="N1444">
        <v>0</v>
      </c>
      <c r="O1444">
        <v>112</v>
      </c>
      <c r="P1444" s="44" t="e">
        <f>_xlfn.XLOOKUP(Tabla5[[#This Row],[EAN CORREGIDO]],'Tabla Articulos'!B:B,'Tabla Articulos'!D:D)</f>
        <v>#N/A</v>
      </c>
      <c r="Q1444" s="44" t="e">
        <f>_xlfn.XLOOKUP(S1444,'Tabla Articulos'!B:B,'Tabla Articulos'!E:E)</f>
        <v>#N/A</v>
      </c>
      <c r="R1444" s="44" t="e">
        <f t="shared" si="44"/>
        <v>#N/A</v>
      </c>
      <c r="S1444" s="45" t="str">
        <f t="shared" si="45"/>
        <v>7790000000670</v>
      </c>
    </row>
    <row r="1445" spans="1:19" hidden="1" x14ac:dyDescent="0.35">
      <c r="A1445" s="22">
        <v>1</v>
      </c>
      <c r="B1445" t="s">
        <v>812</v>
      </c>
      <c r="C1445" t="s">
        <v>802</v>
      </c>
      <c r="D1445" s="11" t="s">
        <v>3157</v>
      </c>
      <c r="E1445" t="s">
        <v>3740</v>
      </c>
      <c r="F1445">
        <v>4019867</v>
      </c>
      <c r="G1445" t="s">
        <v>3741</v>
      </c>
      <c r="H1445" t="s">
        <v>805</v>
      </c>
      <c r="I1445">
        <v>1002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1002</v>
      </c>
      <c r="P1445" s="44" t="e">
        <f>_xlfn.XLOOKUP(Tabla5[[#This Row],[EAN CORREGIDO]],'Tabla Articulos'!B:B,'Tabla Articulos'!D:D)</f>
        <v>#N/A</v>
      </c>
      <c r="Q1445" s="44" t="e">
        <f>_xlfn.XLOOKUP(S1445,'Tabla Articulos'!B:B,'Tabla Articulos'!E:E)</f>
        <v>#N/A</v>
      </c>
      <c r="R1445" s="44" t="e">
        <f t="shared" si="44"/>
        <v>#N/A</v>
      </c>
      <c r="S1445" s="45" t="str">
        <f t="shared" si="45"/>
        <v>7791113001901</v>
      </c>
    </row>
    <row r="1446" spans="1:19" hidden="1" x14ac:dyDescent="0.35">
      <c r="A1446" s="22">
        <v>6</v>
      </c>
      <c r="B1446" t="s">
        <v>801</v>
      </c>
      <c r="C1446" t="s">
        <v>802</v>
      </c>
      <c r="D1446" t="s">
        <v>841</v>
      </c>
      <c r="E1446" t="s">
        <v>3742</v>
      </c>
      <c r="F1446">
        <v>2016680</v>
      </c>
      <c r="G1446" t="s">
        <v>3743</v>
      </c>
      <c r="H1446" t="s">
        <v>805</v>
      </c>
      <c r="I1446">
        <v>320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320</v>
      </c>
      <c r="P1446" s="44" t="e">
        <f>_xlfn.XLOOKUP(Tabla5[[#This Row],[EAN CORREGIDO]],'Tabla Articulos'!B:B,'Tabla Articulos'!D:D)</f>
        <v>#N/A</v>
      </c>
      <c r="Q1446" s="44" t="e">
        <f>_xlfn.XLOOKUP(S1446,'Tabla Articulos'!B:B,'Tabla Articulos'!E:E)</f>
        <v>#N/A</v>
      </c>
      <c r="R1446" s="44" t="e">
        <f t="shared" si="44"/>
        <v>#N/A</v>
      </c>
      <c r="S1446" s="45" t="str">
        <f t="shared" si="45"/>
        <v>7791268030245</v>
      </c>
    </row>
    <row r="1447" spans="1:19" hidden="1" x14ac:dyDescent="0.35">
      <c r="A1447" s="22">
        <v>5</v>
      </c>
      <c r="B1447" t="s">
        <v>829</v>
      </c>
      <c r="C1447" t="s">
        <v>802</v>
      </c>
      <c r="D1447" t="s">
        <v>3744</v>
      </c>
      <c r="E1447" t="s">
        <v>3745</v>
      </c>
      <c r="F1447">
        <v>2006385</v>
      </c>
      <c r="G1447" t="s">
        <v>3746</v>
      </c>
      <c r="H1447" t="s">
        <v>805</v>
      </c>
      <c r="I1447">
        <v>13860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13860</v>
      </c>
      <c r="P1447" s="44" t="str">
        <f>_xlfn.XLOOKUP(Tabla5[[#This Row],[EAN CORREGIDO]],'Tabla Articulos'!B:B,'Tabla Articulos'!D:D)</f>
        <v>CAJA 245X200X90 ELECCION</v>
      </c>
      <c r="Q1447" s="44">
        <f>_xlfn.XLOOKUP(S1447,'Tabla Articulos'!B:B,'Tabla Articulos'!E:E)</f>
        <v>1</v>
      </c>
      <c r="R1447" s="44">
        <f t="shared" si="44"/>
        <v>13860</v>
      </c>
      <c r="S1447" s="45" t="str">
        <f t="shared" si="45"/>
        <v>7790321020914</v>
      </c>
    </row>
    <row r="1448" spans="1:19" hidden="1" x14ac:dyDescent="0.35">
      <c r="A1448" s="22">
        <v>6</v>
      </c>
      <c r="B1448" t="s">
        <v>801</v>
      </c>
      <c r="C1448" t="s">
        <v>802</v>
      </c>
      <c r="D1448"/>
      <c r="E1448" t="s">
        <v>3747</v>
      </c>
      <c r="F1448">
        <v>9003593</v>
      </c>
      <c r="G1448" t="s">
        <v>3748</v>
      </c>
      <c r="H1448" t="s">
        <v>805</v>
      </c>
      <c r="I1448">
        <v>149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149</v>
      </c>
      <c r="P1448" s="44" t="e">
        <f>_xlfn.XLOOKUP(Tabla5[[#This Row],[EAN CORREGIDO]],'Tabla Articulos'!B:B,'Tabla Articulos'!D:D)</f>
        <v>#N/A</v>
      </c>
      <c r="Q1448" s="44" t="e">
        <f>_xlfn.XLOOKUP(S1448,'Tabla Articulos'!B:B,'Tabla Articulos'!E:E)</f>
        <v>#N/A</v>
      </c>
      <c r="R1448" s="44" t="e">
        <f t="shared" si="44"/>
        <v>#N/A</v>
      </c>
      <c r="S1448" s="45" t="str">
        <f t="shared" si="45"/>
        <v>UNIF000432</v>
      </c>
    </row>
    <row r="1449" spans="1:19" hidden="1" x14ac:dyDescent="0.35">
      <c r="A1449" s="22">
        <v>6</v>
      </c>
      <c r="B1449" t="s">
        <v>801</v>
      </c>
      <c r="C1449" t="s">
        <v>802</v>
      </c>
      <c r="D1449" t="s">
        <v>3749</v>
      </c>
      <c r="E1449" t="s">
        <v>3750</v>
      </c>
      <c r="F1449">
        <v>2006713</v>
      </c>
      <c r="G1449" t="s">
        <v>3751</v>
      </c>
      <c r="H1449" t="s">
        <v>805</v>
      </c>
      <c r="I1449">
        <v>1212</v>
      </c>
      <c r="J1449">
        <v>0</v>
      </c>
      <c r="K1449">
        <v>0</v>
      </c>
      <c r="L1449">
        <v>0</v>
      </c>
      <c r="M1449">
        <v>15</v>
      </c>
      <c r="N1449">
        <v>0</v>
      </c>
      <c r="O1449">
        <v>1197</v>
      </c>
      <c r="P1449" s="44" t="e">
        <f>_xlfn.XLOOKUP(Tabla5[[#This Row],[EAN CORREGIDO]],'Tabla Articulos'!B:B,'Tabla Articulos'!D:D)</f>
        <v>#N/A</v>
      </c>
      <c r="Q1449" s="44" t="e">
        <f>_xlfn.XLOOKUP(S1449,'Tabla Articulos'!B:B,'Tabla Articulos'!E:E)</f>
        <v>#N/A</v>
      </c>
      <c r="R1449" s="44" t="e">
        <f t="shared" si="44"/>
        <v>#N/A</v>
      </c>
      <c r="S1449" s="45" t="str">
        <f t="shared" si="45"/>
        <v>7798188650195</v>
      </c>
    </row>
    <row r="1450" spans="1:19" hidden="1" x14ac:dyDescent="0.35">
      <c r="A1450" s="22">
        <v>1</v>
      </c>
      <c r="B1450" t="s">
        <v>812</v>
      </c>
      <c r="C1450" t="s">
        <v>802</v>
      </c>
      <c r="D1450" s="11" t="s">
        <v>2266</v>
      </c>
      <c r="E1450" t="s">
        <v>3752</v>
      </c>
      <c r="F1450">
        <v>4017542</v>
      </c>
      <c r="G1450" t="s">
        <v>3753</v>
      </c>
      <c r="H1450" t="s">
        <v>805</v>
      </c>
      <c r="I1450">
        <v>1258</v>
      </c>
      <c r="J1450">
        <v>0</v>
      </c>
      <c r="K1450">
        <v>0</v>
      </c>
      <c r="L1450">
        <v>0</v>
      </c>
      <c r="M1450">
        <v>14</v>
      </c>
      <c r="N1450">
        <v>0</v>
      </c>
      <c r="O1450">
        <v>1244</v>
      </c>
      <c r="P1450" s="44" t="e">
        <f>_xlfn.XLOOKUP(Tabla5[[#This Row],[EAN CORREGIDO]],'Tabla Articulos'!B:B,'Tabla Articulos'!D:D)</f>
        <v>#N/A</v>
      </c>
      <c r="Q1450" s="44" t="e">
        <f>_xlfn.XLOOKUP(S1450,'Tabla Articulos'!B:B,'Tabla Articulos'!E:E)</f>
        <v>#N/A</v>
      </c>
      <c r="R1450" s="44" t="e">
        <f t="shared" si="44"/>
        <v>#N/A</v>
      </c>
      <c r="S1450" s="45" t="str">
        <f t="shared" si="45"/>
        <v>7798016105293</v>
      </c>
    </row>
    <row r="1451" spans="1:19" hidden="1" x14ac:dyDescent="0.35">
      <c r="A1451" s="22">
        <v>1</v>
      </c>
      <c r="B1451" t="s">
        <v>812</v>
      </c>
      <c r="C1451" t="s">
        <v>802</v>
      </c>
      <c r="D1451" t="s">
        <v>1449</v>
      </c>
      <c r="E1451" t="s">
        <v>3754</v>
      </c>
      <c r="F1451">
        <v>4018161</v>
      </c>
      <c r="G1451" t="s">
        <v>3755</v>
      </c>
      <c r="H1451" t="s">
        <v>805</v>
      </c>
      <c r="I1451">
        <v>1949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1948</v>
      </c>
      <c r="P1451" s="44" t="e">
        <f>_xlfn.XLOOKUP(Tabla5[[#This Row],[EAN CORREGIDO]],'Tabla Articulos'!B:B,'Tabla Articulos'!D:D)</f>
        <v>#N/A</v>
      </c>
      <c r="Q1451" s="44" t="e">
        <f>_xlfn.XLOOKUP(S1451,'Tabla Articulos'!B:B,'Tabla Articulos'!E:E)</f>
        <v>#N/A</v>
      </c>
      <c r="R1451" s="44" t="e">
        <f t="shared" si="44"/>
        <v>#N/A</v>
      </c>
      <c r="S1451" s="45" t="str">
        <f t="shared" si="45"/>
        <v>7794820903117</v>
      </c>
    </row>
    <row r="1452" spans="1:19" hidden="1" x14ac:dyDescent="0.35">
      <c r="A1452" s="22">
        <v>6</v>
      </c>
      <c r="B1452" t="s">
        <v>801</v>
      </c>
      <c r="C1452" t="s">
        <v>802</v>
      </c>
      <c r="D1452"/>
      <c r="E1452" t="s">
        <v>3756</v>
      </c>
      <c r="F1452">
        <v>9003655</v>
      </c>
      <c r="G1452" t="s">
        <v>3757</v>
      </c>
      <c r="H1452" t="s">
        <v>805</v>
      </c>
      <c r="I1452">
        <v>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</v>
      </c>
      <c r="P1452" s="44" t="e">
        <f>_xlfn.XLOOKUP(Tabla5[[#This Row],[EAN CORREGIDO]],'Tabla Articulos'!B:B,'Tabla Articulos'!D:D)</f>
        <v>#N/A</v>
      </c>
      <c r="Q1452" s="44" t="e">
        <f>_xlfn.XLOOKUP(S1452,'Tabla Articulos'!B:B,'Tabla Articulos'!E:E)</f>
        <v>#N/A</v>
      </c>
      <c r="R1452" s="44" t="e">
        <f t="shared" si="44"/>
        <v>#N/A</v>
      </c>
      <c r="S1452" s="45" t="str">
        <f t="shared" si="45"/>
        <v>UNIF000163</v>
      </c>
    </row>
    <row r="1453" spans="1:19" hidden="1" x14ac:dyDescent="0.35">
      <c r="A1453" s="22">
        <v>5</v>
      </c>
      <c r="B1453" t="s">
        <v>829</v>
      </c>
      <c r="C1453" t="s">
        <v>802</v>
      </c>
      <c r="D1453" t="s">
        <v>1615</v>
      </c>
      <c r="E1453" t="s">
        <v>3758</v>
      </c>
      <c r="F1453">
        <v>4020258</v>
      </c>
      <c r="G1453" t="s">
        <v>3759</v>
      </c>
      <c r="H1453" t="s">
        <v>805</v>
      </c>
      <c r="I1453">
        <v>639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639</v>
      </c>
      <c r="P1453" s="44" t="e">
        <f>_xlfn.XLOOKUP(Tabla5[[#This Row],[EAN CORREGIDO]],'Tabla Articulos'!B:B,'Tabla Articulos'!D:D)</f>
        <v>#N/A</v>
      </c>
      <c r="Q1453" s="44" t="e">
        <f>_xlfn.XLOOKUP(S1453,'Tabla Articulos'!B:B,'Tabla Articulos'!E:E)</f>
        <v>#N/A</v>
      </c>
      <c r="R1453" s="44" t="e">
        <f t="shared" si="44"/>
        <v>#N/A</v>
      </c>
      <c r="S1453" s="45" t="str">
        <f t="shared" si="45"/>
        <v>7795933000281</v>
      </c>
    </row>
    <row r="1454" spans="1:19" hidden="1" x14ac:dyDescent="0.35">
      <c r="A1454" s="22">
        <v>1</v>
      </c>
      <c r="B1454" t="s">
        <v>812</v>
      </c>
      <c r="C1454" t="s">
        <v>802</v>
      </c>
      <c r="D1454" t="s">
        <v>2188</v>
      </c>
      <c r="E1454" t="s">
        <v>3760</v>
      </c>
      <c r="F1454">
        <v>4019560</v>
      </c>
      <c r="G1454" t="s">
        <v>3761</v>
      </c>
      <c r="H1454" t="s">
        <v>805</v>
      </c>
      <c r="I1454">
        <v>358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358</v>
      </c>
      <c r="P1454" s="44" t="e">
        <f>_xlfn.XLOOKUP(Tabla5[[#This Row],[EAN CORREGIDO]],'Tabla Articulos'!B:B,'Tabla Articulos'!D:D)</f>
        <v>#N/A</v>
      </c>
      <c r="Q1454" s="44" t="e">
        <f>_xlfn.XLOOKUP(S1454,'Tabla Articulos'!B:B,'Tabla Articulos'!E:E)</f>
        <v>#N/A</v>
      </c>
      <c r="R1454" s="44" t="e">
        <f t="shared" si="44"/>
        <v>#N/A</v>
      </c>
      <c r="S1454" s="45" t="str">
        <f t="shared" si="45"/>
        <v>7790169000173</v>
      </c>
    </row>
    <row r="1455" spans="1:19" hidden="1" x14ac:dyDescent="0.35">
      <c r="A1455" s="22">
        <v>6</v>
      </c>
      <c r="B1455" t="s">
        <v>801</v>
      </c>
      <c r="C1455" t="s">
        <v>802</v>
      </c>
      <c r="D1455"/>
      <c r="E1455" t="s">
        <v>3762</v>
      </c>
      <c r="F1455">
        <v>9003860</v>
      </c>
      <c r="G1455" t="s">
        <v>3763</v>
      </c>
      <c r="H1455" t="s">
        <v>805</v>
      </c>
      <c r="I1455">
        <v>1286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1286</v>
      </c>
      <c r="P1455" s="44" t="e">
        <f>_xlfn.XLOOKUP(Tabla5[[#This Row],[EAN CORREGIDO]],'Tabla Articulos'!B:B,'Tabla Articulos'!D:D)</f>
        <v>#N/A</v>
      </c>
      <c r="Q1455" s="44" t="e">
        <f>_xlfn.XLOOKUP(S1455,'Tabla Articulos'!B:B,'Tabla Articulos'!E:E)</f>
        <v>#N/A</v>
      </c>
      <c r="R1455" s="44" t="e">
        <f t="shared" si="44"/>
        <v>#N/A</v>
      </c>
      <c r="S1455" s="45" t="str">
        <f t="shared" si="45"/>
        <v>BAZ001257</v>
      </c>
    </row>
    <row r="1456" spans="1:19" hidden="1" x14ac:dyDescent="0.35">
      <c r="A1456" s="22">
        <v>5</v>
      </c>
      <c r="B1456" t="s">
        <v>829</v>
      </c>
      <c r="C1456" t="s">
        <v>802</v>
      </c>
      <c r="D1456" s="11" t="s">
        <v>2751</v>
      </c>
      <c r="E1456" t="s">
        <v>3764</v>
      </c>
      <c r="F1456">
        <v>4022492</v>
      </c>
      <c r="G1456" t="s">
        <v>3765</v>
      </c>
      <c r="H1456" t="s">
        <v>805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 s="44" t="e">
        <f>_xlfn.XLOOKUP(Tabla5[[#This Row],[EAN CORREGIDO]],'Tabla Articulos'!B:B,'Tabla Articulos'!D:D)</f>
        <v>#N/A</v>
      </c>
      <c r="Q1456" s="44" t="e">
        <f>_xlfn.XLOOKUP(S1456,'Tabla Articulos'!B:B,'Tabla Articulos'!E:E)</f>
        <v>#N/A</v>
      </c>
      <c r="R1456" s="44" t="e">
        <f t="shared" si="44"/>
        <v>#N/A</v>
      </c>
      <c r="S1456" s="45" t="str">
        <f t="shared" si="45"/>
        <v>790757899506</v>
      </c>
    </row>
    <row r="1457" spans="1:19" hidden="1" x14ac:dyDescent="0.35">
      <c r="A1457" s="22">
        <v>1</v>
      </c>
      <c r="B1457" t="s">
        <v>812</v>
      </c>
      <c r="C1457" t="s">
        <v>802</v>
      </c>
      <c r="D1457" t="s">
        <v>2751</v>
      </c>
      <c r="E1457" t="s">
        <v>3764</v>
      </c>
      <c r="F1457">
        <v>4022492</v>
      </c>
      <c r="G1457" t="s">
        <v>3765</v>
      </c>
      <c r="H1457" t="s">
        <v>805</v>
      </c>
      <c r="I1457">
        <v>5116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5116</v>
      </c>
      <c r="P1457" s="44" t="e">
        <f>_xlfn.XLOOKUP(Tabla5[[#This Row],[EAN CORREGIDO]],'Tabla Articulos'!B:B,'Tabla Articulos'!D:D)</f>
        <v>#N/A</v>
      </c>
      <c r="Q1457" s="44" t="e">
        <f>_xlfn.XLOOKUP(S1457,'Tabla Articulos'!B:B,'Tabla Articulos'!E:E)</f>
        <v>#N/A</v>
      </c>
      <c r="R1457" s="44" t="e">
        <f t="shared" si="44"/>
        <v>#N/A</v>
      </c>
      <c r="S1457" s="45" t="str">
        <f t="shared" si="45"/>
        <v>790757899506</v>
      </c>
    </row>
    <row r="1458" spans="1:19" hidden="1" x14ac:dyDescent="0.35">
      <c r="A1458" s="22">
        <v>1</v>
      </c>
      <c r="B1458" t="s">
        <v>812</v>
      </c>
      <c r="C1458" t="s">
        <v>802</v>
      </c>
      <c r="D1458" t="s">
        <v>3027</v>
      </c>
      <c r="E1458" t="s">
        <v>3766</v>
      </c>
      <c r="F1458">
        <v>4019998</v>
      </c>
      <c r="G1458" t="s">
        <v>3767</v>
      </c>
      <c r="H1458" t="s">
        <v>805</v>
      </c>
      <c r="I1458">
        <v>903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903</v>
      </c>
      <c r="P1458" s="44" t="e">
        <f>_xlfn.XLOOKUP(Tabla5[[#This Row],[EAN CORREGIDO]],'Tabla Articulos'!B:B,'Tabla Articulos'!D:D)</f>
        <v>#N/A</v>
      </c>
      <c r="Q1458" s="44" t="e">
        <f>_xlfn.XLOOKUP(S1458,'Tabla Articulos'!B:B,'Tabla Articulos'!E:E)</f>
        <v>#N/A</v>
      </c>
      <c r="R1458" s="44" t="e">
        <f t="shared" si="44"/>
        <v>#N/A</v>
      </c>
      <c r="S1458" s="45" t="str">
        <f t="shared" si="45"/>
        <v>7791113002151</v>
      </c>
    </row>
    <row r="1459" spans="1:19" hidden="1" x14ac:dyDescent="0.35">
      <c r="A1459" s="22">
        <v>6</v>
      </c>
      <c r="B1459" t="s">
        <v>801</v>
      </c>
      <c r="C1459" t="s">
        <v>802</v>
      </c>
      <c r="E1459" t="s">
        <v>3768</v>
      </c>
      <c r="F1459">
        <v>2011394</v>
      </c>
      <c r="G1459" t="s">
        <v>3769</v>
      </c>
      <c r="H1459" t="s">
        <v>805</v>
      </c>
      <c r="I1459">
        <v>1003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1003</v>
      </c>
      <c r="P1459" s="44" t="e">
        <f>_xlfn.XLOOKUP(Tabla5[[#This Row],[EAN CORREGIDO]],'Tabla Articulos'!B:B,'Tabla Articulos'!D:D)</f>
        <v>#N/A</v>
      </c>
      <c r="Q1459" s="44" t="e">
        <f>_xlfn.XLOOKUP(S1459,'Tabla Articulos'!B:B,'Tabla Articulos'!E:E)</f>
        <v>#N/A</v>
      </c>
      <c r="R1459" s="44" t="e">
        <f t="shared" si="44"/>
        <v>#N/A</v>
      </c>
      <c r="S1459" s="45" t="str">
        <f t="shared" si="45"/>
        <v>7798188650188</v>
      </c>
    </row>
    <row r="1460" spans="1:19" hidden="1" x14ac:dyDescent="0.35">
      <c r="A1460" s="22">
        <v>1</v>
      </c>
      <c r="B1460" t="s">
        <v>812</v>
      </c>
      <c r="C1460" t="s">
        <v>802</v>
      </c>
      <c r="D1460" s="11" t="s">
        <v>1639</v>
      </c>
      <c r="E1460" t="s">
        <v>1640</v>
      </c>
      <c r="F1460" s="11">
        <v>4018132</v>
      </c>
      <c r="G1460" t="s">
        <v>1641</v>
      </c>
      <c r="H1460" t="s">
        <v>805</v>
      </c>
      <c r="I1460">
        <v>1</v>
      </c>
      <c r="J1460">
        <v>48</v>
      </c>
      <c r="K1460">
        <v>0</v>
      </c>
      <c r="L1460">
        <v>0</v>
      </c>
      <c r="M1460">
        <v>0</v>
      </c>
      <c r="N1460">
        <v>0</v>
      </c>
      <c r="O1460">
        <v>49</v>
      </c>
      <c r="P1460" s="44" t="e">
        <f>_xlfn.XLOOKUP(Tabla5[[#This Row],[EAN CORREGIDO]],'Tabla Articulos'!B:B,'Tabla Articulos'!D:D)</f>
        <v>#N/A</v>
      </c>
      <c r="Q1460" s="44" t="e">
        <f>_xlfn.XLOOKUP(S1460,'Tabla Articulos'!B:B,'Tabla Articulos'!E:E)</f>
        <v>#N/A</v>
      </c>
      <c r="R1460" s="44" t="e">
        <f t="shared" si="44"/>
        <v>#N/A</v>
      </c>
      <c r="S1460" s="45" t="str">
        <f t="shared" si="45"/>
        <v>7794990879663</v>
      </c>
    </row>
    <row r="1461" spans="1:19" hidden="1" x14ac:dyDescent="0.35">
      <c r="A1461" s="22">
        <v>6</v>
      </c>
      <c r="B1461" t="s">
        <v>801</v>
      </c>
      <c r="C1461" t="s">
        <v>802</v>
      </c>
      <c r="E1461" t="s">
        <v>2141</v>
      </c>
      <c r="F1461" s="11">
        <v>2004311</v>
      </c>
      <c r="G1461" t="s">
        <v>2142</v>
      </c>
      <c r="H1461" t="s">
        <v>805</v>
      </c>
      <c r="I1461">
        <v>38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38</v>
      </c>
      <c r="P1461" s="44" t="e">
        <f>_xlfn.XLOOKUP(Tabla5[[#This Row],[EAN CORREGIDO]],'Tabla Articulos'!B:B,'Tabla Articulos'!D:D)</f>
        <v>#N/A</v>
      </c>
      <c r="Q1461" s="44" t="e">
        <f>_xlfn.XLOOKUP(S1461,'Tabla Articulos'!B:B,'Tabla Articulos'!E:E)</f>
        <v>#N/A</v>
      </c>
      <c r="R1461" s="44" t="e">
        <f t="shared" si="44"/>
        <v>#N/A</v>
      </c>
      <c r="S1461" s="45" t="str">
        <f t="shared" si="45"/>
        <v>2004311</v>
      </c>
    </row>
    <row r="1462" spans="1:19" hidden="1" x14ac:dyDescent="0.35">
      <c r="A1462" s="22">
        <v>5</v>
      </c>
      <c r="B1462" t="s">
        <v>829</v>
      </c>
      <c r="C1462" t="s">
        <v>802</v>
      </c>
      <c r="D1462" t="s">
        <v>2143</v>
      </c>
      <c r="E1462" t="s">
        <v>2144</v>
      </c>
      <c r="F1462">
        <v>4019846</v>
      </c>
      <c r="G1462" t="s">
        <v>2145</v>
      </c>
      <c r="H1462" t="s">
        <v>805</v>
      </c>
      <c r="I1462">
        <v>15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15</v>
      </c>
      <c r="P1462" s="44" t="e">
        <f>_xlfn.XLOOKUP(Tabla5[[#This Row],[EAN CORREGIDO]],'Tabla Articulos'!B:B,'Tabla Articulos'!D:D)</f>
        <v>#N/A</v>
      </c>
      <c r="Q1462" s="44" t="e">
        <f>_xlfn.XLOOKUP(S1462,'Tabla Articulos'!B:B,'Tabla Articulos'!E:E)</f>
        <v>#N/A</v>
      </c>
      <c r="R1462" s="44" t="e">
        <f t="shared" si="44"/>
        <v>#N/A</v>
      </c>
      <c r="S1462" s="45" t="str">
        <f t="shared" si="45"/>
        <v>7790530900538</v>
      </c>
    </row>
    <row r="1463" spans="1:19" hidden="1" x14ac:dyDescent="0.35">
      <c r="A1463" s="22">
        <v>1</v>
      </c>
      <c r="B1463" t="s">
        <v>812</v>
      </c>
      <c r="C1463" t="s">
        <v>802</v>
      </c>
      <c r="D1463" t="s">
        <v>2143</v>
      </c>
      <c r="E1463" t="s">
        <v>2144</v>
      </c>
      <c r="F1463">
        <v>4019846</v>
      </c>
      <c r="G1463" t="s">
        <v>2145</v>
      </c>
      <c r="H1463" t="s">
        <v>805</v>
      </c>
      <c r="I1463">
        <v>16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16</v>
      </c>
      <c r="P1463" s="44" t="e">
        <f>_xlfn.XLOOKUP(Tabla5[[#This Row],[EAN CORREGIDO]],'Tabla Articulos'!B:B,'Tabla Articulos'!D:D)</f>
        <v>#N/A</v>
      </c>
      <c r="Q1463" s="44" t="e">
        <f>_xlfn.XLOOKUP(S1463,'Tabla Articulos'!B:B,'Tabla Articulos'!E:E)</f>
        <v>#N/A</v>
      </c>
      <c r="R1463" s="44" t="e">
        <f t="shared" si="44"/>
        <v>#N/A</v>
      </c>
      <c r="S1463" s="45" t="str">
        <f t="shared" si="45"/>
        <v>7790530900538</v>
      </c>
    </row>
    <row r="1464" spans="1:19" hidden="1" x14ac:dyDescent="0.35">
      <c r="A1464" s="22">
        <v>1</v>
      </c>
      <c r="B1464" t="s">
        <v>812</v>
      </c>
      <c r="C1464" t="s">
        <v>802</v>
      </c>
      <c r="D1464" s="11" t="s">
        <v>3482</v>
      </c>
      <c r="E1464" t="s">
        <v>3483</v>
      </c>
      <c r="F1464">
        <v>4020139</v>
      </c>
      <c r="G1464" t="s">
        <v>3484</v>
      </c>
      <c r="H1464" t="s">
        <v>805</v>
      </c>
      <c r="I1464">
        <v>26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26</v>
      </c>
      <c r="P1464" s="44" t="e">
        <f>_xlfn.XLOOKUP(Tabla5[[#This Row],[EAN CORREGIDO]],'Tabla Articulos'!B:B,'Tabla Articulos'!D:D)</f>
        <v>#N/A</v>
      </c>
      <c r="Q1464" s="44" t="e">
        <f>_xlfn.XLOOKUP(S1464,'Tabla Articulos'!B:B,'Tabla Articulos'!E:E)</f>
        <v>#N/A</v>
      </c>
      <c r="R1464" s="44" t="e">
        <f t="shared" si="44"/>
        <v>#N/A</v>
      </c>
      <c r="S1464" s="45" t="str">
        <f t="shared" si="45"/>
        <v>7794000006454</v>
      </c>
    </row>
    <row r="1465" spans="1:19" hidden="1" x14ac:dyDescent="0.35">
      <c r="A1465" s="22">
        <v>5</v>
      </c>
      <c r="B1465" t="s">
        <v>829</v>
      </c>
      <c r="C1465" t="s">
        <v>802</v>
      </c>
      <c r="D1465" t="s">
        <v>3482</v>
      </c>
      <c r="E1465" t="s">
        <v>3483</v>
      </c>
      <c r="F1465">
        <v>4020139</v>
      </c>
      <c r="G1465" t="s">
        <v>3484</v>
      </c>
      <c r="H1465" t="s">
        <v>805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</v>
      </c>
      <c r="P1465" s="44" t="e">
        <f>_xlfn.XLOOKUP(Tabla5[[#This Row],[EAN CORREGIDO]],'Tabla Articulos'!B:B,'Tabla Articulos'!D:D)</f>
        <v>#N/A</v>
      </c>
      <c r="Q1465" s="44" t="e">
        <f>_xlfn.XLOOKUP(S1465,'Tabla Articulos'!B:B,'Tabla Articulos'!E:E)</f>
        <v>#N/A</v>
      </c>
      <c r="R1465" s="44" t="e">
        <f t="shared" si="44"/>
        <v>#N/A</v>
      </c>
      <c r="S1465" s="45" t="str">
        <f t="shared" si="45"/>
        <v>7794000006454</v>
      </c>
    </row>
    <row r="1466" spans="1:19" hidden="1" x14ac:dyDescent="0.35">
      <c r="A1466" s="22">
        <v>6</v>
      </c>
      <c r="B1466" t="s">
        <v>801</v>
      </c>
      <c r="C1466" t="s">
        <v>802</v>
      </c>
      <c r="D1466"/>
      <c r="E1466" t="s">
        <v>3485</v>
      </c>
      <c r="F1466">
        <v>9004090</v>
      </c>
      <c r="G1466" t="s">
        <v>3486</v>
      </c>
      <c r="H1466" t="s">
        <v>805</v>
      </c>
      <c r="I1466">
        <v>984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984</v>
      </c>
      <c r="P1466" s="44" t="e">
        <f>_xlfn.XLOOKUP(Tabla5[[#This Row],[EAN CORREGIDO]],'Tabla Articulos'!B:B,'Tabla Articulos'!D:D)</f>
        <v>#N/A</v>
      </c>
      <c r="Q1466" s="44" t="e">
        <f>_xlfn.XLOOKUP(S1466,'Tabla Articulos'!B:B,'Tabla Articulos'!E:E)</f>
        <v>#N/A</v>
      </c>
      <c r="R1466" s="44" t="e">
        <f t="shared" si="44"/>
        <v>#N/A</v>
      </c>
      <c r="S1466" s="45" t="str">
        <f t="shared" si="45"/>
        <v>8693357377622</v>
      </c>
    </row>
    <row r="1467" spans="1:19" hidden="1" x14ac:dyDescent="0.35">
      <c r="A1467" s="22">
        <v>6</v>
      </c>
      <c r="B1467" t="s">
        <v>801</v>
      </c>
      <c r="C1467" t="s">
        <v>802</v>
      </c>
      <c r="E1467" t="s">
        <v>3487</v>
      </c>
      <c r="F1467">
        <v>9003598</v>
      </c>
      <c r="G1467" t="s">
        <v>3488</v>
      </c>
      <c r="H1467" t="s">
        <v>805</v>
      </c>
      <c r="I1467">
        <v>42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42</v>
      </c>
      <c r="P1467" s="44" t="e">
        <f>_xlfn.XLOOKUP(Tabla5[[#This Row],[EAN CORREGIDO]],'Tabla Articulos'!B:B,'Tabla Articulos'!D:D)</f>
        <v>#N/A</v>
      </c>
      <c r="Q1467" s="44" t="e">
        <f>_xlfn.XLOOKUP(S1467,'Tabla Articulos'!B:B,'Tabla Articulos'!E:E)</f>
        <v>#N/A</v>
      </c>
      <c r="R1467" s="44" t="e">
        <f t="shared" si="44"/>
        <v>#N/A</v>
      </c>
      <c r="S1467" s="45" t="str">
        <f t="shared" si="45"/>
        <v>UNIF000437</v>
      </c>
    </row>
    <row r="1468" spans="1:19" hidden="1" x14ac:dyDescent="0.35">
      <c r="A1468" s="22">
        <v>6</v>
      </c>
      <c r="B1468" t="s">
        <v>801</v>
      </c>
      <c r="C1468" t="s">
        <v>802</v>
      </c>
      <c r="D1468"/>
      <c r="E1468" t="s">
        <v>3489</v>
      </c>
      <c r="F1468">
        <v>9003589</v>
      </c>
      <c r="G1468" t="s">
        <v>3490</v>
      </c>
      <c r="H1468" t="s">
        <v>805</v>
      </c>
      <c r="I1468">
        <v>185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185</v>
      </c>
      <c r="P1468" s="44" t="e">
        <f>_xlfn.XLOOKUP(Tabla5[[#This Row],[EAN CORREGIDO]],'Tabla Articulos'!B:B,'Tabla Articulos'!D:D)</f>
        <v>#N/A</v>
      </c>
      <c r="Q1468" s="44" t="e">
        <f>_xlfn.XLOOKUP(S1468,'Tabla Articulos'!B:B,'Tabla Articulos'!E:E)</f>
        <v>#N/A</v>
      </c>
      <c r="R1468" s="44" t="e">
        <f t="shared" si="44"/>
        <v>#N/A</v>
      </c>
      <c r="S1468" s="45" t="str">
        <f t="shared" si="45"/>
        <v>UNIF000428</v>
      </c>
    </row>
    <row r="1469" spans="1:19" hidden="1" x14ac:dyDescent="0.35">
      <c r="A1469" s="22">
        <v>1</v>
      </c>
      <c r="B1469" t="s">
        <v>812</v>
      </c>
      <c r="C1469" t="s">
        <v>802</v>
      </c>
      <c r="D1469" t="s">
        <v>2073</v>
      </c>
      <c r="E1469" t="s">
        <v>4136</v>
      </c>
      <c r="F1469">
        <v>4002835</v>
      </c>
      <c r="G1469" t="s">
        <v>4137</v>
      </c>
      <c r="H1469" t="s">
        <v>816</v>
      </c>
      <c r="I1469">
        <v>272.12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272.12</v>
      </c>
      <c r="P1469" s="44" t="e">
        <f>_xlfn.XLOOKUP(Tabla5[[#This Row],[EAN CORREGIDO]],'Tabla Articulos'!B:B,'Tabla Articulos'!D:D)</f>
        <v>#N/A</v>
      </c>
      <c r="Q1469" s="44" t="e">
        <f>_xlfn.XLOOKUP(S1469,'Tabla Articulos'!B:B,'Tabla Articulos'!E:E)</f>
        <v>#N/A</v>
      </c>
      <c r="R1469" s="44" t="e">
        <f t="shared" si="44"/>
        <v>#N/A</v>
      </c>
      <c r="S1469" s="45" t="str">
        <f t="shared" si="45"/>
        <v>7790000000593</v>
      </c>
    </row>
    <row r="1470" spans="1:19" hidden="1" x14ac:dyDescent="0.35">
      <c r="A1470" s="22">
        <v>6</v>
      </c>
      <c r="B1470" t="s">
        <v>801</v>
      </c>
      <c r="C1470" t="s">
        <v>802</v>
      </c>
      <c r="D1470"/>
      <c r="E1470" t="s">
        <v>4138</v>
      </c>
      <c r="F1470">
        <v>9003436</v>
      </c>
      <c r="G1470" t="s">
        <v>4139</v>
      </c>
      <c r="H1470" t="s">
        <v>805</v>
      </c>
      <c r="I1470">
        <v>86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86</v>
      </c>
      <c r="P1470" s="44" t="e">
        <f>_xlfn.XLOOKUP(Tabla5[[#This Row],[EAN CORREGIDO]],'Tabla Articulos'!B:B,'Tabla Articulos'!D:D)</f>
        <v>#N/A</v>
      </c>
      <c r="Q1470" s="44" t="e">
        <f>_xlfn.XLOOKUP(S1470,'Tabla Articulos'!B:B,'Tabla Articulos'!E:E)</f>
        <v>#N/A</v>
      </c>
      <c r="R1470" s="44" t="e">
        <f t="shared" si="44"/>
        <v>#N/A</v>
      </c>
      <c r="S1470" s="45" t="str">
        <f t="shared" si="45"/>
        <v>UNIF000196</v>
      </c>
    </row>
    <row r="1471" spans="1:19" hidden="1" x14ac:dyDescent="0.35">
      <c r="A1471" s="22">
        <v>5</v>
      </c>
      <c r="B1471" t="s">
        <v>829</v>
      </c>
      <c r="C1471" t="s">
        <v>802</v>
      </c>
      <c r="D1471" s="11" t="s">
        <v>1672</v>
      </c>
      <c r="E1471" t="s">
        <v>4140</v>
      </c>
      <c r="F1471">
        <v>4020213</v>
      </c>
      <c r="G1471" t="s">
        <v>4141</v>
      </c>
      <c r="H1471" t="s">
        <v>805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</v>
      </c>
      <c r="P1471" s="44" t="e">
        <f>_xlfn.XLOOKUP(Tabla5[[#This Row],[EAN CORREGIDO]],'Tabla Articulos'!B:B,'Tabla Articulos'!D:D)</f>
        <v>#N/A</v>
      </c>
      <c r="Q1471" s="44" t="e">
        <f>_xlfn.XLOOKUP(S1471,'Tabla Articulos'!B:B,'Tabla Articulos'!E:E)</f>
        <v>#N/A</v>
      </c>
      <c r="R1471" s="44" t="e">
        <f t="shared" si="44"/>
        <v>#N/A</v>
      </c>
      <c r="S1471" s="45" t="str">
        <f t="shared" si="45"/>
        <v>7792290000398</v>
      </c>
    </row>
    <row r="1472" spans="1:19" hidden="1" x14ac:dyDescent="0.35">
      <c r="A1472" s="22">
        <v>6</v>
      </c>
      <c r="B1472" t="s">
        <v>801</v>
      </c>
      <c r="C1472" t="s">
        <v>802</v>
      </c>
      <c r="D1472"/>
      <c r="E1472" t="s">
        <v>4142</v>
      </c>
      <c r="F1472">
        <v>9004071</v>
      </c>
      <c r="G1472" t="s">
        <v>4143</v>
      </c>
      <c r="H1472" t="s">
        <v>805</v>
      </c>
      <c r="I1472">
        <v>33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33</v>
      </c>
      <c r="P1472" s="44" t="e">
        <f>_xlfn.XLOOKUP(Tabla5[[#This Row],[EAN CORREGIDO]],'Tabla Articulos'!B:B,'Tabla Articulos'!D:D)</f>
        <v>#N/A</v>
      </c>
      <c r="Q1472" s="44" t="e">
        <f>_xlfn.XLOOKUP(S1472,'Tabla Articulos'!B:B,'Tabla Articulos'!E:E)</f>
        <v>#N/A</v>
      </c>
      <c r="R1472" s="44" t="e">
        <f t="shared" si="44"/>
        <v>#N/A</v>
      </c>
      <c r="S1472" s="45" t="str">
        <f t="shared" si="45"/>
        <v>UNIF000712</v>
      </c>
    </row>
    <row r="1473" spans="1:19" hidden="1" x14ac:dyDescent="0.35">
      <c r="A1473" s="22">
        <v>5</v>
      </c>
      <c r="B1473" t="s">
        <v>829</v>
      </c>
      <c r="C1473" t="s">
        <v>802</v>
      </c>
      <c r="D1473" t="s">
        <v>4144</v>
      </c>
      <c r="E1473" t="s">
        <v>4145</v>
      </c>
      <c r="F1473">
        <v>4022178</v>
      </c>
      <c r="G1473" t="s">
        <v>4146</v>
      </c>
      <c r="H1473" t="s">
        <v>805</v>
      </c>
      <c r="I1473">
        <v>54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54</v>
      </c>
      <c r="P1473" s="44" t="e">
        <f>_xlfn.XLOOKUP(Tabla5[[#This Row],[EAN CORREGIDO]],'Tabla Articulos'!B:B,'Tabla Articulos'!D:D)</f>
        <v>#N/A</v>
      </c>
      <c r="Q1473" s="44" t="e">
        <f>_xlfn.XLOOKUP(S1473,'Tabla Articulos'!B:B,'Tabla Articulos'!E:E)</f>
        <v>#N/A</v>
      </c>
      <c r="R1473" s="44" t="e">
        <f t="shared" ref="R1473:R1536" si="46">O1473*Q1473</f>
        <v>#N/A</v>
      </c>
      <c r="S1473" s="45" t="str">
        <f t="shared" ref="S1473:S1536" si="47">TRIM(E1473)</f>
        <v>7798011977406</v>
      </c>
    </row>
    <row r="1474" spans="1:19" hidden="1" x14ac:dyDescent="0.35">
      <c r="A1474" s="22">
        <v>1</v>
      </c>
      <c r="B1474" t="s">
        <v>812</v>
      </c>
      <c r="C1474" t="s">
        <v>802</v>
      </c>
      <c r="D1474" t="s">
        <v>4144</v>
      </c>
      <c r="E1474" t="s">
        <v>4145</v>
      </c>
      <c r="F1474">
        <v>4022178</v>
      </c>
      <c r="G1474" t="s">
        <v>4146</v>
      </c>
      <c r="H1474" t="s">
        <v>805</v>
      </c>
      <c r="I1474">
        <v>10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10</v>
      </c>
      <c r="P1474" s="44" t="e">
        <f>_xlfn.XLOOKUP(Tabla5[[#This Row],[EAN CORREGIDO]],'Tabla Articulos'!B:B,'Tabla Articulos'!D:D)</f>
        <v>#N/A</v>
      </c>
      <c r="Q1474" s="44" t="e">
        <f>_xlfn.XLOOKUP(S1474,'Tabla Articulos'!B:B,'Tabla Articulos'!E:E)</f>
        <v>#N/A</v>
      </c>
      <c r="R1474" s="44" t="e">
        <f t="shared" si="46"/>
        <v>#N/A</v>
      </c>
      <c r="S1474" s="45" t="str">
        <f t="shared" si="47"/>
        <v>7798011977406</v>
      </c>
    </row>
    <row r="1475" spans="1:19" hidden="1" x14ac:dyDescent="0.35">
      <c r="A1475" s="22">
        <v>1</v>
      </c>
      <c r="B1475" t="s">
        <v>812</v>
      </c>
      <c r="C1475" t="s">
        <v>802</v>
      </c>
      <c r="D1475" t="s">
        <v>4147</v>
      </c>
      <c r="E1475" t="s">
        <v>4148</v>
      </c>
      <c r="F1475">
        <v>4077275</v>
      </c>
      <c r="G1475" t="s">
        <v>4149</v>
      </c>
      <c r="H1475" t="s">
        <v>805</v>
      </c>
      <c r="I1475">
        <v>469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469</v>
      </c>
      <c r="P1475" s="44" t="e">
        <f>_xlfn.XLOOKUP(Tabla5[[#This Row],[EAN CORREGIDO]],'Tabla Articulos'!B:B,'Tabla Articulos'!D:D)</f>
        <v>#N/A</v>
      </c>
      <c r="Q1475" s="44" t="e">
        <f>_xlfn.XLOOKUP(S1475,'Tabla Articulos'!B:B,'Tabla Articulos'!E:E)</f>
        <v>#N/A</v>
      </c>
      <c r="R1475" s="44" t="e">
        <f t="shared" si="46"/>
        <v>#N/A</v>
      </c>
      <c r="S1475" s="45" t="str">
        <f t="shared" si="47"/>
        <v>7790045004912</v>
      </c>
    </row>
    <row r="1476" spans="1:19" hidden="1" x14ac:dyDescent="0.35">
      <c r="A1476" s="22">
        <v>1</v>
      </c>
      <c r="B1476" t="s">
        <v>812</v>
      </c>
      <c r="C1476" t="s">
        <v>802</v>
      </c>
      <c r="D1476" s="11" t="s">
        <v>2325</v>
      </c>
      <c r="E1476" t="s">
        <v>2326</v>
      </c>
      <c r="F1476">
        <v>4018729</v>
      </c>
      <c r="G1476" t="s">
        <v>2327</v>
      </c>
      <c r="H1476" t="s">
        <v>805</v>
      </c>
      <c r="I1476">
        <v>48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48</v>
      </c>
      <c r="P1476" s="44" t="e">
        <f>_xlfn.XLOOKUP(Tabla5[[#This Row],[EAN CORREGIDO]],'Tabla Articulos'!B:B,'Tabla Articulos'!D:D)</f>
        <v>#N/A</v>
      </c>
      <c r="Q1476" s="44" t="e">
        <f>_xlfn.XLOOKUP(S1476,'Tabla Articulos'!B:B,'Tabla Articulos'!E:E)</f>
        <v>#N/A</v>
      </c>
      <c r="R1476" s="44" t="e">
        <f t="shared" si="46"/>
        <v>#N/A</v>
      </c>
      <c r="S1476" s="45" t="str">
        <f t="shared" si="47"/>
        <v>7795711000199</v>
      </c>
    </row>
    <row r="1477" spans="1:19" hidden="1" x14ac:dyDescent="0.35">
      <c r="A1477" s="22">
        <v>5</v>
      </c>
      <c r="B1477" t="s">
        <v>829</v>
      </c>
      <c r="C1477" t="s">
        <v>802</v>
      </c>
      <c r="D1477" t="s">
        <v>2269</v>
      </c>
      <c r="E1477" t="s">
        <v>2328</v>
      </c>
      <c r="F1477">
        <v>4076789</v>
      </c>
      <c r="G1477" t="s">
        <v>2329</v>
      </c>
      <c r="H1477" t="s">
        <v>805</v>
      </c>
      <c r="I1477">
        <v>2712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2712</v>
      </c>
      <c r="P1477" s="44" t="e">
        <f>_xlfn.XLOOKUP(Tabla5[[#This Row],[EAN CORREGIDO]],'Tabla Articulos'!B:B,'Tabla Articulos'!D:D)</f>
        <v>#N/A</v>
      </c>
      <c r="Q1477" s="44" t="e">
        <f>_xlfn.XLOOKUP(S1477,'Tabla Articulos'!B:B,'Tabla Articulos'!E:E)</f>
        <v>#N/A</v>
      </c>
      <c r="R1477" s="44" t="e">
        <f t="shared" si="46"/>
        <v>#N/A</v>
      </c>
      <c r="S1477" s="45" t="str">
        <f t="shared" si="47"/>
        <v>7790696002176</v>
      </c>
    </row>
    <row r="1478" spans="1:19" hidden="1" x14ac:dyDescent="0.35">
      <c r="A1478" s="22">
        <v>5</v>
      </c>
      <c r="B1478" t="s">
        <v>829</v>
      </c>
      <c r="C1478" t="s">
        <v>802</v>
      </c>
      <c r="D1478" s="11" t="s">
        <v>2330</v>
      </c>
      <c r="E1478" t="s">
        <v>2331</v>
      </c>
      <c r="F1478">
        <v>4023605</v>
      </c>
      <c r="G1478" t="s">
        <v>2332</v>
      </c>
      <c r="H1478" t="s">
        <v>805</v>
      </c>
      <c r="I1478">
        <v>137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137</v>
      </c>
      <c r="P1478" s="44" t="e">
        <f>_xlfn.XLOOKUP(Tabla5[[#This Row],[EAN CORREGIDO]],'Tabla Articulos'!B:B,'Tabla Articulos'!D:D)</f>
        <v>#N/A</v>
      </c>
      <c r="Q1478" s="44" t="e">
        <f>_xlfn.XLOOKUP(S1478,'Tabla Articulos'!B:B,'Tabla Articulos'!E:E)</f>
        <v>#N/A</v>
      </c>
      <c r="R1478" s="44" t="e">
        <f t="shared" si="46"/>
        <v>#N/A</v>
      </c>
      <c r="S1478" s="45" t="str">
        <f t="shared" si="47"/>
        <v>67794000006036</v>
      </c>
    </row>
    <row r="1479" spans="1:19" hidden="1" x14ac:dyDescent="0.35">
      <c r="A1479" s="22">
        <v>1</v>
      </c>
      <c r="B1479" t="s">
        <v>812</v>
      </c>
      <c r="C1479" t="s">
        <v>802</v>
      </c>
      <c r="D1479" s="11" t="s">
        <v>2710</v>
      </c>
      <c r="E1479" t="s">
        <v>2711</v>
      </c>
      <c r="F1479">
        <v>4017701</v>
      </c>
      <c r="G1479" t="s">
        <v>2712</v>
      </c>
      <c r="H1479" t="s">
        <v>816</v>
      </c>
      <c r="I1479">
        <v>569.65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569.65</v>
      </c>
      <c r="P1479" s="44" t="e">
        <f>_xlfn.XLOOKUP(Tabla5[[#This Row],[EAN CORREGIDO]],'Tabla Articulos'!B:B,'Tabla Articulos'!D:D)</f>
        <v>#N/A</v>
      </c>
      <c r="Q1479" s="44" t="e">
        <f>_xlfn.XLOOKUP(S1479,'Tabla Articulos'!B:B,'Tabla Articulos'!E:E)</f>
        <v>#N/A</v>
      </c>
      <c r="R1479" s="44" t="e">
        <f t="shared" si="46"/>
        <v>#N/A</v>
      </c>
      <c r="S1479" s="45" t="str">
        <f t="shared" si="47"/>
        <v>790212030076</v>
      </c>
    </row>
    <row r="1480" spans="1:19" hidden="1" x14ac:dyDescent="0.35">
      <c r="A1480" s="22">
        <v>6</v>
      </c>
      <c r="B1480" t="s">
        <v>801</v>
      </c>
      <c r="C1480" t="s">
        <v>802</v>
      </c>
      <c r="D1480"/>
      <c r="E1480" t="s">
        <v>2713</v>
      </c>
      <c r="F1480">
        <v>9001653</v>
      </c>
      <c r="G1480" t="s">
        <v>2714</v>
      </c>
      <c r="H1480" t="s">
        <v>805</v>
      </c>
      <c r="I1480">
        <v>32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32</v>
      </c>
      <c r="P1480" s="44" t="e">
        <f>_xlfn.XLOOKUP(Tabla5[[#This Row],[EAN CORREGIDO]],'Tabla Articulos'!B:B,'Tabla Articulos'!D:D)</f>
        <v>#N/A</v>
      </c>
      <c r="Q1480" s="44" t="e">
        <f>_xlfn.XLOOKUP(S1480,'Tabla Articulos'!B:B,'Tabla Articulos'!E:E)</f>
        <v>#N/A</v>
      </c>
      <c r="R1480" s="44" t="e">
        <f t="shared" si="46"/>
        <v>#N/A</v>
      </c>
      <c r="S1480" s="45" t="str">
        <f t="shared" si="47"/>
        <v>9001653</v>
      </c>
    </row>
    <row r="1481" spans="1:19" hidden="1" x14ac:dyDescent="0.35">
      <c r="A1481" s="22">
        <v>6</v>
      </c>
      <c r="B1481" t="s">
        <v>801</v>
      </c>
      <c r="C1481" t="s">
        <v>802</v>
      </c>
      <c r="D1481"/>
      <c r="E1481" t="s">
        <v>817</v>
      </c>
      <c r="F1481">
        <v>9003161</v>
      </c>
      <c r="G1481" t="s">
        <v>818</v>
      </c>
      <c r="H1481" t="s">
        <v>805</v>
      </c>
      <c r="I1481">
        <v>120</v>
      </c>
      <c r="J1481">
        <v>550</v>
      </c>
      <c r="K1481">
        <v>0</v>
      </c>
      <c r="L1481">
        <v>0</v>
      </c>
      <c r="M1481">
        <v>0</v>
      </c>
      <c r="N1481">
        <v>0</v>
      </c>
      <c r="O1481">
        <v>670</v>
      </c>
      <c r="P1481" s="44" t="e">
        <f>_xlfn.XLOOKUP(Tabla5[[#This Row],[EAN CORREGIDO]],'Tabla Articulos'!B:B,'Tabla Articulos'!D:D)</f>
        <v>#N/A</v>
      </c>
      <c r="Q1481" s="44" t="e">
        <f>_xlfn.XLOOKUP(S1481,'Tabla Articulos'!B:B,'Tabla Articulos'!E:E)</f>
        <v>#N/A</v>
      </c>
      <c r="R1481" s="44" t="e">
        <f t="shared" si="46"/>
        <v>#N/A</v>
      </c>
      <c r="S1481" s="45" t="str">
        <f t="shared" si="47"/>
        <v>UNIF000623</v>
      </c>
    </row>
    <row r="1482" spans="1:19" hidden="1" x14ac:dyDescent="0.35">
      <c r="A1482" s="22">
        <v>6</v>
      </c>
      <c r="B1482" t="s">
        <v>801</v>
      </c>
      <c r="C1482" t="s">
        <v>802</v>
      </c>
      <c r="D1482" t="s">
        <v>819</v>
      </c>
      <c r="E1482" t="s">
        <v>820</v>
      </c>
      <c r="F1482">
        <v>2016613</v>
      </c>
      <c r="G1482" t="s">
        <v>821</v>
      </c>
      <c r="H1482" t="s">
        <v>805</v>
      </c>
      <c r="I1482">
        <v>27331</v>
      </c>
      <c r="J1482">
        <v>0</v>
      </c>
      <c r="K1482">
        <v>0</v>
      </c>
      <c r="L1482">
        <v>0</v>
      </c>
      <c r="M1482">
        <v>10</v>
      </c>
      <c r="N1482">
        <v>0</v>
      </c>
      <c r="O1482">
        <v>27321</v>
      </c>
      <c r="P1482" s="44" t="e">
        <f>_xlfn.XLOOKUP(Tabla5[[#This Row],[EAN CORREGIDO]],'Tabla Articulos'!B:B,'Tabla Articulos'!D:D)</f>
        <v>#N/A</v>
      </c>
      <c r="Q1482" s="44" t="e">
        <f>_xlfn.XLOOKUP(S1482,'Tabla Articulos'!B:B,'Tabla Articulos'!E:E)</f>
        <v>#N/A</v>
      </c>
      <c r="R1482" s="44" t="e">
        <f t="shared" si="46"/>
        <v>#N/A</v>
      </c>
      <c r="S1482" s="45" t="str">
        <f t="shared" si="47"/>
        <v>7798349550296</v>
      </c>
    </row>
    <row r="1483" spans="1:19" hidden="1" x14ac:dyDescent="0.35">
      <c r="A1483" s="22">
        <v>6</v>
      </c>
      <c r="B1483" t="s">
        <v>801</v>
      </c>
      <c r="C1483" t="s">
        <v>802</v>
      </c>
      <c r="E1483" t="s">
        <v>822</v>
      </c>
      <c r="F1483">
        <v>2006924</v>
      </c>
      <c r="G1483" t="s">
        <v>823</v>
      </c>
      <c r="H1483" t="s">
        <v>805</v>
      </c>
      <c r="I1483">
        <v>3711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3711</v>
      </c>
      <c r="P1483" s="44" t="e">
        <f>_xlfn.XLOOKUP(Tabla5[[#This Row],[EAN CORREGIDO]],'Tabla Articulos'!B:B,'Tabla Articulos'!D:D)</f>
        <v>#N/A</v>
      </c>
      <c r="Q1483" s="44" t="e">
        <f>_xlfn.XLOOKUP(S1483,'Tabla Articulos'!B:B,'Tabla Articulos'!E:E)</f>
        <v>#N/A</v>
      </c>
      <c r="R1483" s="44" t="e">
        <f t="shared" si="46"/>
        <v>#N/A</v>
      </c>
      <c r="S1483" s="45" t="str">
        <f t="shared" si="47"/>
        <v>LIM000438</v>
      </c>
    </row>
    <row r="1484" spans="1:19" hidden="1" x14ac:dyDescent="0.35">
      <c r="A1484" s="22">
        <v>5</v>
      </c>
      <c r="B1484" t="s">
        <v>829</v>
      </c>
      <c r="C1484" t="s">
        <v>802</v>
      </c>
      <c r="D1484"/>
      <c r="E1484" t="s">
        <v>4755</v>
      </c>
      <c r="F1484">
        <v>4077084</v>
      </c>
      <c r="G1484" t="s">
        <v>4756</v>
      </c>
      <c r="H1484" t="s">
        <v>805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 s="44" t="e">
        <f>_xlfn.XLOOKUP(Tabla5[[#This Row],[EAN CORREGIDO]],'Tabla Articulos'!B:B,'Tabla Articulos'!D:D)</f>
        <v>#N/A</v>
      </c>
      <c r="Q1484" s="44" t="e">
        <f>_xlfn.XLOOKUP(S1484,'Tabla Articulos'!B:B,'Tabla Articulos'!E:E)</f>
        <v>#N/A</v>
      </c>
      <c r="R1484" s="44" t="e">
        <f t="shared" si="46"/>
        <v>#N/A</v>
      </c>
      <c r="S1484" s="45" t="str">
        <f t="shared" si="47"/>
        <v>MOD21056</v>
      </c>
    </row>
    <row r="1485" spans="1:19" hidden="1" x14ac:dyDescent="0.35">
      <c r="A1485" s="22">
        <v>5</v>
      </c>
      <c r="B1485" t="s">
        <v>829</v>
      </c>
      <c r="C1485" t="s">
        <v>802</v>
      </c>
      <c r="D1485" s="11" t="s">
        <v>4757</v>
      </c>
      <c r="E1485" t="s">
        <v>4758</v>
      </c>
      <c r="F1485">
        <v>4020117</v>
      </c>
      <c r="G1485" t="s">
        <v>4759</v>
      </c>
      <c r="H1485" t="s">
        <v>805</v>
      </c>
      <c r="I1485">
        <v>15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15</v>
      </c>
      <c r="P1485" s="44" t="e">
        <f>_xlfn.XLOOKUP(Tabla5[[#This Row],[EAN CORREGIDO]],'Tabla Articulos'!B:B,'Tabla Articulos'!D:D)</f>
        <v>#N/A</v>
      </c>
      <c r="Q1485" s="44" t="e">
        <f>_xlfn.XLOOKUP(S1485,'Tabla Articulos'!B:B,'Tabla Articulos'!E:E)</f>
        <v>#N/A</v>
      </c>
      <c r="R1485" s="44" t="e">
        <f t="shared" si="46"/>
        <v>#N/A</v>
      </c>
      <c r="S1485" s="45" t="str">
        <f t="shared" si="47"/>
        <v>7792290000404</v>
      </c>
    </row>
    <row r="1486" spans="1:19" hidden="1" x14ac:dyDescent="0.35">
      <c r="A1486" s="22">
        <v>6</v>
      </c>
      <c r="B1486" t="s">
        <v>801</v>
      </c>
      <c r="C1486" t="s">
        <v>802</v>
      </c>
      <c r="D1486"/>
      <c r="E1486" t="s">
        <v>4760</v>
      </c>
      <c r="F1486">
        <v>2001751</v>
      </c>
      <c r="G1486" t="s">
        <v>4761</v>
      </c>
      <c r="H1486" t="s">
        <v>1034</v>
      </c>
      <c r="I1486">
        <v>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4</v>
      </c>
      <c r="P1486" s="44" t="e">
        <f>_xlfn.XLOOKUP(Tabla5[[#This Row],[EAN CORREGIDO]],'Tabla Articulos'!B:B,'Tabla Articulos'!D:D)</f>
        <v>#N/A</v>
      </c>
      <c r="Q1486" s="44" t="e">
        <f>_xlfn.XLOOKUP(S1486,'Tabla Articulos'!B:B,'Tabla Articulos'!E:E)</f>
        <v>#N/A</v>
      </c>
      <c r="R1486" s="44" t="e">
        <f t="shared" si="46"/>
        <v>#N/A</v>
      </c>
      <c r="S1486" s="45" t="str">
        <f t="shared" si="47"/>
        <v>2001751</v>
      </c>
    </row>
    <row r="1487" spans="1:19" hidden="1" x14ac:dyDescent="0.35">
      <c r="A1487" s="22">
        <v>5</v>
      </c>
      <c r="B1487" t="s">
        <v>829</v>
      </c>
      <c r="C1487" t="s">
        <v>802</v>
      </c>
      <c r="D1487" s="11" t="s">
        <v>4762</v>
      </c>
      <c r="E1487" t="s">
        <v>4763</v>
      </c>
      <c r="F1487">
        <v>4018045</v>
      </c>
      <c r="G1487" t="s">
        <v>4764</v>
      </c>
      <c r="H1487" t="s">
        <v>816</v>
      </c>
      <c r="I1487">
        <v>7.6</v>
      </c>
      <c r="J1487">
        <v>0</v>
      </c>
      <c r="K1487">
        <v>0</v>
      </c>
      <c r="L1487">
        <v>0</v>
      </c>
      <c r="M1487">
        <v>2.9</v>
      </c>
      <c r="N1487">
        <v>0</v>
      </c>
      <c r="O1487">
        <v>4.7</v>
      </c>
      <c r="P1487" s="44" t="e">
        <f>_xlfn.XLOOKUP(Tabla5[[#This Row],[EAN CORREGIDO]],'Tabla Articulos'!B:B,'Tabla Articulos'!D:D)</f>
        <v>#N/A</v>
      </c>
      <c r="Q1487" s="44" t="e">
        <f>_xlfn.XLOOKUP(S1487,'Tabla Articulos'!B:B,'Tabla Articulos'!E:E)</f>
        <v>#N/A</v>
      </c>
      <c r="R1487" s="44" t="e">
        <f t="shared" si="46"/>
        <v>#N/A</v>
      </c>
      <c r="S1487" s="45" t="str">
        <f t="shared" si="47"/>
        <v>7790216012651</v>
      </c>
    </row>
    <row r="1488" spans="1:19" hidden="1" x14ac:dyDescent="0.35">
      <c r="A1488" s="22">
        <v>1</v>
      </c>
      <c r="B1488" t="s">
        <v>812</v>
      </c>
      <c r="C1488" t="s">
        <v>802</v>
      </c>
      <c r="D1488" s="11" t="s">
        <v>4762</v>
      </c>
      <c r="E1488" t="s">
        <v>4763</v>
      </c>
      <c r="F1488">
        <v>4018045</v>
      </c>
      <c r="G1488" t="s">
        <v>4764</v>
      </c>
      <c r="H1488" t="s">
        <v>816</v>
      </c>
      <c r="I1488">
        <v>3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3</v>
      </c>
      <c r="P1488" s="44" t="e">
        <f>_xlfn.XLOOKUP(Tabla5[[#This Row],[EAN CORREGIDO]],'Tabla Articulos'!B:B,'Tabla Articulos'!D:D)</f>
        <v>#N/A</v>
      </c>
      <c r="Q1488" s="44" t="e">
        <f>_xlfn.XLOOKUP(S1488,'Tabla Articulos'!B:B,'Tabla Articulos'!E:E)</f>
        <v>#N/A</v>
      </c>
      <c r="R1488" s="44" t="e">
        <f t="shared" si="46"/>
        <v>#N/A</v>
      </c>
      <c r="S1488" s="45" t="str">
        <f t="shared" si="47"/>
        <v>7790216012651</v>
      </c>
    </row>
    <row r="1489" spans="1:19" hidden="1" x14ac:dyDescent="0.35">
      <c r="A1489" s="22">
        <v>6</v>
      </c>
      <c r="B1489" t="s">
        <v>801</v>
      </c>
      <c r="C1489" t="s">
        <v>802</v>
      </c>
      <c r="E1489" t="s">
        <v>4765</v>
      </c>
      <c r="F1489">
        <v>9003512</v>
      </c>
      <c r="G1489" t="s">
        <v>4766</v>
      </c>
      <c r="H1489" t="s">
        <v>805</v>
      </c>
      <c r="I1489">
        <v>10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10</v>
      </c>
      <c r="P1489" s="44" t="e">
        <f>_xlfn.XLOOKUP(Tabla5[[#This Row],[EAN CORREGIDO]],'Tabla Articulos'!B:B,'Tabla Articulos'!D:D)</f>
        <v>#N/A</v>
      </c>
      <c r="Q1489" s="44" t="e">
        <f>_xlfn.XLOOKUP(S1489,'Tabla Articulos'!B:B,'Tabla Articulos'!E:E)</f>
        <v>#N/A</v>
      </c>
      <c r="R1489" s="44" t="e">
        <f t="shared" si="46"/>
        <v>#N/A</v>
      </c>
      <c r="S1489" s="45" t="str">
        <f t="shared" si="47"/>
        <v>UNIF000393</v>
      </c>
    </row>
    <row r="1490" spans="1:19" hidden="1" x14ac:dyDescent="0.35">
      <c r="A1490" s="22">
        <v>1</v>
      </c>
      <c r="B1490" t="s">
        <v>812</v>
      </c>
      <c r="C1490" t="s">
        <v>802</v>
      </c>
      <c r="D1490" s="11" t="s">
        <v>4767</v>
      </c>
      <c r="E1490" t="s">
        <v>4768</v>
      </c>
      <c r="F1490">
        <v>4076702</v>
      </c>
      <c r="G1490" t="s">
        <v>4769</v>
      </c>
      <c r="H1490" t="s">
        <v>805</v>
      </c>
      <c r="I1490">
        <v>83</v>
      </c>
      <c r="J1490">
        <v>0</v>
      </c>
      <c r="K1490">
        <v>0</v>
      </c>
      <c r="L1490">
        <v>0</v>
      </c>
      <c r="M1490">
        <v>1</v>
      </c>
      <c r="N1490">
        <v>0</v>
      </c>
      <c r="O1490">
        <v>82</v>
      </c>
      <c r="P1490" s="44" t="e">
        <f>_xlfn.XLOOKUP(Tabla5[[#This Row],[EAN CORREGIDO]],'Tabla Articulos'!B:B,'Tabla Articulos'!D:D)</f>
        <v>#N/A</v>
      </c>
      <c r="Q1490" s="44" t="e">
        <f>_xlfn.XLOOKUP(S1490,'Tabla Articulos'!B:B,'Tabla Articulos'!E:E)</f>
        <v>#N/A</v>
      </c>
      <c r="R1490" s="44" t="e">
        <f t="shared" si="46"/>
        <v>#N/A</v>
      </c>
      <c r="S1490" s="45" t="str">
        <f t="shared" si="47"/>
        <v>7792590005864</v>
      </c>
    </row>
    <row r="1491" spans="1:19" hidden="1" x14ac:dyDescent="0.35">
      <c r="A1491" s="22">
        <v>5</v>
      </c>
      <c r="B1491" t="s">
        <v>829</v>
      </c>
      <c r="C1491" t="s">
        <v>802</v>
      </c>
      <c r="D1491" s="11" t="s">
        <v>3635</v>
      </c>
      <c r="E1491" t="s">
        <v>5117</v>
      </c>
      <c r="F1491">
        <v>4019527</v>
      </c>
      <c r="G1491" t="s">
        <v>5118</v>
      </c>
      <c r="H1491" t="s">
        <v>805</v>
      </c>
      <c r="I1491">
        <v>105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105</v>
      </c>
      <c r="P1491" s="44" t="e">
        <f>_xlfn.XLOOKUP(Tabla5[[#This Row],[EAN CORREGIDO]],'Tabla Articulos'!B:B,'Tabla Articulos'!D:D)</f>
        <v>#N/A</v>
      </c>
      <c r="Q1491" s="44" t="e">
        <f>_xlfn.XLOOKUP(S1491,'Tabla Articulos'!B:B,'Tabla Articulos'!E:E)</f>
        <v>#N/A</v>
      </c>
      <c r="R1491" s="44" t="e">
        <f t="shared" si="46"/>
        <v>#N/A</v>
      </c>
      <c r="S1491" s="45" t="str">
        <f t="shared" si="47"/>
        <v>7790070318398</v>
      </c>
    </row>
    <row r="1492" spans="1:19" hidden="1" x14ac:dyDescent="0.35">
      <c r="A1492" s="22">
        <v>1</v>
      </c>
      <c r="B1492" t="s">
        <v>812</v>
      </c>
      <c r="C1492" t="s">
        <v>802</v>
      </c>
      <c r="D1492" t="s">
        <v>3635</v>
      </c>
      <c r="E1492" t="s">
        <v>5117</v>
      </c>
      <c r="F1492">
        <v>4019527</v>
      </c>
      <c r="G1492" t="s">
        <v>5118</v>
      </c>
      <c r="H1492" t="s">
        <v>805</v>
      </c>
      <c r="I1492">
        <v>16</v>
      </c>
      <c r="J1492">
        <v>0</v>
      </c>
      <c r="K1492">
        <v>0</v>
      </c>
      <c r="L1492">
        <v>0</v>
      </c>
      <c r="M1492">
        <v>16</v>
      </c>
      <c r="N1492">
        <v>0</v>
      </c>
      <c r="O1492">
        <v>0</v>
      </c>
      <c r="P1492" s="44" t="e">
        <f>_xlfn.XLOOKUP(Tabla5[[#This Row],[EAN CORREGIDO]],'Tabla Articulos'!B:B,'Tabla Articulos'!D:D)</f>
        <v>#N/A</v>
      </c>
      <c r="Q1492" s="44" t="e">
        <f>_xlfn.XLOOKUP(S1492,'Tabla Articulos'!B:B,'Tabla Articulos'!E:E)</f>
        <v>#N/A</v>
      </c>
      <c r="R1492" s="44" t="e">
        <f t="shared" si="46"/>
        <v>#N/A</v>
      </c>
      <c r="S1492" s="45" t="str">
        <f t="shared" si="47"/>
        <v>7790070318398</v>
      </c>
    </row>
    <row r="1493" spans="1:19" hidden="1" x14ac:dyDescent="0.35">
      <c r="A1493" s="22">
        <v>5</v>
      </c>
      <c r="B1493" t="s">
        <v>829</v>
      </c>
      <c r="C1493" t="s">
        <v>802</v>
      </c>
      <c r="D1493" s="11" t="s">
        <v>4503</v>
      </c>
      <c r="E1493" t="s">
        <v>5119</v>
      </c>
      <c r="F1493">
        <v>4020438</v>
      </c>
      <c r="G1493" t="s">
        <v>5120</v>
      </c>
      <c r="H1493" t="s">
        <v>805</v>
      </c>
      <c r="I1493">
        <v>107468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107468</v>
      </c>
      <c r="P1493" s="44" t="e">
        <f>_xlfn.XLOOKUP(Tabla5[[#This Row],[EAN CORREGIDO]],'Tabla Articulos'!B:B,'Tabla Articulos'!D:D)</f>
        <v>#N/A</v>
      </c>
      <c r="Q1493" s="44" t="e">
        <f>_xlfn.XLOOKUP(S1493,'Tabla Articulos'!B:B,'Tabla Articulos'!E:E)</f>
        <v>#N/A</v>
      </c>
      <c r="R1493" s="44" t="e">
        <f t="shared" si="46"/>
        <v>#N/A</v>
      </c>
      <c r="S1493" s="45" t="str">
        <f t="shared" si="47"/>
        <v>7798156760659</v>
      </c>
    </row>
    <row r="1494" spans="1:19" hidden="1" x14ac:dyDescent="0.35">
      <c r="A1494" s="22">
        <v>1</v>
      </c>
      <c r="B1494" t="s">
        <v>812</v>
      </c>
      <c r="C1494" t="s">
        <v>802</v>
      </c>
      <c r="D1494" t="s">
        <v>4503</v>
      </c>
      <c r="E1494" t="s">
        <v>5119</v>
      </c>
      <c r="F1494">
        <v>4020438</v>
      </c>
      <c r="G1494" t="s">
        <v>5120</v>
      </c>
      <c r="H1494" t="s">
        <v>805</v>
      </c>
      <c r="I1494">
        <v>1830</v>
      </c>
      <c r="J1494">
        <v>0</v>
      </c>
      <c r="K1494">
        <v>0</v>
      </c>
      <c r="L1494">
        <v>0</v>
      </c>
      <c r="M1494">
        <v>0</v>
      </c>
      <c r="N1494">
        <v>325</v>
      </c>
      <c r="O1494">
        <v>1505</v>
      </c>
      <c r="P1494" s="44" t="e">
        <f>_xlfn.XLOOKUP(Tabla5[[#This Row],[EAN CORREGIDO]],'Tabla Articulos'!B:B,'Tabla Articulos'!D:D)</f>
        <v>#N/A</v>
      </c>
      <c r="Q1494" s="44" t="e">
        <f>_xlfn.XLOOKUP(S1494,'Tabla Articulos'!B:B,'Tabla Articulos'!E:E)</f>
        <v>#N/A</v>
      </c>
      <c r="R1494" s="44" t="e">
        <f t="shared" si="46"/>
        <v>#N/A</v>
      </c>
      <c r="S1494" s="45" t="str">
        <f t="shared" si="47"/>
        <v>7798156760659</v>
      </c>
    </row>
    <row r="1495" spans="1:19" hidden="1" x14ac:dyDescent="0.35">
      <c r="A1495" s="22">
        <v>6</v>
      </c>
      <c r="B1495" t="s">
        <v>801</v>
      </c>
      <c r="C1495" t="s">
        <v>802</v>
      </c>
      <c r="D1495"/>
      <c r="E1495" t="s">
        <v>5121</v>
      </c>
      <c r="F1495">
        <v>9003179</v>
      </c>
      <c r="G1495" t="s">
        <v>5122</v>
      </c>
      <c r="H1495" t="s">
        <v>805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 s="44" t="e">
        <f>_xlfn.XLOOKUP(Tabla5[[#This Row],[EAN CORREGIDO]],'Tabla Articulos'!B:B,'Tabla Articulos'!D:D)</f>
        <v>#N/A</v>
      </c>
      <c r="Q1495" s="44" t="e">
        <f>_xlfn.XLOOKUP(S1495,'Tabla Articulos'!B:B,'Tabla Articulos'!E:E)</f>
        <v>#N/A</v>
      </c>
      <c r="R1495" s="44" t="e">
        <f t="shared" si="46"/>
        <v>#N/A</v>
      </c>
      <c r="S1495" s="45" t="str">
        <f t="shared" si="47"/>
        <v>UNIF000306</v>
      </c>
    </row>
    <row r="1496" spans="1:19" hidden="1" x14ac:dyDescent="0.35">
      <c r="A1496" s="22">
        <v>6</v>
      </c>
      <c r="B1496" t="s">
        <v>801</v>
      </c>
      <c r="C1496" t="s">
        <v>802</v>
      </c>
      <c r="D1496"/>
      <c r="E1496" t="s">
        <v>5123</v>
      </c>
      <c r="F1496">
        <v>9003797</v>
      </c>
      <c r="G1496" t="s">
        <v>5124</v>
      </c>
      <c r="H1496" t="s">
        <v>805</v>
      </c>
      <c r="I1496">
        <v>83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83</v>
      </c>
      <c r="P1496" s="44" t="e">
        <f>_xlfn.XLOOKUP(Tabla5[[#This Row],[EAN CORREGIDO]],'Tabla Articulos'!B:B,'Tabla Articulos'!D:D)</f>
        <v>#N/A</v>
      </c>
      <c r="Q1496" s="44" t="e">
        <f>_xlfn.XLOOKUP(S1496,'Tabla Articulos'!B:B,'Tabla Articulos'!E:E)</f>
        <v>#N/A</v>
      </c>
      <c r="R1496" s="44" t="e">
        <f t="shared" si="46"/>
        <v>#N/A</v>
      </c>
      <c r="S1496" s="45" t="str">
        <f t="shared" si="47"/>
        <v>BAZ001291</v>
      </c>
    </row>
    <row r="1497" spans="1:19" hidden="1" x14ac:dyDescent="0.35">
      <c r="A1497" s="22">
        <v>5</v>
      </c>
      <c r="B1497" t="s">
        <v>829</v>
      </c>
      <c r="C1497" t="s">
        <v>802</v>
      </c>
      <c r="D1497"/>
      <c r="E1497" t="s">
        <v>6829</v>
      </c>
      <c r="F1497">
        <v>4077376</v>
      </c>
      <c r="G1497" t="s">
        <v>6830</v>
      </c>
      <c r="H1497" t="s">
        <v>805</v>
      </c>
      <c r="I1497">
        <v>2</v>
      </c>
      <c r="J1497">
        <v>0</v>
      </c>
      <c r="K1497">
        <v>0</v>
      </c>
      <c r="L1497">
        <v>0</v>
      </c>
      <c r="M1497">
        <v>2</v>
      </c>
      <c r="N1497">
        <v>0</v>
      </c>
      <c r="O1497">
        <v>0</v>
      </c>
      <c r="P1497" s="44" t="e">
        <f>_xlfn.XLOOKUP(Tabla5[[#This Row],[EAN CORREGIDO]],'Tabla Articulos'!B:B,'Tabla Articulos'!D:D)</f>
        <v>#N/A</v>
      </c>
      <c r="Q1497" s="44" t="e">
        <f>_xlfn.XLOOKUP(S1497,'Tabla Articulos'!B:B,'Tabla Articulos'!E:E)</f>
        <v>#N/A</v>
      </c>
      <c r="R1497" s="44" t="e">
        <f t="shared" si="46"/>
        <v>#N/A</v>
      </c>
      <c r="S1497" s="45" t="str">
        <f t="shared" si="47"/>
        <v>MOD21135</v>
      </c>
    </row>
    <row r="1498" spans="1:19" hidden="1" x14ac:dyDescent="0.35">
      <c r="A1498" s="22">
        <v>6</v>
      </c>
      <c r="B1498" t="s">
        <v>801</v>
      </c>
      <c r="C1498" t="s">
        <v>802</v>
      </c>
      <c r="E1498" t="s">
        <v>5125</v>
      </c>
      <c r="F1498">
        <v>9003565</v>
      </c>
      <c r="G1498" t="s">
        <v>5126</v>
      </c>
      <c r="H1498" t="s">
        <v>805</v>
      </c>
      <c r="I1498">
        <v>13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13</v>
      </c>
      <c r="P1498" s="44" t="e">
        <f>_xlfn.XLOOKUP(Tabla5[[#This Row],[EAN CORREGIDO]],'Tabla Articulos'!B:B,'Tabla Articulos'!D:D)</f>
        <v>#N/A</v>
      </c>
      <c r="Q1498" s="44" t="e">
        <f>_xlfn.XLOOKUP(S1498,'Tabla Articulos'!B:B,'Tabla Articulos'!E:E)</f>
        <v>#N/A</v>
      </c>
      <c r="R1498" s="44" t="e">
        <f t="shared" si="46"/>
        <v>#N/A</v>
      </c>
      <c r="S1498" s="45" t="str">
        <f t="shared" si="47"/>
        <v>UNIF000148</v>
      </c>
    </row>
    <row r="1499" spans="1:19" hidden="1" x14ac:dyDescent="0.35">
      <c r="A1499" s="22">
        <v>1</v>
      </c>
      <c r="B1499" t="s">
        <v>812</v>
      </c>
      <c r="C1499" t="s">
        <v>802</v>
      </c>
      <c r="D1499" t="s">
        <v>5127</v>
      </c>
      <c r="E1499" t="s">
        <v>5128</v>
      </c>
      <c r="F1499">
        <v>4023462</v>
      </c>
      <c r="G1499" t="s">
        <v>5129</v>
      </c>
      <c r="H1499" t="s">
        <v>805</v>
      </c>
      <c r="I1499">
        <v>7568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7568</v>
      </c>
      <c r="P1499" s="44" t="e">
        <f>_xlfn.XLOOKUP(Tabla5[[#This Row],[EAN CORREGIDO]],'Tabla Articulos'!B:B,'Tabla Articulos'!D:D)</f>
        <v>#N/A</v>
      </c>
      <c r="Q1499" s="44" t="e">
        <f>_xlfn.XLOOKUP(S1499,'Tabla Articulos'!B:B,'Tabla Articulos'!E:E)</f>
        <v>#N/A</v>
      </c>
      <c r="R1499" s="44" t="e">
        <f t="shared" si="46"/>
        <v>#N/A</v>
      </c>
      <c r="S1499" s="45" t="str">
        <f t="shared" si="47"/>
        <v>7798131012438</v>
      </c>
    </row>
    <row r="1500" spans="1:19" hidden="1" x14ac:dyDescent="0.35">
      <c r="A1500" s="22">
        <v>6</v>
      </c>
      <c r="B1500" t="s">
        <v>801</v>
      </c>
      <c r="C1500" t="s">
        <v>802</v>
      </c>
      <c r="E1500" t="s">
        <v>5130</v>
      </c>
      <c r="F1500">
        <v>9003736</v>
      </c>
      <c r="G1500" t="s">
        <v>5131</v>
      </c>
      <c r="H1500" t="s">
        <v>805</v>
      </c>
      <c r="I1500">
        <v>1844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1844</v>
      </c>
      <c r="P1500" s="44" t="e">
        <f>_xlfn.XLOOKUP(Tabla5[[#This Row],[EAN CORREGIDO]],'Tabla Articulos'!B:B,'Tabla Articulos'!D:D)</f>
        <v>#N/A</v>
      </c>
      <c r="Q1500" s="44" t="e">
        <f>_xlfn.XLOOKUP(S1500,'Tabla Articulos'!B:B,'Tabla Articulos'!E:E)</f>
        <v>#N/A</v>
      </c>
      <c r="R1500" s="44" t="e">
        <f t="shared" si="46"/>
        <v>#N/A</v>
      </c>
      <c r="S1500" s="45" t="str">
        <f t="shared" si="47"/>
        <v>BAZ001266</v>
      </c>
    </row>
    <row r="1501" spans="1:19" hidden="1" x14ac:dyDescent="0.35">
      <c r="A1501" s="22">
        <v>6</v>
      </c>
      <c r="B1501" t="s">
        <v>801</v>
      </c>
      <c r="C1501" t="s">
        <v>802</v>
      </c>
      <c r="D1501"/>
      <c r="E1501" t="s">
        <v>1122</v>
      </c>
      <c r="F1501">
        <v>9003047</v>
      </c>
      <c r="G1501" t="s">
        <v>1123</v>
      </c>
      <c r="H1501" t="s">
        <v>805</v>
      </c>
      <c r="I1501">
        <v>75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75</v>
      </c>
      <c r="P1501" s="44" t="e">
        <f>_xlfn.XLOOKUP(Tabla5[[#This Row],[EAN CORREGIDO]],'Tabla Articulos'!B:B,'Tabla Articulos'!D:D)</f>
        <v>#N/A</v>
      </c>
      <c r="Q1501" s="44" t="e">
        <f>_xlfn.XLOOKUP(S1501,'Tabla Articulos'!B:B,'Tabla Articulos'!E:E)</f>
        <v>#N/A</v>
      </c>
      <c r="R1501" s="44" t="e">
        <f t="shared" si="46"/>
        <v>#N/A</v>
      </c>
      <c r="S1501" s="45" t="str">
        <f t="shared" si="47"/>
        <v>UNIF000016</v>
      </c>
    </row>
    <row r="1502" spans="1:19" hidden="1" x14ac:dyDescent="0.35">
      <c r="A1502" s="22">
        <v>5</v>
      </c>
      <c r="B1502" t="s">
        <v>829</v>
      </c>
      <c r="C1502" t="s">
        <v>802</v>
      </c>
      <c r="D1502" s="11" t="s">
        <v>1124</v>
      </c>
      <c r="E1502" t="s">
        <v>1125</v>
      </c>
      <c r="F1502">
        <v>4019577</v>
      </c>
      <c r="G1502" t="s">
        <v>1126</v>
      </c>
      <c r="H1502" t="s">
        <v>805</v>
      </c>
      <c r="I1502">
        <v>58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58</v>
      </c>
      <c r="P1502" s="44" t="e">
        <f>_xlfn.XLOOKUP(Tabla5[[#This Row],[EAN CORREGIDO]],'Tabla Articulos'!B:B,'Tabla Articulos'!D:D)</f>
        <v>#N/A</v>
      </c>
      <c r="Q1502" s="44" t="e">
        <f>_xlfn.XLOOKUP(S1502,'Tabla Articulos'!B:B,'Tabla Articulos'!E:E)</f>
        <v>#N/A</v>
      </c>
      <c r="R1502" s="44" t="e">
        <f t="shared" si="46"/>
        <v>#N/A</v>
      </c>
      <c r="S1502" s="45" t="str">
        <f t="shared" si="47"/>
        <v>7790530850192</v>
      </c>
    </row>
    <row r="1503" spans="1:19" hidden="1" x14ac:dyDescent="0.35">
      <c r="A1503" s="22">
        <v>6</v>
      </c>
      <c r="B1503" t="s">
        <v>801</v>
      </c>
      <c r="C1503" t="s">
        <v>802</v>
      </c>
      <c r="D1503"/>
      <c r="E1503" t="s">
        <v>1127</v>
      </c>
      <c r="F1503">
        <v>9003454</v>
      </c>
      <c r="G1503" t="s">
        <v>1128</v>
      </c>
      <c r="H1503" t="s">
        <v>805</v>
      </c>
      <c r="I1503">
        <v>5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5</v>
      </c>
      <c r="P1503" s="44" t="e">
        <f>_xlfn.XLOOKUP(Tabla5[[#This Row],[EAN CORREGIDO]],'Tabla Articulos'!B:B,'Tabla Articulos'!D:D)</f>
        <v>#N/A</v>
      </c>
      <c r="Q1503" s="44" t="e">
        <f>_xlfn.XLOOKUP(S1503,'Tabla Articulos'!B:B,'Tabla Articulos'!E:E)</f>
        <v>#N/A</v>
      </c>
      <c r="R1503" s="44" t="e">
        <f t="shared" si="46"/>
        <v>#N/A</v>
      </c>
      <c r="S1503" s="45" t="str">
        <f t="shared" si="47"/>
        <v>UNIF000387</v>
      </c>
    </row>
    <row r="1504" spans="1:19" hidden="1" x14ac:dyDescent="0.35">
      <c r="A1504" s="22">
        <v>6</v>
      </c>
      <c r="B1504" t="s">
        <v>801</v>
      </c>
      <c r="C1504" t="s">
        <v>802</v>
      </c>
      <c r="D1504"/>
      <c r="E1504" t="s">
        <v>1129</v>
      </c>
      <c r="F1504">
        <v>9003865</v>
      </c>
      <c r="G1504" t="s">
        <v>1130</v>
      </c>
      <c r="H1504" t="s">
        <v>805</v>
      </c>
      <c r="I1504">
        <v>222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222</v>
      </c>
      <c r="P1504" s="44" t="e">
        <f>_xlfn.XLOOKUP(Tabla5[[#This Row],[EAN CORREGIDO]],'Tabla Articulos'!B:B,'Tabla Articulos'!D:D)</f>
        <v>#N/A</v>
      </c>
      <c r="Q1504" s="44" t="e">
        <f>_xlfn.XLOOKUP(S1504,'Tabla Articulos'!B:B,'Tabla Articulos'!E:E)</f>
        <v>#N/A</v>
      </c>
      <c r="R1504" s="44" t="e">
        <f t="shared" si="46"/>
        <v>#N/A</v>
      </c>
      <c r="S1504" s="45" t="str">
        <f t="shared" si="47"/>
        <v>BAZ001275</v>
      </c>
    </row>
    <row r="1505" spans="1:19" hidden="1" x14ac:dyDescent="0.35">
      <c r="A1505" s="22">
        <v>6</v>
      </c>
      <c r="B1505" t="s">
        <v>801</v>
      </c>
      <c r="C1505" t="s">
        <v>802</v>
      </c>
      <c r="D1505"/>
      <c r="E1505" t="s">
        <v>1131</v>
      </c>
      <c r="F1505">
        <v>9003095</v>
      </c>
      <c r="G1505" t="s">
        <v>1132</v>
      </c>
      <c r="H1505" t="s">
        <v>805</v>
      </c>
      <c r="I1505">
        <v>17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17</v>
      </c>
      <c r="P1505" s="44" t="e">
        <f>_xlfn.XLOOKUP(Tabla5[[#This Row],[EAN CORREGIDO]],'Tabla Articulos'!B:B,'Tabla Articulos'!D:D)</f>
        <v>#N/A</v>
      </c>
      <c r="Q1505" s="44" t="e">
        <f>_xlfn.XLOOKUP(S1505,'Tabla Articulos'!B:B,'Tabla Articulos'!E:E)</f>
        <v>#N/A</v>
      </c>
      <c r="R1505" s="44" t="e">
        <f t="shared" si="46"/>
        <v>#N/A</v>
      </c>
      <c r="S1505" s="45" t="str">
        <f t="shared" si="47"/>
        <v>UNIF000557</v>
      </c>
    </row>
    <row r="1506" spans="1:19" hidden="1" x14ac:dyDescent="0.35">
      <c r="A1506" s="22">
        <v>1</v>
      </c>
      <c r="B1506" t="s">
        <v>812</v>
      </c>
      <c r="C1506" t="s">
        <v>802</v>
      </c>
      <c r="D1506" s="11" t="s">
        <v>2136</v>
      </c>
      <c r="E1506" t="s">
        <v>4733</v>
      </c>
      <c r="F1506">
        <v>4019992</v>
      </c>
      <c r="G1506" t="s">
        <v>4734</v>
      </c>
      <c r="H1506" t="s">
        <v>805</v>
      </c>
      <c r="I1506">
        <v>4646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4646</v>
      </c>
      <c r="P1506" s="44" t="e">
        <f>_xlfn.XLOOKUP(Tabla5[[#This Row],[EAN CORREGIDO]],'Tabla Articulos'!B:B,'Tabla Articulos'!D:D)</f>
        <v>#N/A</v>
      </c>
      <c r="Q1506" s="44" t="e">
        <f>_xlfn.XLOOKUP(S1506,'Tabla Articulos'!B:B,'Tabla Articulos'!E:E)</f>
        <v>#N/A</v>
      </c>
      <c r="R1506" s="44" t="e">
        <f t="shared" si="46"/>
        <v>#N/A</v>
      </c>
      <c r="S1506" s="45" t="str">
        <f t="shared" si="47"/>
        <v>7790971001481</v>
      </c>
    </row>
    <row r="1507" spans="1:19" hidden="1" x14ac:dyDescent="0.35">
      <c r="A1507" s="22">
        <v>5</v>
      </c>
      <c r="B1507" t="s">
        <v>829</v>
      </c>
      <c r="C1507" t="s">
        <v>802</v>
      </c>
      <c r="D1507" t="s">
        <v>4735</v>
      </c>
      <c r="E1507" t="s">
        <v>4736</v>
      </c>
      <c r="F1507">
        <v>4019754</v>
      </c>
      <c r="G1507" t="s">
        <v>4737</v>
      </c>
      <c r="H1507" t="s">
        <v>805</v>
      </c>
      <c r="I1507">
        <v>20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20</v>
      </c>
      <c r="P1507" s="44" t="e">
        <f>_xlfn.XLOOKUP(Tabla5[[#This Row],[EAN CORREGIDO]],'Tabla Articulos'!B:B,'Tabla Articulos'!D:D)</f>
        <v>#N/A</v>
      </c>
      <c r="Q1507" s="44" t="e">
        <f>_xlfn.XLOOKUP(S1507,'Tabla Articulos'!B:B,'Tabla Articulos'!E:E)</f>
        <v>#N/A</v>
      </c>
      <c r="R1507" s="44" t="e">
        <f t="shared" si="46"/>
        <v>#N/A</v>
      </c>
      <c r="S1507" s="45" t="str">
        <f t="shared" si="47"/>
        <v>7790279000070</v>
      </c>
    </row>
    <row r="1508" spans="1:19" hidden="1" x14ac:dyDescent="0.35">
      <c r="A1508" s="22">
        <v>1</v>
      </c>
      <c r="B1508" t="s">
        <v>812</v>
      </c>
      <c r="C1508" t="s">
        <v>802</v>
      </c>
      <c r="D1508" t="s">
        <v>4735</v>
      </c>
      <c r="E1508" t="s">
        <v>4736</v>
      </c>
      <c r="F1508">
        <v>4019754</v>
      </c>
      <c r="G1508" t="s">
        <v>4737</v>
      </c>
      <c r="H1508" t="s">
        <v>805</v>
      </c>
      <c r="I1508">
        <v>540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540</v>
      </c>
      <c r="P1508" s="44" t="e">
        <f>_xlfn.XLOOKUP(Tabla5[[#This Row],[EAN CORREGIDO]],'Tabla Articulos'!B:B,'Tabla Articulos'!D:D)</f>
        <v>#N/A</v>
      </c>
      <c r="Q1508" s="44" t="e">
        <f>_xlfn.XLOOKUP(S1508,'Tabla Articulos'!B:B,'Tabla Articulos'!E:E)</f>
        <v>#N/A</v>
      </c>
      <c r="R1508" s="44" t="e">
        <f t="shared" si="46"/>
        <v>#N/A</v>
      </c>
      <c r="S1508" s="45" t="str">
        <f t="shared" si="47"/>
        <v>7790279000070</v>
      </c>
    </row>
    <row r="1509" spans="1:19" hidden="1" x14ac:dyDescent="0.35">
      <c r="A1509" s="22">
        <v>6</v>
      </c>
      <c r="B1509" t="s">
        <v>801</v>
      </c>
      <c r="C1509" t="s">
        <v>802</v>
      </c>
      <c r="D1509" s="11" t="s">
        <v>3749</v>
      </c>
      <c r="E1509" t="s">
        <v>4738</v>
      </c>
      <c r="F1509">
        <v>2007621</v>
      </c>
      <c r="G1509" t="s">
        <v>4739</v>
      </c>
      <c r="H1509" t="s">
        <v>805</v>
      </c>
      <c r="I1509">
        <v>704</v>
      </c>
      <c r="J1509">
        <v>480</v>
      </c>
      <c r="K1509">
        <v>0</v>
      </c>
      <c r="L1509">
        <v>0</v>
      </c>
      <c r="M1509">
        <v>0</v>
      </c>
      <c r="N1509">
        <v>0</v>
      </c>
      <c r="O1509">
        <v>1184</v>
      </c>
      <c r="P1509" s="44" t="e">
        <f>_xlfn.XLOOKUP(Tabla5[[#This Row],[EAN CORREGIDO]],'Tabla Articulos'!B:B,'Tabla Articulos'!D:D)</f>
        <v>#N/A</v>
      </c>
      <c r="Q1509" s="44" t="e">
        <f>_xlfn.XLOOKUP(S1509,'Tabla Articulos'!B:B,'Tabla Articulos'!E:E)</f>
        <v>#N/A</v>
      </c>
      <c r="R1509" s="44" t="e">
        <f t="shared" si="46"/>
        <v>#N/A</v>
      </c>
      <c r="S1509" s="45" t="str">
        <f t="shared" si="47"/>
        <v>7798160833660</v>
      </c>
    </row>
    <row r="1510" spans="1:19" hidden="1" x14ac:dyDescent="0.35">
      <c r="A1510" s="22">
        <v>6</v>
      </c>
      <c r="B1510" t="s">
        <v>801</v>
      </c>
      <c r="C1510" t="s">
        <v>802</v>
      </c>
      <c r="E1510" t="s">
        <v>4740</v>
      </c>
      <c r="F1510">
        <v>2011442</v>
      </c>
      <c r="G1510" t="s">
        <v>4741</v>
      </c>
      <c r="H1510" t="s">
        <v>805</v>
      </c>
      <c r="I1510">
        <v>242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242</v>
      </c>
      <c r="P1510" s="44" t="e">
        <f>_xlfn.XLOOKUP(Tabla5[[#This Row],[EAN CORREGIDO]],'Tabla Articulos'!B:B,'Tabla Articulos'!D:D)</f>
        <v>#N/A</v>
      </c>
      <c r="Q1510" s="44" t="e">
        <f>_xlfn.XLOOKUP(S1510,'Tabla Articulos'!B:B,'Tabla Articulos'!E:E)</f>
        <v>#N/A</v>
      </c>
      <c r="R1510" s="44" t="e">
        <f t="shared" si="46"/>
        <v>#N/A</v>
      </c>
      <c r="S1510" s="45" t="str">
        <f t="shared" si="47"/>
        <v>7798287511069</v>
      </c>
    </row>
    <row r="1511" spans="1:19" hidden="1" x14ac:dyDescent="0.35">
      <c r="A1511" s="22">
        <v>6</v>
      </c>
      <c r="B1511" t="s">
        <v>801</v>
      </c>
      <c r="C1511" t="s">
        <v>802</v>
      </c>
      <c r="D1511"/>
      <c r="E1511" t="s">
        <v>4742</v>
      </c>
      <c r="F1511">
        <v>9003070</v>
      </c>
      <c r="G1511" t="s">
        <v>4743</v>
      </c>
      <c r="H1511" t="s">
        <v>805</v>
      </c>
      <c r="I1511">
        <v>135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135</v>
      </c>
      <c r="P1511" s="44" t="e">
        <f>_xlfn.XLOOKUP(Tabla5[[#This Row],[EAN CORREGIDO]],'Tabla Articulos'!B:B,'Tabla Articulos'!D:D)</f>
        <v>#N/A</v>
      </c>
      <c r="Q1511" s="44" t="e">
        <f>_xlfn.XLOOKUP(S1511,'Tabla Articulos'!B:B,'Tabla Articulos'!E:E)</f>
        <v>#N/A</v>
      </c>
      <c r="R1511" s="44" t="e">
        <f t="shared" si="46"/>
        <v>#N/A</v>
      </c>
      <c r="S1511" s="45" t="str">
        <f t="shared" si="47"/>
        <v>UNIF000533</v>
      </c>
    </row>
    <row r="1512" spans="1:19" hidden="1" x14ac:dyDescent="0.35">
      <c r="A1512" s="22">
        <v>6</v>
      </c>
      <c r="B1512" t="s">
        <v>801</v>
      </c>
      <c r="C1512" t="s">
        <v>802</v>
      </c>
      <c r="D1512"/>
      <c r="E1512" t="s">
        <v>4744</v>
      </c>
      <c r="F1512">
        <v>9003885</v>
      </c>
      <c r="G1512" t="s">
        <v>4745</v>
      </c>
      <c r="H1512" t="s">
        <v>805</v>
      </c>
      <c r="I1512">
        <v>10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10</v>
      </c>
      <c r="P1512" s="44" t="e">
        <f>_xlfn.XLOOKUP(Tabla5[[#This Row],[EAN CORREGIDO]],'Tabla Articulos'!B:B,'Tabla Articulos'!D:D)</f>
        <v>#N/A</v>
      </c>
      <c r="Q1512" s="44" t="e">
        <f>_xlfn.XLOOKUP(S1512,'Tabla Articulos'!B:B,'Tabla Articulos'!E:E)</f>
        <v>#N/A</v>
      </c>
      <c r="R1512" s="44" t="e">
        <f t="shared" si="46"/>
        <v>#N/A</v>
      </c>
      <c r="S1512" s="45" t="str">
        <f t="shared" si="47"/>
        <v>BAZ001354</v>
      </c>
    </row>
    <row r="1513" spans="1:19" hidden="1" x14ac:dyDescent="0.35">
      <c r="A1513" s="22">
        <v>5</v>
      </c>
      <c r="B1513" t="s">
        <v>829</v>
      </c>
      <c r="C1513" t="s">
        <v>802</v>
      </c>
      <c r="D1513" t="s">
        <v>1271</v>
      </c>
      <c r="E1513" t="s">
        <v>4746</v>
      </c>
      <c r="F1513">
        <v>4020736</v>
      </c>
      <c r="G1513" t="s">
        <v>4747</v>
      </c>
      <c r="H1513" t="s">
        <v>805</v>
      </c>
      <c r="I1513">
        <v>41120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41120</v>
      </c>
      <c r="P1513" s="44" t="e">
        <f>_xlfn.XLOOKUP(Tabla5[[#This Row],[EAN CORREGIDO]],'Tabla Articulos'!B:B,'Tabla Articulos'!D:D)</f>
        <v>#N/A</v>
      </c>
      <c r="Q1513" s="44" t="e">
        <f>_xlfn.XLOOKUP(S1513,'Tabla Articulos'!B:B,'Tabla Articulos'!E:E)</f>
        <v>#N/A</v>
      </c>
      <c r="R1513" s="44" t="e">
        <f t="shared" si="46"/>
        <v>#N/A</v>
      </c>
      <c r="S1513" s="45" t="str">
        <f t="shared" si="47"/>
        <v>7798138555525</v>
      </c>
    </row>
    <row r="1514" spans="1:19" hidden="1" x14ac:dyDescent="0.35">
      <c r="A1514" s="22">
        <v>6</v>
      </c>
      <c r="B1514" t="s">
        <v>801</v>
      </c>
      <c r="C1514" t="s">
        <v>802</v>
      </c>
      <c r="D1514" s="11" t="s">
        <v>4748</v>
      </c>
      <c r="E1514" t="s">
        <v>4749</v>
      </c>
      <c r="F1514">
        <v>2007490</v>
      </c>
      <c r="G1514" t="s">
        <v>4750</v>
      </c>
      <c r="H1514" t="s">
        <v>805</v>
      </c>
      <c r="I1514">
        <v>10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10</v>
      </c>
      <c r="P1514" s="44" t="e">
        <f>_xlfn.XLOOKUP(Tabla5[[#This Row],[EAN CORREGIDO]],'Tabla Articulos'!B:B,'Tabla Articulos'!D:D)</f>
        <v>#N/A</v>
      </c>
      <c r="Q1514" s="44" t="e">
        <f>_xlfn.XLOOKUP(S1514,'Tabla Articulos'!B:B,'Tabla Articulos'!E:E)</f>
        <v>#N/A</v>
      </c>
      <c r="R1514" s="44" t="e">
        <f t="shared" si="46"/>
        <v>#N/A</v>
      </c>
      <c r="S1514" s="45" t="str">
        <f t="shared" si="47"/>
        <v>7790000000464</v>
      </c>
    </row>
    <row r="1515" spans="1:19" hidden="1" x14ac:dyDescent="0.35">
      <c r="A1515" s="22">
        <v>1</v>
      </c>
      <c r="B1515" t="s">
        <v>812</v>
      </c>
      <c r="C1515" t="s">
        <v>802</v>
      </c>
      <c r="D1515" t="s">
        <v>2284</v>
      </c>
      <c r="E1515" t="s">
        <v>4751</v>
      </c>
      <c r="F1515">
        <v>4018712</v>
      </c>
      <c r="G1515" t="s">
        <v>4752</v>
      </c>
      <c r="H1515" t="s">
        <v>805</v>
      </c>
      <c r="I1515">
        <v>632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632</v>
      </c>
      <c r="P1515" s="44" t="e">
        <f>_xlfn.XLOOKUP(Tabla5[[#This Row],[EAN CORREGIDO]],'Tabla Articulos'!B:B,'Tabla Articulos'!D:D)</f>
        <v>#N/A</v>
      </c>
      <c r="Q1515" s="44" t="e">
        <f>_xlfn.XLOOKUP(S1515,'Tabla Articulos'!B:B,'Tabla Articulos'!E:E)</f>
        <v>#N/A</v>
      </c>
      <c r="R1515" s="44" t="e">
        <f t="shared" si="46"/>
        <v>#N/A</v>
      </c>
      <c r="S1515" s="45" t="str">
        <f t="shared" si="47"/>
        <v>7795711000045</v>
      </c>
    </row>
    <row r="1516" spans="1:19" hidden="1" x14ac:dyDescent="0.35">
      <c r="A1516" s="22">
        <v>5</v>
      </c>
      <c r="B1516" t="s">
        <v>829</v>
      </c>
      <c r="C1516" t="s">
        <v>802</v>
      </c>
      <c r="D1516" t="s">
        <v>1857</v>
      </c>
      <c r="E1516" t="s">
        <v>4753</v>
      </c>
      <c r="F1516">
        <v>4019162</v>
      </c>
      <c r="G1516" t="s">
        <v>4754</v>
      </c>
      <c r="H1516" t="s">
        <v>805</v>
      </c>
      <c r="I1516">
        <v>397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397</v>
      </c>
      <c r="P1516" s="44" t="e">
        <f>_xlfn.XLOOKUP(Tabla5[[#This Row],[EAN CORREGIDO]],'Tabla Articulos'!B:B,'Tabla Articulos'!D:D)</f>
        <v>#N/A</v>
      </c>
      <c r="Q1516" s="44" t="e">
        <f>_xlfn.XLOOKUP(S1516,'Tabla Articulos'!B:B,'Tabla Articulos'!E:E)</f>
        <v>#N/A</v>
      </c>
      <c r="R1516" s="44" t="e">
        <f t="shared" si="46"/>
        <v>#N/A</v>
      </c>
      <c r="S1516" s="45" t="str">
        <f t="shared" si="47"/>
        <v>77980229</v>
      </c>
    </row>
    <row r="1517" spans="1:19" hidden="1" x14ac:dyDescent="0.35">
      <c r="A1517" s="22">
        <v>6</v>
      </c>
      <c r="B1517" t="s">
        <v>801</v>
      </c>
      <c r="C1517" t="s">
        <v>802</v>
      </c>
      <c r="D1517"/>
      <c r="E1517" t="s">
        <v>1109</v>
      </c>
      <c r="F1517">
        <v>9003346</v>
      </c>
      <c r="G1517" t="s">
        <v>1110</v>
      </c>
      <c r="H1517" t="s">
        <v>805</v>
      </c>
      <c r="I1517">
        <v>15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15</v>
      </c>
      <c r="P1517" s="44" t="e">
        <f>_xlfn.XLOOKUP(Tabla5[[#This Row],[EAN CORREGIDO]],'Tabla Articulos'!B:B,'Tabla Articulos'!D:D)</f>
        <v>#N/A</v>
      </c>
      <c r="Q1517" s="44" t="e">
        <f>_xlfn.XLOOKUP(S1517,'Tabla Articulos'!B:B,'Tabla Articulos'!E:E)</f>
        <v>#N/A</v>
      </c>
      <c r="R1517" s="44" t="e">
        <f t="shared" si="46"/>
        <v>#N/A</v>
      </c>
      <c r="S1517" s="45" t="str">
        <f t="shared" si="47"/>
        <v>UNIF000296</v>
      </c>
    </row>
    <row r="1518" spans="1:19" hidden="1" x14ac:dyDescent="0.35">
      <c r="A1518" s="22">
        <v>5</v>
      </c>
      <c r="B1518" t="s">
        <v>829</v>
      </c>
      <c r="C1518" t="s">
        <v>802</v>
      </c>
      <c r="D1518" s="11" t="s">
        <v>3201</v>
      </c>
      <c r="E1518" t="s">
        <v>4929</v>
      </c>
      <c r="F1518">
        <v>4022850</v>
      </c>
      <c r="G1518" t="s">
        <v>4930</v>
      </c>
      <c r="H1518" t="s">
        <v>805</v>
      </c>
      <c r="I1518">
        <v>4588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4588</v>
      </c>
      <c r="P1518" s="44" t="e">
        <f>_xlfn.XLOOKUP(Tabla5[[#This Row],[EAN CORREGIDO]],'Tabla Articulos'!B:B,'Tabla Articulos'!D:D)</f>
        <v>#N/A</v>
      </c>
      <c r="Q1518" s="44" t="e">
        <f>_xlfn.XLOOKUP(S1518,'Tabla Articulos'!B:B,'Tabla Articulos'!E:E)</f>
        <v>#N/A</v>
      </c>
      <c r="R1518" s="44" t="e">
        <f t="shared" si="46"/>
        <v>#N/A</v>
      </c>
      <c r="S1518" s="45" t="str">
        <f t="shared" si="47"/>
        <v>7791476021011</v>
      </c>
    </row>
    <row r="1519" spans="1:19" hidden="1" x14ac:dyDescent="0.35">
      <c r="A1519" s="22">
        <v>1</v>
      </c>
      <c r="B1519" t="s">
        <v>812</v>
      </c>
      <c r="C1519" t="s">
        <v>802</v>
      </c>
      <c r="D1519" s="11" t="s">
        <v>3201</v>
      </c>
      <c r="E1519" t="s">
        <v>4929</v>
      </c>
      <c r="F1519">
        <v>4022850</v>
      </c>
      <c r="G1519" t="s">
        <v>4930</v>
      </c>
      <c r="H1519" t="s">
        <v>805</v>
      </c>
      <c r="I1519">
        <v>9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9</v>
      </c>
      <c r="P1519" s="44" t="e">
        <f>_xlfn.XLOOKUP(Tabla5[[#This Row],[EAN CORREGIDO]],'Tabla Articulos'!B:B,'Tabla Articulos'!D:D)</f>
        <v>#N/A</v>
      </c>
      <c r="Q1519" s="44" t="e">
        <f>_xlfn.XLOOKUP(S1519,'Tabla Articulos'!B:B,'Tabla Articulos'!E:E)</f>
        <v>#N/A</v>
      </c>
      <c r="R1519" s="44" t="e">
        <f t="shared" si="46"/>
        <v>#N/A</v>
      </c>
      <c r="S1519" s="45" t="str">
        <f t="shared" si="47"/>
        <v>7791476021011</v>
      </c>
    </row>
    <row r="1520" spans="1:19" hidden="1" x14ac:dyDescent="0.35">
      <c r="A1520" s="22">
        <v>1</v>
      </c>
      <c r="B1520" t="s">
        <v>812</v>
      </c>
      <c r="C1520" t="s">
        <v>802</v>
      </c>
      <c r="D1520" t="s">
        <v>5333</v>
      </c>
      <c r="E1520" t="s">
        <v>5334</v>
      </c>
      <c r="F1520">
        <v>4019391</v>
      </c>
      <c r="G1520" t="s">
        <v>5335</v>
      </c>
      <c r="H1520" t="s">
        <v>805</v>
      </c>
      <c r="I1520">
        <v>159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159</v>
      </c>
      <c r="P1520" s="44" t="e">
        <f>_xlfn.XLOOKUP(Tabla5[[#This Row],[EAN CORREGIDO]],'Tabla Articulos'!B:B,'Tabla Articulos'!D:D)</f>
        <v>#N/A</v>
      </c>
      <c r="Q1520" s="44" t="e">
        <f>_xlfn.XLOOKUP(S1520,'Tabla Articulos'!B:B,'Tabla Articulos'!E:E)</f>
        <v>#N/A</v>
      </c>
      <c r="R1520" s="44" t="e">
        <f t="shared" si="46"/>
        <v>#N/A</v>
      </c>
      <c r="S1520" s="45" t="str">
        <f t="shared" si="47"/>
        <v>7790580135454</v>
      </c>
    </row>
    <row r="1521" spans="1:19" hidden="1" x14ac:dyDescent="0.35">
      <c r="A1521" s="22">
        <v>6</v>
      </c>
      <c r="B1521" t="s">
        <v>801</v>
      </c>
      <c r="C1521" t="s">
        <v>802</v>
      </c>
      <c r="D1521" t="s">
        <v>77</v>
      </c>
      <c r="E1521" t="s">
        <v>5336</v>
      </c>
      <c r="F1521">
        <v>2011503</v>
      </c>
      <c r="G1521" t="s">
        <v>5337</v>
      </c>
      <c r="H1521" t="s">
        <v>805</v>
      </c>
      <c r="I1521">
        <v>230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230</v>
      </c>
      <c r="P1521" s="44" t="str">
        <f>_xlfn.XLOOKUP(Tabla5[[#This Row],[EAN CORREGIDO]],'Tabla Articulos'!B:B,'Tabla Articulos'!D:D)</f>
        <v>TAPA 103</v>
      </c>
      <c r="Q1521" s="44">
        <f>_xlfn.XLOOKUP(S1521,'Tabla Articulos'!B:B,'Tabla Articulos'!E:E)</f>
        <v>50</v>
      </c>
      <c r="R1521" s="44">
        <f t="shared" si="46"/>
        <v>11500</v>
      </c>
      <c r="S1521" s="45" t="str">
        <f t="shared" si="47"/>
        <v>7798011210060</v>
      </c>
    </row>
    <row r="1522" spans="1:19" hidden="1" x14ac:dyDescent="0.35">
      <c r="A1522" s="22">
        <v>5</v>
      </c>
      <c r="B1522" t="s">
        <v>829</v>
      </c>
      <c r="C1522" t="s">
        <v>802</v>
      </c>
      <c r="D1522" t="s">
        <v>3154</v>
      </c>
      <c r="E1522" t="s">
        <v>5338</v>
      </c>
      <c r="F1522">
        <v>4019835</v>
      </c>
      <c r="G1522" t="s">
        <v>5339</v>
      </c>
      <c r="H1522" t="s">
        <v>805</v>
      </c>
      <c r="I1522">
        <v>130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130</v>
      </c>
      <c r="P1522" s="44" t="e">
        <f>_xlfn.XLOOKUP(Tabla5[[#This Row],[EAN CORREGIDO]],'Tabla Articulos'!B:B,'Tabla Articulos'!D:D)</f>
        <v>#N/A</v>
      </c>
      <c r="Q1522" s="44" t="e">
        <f>_xlfn.XLOOKUP(S1522,'Tabla Articulos'!B:B,'Tabla Articulos'!E:E)</f>
        <v>#N/A</v>
      </c>
      <c r="R1522" s="44" t="e">
        <f t="shared" si="46"/>
        <v>#N/A</v>
      </c>
      <c r="S1522" s="45" t="str">
        <f t="shared" si="47"/>
        <v>7792198006713</v>
      </c>
    </row>
    <row r="1523" spans="1:19" hidden="1" x14ac:dyDescent="0.35">
      <c r="A1523" s="22">
        <v>6</v>
      </c>
      <c r="B1523" t="s">
        <v>801</v>
      </c>
      <c r="C1523" t="s">
        <v>802</v>
      </c>
      <c r="D1523" t="s">
        <v>283</v>
      </c>
      <c r="E1523" t="s">
        <v>5340</v>
      </c>
      <c r="F1523">
        <v>2006822</v>
      </c>
      <c r="G1523" t="s">
        <v>5341</v>
      </c>
      <c r="H1523" t="s">
        <v>805</v>
      </c>
      <c r="I1523">
        <v>97</v>
      </c>
      <c r="J1523">
        <v>0</v>
      </c>
      <c r="K1523">
        <v>40</v>
      </c>
      <c r="L1523">
        <v>0</v>
      </c>
      <c r="M1523">
        <v>0</v>
      </c>
      <c r="N1523">
        <v>0</v>
      </c>
      <c r="O1523">
        <v>57</v>
      </c>
      <c r="P1523" s="44" t="str">
        <f>_xlfn.XLOOKUP(Tabla5[[#This Row],[EAN CORREGIDO]],'Tabla Articulos'!B:B,'Tabla Articulos'!D:D)</f>
        <v>BANDEJA R3</v>
      </c>
      <c r="Q1523" s="44">
        <f>_xlfn.XLOOKUP(S1523,'Tabla Articulos'!B:B,'Tabla Articulos'!E:E)</f>
        <v>500</v>
      </c>
      <c r="R1523" s="44">
        <f t="shared" si="46"/>
        <v>28500</v>
      </c>
      <c r="S1523" s="45" t="str">
        <f t="shared" si="47"/>
        <v>610000108746</v>
      </c>
    </row>
    <row r="1524" spans="1:19" hidden="1" x14ac:dyDescent="0.35">
      <c r="A1524" s="22">
        <v>5</v>
      </c>
      <c r="B1524" t="s">
        <v>829</v>
      </c>
      <c r="C1524" t="s">
        <v>802</v>
      </c>
      <c r="D1524" t="s">
        <v>2340</v>
      </c>
      <c r="E1524" t="s">
        <v>5342</v>
      </c>
      <c r="F1524">
        <v>4023611</v>
      </c>
      <c r="G1524" t="s">
        <v>5343</v>
      </c>
      <c r="H1524" t="s">
        <v>805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2</v>
      </c>
      <c r="P1524" s="44" t="e">
        <f>_xlfn.XLOOKUP(Tabla5[[#This Row],[EAN CORREGIDO]],'Tabla Articulos'!B:B,'Tabla Articulos'!D:D)</f>
        <v>#N/A</v>
      </c>
      <c r="Q1524" s="44" t="e">
        <f>_xlfn.XLOOKUP(S1524,'Tabla Articulos'!B:B,'Tabla Articulos'!E:E)</f>
        <v>#N/A</v>
      </c>
      <c r="R1524" s="44" t="e">
        <f t="shared" si="46"/>
        <v>#N/A</v>
      </c>
      <c r="S1524" s="45" t="str">
        <f t="shared" si="47"/>
        <v>7790971000194</v>
      </c>
    </row>
    <row r="1525" spans="1:19" hidden="1" x14ac:dyDescent="0.35">
      <c r="A1525" s="22">
        <v>1</v>
      </c>
      <c r="B1525" t="s">
        <v>812</v>
      </c>
      <c r="C1525" t="s">
        <v>802</v>
      </c>
      <c r="D1525" s="11" t="s">
        <v>2340</v>
      </c>
      <c r="E1525" t="s">
        <v>5342</v>
      </c>
      <c r="F1525">
        <v>4023611</v>
      </c>
      <c r="G1525" t="s">
        <v>5343</v>
      </c>
      <c r="H1525" t="s">
        <v>805</v>
      </c>
      <c r="I1525">
        <v>65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65</v>
      </c>
      <c r="P1525" s="44" t="e">
        <f>_xlfn.XLOOKUP(Tabla5[[#This Row],[EAN CORREGIDO]],'Tabla Articulos'!B:B,'Tabla Articulos'!D:D)</f>
        <v>#N/A</v>
      </c>
      <c r="Q1525" s="44" t="e">
        <f>_xlfn.XLOOKUP(S1525,'Tabla Articulos'!B:B,'Tabla Articulos'!E:E)</f>
        <v>#N/A</v>
      </c>
      <c r="R1525" s="44" t="e">
        <f t="shared" si="46"/>
        <v>#N/A</v>
      </c>
      <c r="S1525" s="45" t="str">
        <f t="shared" si="47"/>
        <v>7790971000194</v>
      </c>
    </row>
    <row r="1526" spans="1:19" hidden="1" x14ac:dyDescent="0.35">
      <c r="A1526" s="22">
        <v>6</v>
      </c>
      <c r="B1526" t="s">
        <v>801</v>
      </c>
      <c r="C1526" t="s">
        <v>802</v>
      </c>
      <c r="E1526" t="s">
        <v>1666</v>
      </c>
      <c r="F1526">
        <v>9003495</v>
      </c>
      <c r="G1526" t="s">
        <v>1667</v>
      </c>
      <c r="H1526" t="s">
        <v>805</v>
      </c>
      <c r="I1526">
        <v>8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8</v>
      </c>
      <c r="P1526" s="44" t="e">
        <f>_xlfn.XLOOKUP(Tabla5[[#This Row],[EAN CORREGIDO]],'Tabla Articulos'!B:B,'Tabla Articulos'!D:D)</f>
        <v>#N/A</v>
      </c>
      <c r="Q1526" s="44" t="e">
        <f>_xlfn.XLOOKUP(S1526,'Tabla Articulos'!B:B,'Tabla Articulos'!E:E)</f>
        <v>#N/A</v>
      </c>
      <c r="R1526" s="44" t="e">
        <f t="shared" si="46"/>
        <v>#N/A</v>
      </c>
      <c r="S1526" s="45" t="str">
        <f t="shared" si="47"/>
        <v>UNIF000227</v>
      </c>
    </row>
    <row r="1527" spans="1:19" hidden="1" x14ac:dyDescent="0.35">
      <c r="A1527" s="22">
        <v>6</v>
      </c>
      <c r="B1527" t="s">
        <v>801</v>
      </c>
      <c r="C1527" t="s">
        <v>802</v>
      </c>
      <c r="E1527" t="s">
        <v>1668</v>
      </c>
      <c r="F1527">
        <v>9003684</v>
      </c>
      <c r="G1527" t="s">
        <v>1669</v>
      </c>
      <c r="H1527" t="s">
        <v>805</v>
      </c>
      <c r="I1527">
        <v>51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51</v>
      </c>
      <c r="P1527" s="44" t="e">
        <f>_xlfn.XLOOKUP(Tabla5[[#This Row],[EAN CORREGIDO]],'Tabla Articulos'!B:B,'Tabla Articulos'!D:D)</f>
        <v>#N/A</v>
      </c>
      <c r="Q1527" s="44" t="e">
        <f>_xlfn.XLOOKUP(S1527,'Tabla Articulos'!B:B,'Tabla Articulos'!E:E)</f>
        <v>#N/A</v>
      </c>
      <c r="R1527" s="44" t="e">
        <f t="shared" si="46"/>
        <v>#N/A</v>
      </c>
      <c r="S1527" s="45" t="str">
        <f t="shared" si="47"/>
        <v>BAZ001239</v>
      </c>
    </row>
    <row r="1528" spans="1:19" hidden="1" x14ac:dyDescent="0.35">
      <c r="A1528" s="22">
        <v>6</v>
      </c>
      <c r="B1528" t="s">
        <v>801</v>
      </c>
      <c r="C1528" t="s">
        <v>802</v>
      </c>
      <c r="D1528"/>
      <c r="E1528" t="s">
        <v>1670</v>
      </c>
      <c r="F1528">
        <v>9003258</v>
      </c>
      <c r="G1528" t="s">
        <v>1671</v>
      </c>
      <c r="H1528" t="s">
        <v>805</v>
      </c>
      <c r="I1528">
        <v>36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36</v>
      </c>
      <c r="P1528" s="44" t="e">
        <f>_xlfn.XLOOKUP(Tabla5[[#This Row],[EAN CORREGIDO]],'Tabla Articulos'!B:B,'Tabla Articulos'!D:D)</f>
        <v>#N/A</v>
      </c>
      <c r="Q1528" s="44" t="e">
        <f>_xlfn.XLOOKUP(S1528,'Tabla Articulos'!B:B,'Tabla Articulos'!E:E)</f>
        <v>#N/A</v>
      </c>
      <c r="R1528" s="44" t="e">
        <f t="shared" si="46"/>
        <v>#N/A</v>
      </c>
      <c r="S1528" s="45" t="str">
        <f t="shared" si="47"/>
        <v>UNIF000486</v>
      </c>
    </row>
    <row r="1529" spans="1:19" hidden="1" x14ac:dyDescent="0.35">
      <c r="A1529" s="22">
        <v>5</v>
      </c>
      <c r="B1529" t="s">
        <v>829</v>
      </c>
      <c r="C1529" t="s">
        <v>802</v>
      </c>
      <c r="D1529" t="s">
        <v>1672</v>
      </c>
      <c r="E1529" t="s">
        <v>1673</v>
      </c>
      <c r="F1529">
        <v>4020297</v>
      </c>
      <c r="G1529" t="s">
        <v>1674</v>
      </c>
      <c r="H1529" t="s">
        <v>805</v>
      </c>
      <c r="I1529">
        <v>10801</v>
      </c>
      <c r="J1529">
        <v>0</v>
      </c>
      <c r="K1529">
        <v>0</v>
      </c>
      <c r="L1529">
        <v>0</v>
      </c>
      <c r="M1529">
        <v>4</v>
      </c>
      <c r="N1529">
        <v>0</v>
      </c>
      <c r="O1529">
        <v>10797</v>
      </c>
      <c r="P1529" s="44" t="e">
        <f>_xlfn.XLOOKUP(Tabla5[[#This Row],[EAN CORREGIDO]],'Tabla Articulos'!B:B,'Tabla Articulos'!D:D)</f>
        <v>#N/A</v>
      </c>
      <c r="Q1529" s="44" t="e">
        <f>_xlfn.XLOOKUP(S1529,'Tabla Articulos'!B:B,'Tabla Articulos'!E:E)</f>
        <v>#N/A</v>
      </c>
      <c r="R1529" s="44" t="e">
        <f t="shared" si="46"/>
        <v>#N/A</v>
      </c>
      <c r="S1529" s="45" t="str">
        <f t="shared" si="47"/>
        <v>7797470007921</v>
      </c>
    </row>
    <row r="1530" spans="1:19" hidden="1" x14ac:dyDescent="0.35">
      <c r="A1530" s="22">
        <v>6</v>
      </c>
      <c r="B1530" t="s">
        <v>801</v>
      </c>
      <c r="C1530" t="s">
        <v>802</v>
      </c>
      <c r="D1530" t="s">
        <v>32</v>
      </c>
      <c r="E1530" t="s">
        <v>1675</v>
      </c>
      <c r="F1530">
        <v>2006422</v>
      </c>
      <c r="G1530" t="s">
        <v>1676</v>
      </c>
      <c r="H1530" t="s">
        <v>805</v>
      </c>
      <c r="I1530">
        <v>80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80</v>
      </c>
      <c r="P1530" s="44" t="str">
        <f>_xlfn.XLOOKUP(Tabla5[[#This Row],[EAN CORREGIDO]],'Tabla Articulos'!B:B,'Tabla Articulos'!D:D)</f>
        <v>DELANTAL DESCARTABLE</v>
      </c>
      <c r="Q1530" s="44">
        <f>_xlfn.XLOOKUP(S1530,'Tabla Articulos'!B:B,'Tabla Articulos'!E:E)</f>
        <v>100</v>
      </c>
      <c r="R1530" s="44">
        <f t="shared" si="46"/>
        <v>8000</v>
      </c>
      <c r="S1530" s="45" t="str">
        <f t="shared" si="47"/>
        <v>BAZ000387</v>
      </c>
    </row>
    <row r="1531" spans="1:19" hidden="1" x14ac:dyDescent="0.35">
      <c r="A1531" s="22">
        <v>6</v>
      </c>
      <c r="B1531" t="s">
        <v>801</v>
      </c>
      <c r="C1531" t="s">
        <v>802</v>
      </c>
      <c r="D1531"/>
      <c r="E1531" t="s">
        <v>1677</v>
      </c>
      <c r="F1531">
        <v>9003153</v>
      </c>
      <c r="G1531" t="s">
        <v>1678</v>
      </c>
      <c r="H1531" t="s">
        <v>805</v>
      </c>
      <c r="I1531">
        <v>31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31</v>
      </c>
      <c r="P1531" s="44" t="e">
        <f>_xlfn.XLOOKUP(Tabla5[[#This Row],[EAN CORREGIDO]],'Tabla Articulos'!B:B,'Tabla Articulos'!D:D)</f>
        <v>#N/A</v>
      </c>
      <c r="Q1531" s="44" t="e">
        <f>_xlfn.XLOOKUP(S1531,'Tabla Articulos'!B:B,'Tabla Articulos'!E:E)</f>
        <v>#N/A</v>
      </c>
      <c r="R1531" s="44" t="e">
        <f t="shared" si="46"/>
        <v>#N/A</v>
      </c>
      <c r="S1531" s="45" t="str">
        <f t="shared" si="47"/>
        <v>UNIF000615</v>
      </c>
    </row>
    <row r="1532" spans="1:19" hidden="1" x14ac:dyDescent="0.35">
      <c r="A1532" s="22">
        <v>6</v>
      </c>
      <c r="B1532" t="s">
        <v>801</v>
      </c>
      <c r="C1532" t="s">
        <v>802</v>
      </c>
      <c r="D1532"/>
      <c r="E1532" t="s">
        <v>1679</v>
      </c>
      <c r="F1532">
        <v>2000794</v>
      </c>
      <c r="G1532" t="s">
        <v>1680</v>
      </c>
      <c r="H1532" t="s">
        <v>805</v>
      </c>
      <c r="I1532">
        <v>30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30</v>
      </c>
      <c r="P1532" s="44" t="e">
        <f>_xlfn.XLOOKUP(Tabla5[[#This Row],[EAN CORREGIDO]],'Tabla Articulos'!B:B,'Tabla Articulos'!D:D)</f>
        <v>#N/A</v>
      </c>
      <c r="Q1532" s="44" t="e">
        <f>_xlfn.XLOOKUP(S1532,'Tabla Articulos'!B:B,'Tabla Articulos'!E:E)</f>
        <v>#N/A</v>
      </c>
      <c r="R1532" s="44" t="e">
        <f t="shared" si="46"/>
        <v>#N/A</v>
      </c>
      <c r="S1532" s="45" t="str">
        <f t="shared" si="47"/>
        <v>2000794</v>
      </c>
    </row>
    <row r="1533" spans="1:19" hidden="1" x14ac:dyDescent="0.35">
      <c r="A1533" s="22">
        <v>6</v>
      </c>
      <c r="B1533" t="s">
        <v>801</v>
      </c>
      <c r="C1533" t="s">
        <v>802</v>
      </c>
      <c r="E1533" t="s">
        <v>2587</v>
      </c>
      <c r="F1533">
        <v>2007502</v>
      </c>
      <c r="G1533" t="s">
        <v>2588</v>
      </c>
      <c r="H1533" t="s">
        <v>805</v>
      </c>
      <c r="I1533">
        <v>180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180</v>
      </c>
      <c r="P1533" s="44" t="e">
        <f>_xlfn.XLOOKUP(Tabla5[[#This Row],[EAN CORREGIDO]],'Tabla Articulos'!B:B,'Tabla Articulos'!D:D)</f>
        <v>#N/A</v>
      </c>
      <c r="Q1533" s="44" t="e">
        <f>_xlfn.XLOOKUP(S1533,'Tabla Articulos'!B:B,'Tabla Articulos'!E:E)</f>
        <v>#N/A</v>
      </c>
      <c r="R1533" s="44" t="e">
        <f t="shared" si="46"/>
        <v>#N/A</v>
      </c>
      <c r="S1533" s="45" t="str">
        <f t="shared" si="47"/>
        <v>7790000000476</v>
      </c>
    </row>
    <row r="1534" spans="1:19" hidden="1" x14ac:dyDescent="0.35">
      <c r="A1534" s="22">
        <v>6</v>
      </c>
      <c r="B1534" t="s">
        <v>801</v>
      </c>
      <c r="C1534" t="s">
        <v>802</v>
      </c>
      <c r="E1534" t="s">
        <v>2589</v>
      </c>
      <c r="F1534" s="11">
        <v>9003166</v>
      </c>
      <c r="G1534" t="s">
        <v>2590</v>
      </c>
      <c r="H1534" t="s">
        <v>805</v>
      </c>
      <c r="I1534">
        <v>77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77</v>
      </c>
      <c r="P1534" s="44" t="e">
        <f>_xlfn.XLOOKUP(Tabla5[[#This Row],[EAN CORREGIDO]],'Tabla Articulos'!B:B,'Tabla Articulos'!D:D)</f>
        <v>#N/A</v>
      </c>
      <c r="Q1534" s="44" t="e">
        <f>_xlfn.XLOOKUP(S1534,'Tabla Articulos'!B:B,'Tabla Articulos'!E:E)</f>
        <v>#N/A</v>
      </c>
      <c r="R1534" s="44" t="e">
        <f t="shared" si="46"/>
        <v>#N/A</v>
      </c>
      <c r="S1534" s="45" t="str">
        <f t="shared" si="47"/>
        <v>UNIF000628</v>
      </c>
    </row>
    <row r="1535" spans="1:19" hidden="1" x14ac:dyDescent="0.35">
      <c r="A1535" s="22">
        <v>1</v>
      </c>
      <c r="B1535" t="s">
        <v>812</v>
      </c>
      <c r="C1535" t="s">
        <v>802</v>
      </c>
      <c r="D1535" s="11" t="s">
        <v>2989</v>
      </c>
      <c r="E1535" t="s">
        <v>2990</v>
      </c>
      <c r="F1535" s="11">
        <v>4019338</v>
      </c>
      <c r="G1535" t="s">
        <v>2991</v>
      </c>
      <c r="H1535" t="s">
        <v>805</v>
      </c>
      <c r="I1535">
        <v>73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73</v>
      </c>
      <c r="P1535" s="44" t="e">
        <f>_xlfn.XLOOKUP(Tabla5[[#This Row],[EAN CORREGIDO]],'Tabla Articulos'!B:B,'Tabla Articulos'!D:D)</f>
        <v>#N/A</v>
      </c>
      <c r="Q1535" s="44" t="e">
        <f>_xlfn.XLOOKUP(S1535,'Tabla Articulos'!B:B,'Tabla Articulos'!E:E)</f>
        <v>#N/A</v>
      </c>
      <c r="R1535" s="44" t="e">
        <f t="shared" si="46"/>
        <v>#N/A</v>
      </c>
      <c r="S1535" s="45" t="str">
        <f t="shared" si="47"/>
        <v>7790150540183</v>
      </c>
    </row>
    <row r="1536" spans="1:19" hidden="1" x14ac:dyDescent="0.35">
      <c r="A1536" s="22">
        <v>1</v>
      </c>
      <c r="B1536" t="s">
        <v>812</v>
      </c>
      <c r="C1536" t="s">
        <v>802</v>
      </c>
      <c r="D1536" s="11" t="s">
        <v>2992</v>
      </c>
      <c r="E1536" t="s">
        <v>2993</v>
      </c>
      <c r="F1536" s="11">
        <v>4019976</v>
      </c>
      <c r="G1536" t="s">
        <v>2994</v>
      </c>
      <c r="H1536" t="s">
        <v>805</v>
      </c>
      <c r="I1536">
        <v>3</v>
      </c>
      <c r="J1536">
        <v>0</v>
      </c>
      <c r="K1536">
        <v>0</v>
      </c>
      <c r="L1536">
        <v>0</v>
      </c>
      <c r="M1536">
        <v>0</v>
      </c>
      <c r="N1536">
        <v>59</v>
      </c>
      <c r="O1536">
        <v>-56</v>
      </c>
      <c r="P1536" s="44" t="e">
        <f>_xlfn.XLOOKUP(Tabla5[[#This Row],[EAN CORREGIDO]],'Tabla Articulos'!B:B,'Tabla Articulos'!D:D)</f>
        <v>#N/A</v>
      </c>
      <c r="Q1536" s="44" t="e">
        <f>_xlfn.XLOOKUP(S1536,'Tabla Articulos'!B:B,'Tabla Articulos'!E:E)</f>
        <v>#N/A</v>
      </c>
      <c r="R1536" s="44" t="e">
        <f t="shared" si="46"/>
        <v>#N/A</v>
      </c>
      <c r="S1536" s="45" t="str">
        <f t="shared" si="47"/>
        <v>7792180141859</v>
      </c>
    </row>
    <row r="1537" spans="1:19" hidden="1" x14ac:dyDescent="0.35">
      <c r="A1537" s="22">
        <v>6</v>
      </c>
      <c r="B1537" t="s">
        <v>801</v>
      </c>
      <c r="C1537" t="s">
        <v>802</v>
      </c>
      <c r="E1537" t="s">
        <v>2995</v>
      </c>
      <c r="F1537" s="11">
        <v>9003544</v>
      </c>
      <c r="G1537" t="s">
        <v>2996</v>
      </c>
      <c r="H1537" t="s">
        <v>805</v>
      </c>
      <c r="I1537">
        <v>10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10</v>
      </c>
      <c r="P1537" s="44" t="e">
        <f>_xlfn.XLOOKUP(Tabla5[[#This Row],[EAN CORREGIDO]],'Tabla Articulos'!B:B,'Tabla Articulos'!D:D)</f>
        <v>#N/A</v>
      </c>
      <c r="Q1537" s="44" t="e">
        <f>_xlfn.XLOOKUP(S1537,'Tabla Articulos'!B:B,'Tabla Articulos'!E:E)</f>
        <v>#N/A</v>
      </c>
      <c r="R1537" s="44" t="e">
        <f t="shared" ref="R1537:R1600" si="48">O1537*Q1537</f>
        <v>#N/A</v>
      </c>
      <c r="S1537" s="45" t="str">
        <f t="shared" ref="S1537:S1600" si="49">TRIM(E1537)</f>
        <v>UNIF000083</v>
      </c>
    </row>
    <row r="1538" spans="1:19" hidden="1" x14ac:dyDescent="0.35">
      <c r="A1538" s="22">
        <v>6</v>
      </c>
      <c r="B1538" t="s">
        <v>801</v>
      </c>
      <c r="C1538" t="s">
        <v>802</v>
      </c>
      <c r="E1538" t="s">
        <v>2997</v>
      </c>
      <c r="F1538" s="11">
        <v>2011463</v>
      </c>
      <c r="G1538" t="s">
        <v>2998</v>
      </c>
      <c r="H1538" t="s">
        <v>805</v>
      </c>
      <c r="I1538">
        <v>96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96</v>
      </c>
      <c r="P1538" s="44" t="e">
        <f>_xlfn.XLOOKUP(Tabla5[[#This Row],[EAN CORREGIDO]],'Tabla Articulos'!B:B,'Tabla Articulos'!D:D)</f>
        <v>#N/A</v>
      </c>
      <c r="Q1538" s="44" t="e">
        <f>_xlfn.XLOOKUP(S1538,'Tabla Articulos'!B:B,'Tabla Articulos'!E:E)</f>
        <v>#N/A</v>
      </c>
      <c r="R1538" s="44" t="e">
        <f t="shared" si="48"/>
        <v>#N/A</v>
      </c>
      <c r="S1538" s="45" t="str">
        <f t="shared" si="49"/>
        <v>7790250016182</v>
      </c>
    </row>
    <row r="1539" spans="1:19" hidden="1" x14ac:dyDescent="0.35">
      <c r="A1539" s="22">
        <v>6</v>
      </c>
      <c r="B1539" t="s">
        <v>801</v>
      </c>
      <c r="C1539" t="s">
        <v>802</v>
      </c>
      <c r="D1539" t="s">
        <v>4904</v>
      </c>
      <c r="E1539" t="s">
        <v>4905</v>
      </c>
      <c r="F1539">
        <v>2006160</v>
      </c>
      <c r="G1539" t="s">
        <v>4906</v>
      </c>
      <c r="H1539" t="s">
        <v>1034</v>
      </c>
      <c r="I1539">
        <v>29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29</v>
      </c>
      <c r="P1539" s="44" t="e">
        <f>_xlfn.XLOOKUP(Tabla5[[#This Row],[EAN CORREGIDO]],'Tabla Articulos'!B:B,'Tabla Articulos'!D:D)</f>
        <v>#N/A</v>
      </c>
      <c r="Q1539" s="44" t="e">
        <f>_xlfn.XLOOKUP(S1539,'Tabla Articulos'!B:B,'Tabla Articulos'!E:E)</f>
        <v>#N/A</v>
      </c>
      <c r="R1539" s="44" t="e">
        <f t="shared" si="48"/>
        <v>#N/A</v>
      </c>
      <c r="S1539" s="45" t="str">
        <f t="shared" si="49"/>
        <v>7790321000061</v>
      </c>
    </row>
    <row r="1540" spans="1:19" hidden="1" x14ac:dyDescent="0.35">
      <c r="A1540" s="22">
        <v>5</v>
      </c>
      <c r="B1540" t="s">
        <v>829</v>
      </c>
      <c r="C1540" t="s">
        <v>802</v>
      </c>
      <c r="D1540" s="11" t="s">
        <v>4907</v>
      </c>
      <c r="E1540" t="s">
        <v>4908</v>
      </c>
      <c r="F1540">
        <v>4048929</v>
      </c>
      <c r="G1540" t="s">
        <v>4909</v>
      </c>
      <c r="H1540" t="s">
        <v>805</v>
      </c>
      <c r="I1540">
        <v>10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10</v>
      </c>
      <c r="P1540" s="44" t="e">
        <f>_xlfn.XLOOKUP(Tabla5[[#This Row],[EAN CORREGIDO]],'Tabla Articulos'!B:B,'Tabla Articulos'!D:D)</f>
        <v>#N/A</v>
      </c>
      <c r="Q1540" s="44" t="e">
        <f>_xlfn.XLOOKUP(S1540,'Tabla Articulos'!B:B,'Tabla Articulos'!E:E)</f>
        <v>#N/A</v>
      </c>
      <c r="R1540" s="44" t="e">
        <f t="shared" si="48"/>
        <v>#N/A</v>
      </c>
      <c r="S1540" s="45" t="str">
        <f t="shared" si="49"/>
        <v>7793890261073</v>
      </c>
    </row>
    <row r="1541" spans="1:19" hidden="1" x14ac:dyDescent="0.35">
      <c r="A1541" s="22">
        <v>5</v>
      </c>
      <c r="B1541" t="s">
        <v>829</v>
      </c>
      <c r="C1541" t="s">
        <v>802</v>
      </c>
      <c r="D1541" s="11" t="s">
        <v>2637</v>
      </c>
      <c r="E1541" t="s">
        <v>4910</v>
      </c>
      <c r="F1541">
        <v>4022674</v>
      </c>
      <c r="G1541" t="s">
        <v>4911</v>
      </c>
      <c r="H1541" t="s">
        <v>805</v>
      </c>
      <c r="I1541">
        <v>582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582</v>
      </c>
      <c r="P1541" s="44" t="e">
        <f>_xlfn.XLOOKUP(Tabla5[[#This Row],[EAN CORREGIDO]],'Tabla Articulos'!B:B,'Tabla Articulos'!D:D)</f>
        <v>#N/A</v>
      </c>
      <c r="Q1541" s="44" t="e">
        <f>_xlfn.XLOOKUP(S1541,'Tabla Articulos'!B:B,'Tabla Articulos'!E:E)</f>
        <v>#N/A</v>
      </c>
      <c r="R1541" s="44" t="e">
        <f t="shared" si="48"/>
        <v>#N/A</v>
      </c>
      <c r="S1541" s="45" t="str">
        <f t="shared" si="49"/>
        <v>7798001562964</v>
      </c>
    </row>
    <row r="1542" spans="1:19" hidden="1" x14ac:dyDescent="0.35">
      <c r="A1542" s="22">
        <v>1</v>
      </c>
      <c r="B1542" t="s">
        <v>812</v>
      </c>
      <c r="C1542" t="s">
        <v>802</v>
      </c>
      <c r="D1542" t="s">
        <v>2637</v>
      </c>
      <c r="E1542" t="s">
        <v>4910</v>
      </c>
      <c r="F1542">
        <v>4022674</v>
      </c>
      <c r="G1542" t="s">
        <v>4911</v>
      </c>
      <c r="H1542" t="s">
        <v>805</v>
      </c>
      <c r="I1542">
        <v>479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479</v>
      </c>
      <c r="P1542" s="44" t="e">
        <f>_xlfn.XLOOKUP(Tabla5[[#This Row],[EAN CORREGIDO]],'Tabla Articulos'!B:B,'Tabla Articulos'!D:D)</f>
        <v>#N/A</v>
      </c>
      <c r="Q1542" s="44" t="e">
        <f>_xlfn.XLOOKUP(S1542,'Tabla Articulos'!B:B,'Tabla Articulos'!E:E)</f>
        <v>#N/A</v>
      </c>
      <c r="R1542" s="44" t="e">
        <f t="shared" si="48"/>
        <v>#N/A</v>
      </c>
      <c r="S1542" s="45" t="str">
        <f t="shared" si="49"/>
        <v>7798001562964</v>
      </c>
    </row>
    <row r="1543" spans="1:19" hidden="1" x14ac:dyDescent="0.35">
      <c r="A1543" s="22">
        <v>5</v>
      </c>
      <c r="B1543" t="s">
        <v>829</v>
      </c>
      <c r="C1543" t="s">
        <v>802</v>
      </c>
      <c r="D1543" s="11" t="s">
        <v>2015</v>
      </c>
      <c r="E1543" t="s">
        <v>4912</v>
      </c>
      <c r="F1543">
        <v>4020460</v>
      </c>
      <c r="G1543" t="s">
        <v>4913</v>
      </c>
      <c r="H1543" t="s">
        <v>805</v>
      </c>
      <c r="I1543">
        <v>4165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4165</v>
      </c>
      <c r="P1543" s="44" t="e">
        <f>_xlfn.XLOOKUP(Tabla5[[#This Row],[EAN CORREGIDO]],'Tabla Articulos'!B:B,'Tabla Articulos'!D:D)</f>
        <v>#N/A</v>
      </c>
      <c r="Q1543" s="44" t="e">
        <f>_xlfn.XLOOKUP(S1543,'Tabla Articulos'!B:B,'Tabla Articulos'!E:E)</f>
        <v>#N/A</v>
      </c>
      <c r="R1543" s="44" t="e">
        <f t="shared" si="48"/>
        <v>#N/A</v>
      </c>
      <c r="S1543" s="45" t="str">
        <f t="shared" si="49"/>
        <v>7798156760062</v>
      </c>
    </row>
    <row r="1544" spans="1:19" hidden="1" x14ac:dyDescent="0.35">
      <c r="A1544" s="22">
        <v>1</v>
      </c>
      <c r="B1544" t="s">
        <v>812</v>
      </c>
      <c r="C1544" t="s">
        <v>802</v>
      </c>
      <c r="D1544" s="11" t="s">
        <v>2015</v>
      </c>
      <c r="E1544" t="s">
        <v>4912</v>
      </c>
      <c r="F1544">
        <v>4020460</v>
      </c>
      <c r="G1544" t="s">
        <v>4913</v>
      </c>
      <c r="H1544" t="s">
        <v>805</v>
      </c>
      <c r="I1544">
        <v>5770</v>
      </c>
      <c r="J1544">
        <v>0</v>
      </c>
      <c r="K1544">
        <v>0</v>
      </c>
      <c r="L1544">
        <v>0</v>
      </c>
      <c r="M1544">
        <v>20</v>
      </c>
      <c r="N1544">
        <v>0</v>
      </c>
      <c r="O1544">
        <v>5750</v>
      </c>
      <c r="P1544" s="44" t="e">
        <f>_xlfn.XLOOKUP(Tabla5[[#This Row],[EAN CORREGIDO]],'Tabla Articulos'!B:B,'Tabla Articulos'!D:D)</f>
        <v>#N/A</v>
      </c>
      <c r="Q1544" s="44" t="e">
        <f>_xlfn.XLOOKUP(S1544,'Tabla Articulos'!B:B,'Tabla Articulos'!E:E)</f>
        <v>#N/A</v>
      </c>
      <c r="R1544" s="44" t="e">
        <f t="shared" si="48"/>
        <v>#N/A</v>
      </c>
      <c r="S1544" s="45" t="str">
        <f t="shared" si="49"/>
        <v>7798156760062</v>
      </c>
    </row>
    <row r="1545" spans="1:19" hidden="1" x14ac:dyDescent="0.35">
      <c r="A1545" s="22">
        <v>1</v>
      </c>
      <c r="B1545" t="s">
        <v>812</v>
      </c>
      <c r="C1545" t="s">
        <v>802</v>
      </c>
      <c r="D1545" t="s">
        <v>1195</v>
      </c>
      <c r="E1545" t="s">
        <v>4914</v>
      </c>
      <c r="F1545">
        <v>4020368</v>
      </c>
      <c r="G1545" t="s">
        <v>4915</v>
      </c>
      <c r="H1545" t="s">
        <v>805</v>
      </c>
      <c r="I1545">
        <v>7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7</v>
      </c>
      <c r="P1545" s="44" t="e">
        <f>_xlfn.XLOOKUP(Tabla5[[#This Row],[EAN CORREGIDO]],'Tabla Articulos'!B:B,'Tabla Articulos'!D:D)</f>
        <v>#N/A</v>
      </c>
      <c r="Q1545" s="44" t="e">
        <f>_xlfn.XLOOKUP(S1545,'Tabla Articulos'!B:B,'Tabla Articulos'!E:E)</f>
        <v>#N/A</v>
      </c>
      <c r="R1545" s="44" t="e">
        <f t="shared" si="48"/>
        <v>#N/A</v>
      </c>
      <c r="S1545" s="45" t="str">
        <f t="shared" si="49"/>
        <v>7796613021381</v>
      </c>
    </row>
    <row r="1546" spans="1:19" hidden="1" x14ac:dyDescent="0.35">
      <c r="A1546" s="22">
        <v>6</v>
      </c>
      <c r="B1546" t="s">
        <v>801</v>
      </c>
      <c r="C1546" t="s">
        <v>802</v>
      </c>
      <c r="D1546"/>
      <c r="E1546" t="s">
        <v>1648</v>
      </c>
      <c r="F1546">
        <v>2011423</v>
      </c>
      <c r="G1546" t="s">
        <v>1649</v>
      </c>
      <c r="H1546" t="s">
        <v>805</v>
      </c>
      <c r="I1546">
        <v>12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12</v>
      </c>
      <c r="P1546" s="44" t="e">
        <f>_xlfn.XLOOKUP(Tabla5[[#This Row],[EAN CORREGIDO]],'Tabla Articulos'!B:B,'Tabla Articulos'!D:D)</f>
        <v>#N/A</v>
      </c>
      <c r="Q1546" s="44" t="e">
        <f>_xlfn.XLOOKUP(S1546,'Tabla Articulos'!B:B,'Tabla Articulos'!E:E)</f>
        <v>#N/A</v>
      </c>
      <c r="R1546" s="44" t="e">
        <f t="shared" si="48"/>
        <v>#N/A</v>
      </c>
      <c r="S1546" s="45" t="str">
        <f t="shared" si="49"/>
        <v>7790000000668</v>
      </c>
    </row>
    <row r="1547" spans="1:19" hidden="1" x14ac:dyDescent="0.35">
      <c r="A1547" s="22">
        <v>6</v>
      </c>
      <c r="B1547" t="s">
        <v>801</v>
      </c>
      <c r="C1547" t="s">
        <v>802</v>
      </c>
      <c r="D1547"/>
      <c r="E1547" t="s">
        <v>1650</v>
      </c>
      <c r="F1547">
        <v>9003855</v>
      </c>
      <c r="G1547" t="s">
        <v>1651</v>
      </c>
      <c r="H1547" t="s">
        <v>805</v>
      </c>
      <c r="I1547">
        <v>1176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1176</v>
      </c>
      <c r="P1547" s="44" t="e">
        <f>_xlfn.XLOOKUP(Tabla5[[#This Row],[EAN CORREGIDO]],'Tabla Articulos'!B:B,'Tabla Articulos'!D:D)</f>
        <v>#N/A</v>
      </c>
      <c r="Q1547" s="44" t="e">
        <f>_xlfn.XLOOKUP(S1547,'Tabla Articulos'!B:B,'Tabla Articulos'!E:E)</f>
        <v>#N/A</v>
      </c>
      <c r="R1547" s="44" t="e">
        <f t="shared" si="48"/>
        <v>#N/A</v>
      </c>
      <c r="S1547" s="45" t="str">
        <f t="shared" si="49"/>
        <v>BAZ001242</v>
      </c>
    </row>
    <row r="1548" spans="1:19" hidden="1" x14ac:dyDescent="0.35">
      <c r="A1548" s="22">
        <v>6</v>
      </c>
      <c r="B1548" t="s">
        <v>801</v>
      </c>
      <c r="C1548" t="s">
        <v>802</v>
      </c>
      <c r="D1548" s="11" t="s">
        <v>377</v>
      </c>
      <c r="E1548" t="s">
        <v>1652</v>
      </c>
      <c r="F1548">
        <v>2006637</v>
      </c>
      <c r="G1548" t="s">
        <v>1653</v>
      </c>
      <c r="H1548" t="s">
        <v>805</v>
      </c>
      <c r="I1548">
        <v>95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95</v>
      </c>
      <c r="P1548" s="44" t="str">
        <f>_xlfn.XLOOKUP(Tabla5[[#This Row],[EAN CORREGIDO]],'Tabla Articulos'!B:B,'Tabla Articulos'!D:D)</f>
        <v>INDIVIDUAL NUTRIRE</v>
      </c>
      <c r="Q1548" s="44">
        <f>_xlfn.XLOOKUP(S1548,'Tabla Articulos'!B:B,'Tabla Articulos'!E:E)</f>
        <v>1000</v>
      </c>
      <c r="R1548" s="44">
        <f t="shared" si="48"/>
        <v>95000</v>
      </c>
      <c r="S1548" s="45" t="str">
        <f t="shared" si="49"/>
        <v>7790321020530</v>
      </c>
    </row>
    <row r="1549" spans="1:19" hidden="1" x14ac:dyDescent="0.35">
      <c r="A1549" s="22">
        <v>6</v>
      </c>
      <c r="B1549" t="s">
        <v>801</v>
      </c>
      <c r="C1549" t="s">
        <v>802</v>
      </c>
      <c r="E1549" t="s">
        <v>1654</v>
      </c>
      <c r="F1549">
        <v>9003058</v>
      </c>
      <c r="G1549" t="s">
        <v>1655</v>
      </c>
      <c r="H1549" t="s">
        <v>805</v>
      </c>
      <c r="I1549">
        <v>20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20</v>
      </c>
      <c r="P1549" s="44" t="e">
        <f>_xlfn.XLOOKUP(Tabla5[[#This Row],[EAN CORREGIDO]],'Tabla Articulos'!B:B,'Tabla Articulos'!D:D)</f>
        <v>#N/A</v>
      </c>
      <c r="Q1549" s="44" t="e">
        <f>_xlfn.XLOOKUP(S1549,'Tabla Articulos'!B:B,'Tabla Articulos'!E:E)</f>
        <v>#N/A</v>
      </c>
      <c r="R1549" s="44" t="e">
        <f t="shared" si="48"/>
        <v>#N/A</v>
      </c>
      <c r="S1549" s="45" t="str">
        <f t="shared" si="49"/>
        <v>UNIF000027</v>
      </c>
    </row>
    <row r="1550" spans="1:19" hidden="1" x14ac:dyDescent="0.35">
      <c r="A1550" s="22">
        <v>6</v>
      </c>
      <c r="B1550" t="s">
        <v>801</v>
      </c>
      <c r="C1550" t="s">
        <v>802</v>
      </c>
      <c r="E1550" t="s">
        <v>1656</v>
      </c>
      <c r="F1550">
        <v>2011489</v>
      </c>
      <c r="G1550" t="s">
        <v>1657</v>
      </c>
      <c r="H1550" t="s">
        <v>805</v>
      </c>
      <c r="I1550">
        <v>572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572</v>
      </c>
      <c r="P1550" s="44" t="e">
        <f>_xlfn.XLOOKUP(Tabla5[[#This Row],[EAN CORREGIDO]],'Tabla Articulos'!B:B,'Tabla Articulos'!D:D)</f>
        <v>#N/A</v>
      </c>
      <c r="Q1550" s="44" t="e">
        <f>_xlfn.XLOOKUP(S1550,'Tabla Articulos'!B:B,'Tabla Articulos'!E:E)</f>
        <v>#N/A</v>
      </c>
      <c r="R1550" s="44" t="e">
        <f t="shared" si="48"/>
        <v>#N/A</v>
      </c>
      <c r="S1550" s="45" t="str">
        <f t="shared" si="49"/>
        <v>7798160833677</v>
      </c>
    </row>
    <row r="1551" spans="1:19" hidden="1" x14ac:dyDescent="0.35">
      <c r="A1551" s="22">
        <v>1</v>
      </c>
      <c r="B1551" t="s">
        <v>812</v>
      </c>
      <c r="C1551" t="s">
        <v>802</v>
      </c>
      <c r="D1551" t="s">
        <v>1658</v>
      </c>
      <c r="E1551" t="s">
        <v>1659</v>
      </c>
      <c r="F1551">
        <v>4024491</v>
      </c>
      <c r="G1551" t="s">
        <v>1660</v>
      </c>
      <c r="H1551" t="s">
        <v>805</v>
      </c>
      <c r="I1551">
        <v>32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32</v>
      </c>
      <c r="P1551" s="44" t="e">
        <f>_xlfn.XLOOKUP(Tabla5[[#This Row],[EAN CORREGIDO]],'Tabla Articulos'!B:B,'Tabla Articulos'!D:D)</f>
        <v>#N/A</v>
      </c>
      <c r="Q1551" s="44" t="e">
        <f>_xlfn.XLOOKUP(S1551,'Tabla Articulos'!B:B,'Tabla Articulos'!E:E)</f>
        <v>#N/A</v>
      </c>
      <c r="R1551" s="44" t="e">
        <f t="shared" si="48"/>
        <v>#N/A</v>
      </c>
      <c r="S1551" s="45" t="str">
        <f t="shared" si="49"/>
        <v>7798110340057</v>
      </c>
    </row>
    <row r="1552" spans="1:19" hidden="1" x14ac:dyDescent="0.35">
      <c r="A1552" s="22">
        <v>6</v>
      </c>
      <c r="B1552" t="s">
        <v>801</v>
      </c>
      <c r="C1552" t="s">
        <v>802</v>
      </c>
      <c r="E1552" t="s">
        <v>3003</v>
      </c>
      <c r="F1552">
        <v>9003059</v>
      </c>
      <c r="G1552" t="s">
        <v>3004</v>
      </c>
      <c r="H1552" t="s">
        <v>805</v>
      </c>
      <c r="I1552">
        <v>15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15</v>
      </c>
      <c r="P1552" s="44" t="e">
        <f>_xlfn.XLOOKUP(Tabla5[[#This Row],[EAN CORREGIDO]],'Tabla Articulos'!B:B,'Tabla Articulos'!D:D)</f>
        <v>#N/A</v>
      </c>
      <c r="Q1552" s="44" t="e">
        <f>_xlfn.XLOOKUP(S1552,'Tabla Articulos'!B:B,'Tabla Articulos'!E:E)</f>
        <v>#N/A</v>
      </c>
      <c r="R1552" s="44" t="e">
        <f t="shared" si="48"/>
        <v>#N/A</v>
      </c>
      <c r="S1552" s="45" t="str">
        <f t="shared" si="49"/>
        <v>UNIF000028</v>
      </c>
    </row>
    <row r="1553" spans="1:19" hidden="1" x14ac:dyDescent="0.35">
      <c r="A1553" s="22">
        <v>1</v>
      </c>
      <c r="B1553" t="s">
        <v>812</v>
      </c>
      <c r="C1553" t="s">
        <v>802</v>
      </c>
      <c r="D1553" t="s">
        <v>3005</v>
      </c>
      <c r="E1553" t="s">
        <v>3006</v>
      </c>
      <c r="F1553">
        <v>4019015</v>
      </c>
      <c r="G1553" t="s">
        <v>3007</v>
      </c>
      <c r="H1553" t="s">
        <v>805</v>
      </c>
      <c r="I1553">
        <v>75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75</v>
      </c>
      <c r="P1553" s="44" t="e">
        <f>_xlfn.XLOOKUP(Tabla5[[#This Row],[EAN CORREGIDO]],'Tabla Articulos'!B:B,'Tabla Articulos'!D:D)</f>
        <v>#N/A</v>
      </c>
      <c r="Q1553" s="44" t="e">
        <f>_xlfn.XLOOKUP(S1553,'Tabla Articulos'!B:B,'Tabla Articulos'!E:E)</f>
        <v>#N/A</v>
      </c>
      <c r="R1553" s="44" t="e">
        <f t="shared" si="48"/>
        <v>#N/A</v>
      </c>
      <c r="S1553" s="45" t="str">
        <f t="shared" si="49"/>
        <v>7790580739003</v>
      </c>
    </row>
    <row r="1554" spans="1:19" hidden="1" x14ac:dyDescent="0.35">
      <c r="A1554" s="22">
        <v>6</v>
      </c>
      <c r="B1554" t="s">
        <v>801</v>
      </c>
      <c r="C1554" t="s">
        <v>802</v>
      </c>
      <c r="D1554"/>
      <c r="E1554" t="s">
        <v>3008</v>
      </c>
      <c r="F1554">
        <v>9003217</v>
      </c>
      <c r="G1554" t="s">
        <v>3009</v>
      </c>
      <c r="H1554" t="s">
        <v>805</v>
      </c>
      <c r="I1554">
        <v>8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8</v>
      </c>
      <c r="P1554" s="44" t="e">
        <f>_xlfn.XLOOKUP(Tabla5[[#This Row],[EAN CORREGIDO]],'Tabla Articulos'!B:B,'Tabla Articulos'!D:D)</f>
        <v>#N/A</v>
      </c>
      <c r="Q1554" s="44" t="e">
        <f>_xlfn.XLOOKUP(S1554,'Tabla Articulos'!B:B,'Tabla Articulos'!E:E)</f>
        <v>#N/A</v>
      </c>
      <c r="R1554" s="44" t="e">
        <f t="shared" si="48"/>
        <v>#N/A</v>
      </c>
      <c r="S1554" s="45" t="str">
        <f t="shared" si="49"/>
        <v>UNIF000117</v>
      </c>
    </row>
    <row r="1555" spans="1:19" hidden="1" x14ac:dyDescent="0.35">
      <c r="A1555" s="22">
        <v>6</v>
      </c>
      <c r="B1555" t="s">
        <v>801</v>
      </c>
      <c r="C1555" t="s">
        <v>802</v>
      </c>
      <c r="D1555"/>
      <c r="E1555" t="s">
        <v>3010</v>
      </c>
      <c r="F1555">
        <v>9003662</v>
      </c>
      <c r="G1555" t="s">
        <v>3011</v>
      </c>
      <c r="H1555" t="s">
        <v>805</v>
      </c>
      <c r="I1555">
        <v>4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4</v>
      </c>
      <c r="P1555" s="44" t="e">
        <f>_xlfn.XLOOKUP(Tabla5[[#This Row],[EAN CORREGIDO]],'Tabla Articulos'!B:B,'Tabla Articulos'!D:D)</f>
        <v>#N/A</v>
      </c>
      <c r="Q1555" s="44" t="e">
        <f>_xlfn.XLOOKUP(S1555,'Tabla Articulos'!B:B,'Tabla Articulos'!E:E)</f>
        <v>#N/A</v>
      </c>
      <c r="R1555" s="44" t="e">
        <f t="shared" si="48"/>
        <v>#N/A</v>
      </c>
      <c r="S1555" s="45" t="str">
        <f t="shared" si="49"/>
        <v>UNIF000170</v>
      </c>
    </row>
    <row r="1556" spans="1:19" hidden="1" x14ac:dyDescent="0.35">
      <c r="A1556" s="22">
        <v>6</v>
      </c>
      <c r="B1556" t="s">
        <v>801</v>
      </c>
      <c r="C1556" t="s">
        <v>802</v>
      </c>
      <c r="D1556"/>
      <c r="E1556" t="s">
        <v>3012</v>
      </c>
      <c r="F1556">
        <v>9003127</v>
      </c>
      <c r="G1556" t="s">
        <v>3013</v>
      </c>
      <c r="H1556" t="s">
        <v>805</v>
      </c>
      <c r="I1556">
        <v>69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69</v>
      </c>
      <c r="P1556" s="44" t="e">
        <f>_xlfn.XLOOKUP(Tabla5[[#This Row],[EAN CORREGIDO]],'Tabla Articulos'!B:B,'Tabla Articulos'!D:D)</f>
        <v>#N/A</v>
      </c>
      <c r="Q1556" s="44" t="e">
        <f>_xlfn.XLOOKUP(S1556,'Tabla Articulos'!B:B,'Tabla Articulos'!E:E)</f>
        <v>#N/A</v>
      </c>
      <c r="R1556" s="44" t="e">
        <f t="shared" si="48"/>
        <v>#N/A</v>
      </c>
      <c r="S1556" s="45" t="str">
        <f t="shared" si="49"/>
        <v>UNIF000589</v>
      </c>
    </row>
    <row r="1557" spans="1:19" hidden="1" x14ac:dyDescent="0.35">
      <c r="A1557" s="22">
        <v>6</v>
      </c>
      <c r="B1557" t="s">
        <v>801</v>
      </c>
      <c r="C1557" t="s">
        <v>802</v>
      </c>
      <c r="D1557"/>
      <c r="E1557" t="s">
        <v>3014</v>
      </c>
      <c r="F1557">
        <v>9003222</v>
      </c>
      <c r="G1557" t="s">
        <v>3015</v>
      </c>
      <c r="H1557" t="s">
        <v>805</v>
      </c>
      <c r="I1557">
        <v>0</v>
      </c>
      <c r="J1557">
        <v>710</v>
      </c>
      <c r="K1557">
        <v>0</v>
      </c>
      <c r="L1557">
        <v>0</v>
      </c>
      <c r="M1557">
        <v>0</v>
      </c>
      <c r="N1557">
        <v>0</v>
      </c>
      <c r="O1557">
        <v>710</v>
      </c>
      <c r="P1557" s="44" t="e">
        <f>_xlfn.XLOOKUP(Tabla5[[#This Row],[EAN CORREGIDO]],'Tabla Articulos'!B:B,'Tabla Articulos'!D:D)</f>
        <v>#N/A</v>
      </c>
      <c r="Q1557" s="44" t="e">
        <f>_xlfn.XLOOKUP(S1557,'Tabla Articulos'!B:B,'Tabla Articulos'!E:E)</f>
        <v>#N/A</v>
      </c>
      <c r="R1557" s="44" t="e">
        <f t="shared" si="48"/>
        <v>#N/A</v>
      </c>
      <c r="S1557" s="45" t="str">
        <f t="shared" si="49"/>
        <v>UNIF000122</v>
      </c>
    </row>
    <row r="1558" spans="1:19" hidden="1" x14ac:dyDescent="0.35">
      <c r="A1558" s="22">
        <v>1</v>
      </c>
      <c r="B1558" t="s">
        <v>812</v>
      </c>
      <c r="C1558" t="s">
        <v>802</v>
      </c>
      <c r="D1558" s="11" t="s">
        <v>3016</v>
      </c>
      <c r="E1558" t="s">
        <v>3017</v>
      </c>
      <c r="F1558" s="11">
        <v>4020574</v>
      </c>
      <c r="G1558" t="s">
        <v>3018</v>
      </c>
      <c r="H1558" t="s">
        <v>805</v>
      </c>
      <c r="I1558">
        <v>19770</v>
      </c>
      <c r="J1558">
        <v>0</v>
      </c>
      <c r="K1558">
        <v>0</v>
      </c>
      <c r="L1558">
        <v>4</v>
      </c>
      <c r="M1558">
        <v>393</v>
      </c>
      <c r="N1558">
        <v>0</v>
      </c>
      <c r="O1558">
        <v>19373</v>
      </c>
      <c r="P1558" s="44" t="e">
        <f>_xlfn.XLOOKUP(Tabla5[[#This Row],[EAN CORREGIDO]],'Tabla Articulos'!B:B,'Tabla Articulos'!D:D)</f>
        <v>#N/A</v>
      </c>
      <c r="Q1558" s="44" t="e">
        <f>_xlfn.XLOOKUP(S1558,'Tabla Articulos'!B:B,'Tabla Articulos'!E:E)</f>
        <v>#N/A</v>
      </c>
      <c r="R1558" s="44" t="e">
        <f t="shared" si="48"/>
        <v>#N/A</v>
      </c>
      <c r="S1558" s="45" t="str">
        <f t="shared" si="49"/>
        <v>7798174970016</v>
      </c>
    </row>
    <row r="1559" spans="1:19" hidden="1" x14ac:dyDescent="0.35">
      <c r="A1559" s="22">
        <v>5</v>
      </c>
      <c r="B1559" t="s">
        <v>829</v>
      </c>
      <c r="C1559" t="s">
        <v>802</v>
      </c>
      <c r="D1559" s="11" t="s">
        <v>3016</v>
      </c>
      <c r="E1559" t="s">
        <v>3017</v>
      </c>
      <c r="F1559" s="11">
        <v>4020574</v>
      </c>
      <c r="G1559" t="s">
        <v>3018</v>
      </c>
      <c r="H1559" t="s">
        <v>805</v>
      </c>
      <c r="I1559">
        <v>987</v>
      </c>
      <c r="J1559">
        <v>0</v>
      </c>
      <c r="K1559">
        <v>0</v>
      </c>
      <c r="L1559">
        <v>0</v>
      </c>
      <c r="M1559">
        <v>7</v>
      </c>
      <c r="N1559">
        <v>0</v>
      </c>
      <c r="O1559">
        <v>980</v>
      </c>
      <c r="P1559" s="44" t="e">
        <f>_xlfn.XLOOKUP(Tabla5[[#This Row],[EAN CORREGIDO]],'Tabla Articulos'!B:B,'Tabla Articulos'!D:D)</f>
        <v>#N/A</v>
      </c>
      <c r="Q1559" s="44" t="e">
        <f>_xlfn.XLOOKUP(S1559,'Tabla Articulos'!B:B,'Tabla Articulos'!E:E)</f>
        <v>#N/A</v>
      </c>
      <c r="R1559" s="44" t="e">
        <f t="shared" si="48"/>
        <v>#N/A</v>
      </c>
      <c r="S1559" s="45" t="str">
        <f t="shared" si="49"/>
        <v>7798174970016</v>
      </c>
    </row>
    <row r="1560" spans="1:19" hidden="1" x14ac:dyDescent="0.35">
      <c r="A1560" s="22">
        <v>6</v>
      </c>
      <c r="B1560" t="s">
        <v>801</v>
      </c>
      <c r="C1560" t="s">
        <v>802</v>
      </c>
      <c r="E1560" t="s">
        <v>3019</v>
      </c>
      <c r="F1560" s="11">
        <v>9003645</v>
      </c>
      <c r="G1560" t="s">
        <v>3020</v>
      </c>
      <c r="H1560" t="s">
        <v>805</v>
      </c>
      <c r="I1560">
        <v>11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11</v>
      </c>
      <c r="P1560" s="44" t="e">
        <f>_xlfn.XLOOKUP(Tabla5[[#This Row],[EAN CORREGIDO]],'Tabla Articulos'!B:B,'Tabla Articulos'!D:D)</f>
        <v>#N/A</v>
      </c>
      <c r="Q1560" s="44" t="e">
        <f>_xlfn.XLOOKUP(S1560,'Tabla Articulos'!B:B,'Tabla Articulos'!E:E)</f>
        <v>#N/A</v>
      </c>
      <c r="R1560" s="44" t="e">
        <f t="shared" si="48"/>
        <v>#N/A</v>
      </c>
      <c r="S1560" s="45" t="str">
        <f t="shared" si="49"/>
        <v>UNIF000381</v>
      </c>
    </row>
    <row r="1561" spans="1:19" hidden="1" x14ac:dyDescent="0.35">
      <c r="A1561" s="22">
        <v>6</v>
      </c>
      <c r="B1561" t="s">
        <v>801</v>
      </c>
      <c r="C1561" t="s">
        <v>802</v>
      </c>
      <c r="D1561" s="11" t="s">
        <v>1374</v>
      </c>
      <c r="E1561" t="s">
        <v>3021</v>
      </c>
      <c r="F1561" s="11">
        <v>2016615</v>
      </c>
      <c r="G1561" t="s">
        <v>3022</v>
      </c>
      <c r="H1561" t="s">
        <v>1034</v>
      </c>
      <c r="I1561">
        <v>629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629</v>
      </c>
      <c r="P1561" s="44" t="e">
        <f>_xlfn.XLOOKUP(Tabla5[[#This Row],[EAN CORREGIDO]],'Tabla Articulos'!B:B,'Tabla Articulos'!D:D)</f>
        <v>#N/A</v>
      </c>
      <c r="Q1561" s="44" t="e">
        <f>_xlfn.XLOOKUP(S1561,'Tabla Articulos'!B:B,'Tabla Articulos'!E:E)</f>
        <v>#N/A</v>
      </c>
      <c r="R1561" s="44" t="e">
        <f t="shared" si="48"/>
        <v>#N/A</v>
      </c>
      <c r="S1561" s="45" t="str">
        <f t="shared" si="49"/>
        <v>7798349550012</v>
      </c>
    </row>
    <row r="1562" spans="1:19" hidden="1" x14ac:dyDescent="0.35">
      <c r="A1562" s="22">
        <v>1</v>
      </c>
      <c r="B1562" t="s">
        <v>812</v>
      </c>
      <c r="C1562" t="s">
        <v>802</v>
      </c>
      <c r="D1562" s="11" t="s">
        <v>1801</v>
      </c>
      <c r="E1562" t="s">
        <v>3023</v>
      </c>
      <c r="F1562" s="11">
        <v>4018860</v>
      </c>
      <c r="G1562" t="s">
        <v>3024</v>
      </c>
      <c r="H1562" t="s">
        <v>805</v>
      </c>
      <c r="I1562">
        <v>12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12</v>
      </c>
      <c r="P1562" s="44" t="e">
        <f>_xlfn.XLOOKUP(Tabla5[[#This Row],[EAN CORREGIDO]],'Tabla Articulos'!B:B,'Tabla Articulos'!D:D)</f>
        <v>#N/A</v>
      </c>
      <c r="Q1562" s="44" t="e">
        <f>_xlfn.XLOOKUP(S1562,'Tabla Articulos'!B:B,'Tabla Articulos'!E:E)</f>
        <v>#N/A</v>
      </c>
      <c r="R1562" s="44" t="e">
        <f t="shared" si="48"/>
        <v>#N/A</v>
      </c>
      <c r="S1562" s="45" t="str">
        <f t="shared" si="49"/>
        <v>7796236000558</v>
      </c>
    </row>
    <row r="1563" spans="1:19" hidden="1" x14ac:dyDescent="0.35">
      <c r="A1563" s="22">
        <v>6</v>
      </c>
      <c r="B1563" t="s">
        <v>801</v>
      </c>
      <c r="C1563" t="s">
        <v>802</v>
      </c>
      <c r="D1563" s="11" t="s">
        <v>6831</v>
      </c>
      <c r="E1563" t="s">
        <v>6832</v>
      </c>
      <c r="F1563" s="11">
        <v>2016730</v>
      </c>
      <c r="G1563" t="s">
        <v>6833</v>
      </c>
      <c r="H1563" t="s">
        <v>805</v>
      </c>
      <c r="I1563">
        <v>0</v>
      </c>
      <c r="J1563">
        <v>318</v>
      </c>
      <c r="K1563">
        <v>318</v>
      </c>
      <c r="L1563">
        <v>0</v>
      </c>
      <c r="M1563">
        <v>0</v>
      </c>
      <c r="N1563">
        <v>0</v>
      </c>
      <c r="O1563">
        <v>0</v>
      </c>
      <c r="P1563" s="44" t="e">
        <f>_xlfn.XLOOKUP(Tabla5[[#This Row],[EAN CORREGIDO]],'Tabla Articulos'!B:B,'Tabla Articulos'!D:D)</f>
        <v>#N/A</v>
      </c>
      <c r="Q1563" s="44" t="e">
        <f>_xlfn.XLOOKUP(S1563,'Tabla Articulos'!B:B,'Tabla Articulos'!E:E)</f>
        <v>#N/A</v>
      </c>
      <c r="R1563" s="44" t="e">
        <f t="shared" si="48"/>
        <v>#N/A</v>
      </c>
      <c r="S1563" s="45" t="str">
        <f t="shared" si="49"/>
        <v>7798150311534</v>
      </c>
    </row>
    <row r="1564" spans="1:19" hidden="1" x14ac:dyDescent="0.35">
      <c r="A1564" s="22">
        <v>6</v>
      </c>
      <c r="B1564" t="s">
        <v>801</v>
      </c>
      <c r="C1564" t="s">
        <v>802</v>
      </c>
      <c r="D1564" s="11" t="s">
        <v>1053</v>
      </c>
      <c r="E1564" t="s">
        <v>3025</v>
      </c>
      <c r="F1564" s="11">
        <v>2011420</v>
      </c>
      <c r="G1564" t="s">
        <v>3026</v>
      </c>
      <c r="H1564" t="s">
        <v>805</v>
      </c>
      <c r="I1564">
        <v>162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162</v>
      </c>
      <c r="P1564" s="44" t="e">
        <f>_xlfn.XLOOKUP(Tabla5[[#This Row],[EAN CORREGIDO]],'Tabla Articulos'!B:B,'Tabla Articulos'!D:D)</f>
        <v>#N/A</v>
      </c>
      <c r="Q1564" s="44" t="e">
        <f>_xlfn.XLOOKUP(S1564,'Tabla Articulos'!B:B,'Tabla Articulos'!E:E)</f>
        <v>#N/A</v>
      </c>
      <c r="R1564" s="44" t="e">
        <f t="shared" si="48"/>
        <v>#N/A</v>
      </c>
      <c r="S1564" s="45" t="str">
        <f t="shared" si="49"/>
        <v>7790000000665</v>
      </c>
    </row>
    <row r="1565" spans="1:19" hidden="1" x14ac:dyDescent="0.35">
      <c r="A1565" s="22">
        <v>1</v>
      </c>
      <c r="B1565" t="s">
        <v>812</v>
      </c>
      <c r="C1565" t="s">
        <v>802</v>
      </c>
      <c r="D1565" s="11" t="s">
        <v>1986</v>
      </c>
      <c r="E1565" t="s">
        <v>1987</v>
      </c>
      <c r="F1565" s="11">
        <v>4076948</v>
      </c>
      <c r="G1565" t="s">
        <v>1988</v>
      </c>
      <c r="H1565" t="s">
        <v>816</v>
      </c>
      <c r="I1565">
        <v>11.8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11.8</v>
      </c>
      <c r="P1565" s="44" t="e">
        <f>_xlfn.XLOOKUP(Tabla5[[#This Row],[EAN CORREGIDO]],'Tabla Articulos'!B:B,'Tabla Articulos'!D:D)</f>
        <v>#N/A</v>
      </c>
      <c r="Q1565" s="44" t="e">
        <f>_xlfn.XLOOKUP(S1565,'Tabla Articulos'!B:B,'Tabla Articulos'!E:E)</f>
        <v>#N/A</v>
      </c>
      <c r="R1565" s="44" t="e">
        <f t="shared" si="48"/>
        <v>#N/A</v>
      </c>
      <c r="S1565" s="45" t="str">
        <f t="shared" si="49"/>
        <v>7790000000764</v>
      </c>
    </row>
    <row r="1566" spans="1:19" hidden="1" x14ac:dyDescent="0.35">
      <c r="A1566" s="22">
        <v>6</v>
      </c>
      <c r="B1566" t="s">
        <v>801</v>
      </c>
      <c r="C1566" t="s">
        <v>802</v>
      </c>
      <c r="E1566" t="s">
        <v>2486</v>
      </c>
      <c r="F1566" s="11">
        <v>9003308</v>
      </c>
      <c r="G1566" t="s">
        <v>2487</v>
      </c>
      <c r="H1566" t="s">
        <v>805</v>
      </c>
      <c r="I1566">
        <v>0</v>
      </c>
      <c r="J1566">
        <v>150</v>
      </c>
      <c r="K1566">
        <v>0</v>
      </c>
      <c r="L1566">
        <v>0</v>
      </c>
      <c r="M1566">
        <v>0</v>
      </c>
      <c r="N1566">
        <v>0</v>
      </c>
      <c r="O1566">
        <v>150</v>
      </c>
      <c r="P1566" s="44" t="e">
        <f>_xlfn.XLOOKUP(Tabla5[[#This Row],[EAN CORREGIDO]],'Tabla Articulos'!B:B,'Tabla Articulos'!D:D)</f>
        <v>#N/A</v>
      </c>
      <c r="Q1566" s="44" t="e">
        <f>_xlfn.XLOOKUP(S1566,'Tabla Articulos'!B:B,'Tabla Articulos'!E:E)</f>
        <v>#N/A</v>
      </c>
      <c r="R1566" s="44" t="e">
        <f t="shared" si="48"/>
        <v>#N/A</v>
      </c>
      <c r="S1566" s="45" t="str">
        <f t="shared" si="49"/>
        <v>UNIF000055</v>
      </c>
    </row>
    <row r="1567" spans="1:19" hidden="1" x14ac:dyDescent="0.35">
      <c r="A1567" s="22">
        <v>6</v>
      </c>
      <c r="B1567" t="s">
        <v>801</v>
      </c>
      <c r="C1567" t="s">
        <v>802</v>
      </c>
      <c r="E1567" t="s">
        <v>2488</v>
      </c>
      <c r="F1567" s="11">
        <v>9003543</v>
      </c>
      <c r="G1567" t="s">
        <v>2489</v>
      </c>
      <c r="H1567" t="s">
        <v>805</v>
      </c>
      <c r="I1567">
        <v>10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10</v>
      </c>
      <c r="P1567" s="44" t="e">
        <f>_xlfn.XLOOKUP(Tabla5[[#This Row],[EAN CORREGIDO]],'Tabla Articulos'!B:B,'Tabla Articulos'!D:D)</f>
        <v>#N/A</v>
      </c>
      <c r="Q1567" s="44" t="e">
        <f>_xlfn.XLOOKUP(S1567,'Tabla Articulos'!B:B,'Tabla Articulos'!E:E)</f>
        <v>#N/A</v>
      </c>
      <c r="R1567" s="44" t="e">
        <f t="shared" si="48"/>
        <v>#N/A</v>
      </c>
      <c r="S1567" s="45" t="str">
        <f t="shared" si="49"/>
        <v>UNIF000082</v>
      </c>
    </row>
    <row r="1568" spans="1:19" hidden="1" x14ac:dyDescent="0.35">
      <c r="A1568" s="22">
        <v>1</v>
      </c>
      <c r="B1568" t="s">
        <v>812</v>
      </c>
      <c r="C1568" t="s">
        <v>802</v>
      </c>
      <c r="D1568" s="11" t="s">
        <v>2490</v>
      </c>
      <c r="E1568" t="s">
        <v>2491</v>
      </c>
      <c r="F1568" s="11">
        <v>4020454</v>
      </c>
      <c r="G1568" t="s">
        <v>2492</v>
      </c>
      <c r="H1568" t="s">
        <v>805</v>
      </c>
      <c r="I1568">
        <v>10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10</v>
      </c>
      <c r="P1568" s="44" t="e">
        <f>_xlfn.XLOOKUP(Tabla5[[#This Row],[EAN CORREGIDO]],'Tabla Articulos'!B:B,'Tabla Articulos'!D:D)</f>
        <v>#N/A</v>
      </c>
      <c r="Q1568" s="44" t="e">
        <f>_xlfn.XLOOKUP(S1568,'Tabla Articulos'!B:B,'Tabla Articulos'!E:E)</f>
        <v>#N/A</v>
      </c>
      <c r="R1568" s="44" t="e">
        <f t="shared" si="48"/>
        <v>#N/A</v>
      </c>
      <c r="S1568" s="45" t="str">
        <f t="shared" si="49"/>
        <v>7798132920404</v>
      </c>
    </row>
    <row r="1569" spans="1:19" hidden="1" x14ac:dyDescent="0.35">
      <c r="A1569" s="22">
        <v>1</v>
      </c>
      <c r="B1569" t="s">
        <v>812</v>
      </c>
      <c r="C1569" t="s">
        <v>802</v>
      </c>
      <c r="D1569" s="11" t="s">
        <v>1111</v>
      </c>
      <c r="E1569" t="s">
        <v>1112</v>
      </c>
      <c r="F1569" s="11">
        <v>4018275</v>
      </c>
      <c r="G1569" t="s">
        <v>1113</v>
      </c>
      <c r="H1569" t="s">
        <v>805</v>
      </c>
      <c r="I1569">
        <v>7003</v>
      </c>
      <c r="J1569">
        <v>0</v>
      </c>
      <c r="K1569">
        <v>0</v>
      </c>
      <c r="L1569">
        <v>0</v>
      </c>
      <c r="M1569">
        <v>2</v>
      </c>
      <c r="N1569">
        <v>0</v>
      </c>
      <c r="O1569">
        <v>7001</v>
      </c>
      <c r="P1569" s="44" t="e">
        <f>_xlfn.XLOOKUP(Tabla5[[#This Row],[EAN CORREGIDO]],'Tabla Articulos'!B:B,'Tabla Articulos'!D:D)</f>
        <v>#N/A</v>
      </c>
      <c r="Q1569" s="44" t="e">
        <f>_xlfn.XLOOKUP(S1569,'Tabla Articulos'!B:B,'Tabla Articulos'!E:E)</f>
        <v>#N/A</v>
      </c>
      <c r="R1569" s="44" t="e">
        <f t="shared" si="48"/>
        <v>#N/A</v>
      </c>
      <c r="S1569" s="45" t="str">
        <f t="shared" si="49"/>
        <v>7798344910286</v>
      </c>
    </row>
    <row r="1570" spans="1:19" hidden="1" x14ac:dyDescent="0.35">
      <c r="A1570" s="22">
        <v>6</v>
      </c>
      <c r="B1570" t="s">
        <v>801</v>
      </c>
      <c r="C1570" t="s">
        <v>802</v>
      </c>
      <c r="D1570" s="11" t="s">
        <v>841</v>
      </c>
      <c r="E1570" t="s">
        <v>1114</v>
      </c>
      <c r="F1570" s="11">
        <v>2016682</v>
      </c>
      <c r="G1570" t="s">
        <v>1115</v>
      </c>
      <c r="H1570" t="s">
        <v>805</v>
      </c>
      <c r="I1570">
        <v>90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90</v>
      </c>
      <c r="P1570" s="44" t="e">
        <f>_xlfn.XLOOKUP(Tabla5[[#This Row],[EAN CORREGIDO]],'Tabla Articulos'!B:B,'Tabla Articulos'!D:D)</f>
        <v>#N/A</v>
      </c>
      <c r="Q1570" s="44" t="e">
        <f>_xlfn.XLOOKUP(S1570,'Tabla Articulos'!B:B,'Tabla Articulos'!E:E)</f>
        <v>#N/A</v>
      </c>
      <c r="R1570" s="44" t="e">
        <f t="shared" si="48"/>
        <v>#N/A</v>
      </c>
      <c r="S1570" s="45" t="str">
        <f t="shared" si="49"/>
        <v>7791268030252</v>
      </c>
    </row>
    <row r="1571" spans="1:19" hidden="1" x14ac:dyDescent="0.35">
      <c r="A1571" s="22">
        <v>5</v>
      </c>
      <c r="B1571" t="s">
        <v>829</v>
      </c>
      <c r="C1571" t="s">
        <v>802</v>
      </c>
      <c r="D1571" s="11" t="s">
        <v>1116</v>
      </c>
      <c r="E1571" t="s">
        <v>1117</v>
      </c>
      <c r="F1571" s="11">
        <v>4023362</v>
      </c>
      <c r="G1571" t="s">
        <v>1118</v>
      </c>
      <c r="H1571" t="s">
        <v>805</v>
      </c>
      <c r="I1571">
        <v>4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4</v>
      </c>
      <c r="P1571" s="44" t="e">
        <f>_xlfn.XLOOKUP(Tabla5[[#This Row],[EAN CORREGIDO]],'Tabla Articulos'!B:B,'Tabla Articulos'!D:D)</f>
        <v>#N/A</v>
      </c>
      <c r="Q1571" s="44" t="e">
        <f>_xlfn.XLOOKUP(S1571,'Tabla Articulos'!B:B,'Tabla Articulos'!E:E)</f>
        <v>#N/A</v>
      </c>
      <c r="R1571" s="44" t="e">
        <f t="shared" si="48"/>
        <v>#N/A</v>
      </c>
      <c r="S1571" s="45" t="str">
        <f t="shared" si="49"/>
        <v>7790387001419</v>
      </c>
    </row>
    <row r="1572" spans="1:19" hidden="1" x14ac:dyDescent="0.35">
      <c r="A1572" s="22">
        <v>1</v>
      </c>
      <c r="B1572" t="s">
        <v>812</v>
      </c>
      <c r="C1572" t="s">
        <v>802</v>
      </c>
      <c r="D1572" s="11" t="s">
        <v>1119</v>
      </c>
      <c r="E1572" t="s">
        <v>1120</v>
      </c>
      <c r="F1572" s="11">
        <v>4020349</v>
      </c>
      <c r="G1572" t="s">
        <v>1121</v>
      </c>
      <c r="H1572" t="s">
        <v>805</v>
      </c>
      <c r="I1572">
        <v>8514</v>
      </c>
      <c r="J1572">
        <v>0</v>
      </c>
      <c r="K1572">
        <v>0</v>
      </c>
      <c r="L1572">
        <v>0</v>
      </c>
      <c r="M1572">
        <v>4</v>
      </c>
      <c r="N1572">
        <v>0</v>
      </c>
      <c r="O1572">
        <v>8510</v>
      </c>
      <c r="P1572" s="44" t="e">
        <f>_xlfn.XLOOKUP(Tabla5[[#This Row],[EAN CORREGIDO]],'Tabla Articulos'!B:B,'Tabla Articulos'!D:D)</f>
        <v>#N/A</v>
      </c>
      <c r="Q1572" s="44" t="e">
        <f>_xlfn.XLOOKUP(S1572,'Tabla Articulos'!B:B,'Tabla Articulos'!E:E)</f>
        <v>#N/A</v>
      </c>
      <c r="R1572" s="44" t="e">
        <f t="shared" si="48"/>
        <v>#N/A</v>
      </c>
      <c r="S1572" s="45" t="str">
        <f t="shared" si="49"/>
        <v>7798028020515</v>
      </c>
    </row>
    <row r="1573" spans="1:19" hidden="1" x14ac:dyDescent="0.35">
      <c r="A1573" s="22">
        <v>6</v>
      </c>
      <c r="B1573" t="s">
        <v>801</v>
      </c>
      <c r="C1573" t="s">
        <v>802</v>
      </c>
      <c r="E1573" t="s">
        <v>4714</v>
      </c>
      <c r="F1573" s="11">
        <v>9003063</v>
      </c>
      <c r="G1573" t="s">
        <v>4715</v>
      </c>
      <c r="H1573" t="s">
        <v>805</v>
      </c>
      <c r="I1573">
        <v>10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10</v>
      </c>
      <c r="P1573" s="44" t="e">
        <f>_xlfn.XLOOKUP(Tabla5[[#This Row],[EAN CORREGIDO]],'Tabla Articulos'!B:B,'Tabla Articulos'!D:D)</f>
        <v>#N/A</v>
      </c>
      <c r="Q1573" s="44" t="e">
        <f>_xlfn.XLOOKUP(S1573,'Tabla Articulos'!B:B,'Tabla Articulos'!E:E)</f>
        <v>#N/A</v>
      </c>
      <c r="R1573" s="44" t="e">
        <f t="shared" si="48"/>
        <v>#N/A</v>
      </c>
      <c r="S1573" s="45" t="str">
        <f t="shared" si="49"/>
        <v>UNIF000127</v>
      </c>
    </row>
    <row r="1574" spans="1:19" hidden="1" x14ac:dyDescent="0.35">
      <c r="A1574" s="22">
        <v>6</v>
      </c>
      <c r="B1574" t="s">
        <v>801</v>
      </c>
      <c r="C1574" t="s">
        <v>802</v>
      </c>
      <c r="D1574"/>
      <c r="E1574" t="s">
        <v>4716</v>
      </c>
      <c r="F1574">
        <v>9003435</v>
      </c>
      <c r="G1574" t="s">
        <v>4717</v>
      </c>
      <c r="H1574" t="s">
        <v>805</v>
      </c>
      <c r="I1574">
        <v>69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69</v>
      </c>
      <c r="P1574" s="44" t="e">
        <f>_xlfn.XLOOKUP(Tabla5[[#This Row],[EAN CORREGIDO]],'Tabla Articulos'!B:B,'Tabla Articulos'!D:D)</f>
        <v>#N/A</v>
      </c>
      <c r="Q1574" s="44" t="e">
        <f>_xlfn.XLOOKUP(S1574,'Tabla Articulos'!B:B,'Tabla Articulos'!E:E)</f>
        <v>#N/A</v>
      </c>
      <c r="R1574" s="44" t="e">
        <f t="shared" si="48"/>
        <v>#N/A</v>
      </c>
      <c r="S1574" s="45" t="str">
        <f t="shared" si="49"/>
        <v>UNIF000195</v>
      </c>
    </row>
    <row r="1575" spans="1:19" hidden="1" x14ac:dyDescent="0.35">
      <c r="A1575" s="22">
        <v>1</v>
      </c>
      <c r="B1575" t="s">
        <v>812</v>
      </c>
      <c r="C1575" t="s">
        <v>802</v>
      </c>
      <c r="D1575" s="11" t="s">
        <v>4718</v>
      </c>
      <c r="E1575" t="s">
        <v>4719</v>
      </c>
      <c r="F1575" s="11">
        <v>4019794</v>
      </c>
      <c r="G1575" t="s">
        <v>4720</v>
      </c>
      <c r="H1575" t="s">
        <v>805</v>
      </c>
      <c r="I1575">
        <v>509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509</v>
      </c>
      <c r="P1575" s="44" t="e">
        <f>_xlfn.XLOOKUP(Tabla5[[#This Row],[EAN CORREGIDO]],'Tabla Articulos'!B:B,'Tabla Articulos'!D:D)</f>
        <v>#N/A</v>
      </c>
      <c r="Q1575" s="44" t="e">
        <f>_xlfn.XLOOKUP(S1575,'Tabla Articulos'!B:B,'Tabla Articulos'!E:E)</f>
        <v>#N/A</v>
      </c>
      <c r="R1575" s="44" t="e">
        <f t="shared" si="48"/>
        <v>#N/A</v>
      </c>
      <c r="S1575" s="45" t="str">
        <f t="shared" si="49"/>
        <v>7791113000911</v>
      </c>
    </row>
    <row r="1576" spans="1:19" hidden="1" x14ac:dyDescent="0.35">
      <c r="A1576" s="22">
        <v>5</v>
      </c>
      <c r="B1576" t="s">
        <v>829</v>
      </c>
      <c r="C1576" t="s">
        <v>802</v>
      </c>
      <c r="D1576" s="11" t="s">
        <v>1151</v>
      </c>
      <c r="E1576" t="s">
        <v>4721</v>
      </c>
      <c r="F1576" s="11">
        <v>4021281</v>
      </c>
      <c r="G1576" t="s">
        <v>4722</v>
      </c>
      <c r="H1576" t="s">
        <v>805</v>
      </c>
      <c r="I1576">
        <v>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6</v>
      </c>
      <c r="P1576" s="44" t="e">
        <f>_xlfn.XLOOKUP(Tabla5[[#This Row],[EAN CORREGIDO]],'Tabla Articulos'!B:B,'Tabla Articulos'!D:D)</f>
        <v>#N/A</v>
      </c>
      <c r="Q1576" s="44" t="e">
        <f>_xlfn.XLOOKUP(S1576,'Tabla Articulos'!B:B,'Tabla Articulos'!E:E)</f>
        <v>#N/A</v>
      </c>
      <c r="R1576" s="44" t="e">
        <f t="shared" si="48"/>
        <v>#N/A</v>
      </c>
      <c r="S1576" s="45" t="str">
        <f t="shared" si="49"/>
        <v>7792378000814</v>
      </c>
    </row>
    <row r="1577" spans="1:19" hidden="1" x14ac:dyDescent="0.35">
      <c r="A1577" s="22">
        <v>1</v>
      </c>
      <c r="B1577" t="s">
        <v>812</v>
      </c>
      <c r="C1577" t="s">
        <v>802</v>
      </c>
      <c r="D1577" s="11" t="s">
        <v>1151</v>
      </c>
      <c r="E1577" t="s">
        <v>4721</v>
      </c>
      <c r="F1577" s="11">
        <v>4021281</v>
      </c>
      <c r="G1577" t="s">
        <v>4722</v>
      </c>
      <c r="H1577" t="s">
        <v>805</v>
      </c>
      <c r="I1577">
        <v>985</v>
      </c>
      <c r="J1577">
        <v>0</v>
      </c>
      <c r="K1577">
        <v>0</v>
      </c>
      <c r="L1577">
        <v>20</v>
      </c>
      <c r="M1577">
        <v>21</v>
      </c>
      <c r="N1577">
        <v>0</v>
      </c>
      <c r="O1577">
        <v>944</v>
      </c>
      <c r="P1577" s="44" t="e">
        <f>_xlfn.XLOOKUP(Tabla5[[#This Row],[EAN CORREGIDO]],'Tabla Articulos'!B:B,'Tabla Articulos'!D:D)</f>
        <v>#N/A</v>
      </c>
      <c r="Q1577" s="44" t="e">
        <f>_xlfn.XLOOKUP(S1577,'Tabla Articulos'!B:B,'Tabla Articulos'!E:E)</f>
        <v>#N/A</v>
      </c>
      <c r="R1577" s="44" t="e">
        <f t="shared" si="48"/>
        <v>#N/A</v>
      </c>
      <c r="S1577" s="45" t="str">
        <f t="shared" si="49"/>
        <v>7792378000814</v>
      </c>
    </row>
    <row r="1578" spans="1:19" hidden="1" x14ac:dyDescent="0.35">
      <c r="A1578" s="22">
        <v>6</v>
      </c>
      <c r="B1578" t="s">
        <v>801</v>
      </c>
      <c r="C1578" t="s">
        <v>802</v>
      </c>
      <c r="E1578" t="s">
        <v>4723</v>
      </c>
      <c r="F1578" s="11">
        <v>9003476</v>
      </c>
      <c r="G1578" t="s">
        <v>4724</v>
      </c>
      <c r="H1578" t="s">
        <v>805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 s="44" t="e">
        <f>_xlfn.XLOOKUP(Tabla5[[#This Row],[EAN CORREGIDO]],'Tabla Articulos'!B:B,'Tabla Articulos'!D:D)</f>
        <v>#N/A</v>
      </c>
      <c r="Q1578" s="44" t="e">
        <f>_xlfn.XLOOKUP(S1578,'Tabla Articulos'!B:B,'Tabla Articulos'!E:E)</f>
        <v>#N/A</v>
      </c>
      <c r="R1578" s="44" t="e">
        <f t="shared" si="48"/>
        <v>#N/A</v>
      </c>
      <c r="S1578" s="45" t="str">
        <f t="shared" si="49"/>
        <v>UNIF000208</v>
      </c>
    </row>
    <row r="1579" spans="1:19" hidden="1" x14ac:dyDescent="0.35">
      <c r="A1579" s="22">
        <v>6</v>
      </c>
      <c r="B1579" t="s">
        <v>801</v>
      </c>
      <c r="C1579" t="s">
        <v>802</v>
      </c>
      <c r="D1579" s="11" t="s">
        <v>314</v>
      </c>
      <c r="E1579" t="s">
        <v>4725</v>
      </c>
      <c r="F1579" s="11">
        <v>2006449</v>
      </c>
      <c r="G1579" t="s">
        <v>4726</v>
      </c>
      <c r="H1579" t="s">
        <v>805</v>
      </c>
      <c r="I1579">
        <v>20</v>
      </c>
      <c r="J1579">
        <v>0</v>
      </c>
      <c r="K1579">
        <v>0</v>
      </c>
      <c r="L1579">
        <v>10</v>
      </c>
      <c r="M1579">
        <v>10</v>
      </c>
      <c r="N1579">
        <v>0</v>
      </c>
      <c r="O1579">
        <v>0</v>
      </c>
      <c r="P1579" s="44" t="str">
        <f>_xlfn.XLOOKUP(Tabla5[[#This Row],[EAN CORREGIDO]],'Tabla Articulos'!B:B,'Tabla Articulos'!D:D)</f>
        <v>CUCHARA SOPERA</v>
      </c>
      <c r="Q1579" s="44">
        <f>_xlfn.XLOOKUP(S1579,'Tabla Articulos'!B:B,'Tabla Articulos'!E:E)</f>
        <v>1000</v>
      </c>
      <c r="R1579" s="44">
        <f t="shared" si="48"/>
        <v>0</v>
      </c>
      <c r="S1579" s="45" t="str">
        <f t="shared" si="49"/>
        <v>7790321020186</v>
      </c>
    </row>
    <row r="1580" spans="1:19" hidden="1" x14ac:dyDescent="0.35">
      <c r="A1580" s="22">
        <v>6</v>
      </c>
      <c r="B1580" t="s">
        <v>801</v>
      </c>
      <c r="C1580" t="s">
        <v>802</v>
      </c>
      <c r="E1580" t="s">
        <v>4727</v>
      </c>
      <c r="F1580" s="11">
        <v>9003279</v>
      </c>
      <c r="G1580" t="s">
        <v>4728</v>
      </c>
      <c r="H1580" t="s">
        <v>805</v>
      </c>
      <c r="I1580">
        <v>22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22</v>
      </c>
      <c r="P1580" s="44" t="e">
        <f>_xlfn.XLOOKUP(Tabla5[[#This Row],[EAN CORREGIDO]],'Tabla Articulos'!B:B,'Tabla Articulos'!D:D)</f>
        <v>#N/A</v>
      </c>
      <c r="Q1580" s="44" t="e">
        <f>_xlfn.XLOOKUP(S1580,'Tabla Articulos'!B:B,'Tabla Articulos'!E:E)</f>
        <v>#N/A</v>
      </c>
      <c r="R1580" s="44" t="e">
        <f t="shared" si="48"/>
        <v>#N/A</v>
      </c>
      <c r="S1580" s="45" t="str">
        <f t="shared" si="49"/>
        <v>UNIF000032</v>
      </c>
    </row>
    <row r="1581" spans="1:19" hidden="1" x14ac:dyDescent="0.35">
      <c r="A1581" s="22">
        <v>6</v>
      </c>
      <c r="B1581" t="s">
        <v>801</v>
      </c>
      <c r="C1581" t="s">
        <v>802</v>
      </c>
      <c r="E1581" t="s">
        <v>4729</v>
      </c>
      <c r="F1581" s="11">
        <v>9003171</v>
      </c>
      <c r="G1581" t="s">
        <v>4730</v>
      </c>
      <c r="H1581" t="s">
        <v>805</v>
      </c>
      <c r="I1581">
        <v>123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123</v>
      </c>
      <c r="P1581" s="44" t="e">
        <f>_xlfn.XLOOKUP(Tabla5[[#This Row],[EAN CORREGIDO]],'Tabla Articulos'!B:B,'Tabla Articulos'!D:D)</f>
        <v>#N/A</v>
      </c>
      <c r="Q1581" s="44" t="e">
        <f>_xlfn.XLOOKUP(S1581,'Tabla Articulos'!B:B,'Tabla Articulos'!E:E)</f>
        <v>#N/A</v>
      </c>
      <c r="R1581" s="44" t="e">
        <f t="shared" si="48"/>
        <v>#N/A</v>
      </c>
      <c r="S1581" s="45" t="str">
        <f t="shared" si="49"/>
        <v>UNIF000366</v>
      </c>
    </row>
    <row r="1582" spans="1:19" hidden="1" x14ac:dyDescent="0.35">
      <c r="A1582" s="22">
        <v>6</v>
      </c>
      <c r="B1582" t="s">
        <v>801</v>
      </c>
      <c r="C1582" t="s">
        <v>802</v>
      </c>
      <c r="D1582" s="11" t="s">
        <v>1804</v>
      </c>
      <c r="E1582" t="s">
        <v>4731</v>
      </c>
      <c r="F1582" s="11">
        <v>2006335</v>
      </c>
      <c r="G1582" t="s">
        <v>4732</v>
      </c>
      <c r="H1582" t="s">
        <v>805</v>
      </c>
      <c r="I1582">
        <v>799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799</v>
      </c>
      <c r="P1582" s="44" t="e">
        <f>_xlfn.XLOOKUP(Tabla5[[#This Row],[EAN CORREGIDO]],'Tabla Articulos'!B:B,'Tabla Articulos'!D:D)</f>
        <v>#N/A</v>
      </c>
      <c r="Q1582" s="44" t="e">
        <f>_xlfn.XLOOKUP(S1582,'Tabla Articulos'!B:B,'Tabla Articulos'!E:E)</f>
        <v>#N/A</v>
      </c>
      <c r="R1582" s="44" t="e">
        <f t="shared" si="48"/>
        <v>#N/A</v>
      </c>
      <c r="S1582" s="45" t="str">
        <f t="shared" si="49"/>
        <v>7798188650690</v>
      </c>
    </row>
    <row r="1583" spans="1:19" hidden="1" x14ac:dyDescent="0.35">
      <c r="A1583" s="22">
        <v>5</v>
      </c>
      <c r="B1583" t="s">
        <v>829</v>
      </c>
      <c r="C1583" t="s">
        <v>802</v>
      </c>
      <c r="D1583" s="11" t="s">
        <v>1133</v>
      </c>
      <c r="E1583" t="s">
        <v>1134</v>
      </c>
      <c r="F1583" s="11">
        <v>4022698</v>
      </c>
      <c r="G1583" t="s">
        <v>1135</v>
      </c>
      <c r="H1583" t="s">
        <v>805</v>
      </c>
      <c r="I1583">
        <v>58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58</v>
      </c>
      <c r="P1583" s="44" t="e">
        <f>_xlfn.XLOOKUP(Tabla5[[#This Row],[EAN CORREGIDO]],'Tabla Articulos'!B:B,'Tabla Articulos'!D:D)</f>
        <v>#N/A</v>
      </c>
      <c r="Q1583" s="44" t="e">
        <f>_xlfn.XLOOKUP(S1583,'Tabla Articulos'!B:B,'Tabla Articulos'!E:E)</f>
        <v>#N/A</v>
      </c>
      <c r="R1583" s="44" t="e">
        <f t="shared" si="48"/>
        <v>#N/A</v>
      </c>
      <c r="S1583" s="45" t="str">
        <f t="shared" si="49"/>
        <v>77965677</v>
      </c>
    </row>
    <row r="1584" spans="1:19" hidden="1" x14ac:dyDescent="0.35">
      <c r="A1584" s="22">
        <v>1</v>
      </c>
      <c r="B1584" t="s">
        <v>812</v>
      </c>
      <c r="C1584" t="s">
        <v>802</v>
      </c>
      <c r="D1584" s="11" t="s">
        <v>1133</v>
      </c>
      <c r="E1584" t="s">
        <v>1134</v>
      </c>
      <c r="F1584" s="11">
        <v>4022698</v>
      </c>
      <c r="G1584" t="s">
        <v>1135</v>
      </c>
      <c r="H1584" t="s">
        <v>805</v>
      </c>
      <c r="I1584">
        <v>122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122</v>
      </c>
      <c r="P1584" s="44" t="e">
        <f>_xlfn.XLOOKUP(Tabla5[[#This Row],[EAN CORREGIDO]],'Tabla Articulos'!B:B,'Tabla Articulos'!D:D)</f>
        <v>#N/A</v>
      </c>
      <c r="Q1584" s="44" t="e">
        <f>_xlfn.XLOOKUP(S1584,'Tabla Articulos'!B:B,'Tabla Articulos'!E:E)</f>
        <v>#N/A</v>
      </c>
      <c r="R1584" s="44" t="e">
        <f t="shared" si="48"/>
        <v>#N/A</v>
      </c>
      <c r="S1584" s="45" t="str">
        <f t="shared" si="49"/>
        <v>77965677</v>
      </c>
    </row>
    <row r="1585" spans="1:19" hidden="1" x14ac:dyDescent="0.35">
      <c r="A1585" s="22">
        <v>6</v>
      </c>
      <c r="B1585" t="s">
        <v>801</v>
      </c>
      <c r="C1585" t="s">
        <v>802</v>
      </c>
      <c r="E1585" t="s">
        <v>1136</v>
      </c>
      <c r="F1585" s="11">
        <v>9003554</v>
      </c>
      <c r="G1585" t="s">
        <v>1137</v>
      </c>
      <c r="H1585" t="s">
        <v>805</v>
      </c>
      <c r="I1585">
        <v>6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6</v>
      </c>
      <c r="P1585" s="44" t="e">
        <f>_xlfn.XLOOKUP(Tabla5[[#This Row],[EAN CORREGIDO]],'Tabla Articulos'!B:B,'Tabla Articulos'!D:D)</f>
        <v>#N/A</v>
      </c>
      <c r="Q1585" s="44" t="e">
        <f>_xlfn.XLOOKUP(S1585,'Tabla Articulos'!B:B,'Tabla Articulos'!E:E)</f>
        <v>#N/A</v>
      </c>
      <c r="R1585" s="44" t="e">
        <f t="shared" si="48"/>
        <v>#N/A</v>
      </c>
      <c r="S1585" s="45" t="str">
        <f t="shared" si="49"/>
        <v>UNIF000093</v>
      </c>
    </row>
    <row r="1586" spans="1:19" hidden="1" x14ac:dyDescent="0.35">
      <c r="A1586" s="22">
        <v>1</v>
      </c>
      <c r="B1586" t="s">
        <v>812</v>
      </c>
      <c r="C1586" t="s">
        <v>802</v>
      </c>
      <c r="D1586" s="11" t="s">
        <v>1756</v>
      </c>
      <c r="E1586" t="s">
        <v>1757</v>
      </c>
      <c r="F1586" s="11">
        <v>4022871</v>
      </c>
      <c r="G1586" t="s">
        <v>1758</v>
      </c>
      <c r="H1586" t="s">
        <v>805</v>
      </c>
      <c r="I1586">
        <v>45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44</v>
      </c>
      <c r="P1586" s="44" t="e">
        <f>_xlfn.XLOOKUP(Tabla5[[#This Row],[EAN CORREGIDO]],'Tabla Articulos'!B:B,'Tabla Articulos'!D:D)</f>
        <v>#N/A</v>
      </c>
      <c r="Q1586" s="44" t="e">
        <f>_xlfn.XLOOKUP(S1586,'Tabla Articulos'!B:B,'Tabla Articulos'!E:E)</f>
        <v>#N/A</v>
      </c>
      <c r="R1586" s="44" t="e">
        <f t="shared" si="48"/>
        <v>#N/A</v>
      </c>
      <c r="S1586" s="45" t="str">
        <f t="shared" si="49"/>
        <v>779405803176</v>
      </c>
    </row>
    <row r="1587" spans="1:19" hidden="1" x14ac:dyDescent="0.35">
      <c r="A1587" s="22">
        <v>5</v>
      </c>
      <c r="B1587" t="s">
        <v>829</v>
      </c>
      <c r="C1587" t="s">
        <v>802</v>
      </c>
      <c r="D1587" t="s">
        <v>1759</v>
      </c>
      <c r="E1587" t="s">
        <v>1760</v>
      </c>
      <c r="F1587">
        <v>4019718</v>
      </c>
      <c r="G1587" t="s">
        <v>1761</v>
      </c>
      <c r="H1587" t="s">
        <v>805</v>
      </c>
      <c r="I1587">
        <v>1677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1677</v>
      </c>
      <c r="P1587" s="44" t="e">
        <f>_xlfn.XLOOKUP(Tabla5[[#This Row],[EAN CORREGIDO]],'Tabla Articulos'!B:B,'Tabla Articulos'!D:D)</f>
        <v>#N/A</v>
      </c>
      <c r="Q1587" s="44" t="e">
        <f>_xlfn.XLOOKUP(S1587,'Tabla Articulos'!B:B,'Tabla Articulos'!E:E)</f>
        <v>#N/A</v>
      </c>
      <c r="R1587" s="44" t="e">
        <f t="shared" si="48"/>
        <v>#N/A</v>
      </c>
      <c r="S1587" s="45" t="str">
        <f t="shared" si="49"/>
        <v>7792290278797</v>
      </c>
    </row>
    <row r="1588" spans="1:19" hidden="1" x14ac:dyDescent="0.35">
      <c r="A1588" s="22">
        <v>6</v>
      </c>
      <c r="B1588" t="s">
        <v>801</v>
      </c>
      <c r="C1588" t="s">
        <v>802</v>
      </c>
      <c r="E1588" t="s">
        <v>1762</v>
      </c>
      <c r="F1588">
        <v>9003422</v>
      </c>
      <c r="G1588" t="s">
        <v>1763</v>
      </c>
      <c r="H1588" t="s">
        <v>805</v>
      </c>
      <c r="I1588">
        <v>30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30</v>
      </c>
      <c r="P1588" s="44" t="e">
        <f>_xlfn.XLOOKUP(Tabla5[[#This Row],[EAN CORREGIDO]],'Tabla Articulos'!B:B,'Tabla Articulos'!D:D)</f>
        <v>#N/A</v>
      </c>
      <c r="Q1588" s="44" t="e">
        <f>_xlfn.XLOOKUP(S1588,'Tabla Articulos'!B:B,'Tabla Articulos'!E:E)</f>
        <v>#N/A</v>
      </c>
      <c r="R1588" s="44" t="e">
        <f t="shared" si="48"/>
        <v>#N/A</v>
      </c>
      <c r="S1588" s="45" t="str">
        <f t="shared" si="49"/>
        <v>UNIF000109</v>
      </c>
    </row>
    <row r="1589" spans="1:19" hidden="1" x14ac:dyDescent="0.35">
      <c r="A1589" s="22">
        <v>6</v>
      </c>
      <c r="B1589" t="s">
        <v>801</v>
      </c>
      <c r="C1589" t="s">
        <v>802</v>
      </c>
      <c r="D1589" t="s">
        <v>1374</v>
      </c>
      <c r="E1589" t="s">
        <v>5146</v>
      </c>
      <c r="F1589">
        <v>2006625</v>
      </c>
      <c r="G1589" t="s">
        <v>5147</v>
      </c>
      <c r="H1589" t="s">
        <v>805</v>
      </c>
      <c r="I1589">
        <v>1806</v>
      </c>
      <c r="J1589">
        <v>0</v>
      </c>
      <c r="K1589">
        <v>0</v>
      </c>
      <c r="L1589">
        <v>0</v>
      </c>
      <c r="M1589">
        <v>4</v>
      </c>
      <c r="N1589">
        <v>0</v>
      </c>
      <c r="O1589">
        <v>1802</v>
      </c>
      <c r="P1589" s="44" t="e">
        <f>_xlfn.XLOOKUP(Tabla5[[#This Row],[EAN CORREGIDO]],'Tabla Articulos'!B:B,'Tabla Articulos'!D:D)</f>
        <v>#N/A</v>
      </c>
      <c r="Q1589" s="44" t="e">
        <f>_xlfn.XLOOKUP(S1589,'Tabla Articulos'!B:B,'Tabla Articulos'!E:E)</f>
        <v>#N/A</v>
      </c>
      <c r="R1589" s="44" t="e">
        <f t="shared" si="48"/>
        <v>#N/A</v>
      </c>
      <c r="S1589" s="45" t="str">
        <f t="shared" si="49"/>
        <v>LIM000249</v>
      </c>
    </row>
    <row r="1590" spans="1:19" hidden="1" x14ac:dyDescent="0.35">
      <c r="A1590" s="22">
        <v>1</v>
      </c>
      <c r="B1590" t="s">
        <v>812</v>
      </c>
      <c r="C1590" t="s">
        <v>802</v>
      </c>
      <c r="D1590" s="11" t="s">
        <v>3977</v>
      </c>
      <c r="E1590" t="s">
        <v>5383</v>
      </c>
      <c r="F1590">
        <v>4077457</v>
      </c>
      <c r="G1590" t="s">
        <v>5384</v>
      </c>
      <c r="H1590" t="s">
        <v>805</v>
      </c>
      <c r="I1590">
        <v>1507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1507</v>
      </c>
      <c r="P1590" s="44" t="e">
        <f>_xlfn.XLOOKUP(Tabla5[[#This Row],[EAN CORREGIDO]],'Tabla Articulos'!B:B,'Tabla Articulos'!D:D)</f>
        <v>#N/A</v>
      </c>
      <c r="Q1590" s="44" t="e">
        <f>_xlfn.XLOOKUP(S1590,'Tabla Articulos'!B:B,'Tabla Articulos'!E:E)</f>
        <v>#N/A</v>
      </c>
      <c r="R1590" s="44" t="e">
        <f t="shared" si="48"/>
        <v>#N/A</v>
      </c>
      <c r="S1590" s="45" t="str">
        <f t="shared" si="49"/>
        <v>7790045826637</v>
      </c>
    </row>
    <row r="1591" spans="1:19" hidden="1" x14ac:dyDescent="0.35">
      <c r="A1591" s="22">
        <v>5</v>
      </c>
      <c r="B1591" t="s">
        <v>829</v>
      </c>
      <c r="C1591" t="s">
        <v>802</v>
      </c>
      <c r="D1591" t="s">
        <v>1615</v>
      </c>
      <c r="E1591" t="s">
        <v>5385</v>
      </c>
      <c r="F1591">
        <v>4020204</v>
      </c>
      <c r="G1591" t="s">
        <v>5386</v>
      </c>
      <c r="H1591" t="s">
        <v>805</v>
      </c>
      <c r="I1591">
        <v>1490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1490</v>
      </c>
      <c r="P1591" s="44" t="e">
        <f>_xlfn.XLOOKUP(Tabla5[[#This Row],[EAN CORREGIDO]],'Tabla Articulos'!B:B,'Tabla Articulos'!D:D)</f>
        <v>#N/A</v>
      </c>
      <c r="Q1591" s="44" t="e">
        <f>_xlfn.XLOOKUP(S1591,'Tabla Articulos'!B:B,'Tabla Articulos'!E:E)</f>
        <v>#N/A</v>
      </c>
      <c r="R1591" s="44" t="e">
        <f t="shared" si="48"/>
        <v>#N/A</v>
      </c>
      <c r="S1591" s="45" t="str">
        <f t="shared" si="49"/>
        <v>7795933000298</v>
      </c>
    </row>
    <row r="1592" spans="1:19" hidden="1" x14ac:dyDescent="0.35">
      <c r="A1592" s="22">
        <v>1</v>
      </c>
      <c r="B1592" t="s">
        <v>812</v>
      </c>
      <c r="C1592" t="s">
        <v>802</v>
      </c>
      <c r="D1592" t="s">
        <v>1615</v>
      </c>
      <c r="E1592" t="s">
        <v>5385</v>
      </c>
      <c r="F1592">
        <v>4020204</v>
      </c>
      <c r="G1592" t="s">
        <v>5386</v>
      </c>
      <c r="H1592" t="s">
        <v>805</v>
      </c>
      <c r="I1592">
        <v>834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834</v>
      </c>
      <c r="P1592" s="44" t="e">
        <f>_xlfn.XLOOKUP(Tabla5[[#This Row],[EAN CORREGIDO]],'Tabla Articulos'!B:B,'Tabla Articulos'!D:D)</f>
        <v>#N/A</v>
      </c>
      <c r="Q1592" s="44" t="e">
        <f>_xlfn.XLOOKUP(S1592,'Tabla Articulos'!B:B,'Tabla Articulos'!E:E)</f>
        <v>#N/A</v>
      </c>
      <c r="R1592" s="44" t="e">
        <f t="shared" si="48"/>
        <v>#N/A</v>
      </c>
      <c r="S1592" s="45" t="str">
        <f t="shared" si="49"/>
        <v>7795933000298</v>
      </c>
    </row>
    <row r="1593" spans="1:19" hidden="1" x14ac:dyDescent="0.35">
      <c r="A1593" s="22">
        <v>6</v>
      </c>
      <c r="B1593" t="s">
        <v>801</v>
      </c>
      <c r="C1593" t="s">
        <v>802</v>
      </c>
      <c r="D1593"/>
      <c r="E1593" t="s">
        <v>5387</v>
      </c>
      <c r="F1593">
        <v>9003596</v>
      </c>
      <c r="G1593" t="s">
        <v>5388</v>
      </c>
      <c r="H1593" t="s">
        <v>805</v>
      </c>
      <c r="I1593">
        <v>64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64</v>
      </c>
      <c r="P1593" s="44" t="e">
        <f>_xlfn.XLOOKUP(Tabla5[[#This Row],[EAN CORREGIDO]],'Tabla Articulos'!B:B,'Tabla Articulos'!D:D)</f>
        <v>#N/A</v>
      </c>
      <c r="Q1593" s="44" t="e">
        <f>_xlfn.XLOOKUP(S1593,'Tabla Articulos'!B:B,'Tabla Articulos'!E:E)</f>
        <v>#N/A</v>
      </c>
      <c r="R1593" s="44" t="e">
        <f t="shared" si="48"/>
        <v>#N/A</v>
      </c>
      <c r="S1593" s="45" t="str">
        <f t="shared" si="49"/>
        <v>UNIF000435</v>
      </c>
    </row>
    <row r="1594" spans="1:19" hidden="1" x14ac:dyDescent="0.35">
      <c r="A1594" s="22">
        <v>1</v>
      </c>
      <c r="B1594" t="s">
        <v>812</v>
      </c>
      <c r="C1594" t="s">
        <v>802</v>
      </c>
      <c r="D1594" t="s">
        <v>2432</v>
      </c>
      <c r="E1594" t="s">
        <v>5389</v>
      </c>
      <c r="F1594">
        <v>4022403</v>
      </c>
      <c r="G1594" t="s">
        <v>5390</v>
      </c>
      <c r="H1594" t="s">
        <v>805</v>
      </c>
      <c r="I1594">
        <v>64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64</v>
      </c>
      <c r="P1594" s="44" t="e">
        <f>_xlfn.XLOOKUP(Tabla5[[#This Row],[EAN CORREGIDO]],'Tabla Articulos'!B:B,'Tabla Articulos'!D:D)</f>
        <v>#N/A</v>
      </c>
      <c r="Q1594" s="44" t="e">
        <f>_xlfn.XLOOKUP(S1594,'Tabla Articulos'!B:B,'Tabla Articulos'!E:E)</f>
        <v>#N/A</v>
      </c>
      <c r="R1594" s="44" t="e">
        <f t="shared" si="48"/>
        <v>#N/A</v>
      </c>
      <c r="S1594" s="45" t="str">
        <f t="shared" si="49"/>
        <v>7792900092676</v>
      </c>
    </row>
    <row r="1595" spans="1:19" hidden="1" x14ac:dyDescent="0.35">
      <c r="A1595" s="22">
        <v>1</v>
      </c>
      <c r="B1595" t="s">
        <v>812</v>
      </c>
      <c r="C1595" t="s">
        <v>802</v>
      </c>
      <c r="D1595" t="s">
        <v>5391</v>
      </c>
      <c r="E1595" t="s">
        <v>5392</v>
      </c>
      <c r="F1595">
        <v>4024052</v>
      </c>
      <c r="G1595" t="s">
        <v>5393</v>
      </c>
      <c r="H1595" t="s">
        <v>805</v>
      </c>
      <c r="I1595">
        <v>7669</v>
      </c>
      <c r="J1595">
        <v>0</v>
      </c>
      <c r="K1595">
        <v>0</v>
      </c>
      <c r="L1595">
        <v>0</v>
      </c>
      <c r="M1595">
        <v>451</v>
      </c>
      <c r="N1595">
        <v>0</v>
      </c>
      <c r="O1595">
        <v>7218</v>
      </c>
      <c r="P1595" s="44" t="e">
        <f>_xlfn.XLOOKUP(Tabla5[[#This Row],[EAN CORREGIDO]],'Tabla Articulos'!B:B,'Tabla Articulos'!D:D)</f>
        <v>#N/A</v>
      </c>
      <c r="Q1595" s="44" t="e">
        <f>_xlfn.XLOOKUP(S1595,'Tabla Articulos'!B:B,'Tabla Articulos'!E:E)</f>
        <v>#N/A</v>
      </c>
      <c r="R1595" s="44" t="e">
        <f t="shared" si="48"/>
        <v>#N/A</v>
      </c>
      <c r="S1595" s="45" t="str">
        <f t="shared" si="49"/>
        <v>7798188380214</v>
      </c>
    </row>
    <row r="1596" spans="1:19" hidden="1" x14ac:dyDescent="0.35">
      <c r="A1596" s="22">
        <v>5</v>
      </c>
      <c r="B1596" t="s">
        <v>829</v>
      </c>
      <c r="C1596" t="s">
        <v>802</v>
      </c>
      <c r="D1596" t="s">
        <v>5391</v>
      </c>
      <c r="E1596" t="s">
        <v>5392</v>
      </c>
      <c r="F1596">
        <v>4024052</v>
      </c>
      <c r="G1596" t="s">
        <v>5393</v>
      </c>
      <c r="H1596" t="s">
        <v>805</v>
      </c>
      <c r="I1596">
        <v>48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48</v>
      </c>
      <c r="P1596" s="44" t="e">
        <f>_xlfn.XLOOKUP(Tabla5[[#This Row],[EAN CORREGIDO]],'Tabla Articulos'!B:B,'Tabla Articulos'!D:D)</f>
        <v>#N/A</v>
      </c>
      <c r="Q1596" s="44" t="e">
        <f>_xlfn.XLOOKUP(S1596,'Tabla Articulos'!B:B,'Tabla Articulos'!E:E)</f>
        <v>#N/A</v>
      </c>
      <c r="R1596" s="44" t="e">
        <f t="shared" si="48"/>
        <v>#N/A</v>
      </c>
      <c r="S1596" s="45" t="str">
        <f t="shared" si="49"/>
        <v>7798188380214</v>
      </c>
    </row>
    <row r="1597" spans="1:19" hidden="1" x14ac:dyDescent="0.35">
      <c r="A1597" s="22">
        <v>6</v>
      </c>
      <c r="B1597" t="s">
        <v>801</v>
      </c>
      <c r="C1597" t="s">
        <v>802</v>
      </c>
      <c r="D1597"/>
      <c r="E1597" t="s">
        <v>5394</v>
      </c>
      <c r="F1597">
        <v>2007218</v>
      </c>
      <c r="G1597" t="s">
        <v>5395</v>
      </c>
      <c r="H1597" t="s">
        <v>1034</v>
      </c>
      <c r="I1597">
        <v>12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12</v>
      </c>
      <c r="P1597" s="44" t="e">
        <f>_xlfn.XLOOKUP(Tabla5[[#This Row],[EAN CORREGIDO]],'Tabla Articulos'!B:B,'Tabla Articulos'!D:D)</f>
        <v>#N/A</v>
      </c>
      <c r="Q1597" s="44" t="e">
        <f>_xlfn.XLOOKUP(S1597,'Tabla Articulos'!B:B,'Tabla Articulos'!E:E)</f>
        <v>#N/A</v>
      </c>
      <c r="R1597" s="44" t="e">
        <f t="shared" si="48"/>
        <v>#N/A</v>
      </c>
      <c r="S1597" s="45" t="str">
        <f t="shared" si="49"/>
        <v>7798090050236</v>
      </c>
    </row>
    <row r="1598" spans="1:19" hidden="1" x14ac:dyDescent="0.35">
      <c r="A1598" s="22">
        <v>1</v>
      </c>
      <c r="B1598" t="s">
        <v>812</v>
      </c>
      <c r="C1598" t="s">
        <v>802</v>
      </c>
      <c r="D1598" t="s">
        <v>5396</v>
      </c>
      <c r="E1598" t="s">
        <v>5397</v>
      </c>
      <c r="F1598">
        <v>4018048</v>
      </c>
      <c r="G1598" t="s">
        <v>5398</v>
      </c>
      <c r="H1598" t="s">
        <v>805</v>
      </c>
      <c r="I1598">
        <v>3602</v>
      </c>
      <c r="J1598">
        <v>0</v>
      </c>
      <c r="K1598">
        <v>0</v>
      </c>
      <c r="L1598">
        <v>0</v>
      </c>
      <c r="M1598">
        <v>180</v>
      </c>
      <c r="N1598">
        <v>0</v>
      </c>
      <c r="O1598">
        <v>3422</v>
      </c>
      <c r="P1598" s="44" t="e">
        <f>_xlfn.XLOOKUP(Tabla5[[#This Row],[EAN CORREGIDO]],'Tabla Articulos'!B:B,'Tabla Articulos'!D:D)</f>
        <v>#N/A</v>
      </c>
      <c r="Q1598" s="44" t="e">
        <f>_xlfn.XLOOKUP(S1598,'Tabla Articulos'!B:B,'Tabla Articulos'!E:E)</f>
        <v>#N/A</v>
      </c>
      <c r="R1598" s="44" t="e">
        <f t="shared" si="48"/>
        <v>#N/A</v>
      </c>
      <c r="S1598" s="45" t="str">
        <f t="shared" si="49"/>
        <v>7790216020036</v>
      </c>
    </row>
    <row r="1599" spans="1:19" hidden="1" x14ac:dyDescent="0.35">
      <c r="A1599" s="22">
        <v>1</v>
      </c>
      <c r="B1599" t="s">
        <v>812</v>
      </c>
      <c r="C1599" t="s">
        <v>802</v>
      </c>
      <c r="D1599" s="11" t="s">
        <v>5399</v>
      </c>
      <c r="E1599" t="s">
        <v>5400</v>
      </c>
      <c r="F1599">
        <v>4020359</v>
      </c>
      <c r="G1599" t="s">
        <v>5401</v>
      </c>
      <c r="H1599" t="s">
        <v>805</v>
      </c>
      <c r="I1599">
        <v>193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193</v>
      </c>
      <c r="P1599" s="44" t="e">
        <f>_xlfn.XLOOKUP(Tabla5[[#This Row],[EAN CORREGIDO]],'Tabla Articulos'!B:B,'Tabla Articulos'!D:D)</f>
        <v>#N/A</v>
      </c>
      <c r="Q1599" s="44" t="e">
        <f>_xlfn.XLOOKUP(S1599,'Tabla Articulos'!B:B,'Tabla Articulos'!E:E)</f>
        <v>#N/A</v>
      </c>
      <c r="R1599" s="44" t="e">
        <f t="shared" si="48"/>
        <v>#N/A</v>
      </c>
      <c r="S1599" s="45" t="str">
        <f t="shared" si="49"/>
        <v>7798082000492</v>
      </c>
    </row>
    <row r="1600" spans="1:19" hidden="1" x14ac:dyDescent="0.35">
      <c r="A1600" s="22">
        <v>5</v>
      </c>
      <c r="B1600" t="s">
        <v>829</v>
      </c>
      <c r="C1600" t="s">
        <v>802</v>
      </c>
      <c r="D1600" t="s">
        <v>5402</v>
      </c>
      <c r="E1600" t="s">
        <v>5403</v>
      </c>
      <c r="F1600">
        <v>4020710</v>
      </c>
      <c r="G1600" t="s">
        <v>5404</v>
      </c>
      <c r="H1600" t="s">
        <v>805</v>
      </c>
      <c r="I1600">
        <v>67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67</v>
      </c>
      <c r="P1600" s="44" t="e">
        <f>_xlfn.XLOOKUP(Tabla5[[#This Row],[EAN CORREGIDO]],'Tabla Articulos'!B:B,'Tabla Articulos'!D:D)</f>
        <v>#N/A</v>
      </c>
      <c r="Q1600" s="44" t="e">
        <f>_xlfn.XLOOKUP(S1600,'Tabla Articulos'!B:B,'Tabla Articulos'!E:E)</f>
        <v>#N/A</v>
      </c>
      <c r="R1600" s="44" t="e">
        <f t="shared" si="48"/>
        <v>#N/A</v>
      </c>
      <c r="S1600" s="45" t="str">
        <f t="shared" si="49"/>
        <v>7798011976485</v>
      </c>
    </row>
    <row r="1601" spans="1:19" hidden="1" x14ac:dyDescent="0.35">
      <c r="A1601" s="22">
        <v>6</v>
      </c>
      <c r="B1601" t="s">
        <v>801</v>
      </c>
      <c r="C1601" t="s">
        <v>802</v>
      </c>
      <c r="D1601"/>
      <c r="E1601" t="s">
        <v>5405</v>
      </c>
      <c r="F1601">
        <v>9003862</v>
      </c>
      <c r="G1601" t="s">
        <v>5406</v>
      </c>
      <c r="H1601" t="s">
        <v>805</v>
      </c>
      <c r="I1601">
        <v>23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23</v>
      </c>
      <c r="P1601" s="44" t="e">
        <f>_xlfn.XLOOKUP(Tabla5[[#This Row],[EAN CORREGIDO]],'Tabla Articulos'!B:B,'Tabla Articulos'!D:D)</f>
        <v>#N/A</v>
      </c>
      <c r="Q1601" s="44" t="e">
        <f>_xlfn.XLOOKUP(S1601,'Tabla Articulos'!B:B,'Tabla Articulos'!E:E)</f>
        <v>#N/A</v>
      </c>
      <c r="R1601" s="44" t="e">
        <f t="shared" ref="R1601:R1664" si="50">O1601*Q1601</f>
        <v>#N/A</v>
      </c>
      <c r="S1601" s="45" t="str">
        <f t="shared" ref="S1601:S1664" si="51">TRIM(E1601)</f>
        <v>BAZ001261</v>
      </c>
    </row>
    <row r="1602" spans="1:19" hidden="1" x14ac:dyDescent="0.35">
      <c r="A1602" s="22">
        <v>1</v>
      </c>
      <c r="B1602" t="s">
        <v>812</v>
      </c>
      <c r="C1602" t="s">
        <v>802</v>
      </c>
      <c r="D1602" t="s">
        <v>5407</v>
      </c>
      <c r="E1602" t="s">
        <v>5408</v>
      </c>
      <c r="F1602">
        <v>4018011</v>
      </c>
      <c r="G1602" t="s">
        <v>5409</v>
      </c>
      <c r="H1602" t="s">
        <v>816</v>
      </c>
      <c r="I1602">
        <v>1488.6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1488.6</v>
      </c>
      <c r="P1602" s="44" t="e">
        <f>_xlfn.XLOOKUP(Tabla5[[#This Row],[EAN CORREGIDO]],'Tabla Articulos'!B:B,'Tabla Articulos'!D:D)</f>
        <v>#N/A</v>
      </c>
      <c r="Q1602" s="44" t="e">
        <f>_xlfn.XLOOKUP(S1602,'Tabla Articulos'!B:B,'Tabla Articulos'!E:E)</f>
        <v>#N/A</v>
      </c>
      <c r="R1602" s="44" t="e">
        <f t="shared" si="50"/>
        <v>#N/A</v>
      </c>
      <c r="S1602" s="45" t="str">
        <f t="shared" si="51"/>
        <v>7790216010012</v>
      </c>
    </row>
    <row r="1603" spans="1:19" hidden="1" x14ac:dyDescent="0.35">
      <c r="A1603" s="22">
        <v>1</v>
      </c>
      <c r="B1603" t="s">
        <v>812</v>
      </c>
      <c r="C1603" t="s">
        <v>802</v>
      </c>
      <c r="D1603" t="s">
        <v>824</v>
      </c>
      <c r="E1603" t="s">
        <v>825</v>
      </c>
      <c r="F1603">
        <v>4024191</v>
      </c>
      <c r="G1603" t="s">
        <v>826</v>
      </c>
      <c r="H1603" t="s">
        <v>805</v>
      </c>
      <c r="I1603">
        <v>4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4</v>
      </c>
      <c r="P1603" s="44" t="e">
        <f>_xlfn.XLOOKUP(Tabla5[[#This Row],[EAN CORREGIDO]],'Tabla Articulos'!B:B,'Tabla Articulos'!D:D)</f>
        <v>#N/A</v>
      </c>
      <c r="Q1603" s="44" t="e">
        <f>_xlfn.XLOOKUP(S1603,'Tabla Articulos'!B:B,'Tabla Articulos'!E:E)</f>
        <v>#N/A</v>
      </c>
      <c r="R1603" s="44" t="e">
        <f t="shared" si="50"/>
        <v>#N/A</v>
      </c>
      <c r="S1603" s="45" t="str">
        <f t="shared" si="51"/>
        <v>7790530340655</v>
      </c>
    </row>
    <row r="1604" spans="1:19" hidden="1" x14ac:dyDescent="0.35">
      <c r="A1604" s="22">
        <v>6</v>
      </c>
      <c r="B1604" t="s">
        <v>801</v>
      </c>
      <c r="C1604" t="s">
        <v>802</v>
      </c>
      <c r="D1604"/>
      <c r="E1604" t="s">
        <v>827</v>
      </c>
      <c r="F1604">
        <v>9003240</v>
      </c>
      <c r="G1604" t="s">
        <v>828</v>
      </c>
      <c r="H1604" t="s">
        <v>805</v>
      </c>
      <c r="I1604">
        <v>29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29</v>
      </c>
      <c r="P1604" s="44" t="e">
        <f>_xlfn.XLOOKUP(Tabla5[[#This Row],[EAN CORREGIDO]],'Tabla Articulos'!B:B,'Tabla Articulos'!D:D)</f>
        <v>#N/A</v>
      </c>
      <c r="Q1604" s="44" t="e">
        <f>_xlfn.XLOOKUP(S1604,'Tabla Articulos'!B:B,'Tabla Articulos'!E:E)</f>
        <v>#N/A</v>
      </c>
      <c r="R1604" s="44" t="e">
        <f t="shared" si="50"/>
        <v>#N/A</v>
      </c>
      <c r="S1604" s="45" t="str">
        <f t="shared" si="51"/>
        <v>UNIF000468</v>
      </c>
    </row>
    <row r="1605" spans="1:19" hidden="1" x14ac:dyDescent="0.35">
      <c r="A1605" s="22">
        <v>5</v>
      </c>
      <c r="B1605" t="s">
        <v>829</v>
      </c>
      <c r="C1605" t="s">
        <v>802</v>
      </c>
      <c r="D1605" t="s">
        <v>830</v>
      </c>
      <c r="E1605" t="s">
        <v>831</v>
      </c>
      <c r="F1605">
        <v>4018059</v>
      </c>
      <c r="G1605" t="s">
        <v>832</v>
      </c>
      <c r="H1605" t="s">
        <v>816</v>
      </c>
      <c r="I1605">
        <v>3.88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3.88</v>
      </c>
      <c r="P1605" s="44" t="e">
        <f>_xlfn.XLOOKUP(Tabla5[[#This Row],[EAN CORREGIDO]],'Tabla Articulos'!B:B,'Tabla Articulos'!D:D)</f>
        <v>#N/A</v>
      </c>
      <c r="Q1605" s="44" t="e">
        <f>_xlfn.XLOOKUP(S1605,'Tabla Articulos'!B:B,'Tabla Articulos'!E:E)</f>
        <v>#N/A</v>
      </c>
      <c r="R1605" s="44" t="e">
        <f t="shared" si="50"/>
        <v>#N/A</v>
      </c>
      <c r="S1605" s="45" t="str">
        <f t="shared" si="51"/>
        <v>7790216020098</v>
      </c>
    </row>
    <row r="1606" spans="1:19" hidden="1" x14ac:dyDescent="0.35">
      <c r="A1606" s="22">
        <v>6</v>
      </c>
      <c r="B1606" t="s">
        <v>801</v>
      </c>
      <c r="C1606" t="s">
        <v>802</v>
      </c>
      <c r="D1606" s="11" t="s">
        <v>351</v>
      </c>
      <c r="E1606" t="s">
        <v>833</v>
      </c>
      <c r="F1606">
        <v>2007128</v>
      </c>
      <c r="G1606" t="s">
        <v>834</v>
      </c>
      <c r="H1606" t="s">
        <v>805</v>
      </c>
      <c r="I1606">
        <v>109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109</v>
      </c>
      <c r="P1606" s="44" t="str">
        <f>_xlfn.XLOOKUP(Tabla5[[#This Row],[EAN CORREGIDO]],'Tabla Articulos'!B:B,'Tabla Articulos'!D:D)</f>
        <v>TENEDOR DESCARTABLE</v>
      </c>
      <c r="Q1606" s="44">
        <f>_xlfn.XLOOKUP(S1606,'Tabla Articulos'!B:B,'Tabla Articulos'!E:E)</f>
        <v>1000</v>
      </c>
      <c r="R1606" s="44">
        <f t="shared" si="50"/>
        <v>109000</v>
      </c>
      <c r="S1606" s="45" t="str">
        <f t="shared" si="51"/>
        <v>7790000000251</v>
      </c>
    </row>
    <row r="1607" spans="1:19" hidden="1" x14ac:dyDescent="0.35">
      <c r="A1607" s="22">
        <v>6</v>
      </c>
      <c r="B1607" t="s">
        <v>801</v>
      </c>
      <c r="C1607" t="s">
        <v>802</v>
      </c>
      <c r="D1607"/>
      <c r="E1607" t="s">
        <v>835</v>
      </c>
      <c r="F1607">
        <v>9004191</v>
      </c>
      <c r="G1607" t="s">
        <v>836</v>
      </c>
      <c r="H1607" t="s">
        <v>837</v>
      </c>
      <c r="I1607">
        <v>30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30</v>
      </c>
      <c r="P1607" s="44" t="e">
        <f>_xlfn.XLOOKUP(Tabla5[[#This Row],[EAN CORREGIDO]],'Tabla Articulos'!B:B,'Tabla Articulos'!D:D)</f>
        <v>#N/A</v>
      </c>
      <c r="Q1607" s="44" t="e">
        <f>_xlfn.XLOOKUP(S1607,'Tabla Articulos'!B:B,'Tabla Articulos'!E:E)</f>
        <v>#N/A</v>
      </c>
      <c r="R1607" s="44" t="e">
        <f t="shared" si="50"/>
        <v>#N/A</v>
      </c>
      <c r="S1607" s="45" t="str">
        <f t="shared" si="51"/>
        <v>UNIF000737</v>
      </c>
    </row>
    <row r="1608" spans="1:19" hidden="1" x14ac:dyDescent="0.35">
      <c r="A1608" s="22">
        <v>1</v>
      </c>
      <c r="B1608" t="s">
        <v>812</v>
      </c>
      <c r="C1608" t="s">
        <v>802</v>
      </c>
      <c r="D1608" s="11" t="s">
        <v>838</v>
      </c>
      <c r="E1608" t="s">
        <v>839</v>
      </c>
      <c r="F1608">
        <v>4021262</v>
      </c>
      <c r="G1608" t="s">
        <v>840</v>
      </c>
      <c r="H1608" t="s">
        <v>805</v>
      </c>
      <c r="I1608">
        <v>1795</v>
      </c>
      <c r="J1608">
        <v>-900</v>
      </c>
      <c r="K1608">
        <v>0</v>
      </c>
      <c r="L1608">
        <v>0</v>
      </c>
      <c r="M1608">
        <v>0</v>
      </c>
      <c r="N1608">
        <v>0</v>
      </c>
      <c r="O1608">
        <v>895</v>
      </c>
      <c r="P1608" s="44" t="e">
        <f>_xlfn.XLOOKUP(Tabla5[[#This Row],[EAN CORREGIDO]],'Tabla Articulos'!B:B,'Tabla Articulos'!D:D)</f>
        <v>#N/A</v>
      </c>
      <c r="Q1608" s="44" t="e">
        <f>_xlfn.XLOOKUP(S1608,'Tabla Articulos'!B:B,'Tabla Articulos'!E:E)</f>
        <v>#N/A</v>
      </c>
      <c r="R1608" s="44" t="e">
        <f t="shared" si="50"/>
        <v>#N/A</v>
      </c>
      <c r="S1608" s="45" t="str">
        <f t="shared" si="51"/>
        <v>7798338290103</v>
      </c>
    </row>
    <row r="1609" spans="1:19" hidden="1" x14ac:dyDescent="0.35">
      <c r="A1609" s="22">
        <v>6</v>
      </c>
      <c r="B1609" t="s">
        <v>801</v>
      </c>
      <c r="C1609" t="s">
        <v>802</v>
      </c>
      <c r="D1609" s="11" t="s">
        <v>841</v>
      </c>
      <c r="E1609" t="s">
        <v>842</v>
      </c>
      <c r="F1609">
        <v>2016676</v>
      </c>
      <c r="G1609" t="s">
        <v>843</v>
      </c>
      <c r="H1609" t="s">
        <v>805</v>
      </c>
      <c r="I1609">
        <v>443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443</v>
      </c>
      <c r="P1609" s="44" t="e">
        <f>_xlfn.XLOOKUP(Tabla5[[#This Row],[EAN CORREGIDO]],'Tabla Articulos'!B:B,'Tabla Articulos'!D:D)</f>
        <v>#N/A</v>
      </c>
      <c r="Q1609" s="44" t="e">
        <f>_xlfn.XLOOKUP(S1609,'Tabla Articulos'!B:B,'Tabla Articulos'!E:E)</f>
        <v>#N/A</v>
      </c>
      <c r="R1609" s="44" t="e">
        <f t="shared" si="50"/>
        <v>#N/A</v>
      </c>
      <c r="S1609" s="45" t="str">
        <f t="shared" si="51"/>
        <v>7790000000823</v>
      </c>
    </row>
    <row r="1610" spans="1:19" hidden="1" x14ac:dyDescent="0.35">
      <c r="A1610" s="22">
        <v>6</v>
      </c>
      <c r="B1610" t="s">
        <v>801</v>
      </c>
      <c r="C1610" t="s">
        <v>802</v>
      </c>
      <c r="D1610"/>
      <c r="E1610" t="s">
        <v>5410</v>
      </c>
      <c r="F1610">
        <v>9004070</v>
      </c>
      <c r="G1610" t="s">
        <v>5411</v>
      </c>
      <c r="H1610" t="s">
        <v>805</v>
      </c>
      <c r="I1610">
        <v>14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14</v>
      </c>
      <c r="P1610" s="44" t="e">
        <f>_xlfn.XLOOKUP(Tabla5[[#This Row],[EAN CORREGIDO]],'Tabla Articulos'!B:B,'Tabla Articulos'!D:D)</f>
        <v>#N/A</v>
      </c>
      <c r="Q1610" s="44" t="e">
        <f>_xlfn.XLOOKUP(S1610,'Tabla Articulos'!B:B,'Tabla Articulos'!E:E)</f>
        <v>#N/A</v>
      </c>
      <c r="R1610" s="44" t="e">
        <f t="shared" si="50"/>
        <v>#N/A</v>
      </c>
      <c r="S1610" s="45" t="str">
        <f t="shared" si="51"/>
        <v>UNIF000711</v>
      </c>
    </row>
    <row r="1611" spans="1:19" hidden="1" x14ac:dyDescent="0.35">
      <c r="A1611" s="22">
        <v>1</v>
      </c>
      <c r="B1611" t="s">
        <v>812</v>
      </c>
      <c r="C1611" t="s">
        <v>802</v>
      </c>
      <c r="D1611" t="s">
        <v>5041</v>
      </c>
      <c r="E1611" t="s">
        <v>5412</v>
      </c>
      <c r="F1611">
        <v>4023846</v>
      </c>
      <c r="G1611" t="s">
        <v>5413</v>
      </c>
      <c r="H1611" t="s">
        <v>816</v>
      </c>
      <c r="I1611">
        <v>73.099999999999994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73.099999999999994</v>
      </c>
      <c r="P1611" s="44" t="e">
        <f>_xlfn.XLOOKUP(Tabla5[[#This Row],[EAN CORREGIDO]],'Tabla Articulos'!B:B,'Tabla Articulos'!D:D)</f>
        <v>#N/A</v>
      </c>
      <c r="Q1611" s="44" t="e">
        <f>_xlfn.XLOOKUP(S1611,'Tabla Articulos'!B:B,'Tabla Articulos'!E:E)</f>
        <v>#N/A</v>
      </c>
      <c r="R1611" s="44" t="e">
        <f t="shared" si="50"/>
        <v>#N/A</v>
      </c>
      <c r="S1611" s="45" t="str">
        <f t="shared" si="51"/>
        <v>7790000000415</v>
      </c>
    </row>
    <row r="1612" spans="1:19" hidden="1" x14ac:dyDescent="0.35">
      <c r="A1612" s="22">
        <v>6</v>
      </c>
      <c r="B1612" t="s">
        <v>801</v>
      </c>
      <c r="C1612" t="s">
        <v>802</v>
      </c>
      <c r="D1612" t="s">
        <v>196</v>
      </c>
      <c r="E1612" t="s">
        <v>5456</v>
      </c>
      <c r="F1612">
        <v>2007184</v>
      </c>
      <c r="G1612" t="s">
        <v>5457</v>
      </c>
      <c r="H1612" t="s">
        <v>805</v>
      </c>
      <c r="I1612">
        <v>1254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1254</v>
      </c>
      <c r="P1612" s="44" t="str">
        <f>_xlfn.XLOOKUP(Tabla5[[#This Row],[EAN CORREGIDO]],'Tabla Articulos'!B:B,'Tabla Articulos'!D:D)</f>
        <v>FILM PVC 38</v>
      </c>
      <c r="Q1612" s="44">
        <f>_xlfn.XLOOKUP(S1612,'Tabla Articulos'!B:B,'Tabla Articulos'!E:E)</f>
        <v>1</v>
      </c>
      <c r="R1612" s="44">
        <f t="shared" si="50"/>
        <v>1254</v>
      </c>
      <c r="S1612" s="45" t="str">
        <f t="shared" si="51"/>
        <v>7790000000228</v>
      </c>
    </row>
    <row r="1613" spans="1:19" hidden="1" x14ac:dyDescent="0.35">
      <c r="A1613" s="22">
        <v>1</v>
      </c>
      <c r="B1613" t="s">
        <v>812</v>
      </c>
      <c r="C1613" t="s">
        <v>802</v>
      </c>
      <c r="D1613" t="s">
        <v>5458</v>
      </c>
      <c r="E1613" t="s">
        <v>5459</v>
      </c>
      <c r="F1613">
        <v>4018395</v>
      </c>
      <c r="G1613" t="s">
        <v>5460</v>
      </c>
      <c r="H1613" t="s">
        <v>805</v>
      </c>
      <c r="I1613">
        <v>8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8</v>
      </c>
      <c r="P1613" s="44" t="e">
        <f>_xlfn.XLOOKUP(Tabla5[[#This Row],[EAN CORREGIDO]],'Tabla Articulos'!B:B,'Tabla Articulos'!D:D)</f>
        <v>#N/A</v>
      </c>
      <c r="Q1613" s="44" t="e">
        <f>_xlfn.XLOOKUP(S1613,'Tabla Articulos'!B:B,'Tabla Articulos'!E:E)</f>
        <v>#N/A</v>
      </c>
      <c r="R1613" s="44" t="e">
        <f t="shared" si="50"/>
        <v>#N/A</v>
      </c>
      <c r="S1613" s="45" t="str">
        <f t="shared" si="51"/>
        <v>7795323002437</v>
      </c>
    </row>
    <row r="1614" spans="1:19" hidden="1" x14ac:dyDescent="0.35">
      <c r="A1614" s="22">
        <v>5</v>
      </c>
      <c r="B1614" t="s">
        <v>829</v>
      </c>
      <c r="C1614" t="s">
        <v>802</v>
      </c>
      <c r="D1614" s="11" t="s">
        <v>5461</v>
      </c>
      <c r="E1614" t="s">
        <v>5462</v>
      </c>
      <c r="F1614">
        <v>4024851</v>
      </c>
      <c r="G1614" t="s">
        <v>5463</v>
      </c>
      <c r="H1614" t="s">
        <v>805</v>
      </c>
      <c r="I1614">
        <v>87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87</v>
      </c>
      <c r="P1614" s="44" t="e">
        <f>_xlfn.XLOOKUP(Tabla5[[#This Row],[EAN CORREGIDO]],'Tabla Articulos'!B:B,'Tabla Articulos'!D:D)</f>
        <v>#N/A</v>
      </c>
      <c r="Q1614" s="44" t="e">
        <f>_xlfn.XLOOKUP(S1614,'Tabla Articulos'!B:B,'Tabla Articulos'!E:E)</f>
        <v>#N/A</v>
      </c>
      <c r="R1614" s="44" t="e">
        <f t="shared" si="50"/>
        <v>#N/A</v>
      </c>
      <c r="S1614" s="45" t="str">
        <f t="shared" si="51"/>
        <v>7791476057058</v>
      </c>
    </row>
    <row r="1615" spans="1:19" hidden="1" x14ac:dyDescent="0.35">
      <c r="A1615" s="22">
        <v>1</v>
      </c>
      <c r="B1615" t="s">
        <v>812</v>
      </c>
      <c r="C1615" t="s">
        <v>802</v>
      </c>
      <c r="D1615" t="s">
        <v>1313</v>
      </c>
      <c r="E1615" t="s">
        <v>5132</v>
      </c>
      <c r="F1615">
        <v>4049099</v>
      </c>
      <c r="G1615" t="s">
        <v>5133</v>
      </c>
      <c r="H1615" t="s">
        <v>805</v>
      </c>
      <c r="I1615">
        <v>2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2</v>
      </c>
      <c r="P1615" s="44" t="e">
        <f>_xlfn.XLOOKUP(Tabla5[[#This Row],[EAN CORREGIDO]],'Tabla Articulos'!B:B,'Tabla Articulos'!D:D)</f>
        <v>#N/A</v>
      </c>
      <c r="Q1615" s="44" t="e">
        <f>_xlfn.XLOOKUP(S1615,'Tabla Articulos'!B:B,'Tabla Articulos'!E:E)</f>
        <v>#N/A</v>
      </c>
      <c r="R1615" s="44" t="e">
        <f t="shared" si="50"/>
        <v>#N/A</v>
      </c>
      <c r="S1615" s="45" t="str">
        <f t="shared" si="51"/>
        <v>7790040139176</v>
      </c>
    </row>
    <row r="1616" spans="1:19" hidden="1" x14ac:dyDescent="0.35">
      <c r="A1616" s="22">
        <v>6</v>
      </c>
      <c r="B1616" t="s">
        <v>801</v>
      </c>
      <c r="C1616" t="s">
        <v>802</v>
      </c>
      <c r="D1616" s="11" t="s">
        <v>2495</v>
      </c>
      <c r="E1616" t="s">
        <v>5134</v>
      </c>
      <c r="F1616">
        <v>2007325</v>
      </c>
      <c r="G1616" t="s">
        <v>5135</v>
      </c>
      <c r="H1616" t="s">
        <v>805</v>
      </c>
      <c r="I1616">
        <v>351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351</v>
      </c>
      <c r="P1616" s="44" t="e">
        <f>_xlfn.XLOOKUP(Tabla5[[#This Row],[EAN CORREGIDO]],'Tabla Articulos'!B:B,'Tabla Articulos'!D:D)</f>
        <v>#N/A</v>
      </c>
      <c r="Q1616" s="44" t="e">
        <f>_xlfn.XLOOKUP(S1616,'Tabla Articulos'!B:B,'Tabla Articulos'!E:E)</f>
        <v>#N/A</v>
      </c>
      <c r="R1616" s="44" t="e">
        <f t="shared" si="50"/>
        <v>#N/A</v>
      </c>
      <c r="S1616" s="45" t="str">
        <f t="shared" si="51"/>
        <v>7794782000374</v>
      </c>
    </row>
    <row r="1617" spans="1:19" hidden="1" x14ac:dyDescent="0.35">
      <c r="A1617" s="22">
        <v>6</v>
      </c>
      <c r="B1617" t="s">
        <v>801</v>
      </c>
      <c r="C1617" t="s">
        <v>802</v>
      </c>
      <c r="D1617"/>
      <c r="E1617" t="s">
        <v>5136</v>
      </c>
      <c r="F1617">
        <v>9003778</v>
      </c>
      <c r="G1617" t="s">
        <v>5137</v>
      </c>
      <c r="H1617" t="s">
        <v>805</v>
      </c>
      <c r="I1617">
        <v>38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38</v>
      </c>
      <c r="P1617" s="44" t="e">
        <f>_xlfn.XLOOKUP(Tabla5[[#This Row],[EAN CORREGIDO]],'Tabla Articulos'!B:B,'Tabla Articulos'!D:D)</f>
        <v>#N/A</v>
      </c>
      <c r="Q1617" s="44" t="e">
        <f>_xlfn.XLOOKUP(S1617,'Tabla Articulos'!B:B,'Tabla Articulos'!E:E)</f>
        <v>#N/A</v>
      </c>
      <c r="R1617" s="44" t="e">
        <f t="shared" si="50"/>
        <v>#N/A</v>
      </c>
      <c r="S1617" s="45" t="str">
        <f t="shared" si="51"/>
        <v>BAZ001306</v>
      </c>
    </row>
    <row r="1618" spans="1:19" hidden="1" x14ac:dyDescent="0.35">
      <c r="A1618" s="22">
        <v>6</v>
      </c>
      <c r="B1618" t="s">
        <v>801</v>
      </c>
      <c r="C1618" t="s">
        <v>802</v>
      </c>
      <c r="D1618"/>
      <c r="E1618" t="s">
        <v>5138</v>
      </c>
      <c r="F1618">
        <v>9003550</v>
      </c>
      <c r="G1618" t="s">
        <v>5139</v>
      </c>
      <c r="H1618" t="s">
        <v>805</v>
      </c>
      <c r="I1618">
        <v>25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25</v>
      </c>
      <c r="P1618" s="44" t="e">
        <f>_xlfn.XLOOKUP(Tabla5[[#This Row],[EAN CORREGIDO]],'Tabla Articulos'!B:B,'Tabla Articulos'!D:D)</f>
        <v>#N/A</v>
      </c>
      <c r="Q1618" s="44" t="e">
        <f>_xlfn.XLOOKUP(S1618,'Tabla Articulos'!B:B,'Tabla Articulos'!E:E)</f>
        <v>#N/A</v>
      </c>
      <c r="R1618" s="44" t="e">
        <f t="shared" si="50"/>
        <v>#N/A</v>
      </c>
      <c r="S1618" s="45" t="str">
        <f t="shared" si="51"/>
        <v>UNIF000089</v>
      </c>
    </row>
    <row r="1619" spans="1:19" hidden="1" x14ac:dyDescent="0.35">
      <c r="A1619" s="22">
        <v>5</v>
      </c>
      <c r="B1619" t="s">
        <v>829</v>
      </c>
      <c r="C1619" t="s">
        <v>802</v>
      </c>
      <c r="D1619" s="11" t="s">
        <v>1369</v>
      </c>
      <c r="E1619" t="s">
        <v>5140</v>
      </c>
      <c r="F1619">
        <v>4020753</v>
      </c>
      <c r="G1619" t="s">
        <v>5141</v>
      </c>
      <c r="H1619" t="s">
        <v>805</v>
      </c>
      <c r="I1619">
        <v>14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14</v>
      </c>
      <c r="P1619" s="44" t="e">
        <f>_xlfn.XLOOKUP(Tabla5[[#This Row],[EAN CORREGIDO]],'Tabla Articulos'!B:B,'Tabla Articulos'!D:D)</f>
        <v>#N/A</v>
      </c>
      <c r="Q1619" s="44" t="e">
        <f>_xlfn.XLOOKUP(S1619,'Tabla Articulos'!B:B,'Tabla Articulos'!E:E)</f>
        <v>#N/A</v>
      </c>
      <c r="R1619" s="44" t="e">
        <f t="shared" si="50"/>
        <v>#N/A</v>
      </c>
      <c r="S1619" s="45" t="str">
        <f t="shared" si="51"/>
        <v>7793875312158</v>
      </c>
    </row>
    <row r="1620" spans="1:19" hidden="1" x14ac:dyDescent="0.35">
      <c r="A1620" s="22">
        <v>1</v>
      </c>
      <c r="B1620" t="s">
        <v>812</v>
      </c>
      <c r="C1620" t="s">
        <v>802</v>
      </c>
      <c r="D1620" s="11" t="s">
        <v>1369</v>
      </c>
      <c r="E1620" t="s">
        <v>5140</v>
      </c>
      <c r="F1620">
        <v>4020753</v>
      </c>
      <c r="G1620" t="s">
        <v>5141</v>
      </c>
      <c r="H1620" t="s">
        <v>805</v>
      </c>
      <c r="I1620">
        <v>15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15</v>
      </c>
      <c r="P1620" s="44" t="e">
        <f>_xlfn.XLOOKUP(Tabla5[[#This Row],[EAN CORREGIDO]],'Tabla Articulos'!B:B,'Tabla Articulos'!D:D)</f>
        <v>#N/A</v>
      </c>
      <c r="Q1620" s="44" t="e">
        <f>_xlfn.XLOOKUP(S1620,'Tabla Articulos'!B:B,'Tabla Articulos'!E:E)</f>
        <v>#N/A</v>
      </c>
      <c r="R1620" s="44" t="e">
        <f t="shared" si="50"/>
        <v>#N/A</v>
      </c>
      <c r="S1620" s="45" t="str">
        <f t="shared" si="51"/>
        <v>7793875312158</v>
      </c>
    </row>
    <row r="1621" spans="1:19" hidden="1" x14ac:dyDescent="0.35">
      <c r="A1621" s="22">
        <v>5</v>
      </c>
      <c r="B1621" t="s">
        <v>829</v>
      </c>
      <c r="C1621" t="s">
        <v>802</v>
      </c>
      <c r="D1621" t="s">
        <v>3649</v>
      </c>
      <c r="E1621" t="s">
        <v>5142</v>
      </c>
      <c r="F1621">
        <v>4049281</v>
      </c>
      <c r="G1621" t="s">
        <v>5143</v>
      </c>
      <c r="H1621" t="s">
        <v>805</v>
      </c>
      <c r="I1621">
        <v>13999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13999</v>
      </c>
      <c r="P1621" s="44" t="e">
        <f>_xlfn.XLOOKUP(Tabla5[[#This Row],[EAN CORREGIDO]],'Tabla Articulos'!B:B,'Tabla Articulos'!D:D)</f>
        <v>#N/A</v>
      </c>
      <c r="Q1621" s="44" t="e">
        <f>_xlfn.XLOOKUP(S1621,'Tabla Articulos'!B:B,'Tabla Articulos'!E:E)</f>
        <v>#N/A</v>
      </c>
      <c r="R1621" s="44" t="e">
        <f t="shared" si="50"/>
        <v>#N/A</v>
      </c>
      <c r="S1621" s="45" t="str">
        <f t="shared" si="51"/>
        <v>7798016195478</v>
      </c>
    </row>
    <row r="1622" spans="1:19" hidden="1" x14ac:dyDescent="0.35">
      <c r="A1622" s="22">
        <v>1</v>
      </c>
      <c r="B1622" t="s">
        <v>812</v>
      </c>
      <c r="C1622" t="s">
        <v>802</v>
      </c>
      <c r="D1622" t="s">
        <v>3649</v>
      </c>
      <c r="E1622" t="s">
        <v>5142</v>
      </c>
      <c r="F1622">
        <v>4049281</v>
      </c>
      <c r="G1622" t="s">
        <v>5143</v>
      </c>
      <c r="H1622" t="s">
        <v>805</v>
      </c>
      <c r="I1622">
        <v>1472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1472</v>
      </c>
      <c r="P1622" s="44" t="e">
        <f>_xlfn.XLOOKUP(Tabla5[[#This Row],[EAN CORREGIDO]],'Tabla Articulos'!B:B,'Tabla Articulos'!D:D)</f>
        <v>#N/A</v>
      </c>
      <c r="Q1622" s="44" t="e">
        <f>_xlfn.XLOOKUP(S1622,'Tabla Articulos'!B:B,'Tabla Articulos'!E:E)</f>
        <v>#N/A</v>
      </c>
      <c r="R1622" s="44" t="e">
        <f t="shared" si="50"/>
        <v>#N/A</v>
      </c>
      <c r="S1622" s="45" t="str">
        <f t="shared" si="51"/>
        <v>7798016195478</v>
      </c>
    </row>
    <row r="1623" spans="1:19" hidden="1" x14ac:dyDescent="0.35">
      <c r="A1623" s="22">
        <v>6</v>
      </c>
      <c r="B1623" t="s">
        <v>801</v>
      </c>
      <c r="C1623" t="s">
        <v>802</v>
      </c>
      <c r="D1623"/>
      <c r="E1623" t="s">
        <v>5144</v>
      </c>
      <c r="F1623">
        <v>9003747</v>
      </c>
      <c r="G1623" t="s">
        <v>5145</v>
      </c>
      <c r="H1623" t="s">
        <v>805</v>
      </c>
      <c r="I1623">
        <v>15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15</v>
      </c>
      <c r="P1623" s="44" t="e">
        <f>_xlfn.XLOOKUP(Tabla5[[#This Row],[EAN CORREGIDO]],'Tabla Articulos'!B:B,'Tabla Articulos'!D:D)</f>
        <v>#N/A</v>
      </c>
      <c r="Q1623" s="44" t="e">
        <f>_xlfn.XLOOKUP(S1623,'Tabla Articulos'!B:B,'Tabla Articulos'!E:E)</f>
        <v>#N/A</v>
      </c>
      <c r="R1623" s="44" t="e">
        <f t="shared" si="50"/>
        <v>#N/A</v>
      </c>
      <c r="S1623" s="45" t="str">
        <f t="shared" si="51"/>
        <v>BAZ001173</v>
      </c>
    </row>
    <row r="1624" spans="1:19" hidden="1" x14ac:dyDescent="0.35">
      <c r="A1624" s="22">
        <v>6</v>
      </c>
      <c r="B1624" t="s">
        <v>801</v>
      </c>
      <c r="C1624" t="s">
        <v>802</v>
      </c>
      <c r="D1624" s="11" t="s">
        <v>1789</v>
      </c>
      <c r="E1624" t="s">
        <v>1790</v>
      </c>
      <c r="F1624">
        <v>2006281</v>
      </c>
      <c r="G1624" t="s">
        <v>1791</v>
      </c>
      <c r="H1624" t="s">
        <v>805</v>
      </c>
      <c r="I1624">
        <v>10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10</v>
      </c>
      <c r="P1624" s="44" t="str">
        <f>_xlfn.XLOOKUP(Tabla5[[#This Row],[EAN CORREGIDO]],'Tabla Articulos'!B:B,'Tabla Articulos'!D:D)</f>
        <v>ROLLO TERMOSELLADO</v>
      </c>
      <c r="Q1624" s="44">
        <f>_xlfn.XLOOKUP(S1624,'Tabla Articulos'!B:B,'Tabla Articulos'!E:E)</f>
        <v>1</v>
      </c>
      <c r="R1624" s="44">
        <f t="shared" si="50"/>
        <v>10</v>
      </c>
      <c r="S1624" s="45" t="str">
        <f t="shared" si="51"/>
        <v>7790042181189</v>
      </c>
    </row>
    <row r="1625" spans="1:19" hidden="1" x14ac:dyDescent="0.35">
      <c r="A1625" s="22">
        <v>6</v>
      </c>
      <c r="B1625" t="s">
        <v>801</v>
      </c>
      <c r="C1625" t="s">
        <v>802</v>
      </c>
      <c r="D1625" t="s">
        <v>1002</v>
      </c>
      <c r="E1625" t="s">
        <v>1792</v>
      </c>
      <c r="F1625">
        <v>2006357</v>
      </c>
      <c r="G1625" t="s">
        <v>1793</v>
      </c>
      <c r="H1625" t="s">
        <v>805</v>
      </c>
      <c r="I1625">
        <v>14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14</v>
      </c>
      <c r="P1625" s="44" t="e">
        <f>_xlfn.XLOOKUP(Tabla5[[#This Row],[EAN CORREGIDO]],'Tabla Articulos'!B:B,'Tabla Articulos'!D:D)</f>
        <v>#N/A</v>
      </c>
      <c r="Q1625" s="44" t="e">
        <f>_xlfn.XLOOKUP(S1625,'Tabla Articulos'!B:B,'Tabla Articulos'!E:E)</f>
        <v>#N/A</v>
      </c>
      <c r="R1625" s="44" t="e">
        <f t="shared" si="50"/>
        <v>#N/A</v>
      </c>
      <c r="S1625" s="45" t="str">
        <f t="shared" si="51"/>
        <v>LIM000325</v>
      </c>
    </row>
    <row r="1626" spans="1:19" hidden="1" x14ac:dyDescent="0.35">
      <c r="A1626" s="22">
        <v>1</v>
      </c>
      <c r="B1626" t="s">
        <v>812</v>
      </c>
      <c r="C1626" t="s">
        <v>802</v>
      </c>
      <c r="D1626" t="s">
        <v>1104</v>
      </c>
      <c r="E1626" t="s">
        <v>1794</v>
      </c>
      <c r="F1626">
        <v>4019797</v>
      </c>
      <c r="G1626" t="s">
        <v>1795</v>
      </c>
      <c r="H1626" t="s">
        <v>805</v>
      </c>
      <c r="I1626">
        <v>2005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2005</v>
      </c>
      <c r="P1626" s="44" t="e">
        <f>_xlfn.XLOOKUP(Tabla5[[#This Row],[EAN CORREGIDO]],'Tabla Articulos'!B:B,'Tabla Articulos'!D:D)</f>
        <v>#N/A</v>
      </c>
      <c r="Q1626" s="44" t="e">
        <f>_xlfn.XLOOKUP(S1626,'Tabla Articulos'!B:B,'Tabla Articulos'!E:E)</f>
        <v>#N/A</v>
      </c>
      <c r="R1626" s="44" t="e">
        <f t="shared" si="50"/>
        <v>#N/A</v>
      </c>
      <c r="S1626" s="45" t="str">
        <f t="shared" si="51"/>
        <v>7791113001895</v>
      </c>
    </row>
    <row r="1627" spans="1:19" hidden="1" x14ac:dyDescent="0.35">
      <c r="A1627" s="22">
        <v>5</v>
      </c>
      <c r="B1627" t="s">
        <v>829</v>
      </c>
      <c r="C1627" t="s">
        <v>802</v>
      </c>
      <c r="D1627" t="s">
        <v>1796</v>
      </c>
      <c r="E1627" t="s">
        <v>1797</v>
      </c>
      <c r="F1627">
        <v>4022558</v>
      </c>
      <c r="G1627" t="s">
        <v>1798</v>
      </c>
      <c r="H1627" t="s">
        <v>805</v>
      </c>
      <c r="I1627">
        <v>100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100</v>
      </c>
      <c r="P1627" s="44" t="e">
        <f>_xlfn.XLOOKUP(Tabla5[[#This Row],[EAN CORREGIDO]],'Tabla Articulos'!B:B,'Tabla Articulos'!D:D)</f>
        <v>#N/A</v>
      </c>
      <c r="Q1627" s="44" t="e">
        <f>_xlfn.XLOOKUP(S1627,'Tabla Articulos'!B:B,'Tabla Articulos'!E:E)</f>
        <v>#N/A</v>
      </c>
      <c r="R1627" s="44" t="e">
        <f t="shared" si="50"/>
        <v>#N/A</v>
      </c>
      <c r="S1627" s="45" t="str">
        <f t="shared" si="51"/>
        <v>7790279000209</v>
      </c>
    </row>
    <row r="1628" spans="1:19" hidden="1" x14ac:dyDescent="0.35">
      <c r="A1628" s="22">
        <v>1</v>
      </c>
      <c r="B1628" t="s">
        <v>812</v>
      </c>
      <c r="C1628" t="s">
        <v>802</v>
      </c>
      <c r="D1628" s="11" t="s">
        <v>1252</v>
      </c>
      <c r="E1628" t="s">
        <v>4696</v>
      </c>
      <c r="F1628">
        <v>4018459</v>
      </c>
      <c r="G1628" t="s">
        <v>4697</v>
      </c>
      <c r="H1628" t="s">
        <v>805</v>
      </c>
      <c r="I1628">
        <v>4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</v>
      </c>
      <c r="P1628" s="44" t="e">
        <f>_xlfn.XLOOKUP(Tabla5[[#This Row],[EAN CORREGIDO]],'Tabla Articulos'!B:B,'Tabla Articulos'!D:D)</f>
        <v>#N/A</v>
      </c>
      <c r="Q1628" s="44" t="e">
        <f>_xlfn.XLOOKUP(S1628,'Tabla Articulos'!B:B,'Tabla Articulos'!E:E)</f>
        <v>#N/A</v>
      </c>
      <c r="R1628" s="44" t="e">
        <f t="shared" si="50"/>
        <v>#N/A</v>
      </c>
      <c r="S1628" s="45" t="str">
        <f t="shared" si="51"/>
        <v>7798041132481</v>
      </c>
    </row>
    <row r="1629" spans="1:19" hidden="1" x14ac:dyDescent="0.35">
      <c r="A1629" s="22">
        <v>6</v>
      </c>
      <c r="B1629" t="s">
        <v>801</v>
      </c>
      <c r="C1629" t="s">
        <v>802</v>
      </c>
      <c r="D1629"/>
      <c r="E1629" t="s">
        <v>4698</v>
      </c>
      <c r="F1629">
        <v>9003198</v>
      </c>
      <c r="G1629" t="s">
        <v>4699</v>
      </c>
      <c r="H1629" t="s">
        <v>805</v>
      </c>
      <c r="I1629">
        <v>41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41</v>
      </c>
      <c r="P1629" s="44" t="e">
        <f>_xlfn.XLOOKUP(Tabla5[[#This Row],[EAN CORREGIDO]],'Tabla Articulos'!B:B,'Tabla Articulos'!D:D)</f>
        <v>#N/A</v>
      </c>
      <c r="Q1629" s="44" t="e">
        <f>_xlfn.XLOOKUP(S1629,'Tabla Articulos'!B:B,'Tabla Articulos'!E:E)</f>
        <v>#N/A</v>
      </c>
      <c r="R1629" s="44" t="e">
        <f t="shared" si="50"/>
        <v>#N/A</v>
      </c>
      <c r="S1629" s="45" t="str">
        <f t="shared" si="51"/>
        <v>UNIF000324</v>
      </c>
    </row>
    <row r="1630" spans="1:19" hidden="1" x14ac:dyDescent="0.35">
      <c r="A1630" s="22">
        <v>1</v>
      </c>
      <c r="B1630" t="s">
        <v>812</v>
      </c>
      <c r="C1630" t="s">
        <v>802</v>
      </c>
      <c r="D1630" s="11" t="s">
        <v>3987</v>
      </c>
      <c r="E1630" t="s">
        <v>4700</v>
      </c>
      <c r="F1630">
        <v>4076532</v>
      </c>
      <c r="G1630" t="s">
        <v>4701</v>
      </c>
      <c r="H1630" t="s">
        <v>805</v>
      </c>
      <c r="I1630">
        <v>472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472</v>
      </c>
      <c r="P1630" s="44" t="e">
        <f>_xlfn.XLOOKUP(Tabla5[[#This Row],[EAN CORREGIDO]],'Tabla Articulos'!B:B,'Tabla Articulos'!D:D)</f>
        <v>#N/A</v>
      </c>
      <c r="Q1630" s="44" t="e">
        <f>_xlfn.XLOOKUP(S1630,'Tabla Articulos'!B:B,'Tabla Articulos'!E:E)</f>
        <v>#N/A</v>
      </c>
      <c r="R1630" s="44" t="e">
        <f t="shared" si="50"/>
        <v>#N/A</v>
      </c>
      <c r="S1630" s="45" t="str">
        <f t="shared" si="51"/>
        <v>7790380037743</v>
      </c>
    </row>
    <row r="1631" spans="1:19" hidden="1" x14ac:dyDescent="0.35">
      <c r="A1631" s="22">
        <v>1</v>
      </c>
      <c r="B1631" t="s">
        <v>812</v>
      </c>
      <c r="C1631" t="s">
        <v>802</v>
      </c>
      <c r="D1631" t="s">
        <v>2035</v>
      </c>
      <c r="E1631" t="s">
        <v>4702</v>
      </c>
      <c r="F1631">
        <v>4020055</v>
      </c>
      <c r="G1631" t="s">
        <v>4703</v>
      </c>
      <c r="H1631" t="s">
        <v>805</v>
      </c>
      <c r="I1631">
        <v>5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5</v>
      </c>
      <c r="P1631" s="44" t="e">
        <f>_xlfn.XLOOKUP(Tabla5[[#This Row],[EAN CORREGIDO]],'Tabla Articulos'!B:B,'Tabla Articulos'!D:D)</f>
        <v>#N/A</v>
      </c>
      <c r="Q1631" s="44" t="e">
        <f>_xlfn.XLOOKUP(S1631,'Tabla Articulos'!B:B,'Tabla Articulos'!E:E)</f>
        <v>#N/A</v>
      </c>
      <c r="R1631" s="44" t="e">
        <f t="shared" si="50"/>
        <v>#N/A</v>
      </c>
      <c r="S1631" s="45" t="str">
        <f t="shared" si="51"/>
        <v>7793875313056</v>
      </c>
    </row>
    <row r="1632" spans="1:19" hidden="1" x14ac:dyDescent="0.35">
      <c r="A1632" s="22">
        <v>1</v>
      </c>
      <c r="B1632" t="s">
        <v>812</v>
      </c>
      <c r="C1632" t="s">
        <v>802</v>
      </c>
      <c r="D1632" t="s">
        <v>1497</v>
      </c>
      <c r="E1632" t="s">
        <v>4704</v>
      </c>
      <c r="F1632">
        <v>4019738</v>
      </c>
      <c r="G1632" t="s">
        <v>4705</v>
      </c>
      <c r="H1632" t="s">
        <v>805</v>
      </c>
      <c r="I1632">
        <v>10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10</v>
      </c>
      <c r="P1632" s="44" t="e">
        <f>_xlfn.XLOOKUP(Tabla5[[#This Row],[EAN CORREGIDO]],'Tabla Articulos'!B:B,'Tabla Articulos'!D:D)</f>
        <v>#N/A</v>
      </c>
      <c r="Q1632" s="44" t="e">
        <f>_xlfn.XLOOKUP(S1632,'Tabla Articulos'!B:B,'Tabla Articulos'!E:E)</f>
        <v>#N/A</v>
      </c>
      <c r="R1632" s="44" t="e">
        <f t="shared" si="50"/>
        <v>#N/A</v>
      </c>
      <c r="S1632" s="45" t="str">
        <f t="shared" si="51"/>
        <v>7790530850093</v>
      </c>
    </row>
    <row r="1633" spans="1:19" hidden="1" x14ac:dyDescent="0.35">
      <c r="A1633" s="22">
        <v>6</v>
      </c>
      <c r="B1633" t="s">
        <v>801</v>
      </c>
      <c r="C1633" t="s">
        <v>802</v>
      </c>
      <c r="E1633" t="s">
        <v>4706</v>
      </c>
      <c r="F1633">
        <v>9003201</v>
      </c>
      <c r="G1633" t="s">
        <v>4707</v>
      </c>
      <c r="H1633" t="s">
        <v>805</v>
      </c>
      <c r="I1633">
        <v>83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83</v>
      </c>
      <c r="P1633" s="44" t="e">
        <f>_xlfn.XLOOKUP(Tabla5[[#This Row],[EAN CORREGIDO]],'Tabla Articulos'!B:B,'Tabla Articulos'!D:D)</f>
        <v>#N/A</v>
      </c>
      <c r="Q1633" s="44" t="e">
        <f>_xlfn.XLOOKUP(S1633,'Tabla Articulos'!B:B,'Tabla Articulos'!E:E)</f>
        <v>#N/A</v>
      </c>
      <c r="R1633" s="44" t="e">
        <f t="shared" si="50"/>
        <v>#N/A</v>
      </c>
      <c r="S1633" s="45" t="str">
        <f t="shared" si="51"/>
        <v>UNIF000327</v>
      </c>
    </row>
    <row r="1634" spans="1:19" hidden="1" x14ac:dyDescent="0.35">
      <c r="A1634" s="22">
        <v>6</v>
      </c>
      <c r="B1634" t="s">
        <v>801</v>
      </c>
      <c r="C1634" t="s">
        <v>802</v>
      </c>
      <c r="E1634" t="s">
        <v>4708</v>
      </c>
      <c r="F1634">
        <v>9003029</v>
      </c>
      <c r="G1634" t="s">
        <v>4709</v>
      </c>
      <c r="H1634" t="s">
        <v>805</v>
      </c>
      <c r="I1634">
        <v>58</v>
      </c>
      <c r="J1634">
        <v>60</v>
      </c>
      <c r="K1634">
        <v>30</v>
      </c>
      <c r="L1634">
        <v>0</v>
      </c>
      <c r="M1634">
        <v>1</v>
      </c>
      <c r="N1634">
        <v>0</v>
      </c>
      <c r="O1634">
        <v>87</v>
      </c>
      <c r="P1634" s="44" t="e">
        <f>_xlfn.XLOOKUP(Tabla5[[#This Row],[EAN CORREGIDO]],'Tabla Articulos'!B:B,'Tabla Articulos'!D:D)</f>
        <v>#N/A</v>
      </c>
      <c r="Q1634" s="44" t="e">
        <f>_xlfn.XLOOKUP(S1634,'Tabla Articulos'!B:B,'Tabla Articulos'!E:E)</f>
        <v>#N/A</v>
      </c>
      <c r="R1634" s="44" t="e">
        <f t="shared" si="50"/>
        <v>#N/A</v>
      </c>
      <c r="S1634" s="45" t="str">
        <f t="shared" si="51"/>
        <v>A1607C25T8</v>
      </c>
    </row>
    <row r="1635" spans="1:19" hidden="1" x14ac:dyDescent="0.35">
      <c r="A1635" s="22">
        <v>6</v>
      </c>
      <c r="B1635" t="s">
        <v>801</v>
      </c>
      <c r="C1635" t="s">
        <v>802</v>
      </c>
      <c r="D1635" s="11" t="s">
        <v>905</v>
      </c>
      <c r="E1635" t="s">
        <v>4710</v>
      </c>
      <c r="F1635" s="11">
        <v>2006409</v>
      </c>
      <c r="G1635" t="s">
        <v>4711</v>
      </c>
      <c r="H1635" t="s">
        <v>805</v>
      </c>
      <c r="I1635">
        <v>56</v>
      </c>
      <c r="J1635">
        <v>0</v>
      </c>
      <c r="K1635">
        <v>0</v>
      </c>
      <c r="L1635">
        <v>0</v>
      </c>
      <c r="M1635">
        <v>2</v>
      </c>
      <c r="N1635">
        <v>0</v>
      </c>
      <c r="O1635">
        <v>54</v>
      </c>
      <c r="P1635" s="44" t="e">
        <f>_xlfn.XLOOKUP(Tabla5[[#This Row],[EAN CORREGIDO]],'Tabla Articulos'!B:B,'Tabla Articulos'!D:D)</f>
        <v>#N/A</v>
      </c>
      <c r="Q1635" s="44" t="e">
        <f>_xlfn.XLOOKUP(S1635,'Tabla Articulos'!B:B,'Tabla Articulos'!E:E)</f>
        <v>#N/A</v>
      </c>
      <c r="R1635" s="44" t="e">
        <f t="shared" si="50"/>
        <v>#N/A</v>
      </c>
      <c r="S1635" s="45" t="str">
        <f t="shared" si="51"/>
        <v>7790321000058</v>
      </c>
    </row>
    <row r="1636" spans="1:19" hidden="1" x14ac:dyDescent="0.35">
      <c r="A1636" s="22">
        <v>5</v>
      </c>
      <c r="B1636" t="s">
        <v>829</v>
      </c>
      <c r="C1636" t="s">
        <v>802</v>
      </c>
      <c r="D1636" s="11" t="s">
        <v>3313</v>
      </c>
      <c r="E1636" t="s">
        <v>4712</v>
      </c>
      <c r="F1636" s="11">
        <v>4023888</v>
      </c>
      <c r="G1636" t="s">
        <v>4713</v>
      </c>
      <c r="H1636" t="s">
        <v>805</v>
      </c>
      <c r="I1636">
        <v>25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25</v>
      </c>
      <c r="P1636" s="44" t="e">
        <f>_xlfn.XLOOKUP(Tabla5[[#This Row],[EAN CORREGIDO]],'Tabla Articulos'!B:B,'Tabla Articulos'!D:D)</f>
        <v>#N/A</v>
      </c>
      <c r="Q1636" s="44" t="e">
        <f>_xlfn.XLOOKUP(S1636,'Tabla Articulos'!B:B,'Tabla Articulos'!E:E)</f>
        <v>#N/A</v>
      </c>
      <c r="R1636" s="44" t="e">
        <f t="shared" si="50"/>
        <v>#N/A</v>
      </c>
      <c r="S1636" s="45" t="str">
        <f t="shared" si="51"/>
        <v>67794000006340</v>
      </c>
    </row>
    <row r="1637" spans="1:19" hidden="1" x14ac:dyDescent="0.35">
      <c r="A1637" s="22">
        <v>6</v>
      </c>
      <c r="B1637" t="s">
        <v>801</v>
      </c>
      <c r="C1637" t="s">
        <v>802</v>
      </c>
      <c r="E1637" t="s">
        <v>844</v>
      </c>
      <c r="F1637" s="11">
        <v>9003814</v>
      </c>
      <c r="G1637" t="s">
        <v>845</v>
      </c>
      <c r="H1637" t="s">
        <v>805</v>
      </c>
      <c r="I1637">
        <v>13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13</v>
      </c>
      <c r="P1637" s="44" t="e">
        <f>_xlfn.XLOOKUP(Tabla5[[#This Row],[EAN CORREGIDO]],'Tabla Articulos'!B:B,'Tabla Articulos'!D:D)</f>
        <v>#N/A</v>
      </c>
      <c r="Q1637" s="44" t="e">
        <f>_xlfn.XLOOKUP(S1637,'Tabla Articulos'!B:B,'Tabla Articulos'!E:E)</f>
        <v>#N/A</v>
      </c>
      <c r="R1637" s="44" t="e">
        <f t="shared" si="50"/>
        <v>#N/A</v>
      </c>
      <c r="S1637" s="45" t="str">
        <f t="shared" si="51"/>
        <v>BAZ001303</v>
      </c>
    </row>
    <row r="1638" spans="1:19" hidden="1" x14ac:dyDescent="0.35">
      <c r="A1638" s="22">
        <v>1</v>
      </c>
      <c r="B1638" t="s">
        <v>812</v>
      </c>
      <c r="C1638" t="s">
        <v>802</v>
      </c>
      <c r="D1638" s="11" t="s">
        <v>3174</v>
      </c>
      <c r="E1638" t="s">
        <v>3175</v>
      </c>
      <c r="F1638" s="11">
        <v>4022392</v>
      </c>
      <c r="G1638" t="s">
        <v>3176</v>
      </c>
      <c r="H1638" t="s">
        <v>805</v>
      </c>
      <c r="I1638">
        <v>53</v>
      </c>
      <c r="J1638">
        <v>0</v>
      </c>
      <c r="K1638">
        <v>0</v>
      </c>
      <c r="L1638">
        <v>10</v>
      </c>
      <c r="M1638">
        <v>10</v>
      </c>
      <c r="N1638">
        <v>0</v>
      </c>
      <c r="O1638">
        <v>33</v>
      </c>
      <c r="P1638" s="44" t="e">
        <f>_xlfn.XLOOKUP(Tabla5[[#This Row],[EAN CORREGIDO]],'Tabla Articulos'!B:B,'Tabla Articulos'!D:D)</f>
        <v>#N/A</v>
      </c>
      <c r="Q1638" s="44" t="e">
        <f>_xlfn.XLOOKUP(S1638,'Tabla Articulos'!B:B,'Tabla Articulos'!E:E)</f>
        <v>#N/A</v>
      </c>
      <c r="R1638" s="44" t="e">
        <f t="shared" si="50"/>
        <v>#N/A</v>
      </c>
      <c r="S1638" s="45" t="str">
        <f t="shared" si="51"/>
        <v>7798184271530</v>
      </c>
    </row>
    <row r="1639" spans="1:19" hidden="1" x14ac:dyDescent="0.35">
      <c r="A1639" s="22">
        <v>6</v>
      </c>
      <c r="B1639" t="s">
        <v>801</v>
      </c>
      <c r="C1639" t="s">
        <v>802</v>
      </c>
      <c r="E1639" t="s">
        <v>3177</v>
      </c>
      <c r="F1639" s="11">
        <v>9004199</v>
      </c>
      <c r="G1639" t="s">
        <v>3178</v>
      </c>
      <c r="H1639" t="s">
        <v>805</v>
      </c>
      <c r="I1639">
        <v>30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30</v>
      </c>
      <c r="P1639" s="44" t="e">
        <f>_xlfn.XLOOKUP(Tabla5[[#This Row],[EAN CORREGIDO]],'Tabla Articulos'!B:B,'Tabla Articulos'!D:D)</f>
        <v>#N/A</v>
      </c>
      <c r="Q1639" s="44" t="e">
        <f>_xlfn.XLOOKUP(S1639,'Tabla Articulos'!B:B,'Tabla Articulos'!E:E)</f>
        <v>#N/A</v>
      </c>
      <c r="R1639" s="44" t="e">
        <f t="shared" si="50"/>
        <v>#N/A</v>
      </c>
      <c r="S1639" s="45" t="str">
        <f t="shared" si="51"/>
        <v>UNIF000745</v>
      </c>
    </row>
    <row r="1640" spans="1:19" hidden="1" x14ac:dyDescent="0.35">
      <c r="A1640" s="22">
        <v>1</v>
      </c>
      <c r="B1640" t="s">
        <v>812</v>
      </c>
      <c r="C1640" t="s">
        <v>802</v>
      </c>
      <c r="D1640" s="11" t="s">
        <v>2191</v>
      </c>
      <c r="E1640" t="s">
        <v>3179</v>
      </c>
      <c r="F1640" s="11">
        <v>4019576</v>
      </c>
      <c r="G1640" t="s">
        <v>3180</v>
      </c>
      <c r="H1640" t="s">
        <v>805</v>
      </c>
      <c r="I1640">
        <v>1396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1396</v>
      </c>
      <c r="P1640" s="44" t="e">
        <f>_xlfn.XLOOKUP(Tabla5[[#This Row],[EAN CORREGIDO]],'Tabla Articulos'!B:B,'Tabla Articulos'!D:D)</f>
        <v>#N/A</v>
      </c>
      <c r="Q1640" s="44" t="e">
        <f>_xlfn.XLOOKUP(S1640,'Tabla Articulos'!B:B,'Tabla Articulos'!E:E)</f>
        <v>#N/A</v>
      </c>
      <c r="R1640" s="44" t="e">
        <f t="shared" si="50"/>
        <v>#N/A</v>
      </c>
      <c r="S1640" s="45" t="str">
        <f t="shared" si="51"/>
        <v>7790530850048</v>
      </c>
    </row>
    <row r="1641" spans="1:19" hidden="1" x14ac:dyDescent="0.35">
      <c r="A1641" s="22">
        <v>5</v>
      </c>
      <c r="B1641" t="s">
        <v>829</v>
      </c>
      <c r="C1641" t="s">
        <v>802</v>
      </c>
      <c r="D1641" s="11" t="s">
        <v>3181</v>
      </c>
      <c r="E1641" t="s">
        <v>3182</v>
      </c>
      <c r="F1641" s="11">
        <v>4023281</v>
      </c>
      <c r="G1641" t="s">
        <v>3183</v>
      </c>
      <c r="H1641" t="s">
        <v>805</v>
      </c>
      <c r="I1641">
        <v>54424</v>
      </c>
      <c r="J1641">
        <v>0</v>
      </c>
      <c r="K1641">
        <v>7410</v>
      </c>
      <c r="L1641">
        <v>0</v>
      </c>
      <c r="M1641">
        <v>0</v>
      </c>
      <c r="N1641">
        <v>0</v>
      </c>
      <c r="O1641">
        <v>47014</v>
      </c>
      <c r="P1641" s="44" t="e">
        <f>_xlfn.XLOOKUP(Tabla5[[#This Row],[EAN CORREGIDO]],'Tabla Articulos'!B:B,'Tabla Articulos'!D:D)</f>
        <v>#N/A</v>
      </c>
      <c r="Q1641" s="44" t="e">
        <f>_xlfn.XLOOKUP(S1641,'Tabla Articulos'!B:B,'Tabla Articulos'!E:E)</f>
        <v>#N/A</v>
      </c>
      <c r="R1641" s="44" t="e">
        <f t="shared" si="50"/>
        <v>#N/A</v>
      </c>
      <c r="S1641" s="45" t="str">
        <f t="shared" si="51"/>
        <v>7798049540504</v>
      </c>
    </row>
    <row r="1642" spans="1:19" hidden="1" x14ac:dyDescent="0.35">
      <c r="A1642" s="22">
        <v>1</v>
      </c>
      <c r="B1642" t="s">
        <v>812</v>
      </c>
      <c r="C1642" t="s">
        <v>802</v>
      </c>
      <c r="D1642" s="11" t="s">
        <v>3181</v>
      </c>
      <c r="E1642" t="s">
        <v>3182</v>
      </c>
      <c r="F1642" s="11">
        <v>4023281</v>
      </c>
      <c r="G1642" t="s">
        <v>3183</v>
      </c>
      <c r="H1642" t="s">
        <v>805</v>
      </c>
      <c r="I1642">
        <v>247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247</v>
      </c>
      <c r="P1642" s="44" t="e">
        <f>_xlfn.XLOOKUP(Tabla5[[#This Row],[EAN CORREGIDO]],'Tabla Articulos'!B:B,'Tabla Articulos'!D:D)</f>
        <v>#N/A</v>
      </c>
      <c r="Q1642" s="44" t="e">
        <f>_xlfn.XLOOKUP(S1642,'Tabla Articulos'!B:B,'Tabla Articulos'!E:E)</f>
        <v>#N/A</v>
      </c>
      <c r="R1642" s="44" t="e">
        <f t="shared" si="50"/>
        <v>#N/A</v>
      </c>
      <c r="S1642" s="45" t="str">
        <f t="shared" si="51"/>
        <v>7798049540504</v>
      </c>
    </row>
    <row r="1643" spans="1:19" hidden="1" x14ac:dyDescent="0.35">
      <c r="A1643" s="22">
        <v>6</v>
      </c>
      <c r="B1643" t="s">
        <v>801</v>
      </c>
      <c r="C1643" t="s">
        <v>802</v>
      </c>
      <c r="E1643" t="s">
        <v>3431</v>
      </c>
      <c r="F1643" s="11">
        <v>2011462</v>
      </c>
      <c r="G1643" t="s">
        <v>3432</v>
      </c>
      <c r="H1643" t="s">
        <v>805</v>
      </c>
      <c r="I1643">
        <v>11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11</v>
      </c>
      <c r="P1643" s="44" t="e">
        <f>_xlfn.XLOOKUP(Tabla5[[#This Row],[EAN CORREGIDO]],'Tabla Articulos'!B:B,'Tabla Articulos'!D:D)</f>
        <v>#N/A</v>
      </c>
      <c r="Q1643" s="44" t="e">
        <f>_xlfn.XLOOKUP(S1643,'Tabla Articulos'!B:B,'Tabla Articulos'!E:E)</f>
        <v>#N/A</v>
      </c>
      <c r="R1643" s="44" t="e">
        <f t="shared" si="50"/>
        <v>#N/A</v>
      </c>
      <c r="S1643" s="45" t="str">
        <f t="shared" si="51"/>
        <v>7798012210113</v>
      </c>
    </row>
    <row r="1644" spans="1:19" hidden="1" x14ac:dyDescent="0.35">
      <c r="A1644" s="22">
        <v>6</v>
      </c>
      <c r="B1644" t="s">
        <v>801</v>
      </c>
      <c r="C1644" t="s">
        <v>802</v>
      </c>
      <c r="E1644" t="s">
        <v>3433</v>
      </c>
      <c r="F1644" s="11">
        <v>9003189</v>
      </c>
      <c r="G1644" t="s">
        <v>3434</v>
      </c>
      <c r="H1644" t="s">
        <v>805</v>
      </c>
      <c r="I1644">
        <v>57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57</v>
      </c>
      <c r="P1644" s="44" t="e">
        <f>_xlfn.XLOOKUP(Tabla5[[#This Row],[EAN CORREGIDO]],'Tabla Articulos'!B:B,'Tabla Articulos'!D:D)</f>
        <v>#N/A</v>
      </c>
      <c r="Q1644" s="44" t="e">
        <f>_xlfn.XLOOKUP(S1644,'Tabla Articulos'!B:B,'Tabla Articulos'!E:E)</f>
        <v>#N/A</v>
      </c>
      <c r="R1644" s="44" t="e">
        <f t="shared" si="50"/>
        <v>#N/A</v>
      </c>
      <c r="S1644" s="45" t="str">
        <f t="shared" si="51"/>
        <v>UNIF000315</v>
      </c>
    </row>
    <row r="1645" spans="1:19" hidden="1" x14ac:dyDescent="0.35">
      <c r="A1645" s="22">
        <v>6</v>
      </c>
      <c r="B1645" t="s">
        <v>801</v>
      </c>
      <c r="C1645" t="s">
        <v>802</v>
      </c>
      <c r="E1645" t="s">
        <v>3435</v>
      </c>
      <c r="F1645" s="11">
        <v>9003244</v>
      </c>
      <c r="G1645" t="s">
        <v>3436</v>
      </c>
      <c r="H1645" t="s">
        <v>805</v>
      </c>
      <c r="I1645">
        <v>28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28</v>
      </c>
      <c r="P1645" s="44" t="e">
        <f>_xlfn.XLOOKUP(Tabla5[[#This Row],[EAN CORREGIDO]],'Tabla Articulos'!B:B,'Tabla Articulos'!D:D)</f>
        <v>#N/A</v>
      </c>
      <c r="Q1645" s="44" t="e">
        <f>_xlfn.XLOOKUP(S1645,'Tabla Articulos'!B:B,'Tabla Articulos'!E:E)</f>
        <v>#N/A</v>
      </c>
      <c r="R1645" s="44" t="e">
        <f t="shared" si="50"/>
        <v>#N/A</v>
      </c>
      <c r="S1645" s="45" t="str">
        <f t="shared" si="51"/>
        <v>UNIF000472</v>
      </c>
    </row>
    <row r="1646" spans="1:19" hidden="1" x14ac:dyDescent="0.35">
      <c r="A1646" s="22">
        <v>5</v>
      </c>
      <c r="B1646" t="s">
        <v>829</v>
      </c>
      <c r="C1646" t="s">
        <v>802</v>
      </c>
      <c r="D1646" s="11" t="s">
        <v>2637</v>
      </c>
      <c r="E1646" t="s">
        <v>3437</v>
      </c>
      <c r="F1646" s="11">
        <v>4021624</v>
      </c>
      <c r="G1646" t="s">
        <v>3438</v>
      </c>
      <c r="H1646" t="s">
        <v>805</v>
      </c>
      <c r="I1646">
        <v>576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576</v>
      </c>
      <c r="P1646" s="44" t="e">
        <f>_xlfn.XLOOKUP(Tabla5[[#This Row],[EAN CORREGIDO]],'Tabla Articulos'!B:B,'Tabla Articulos'!D:D)</f>
        <v>#N/A</v>
      </c>
      <c r="Q1646" s="44" t="e">
        <f>_xlfn.XLOOKUP(S1646,'Tabla Articulos'!B:B,'Tabla Articulos'!E:E)</f>
        <v>#N/A</v>
      </c>
      <c r="R1646" s="44" t="e">
        <f t="shared" si="50"/>
        <v>#N/A</v>
      </c>
      <c r="S1646" s="45" t="str">
        <f t="shared" si="51"/>
        <v>7798113473127</v>
      </c>
    </row>
    <row r="1647" spans="1:19" hidden="1" x14ac:dyDescent="0.35">
      <c r="A1647" s="22">
        <v>1</v>
      </c>
      <c r="B1647" t="s">
        <v>812</v>
      </c>
      <c r="C1647" t="s">
        <v>802</v>
      </c>
      <c r="D1647" s="11" t="s">
        <v>824</v>
      </c>
      <c r="E1647" t="s">
        <v>2375</v>
      </c>
      <c r="F1647" s="11">
        <v>4020488</v>
      </c>
      <c r="G1647" t="s">
        <v>2376</v>
      </c>
      <c r="H1647" t="s">
        <v>805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 s="44" t="e">
        <f>_xlfn.XLOOKUP(Tabla5[[#This Row],[EAN CORREGIDO]],'Tabla Articulos'!B:B,'Tabla Articulos'!D:D)</f>
        <v>#N/A</v>
      </c>
      <c r="Q1647" s="44" t="e">
        <f>_xlfn.XLOOKUP(S1647,'Tabla Articulos'!B:B,'Tabla Articulos'!E:E)</f>
        <v>#N/A</v>
      </c>
      <c r="R1647" s="44" t="e">
        <f t="shared" si="50"/>
        <v>#N/A</v>
      </c>
      <c r="S1647" s="45" t="str">
        <f t="shared" si="51"/>
        <v>7798224212110</v>
      </c>
    </row>
    <row r="1648" spans="1:19" hidden="1" x14ac:dyDescent="0.35">
      <c r="A1648" s="22">
        <v>1</v>
      </c>
      <c r="B1648" t="s">
        <v>812</v>
      </c>
      <c r="C1648" t="s">
        <v>802</v>
      </c>
      <c r="D1648" s="11" t="s">
        <v>2377</v>
      </c>
      <c r="E1648" t="s">
        <v>2378</v>
      </c>
      <c r="F1648" s="11">
        <v>4020188</v>
      </c>
      <c r="G1648" t="s">
        <v>2379</v>
      </c>
      <c r="H1648" t="s">
        <v>805</v>
      </c>
      <c r="I1648">
        <v>41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41</v>
      </c>
      <c r="P1648" s="44" t="e">
        <f>_xlfn.XLOOKUP(Tabla5[[#This Row],[EAN CORREGIDO]],'Tabla Articulos'!B:B,'Tabla Articulos'!D:D)</f>
        <v>#N/A</v>
      </c>
      <c r="Q1648" s="44" t="e">
        <f>_xlfn.XLOOKUP(S1648,'Tabla Articulos'!B:B,'Tabla Articulos'!E:E)</f>
        <v>#N/A</v>
      </c>
      <c r="R1648" s="44" t="e">
        <f t="shared" si="50"/>
        <v>#N/A</v>
      </c>
      <c r="S1648" s="45" t="str">
        <f t="shared" si="51"/>
        <v>7793875317146</v>
      </c>
    </row>
    <row r="1649" spans="1:19" hidden="1" x14ac:dyDescent="0.35">
      <c r="A1649" s="22">
        <v>1</v>
      </c>
      <c r="B1649" t="s">
        <v>812</v>
      </c>
      <c r="C1649" t="s">
        <v>802</v>
      </c>
      <c r="D1649" s="11" t="s">
        <v>2380</v>
      </c>
      <c r="E1649" t="s">
        <v>2381</v>
      </c>
      <c r="F1649" s="11">
        <v>4018253</v>
      </c>
      <c r="G1649" t="s">
        <v>2382</v>
      </c>
      <c r="H1649" t="s">
        <v>1034</v>
      </c>
      <c r="I1649">
        <v>10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10</v>
      </c>
      <c r="P1649" s="44" t="e">
        <f>_xlfn.XLOOKUP(Tabla5[[#This Row],[EAN CORREGIDO]],'Tabla Articulos'!B:B,'Tabla Articulos'!D:D)</f>
        <v>#N/A</v>
      </c>
      <c r="Q1649" s="44" t="e">
        <f>_xlfn.XLOOKUP(S1649,'Tabla Articulos'!B:B,'Tabla Articulos'!E:E)</f>
        <v>#N/A</v>
      </c>
      <c r="R1649" s="44" t="e">
        <f t="shared" si="50"/>
        <v>#N/A</v>
      </c>
      <c r="S1649" s="45" t="str">
        <f t="shared" si="51"/>
        <v>7790787960446</v>
      </c>
    </row>
    <row r="1650" spans="1:19" hidden="1" x14ac:dyDescent="0.35">
      <c r="A1650" s="22">
        <v>6</v>
      </c>
      <c r="B1650" t="s">
        <v>801</v>
      </c>
      <c r="C1650" t="s">
        <v>802</v>
      </c>
      <c r="E1650" t="s">
        <v>2383</v>
      </c>
      <c r="F1650" s="11">
        <v>9003588</v>
      </c>
      <c r="G1650" t="s">
        <v>2384</v>
      </c>
      <c r="H1650" t="s">
        <v>805</v>
      </c>
      <c r="I1650">
        <v>4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4</v>
      </c>
      <c r="P1650" s="44" t="e">
        <f>_xlfn.XLOOKUP(Tabla5[[#This Row],[EAN CORREGIDO]],'Tabla Articulos'!B:B,'Tabla Articulos'!D:D)</f>
        <v>#N/A</v>
      </c>
      <c r="Q1650" s="44" t="e">
        <f>_xlfn.XLOOKUP(S1650,'Tabla Articulos'!B:B,'Tabla Articulos'!E:E)</f>
        <v>#N/A</v>
      </c>
      <c r="R1650" s="44" t="e">
        <f t="shared" si="50"/>
        <v>#N/A</v>
      </c>
      <c r="S1650" s="45" t="str">
        <f t="shared" si="51"/>
        <v>UNIF000500</v>
      </c>
    </row>
    <row r="1651" spans="1:19" hidden="1" x14ac:dyDescent="0.35">
      <c r="A1651" s="22">
        <v>5</v>
      </c>
      <c r="B1651" t="s">
        <v>829</v>
      </c>
      <c r="C1651" t="s">
        <v>802</v>
      </c>
      <c r="D1651" s="11" t="s">
        <v>1271</v>
      </c>
      <c r="E1651" t="s">
        <v>2777</v>
      </c>
      <c r="F1651" s="11">
        <v>4048942</v>
      </c>
      <c r="G1651" t="s">
        <v>2778</v>
      </c>
      <c r="H1651" t="s">
        <v>805</v>
      </c>
      <c r="I1651">
        <v>72715</v>
      </c>
      <c r="J1651">
        <v>0</v>
      </c>
      <c r="K1651">
        <v>0</v>
      </c>
      <c r="L1651">
        <v>0</v>
      </c>
      <c r="M1651">
        <v>25</v>
      </c>
      <c r="N1651">
        <v>0</v>
      </c>
      <c r="O1651">
        <v>72690</v>
      </c>
      <c r="P1651" s="44" t="e">
        <f>_xlfn.XLOOKUP(Tabla5[[#This Row],[EAN CORREGIDO]],'Tabla Articulos'!B:B,'Tabla Articulos'!D:D)</f>
        <v>#N/A</v>
      </c>
      <c r="Q1651" s="44" t="e">
        <f>_xlfn.XLOOKUP(S1651,'Tabla Articulos'!B:B,'Tabla Articulos'!E:E)</f>
        <v>#N/A</v>
      </c>
      <c r="R1651" s="44" t="e">
        <f t="shared" si="50"/>
        <v>#N/A</v>
      </c>
      <c r="S1651" s="45" t="str">
        <f t="shared" si="51"/>
        <v>7791599000269</v>
      </c>
    </row>
    <row r="1652" spans="1:19" hidden="1" x14ac:dyDescent="0.35">
      <c r="A1652" s="22">
        <v>1</v>
      </c>
      <c r="B1652" t="s">
        <v>812</v>
      </c>
      <c r="C1652" t="s">
        <v>802</v>
      </c>
      <c r="D1652" s="11" t="s">
        <v>846</v>
      </c>
      <c r="E1652" t="s">
        <v>847</v>
      </c>
      <c r="F1652" s="11">
        <v>4018577</v>
      </c>
      <c r="G1652" t="s">
        <v>848</v>
      </c>
      <c r="H1652" t="s">
        <v>816</v>
      </c>
      <c r="I1652">
        <v>41.3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41.3</v>
      </c>
      <c r="P1652" s="44" t="e">
        <f>_xlfn.XLOOKUP(Tabla5[[#This Row],[EAN CORREGIDO]],'Tabla Articulos'!B:B,'Tabla Articulos'!D:D)</f>
        <v>#N/A</v>
      </c>
      <c r="Q1652" s="44" t="e">
        <f>_xlfn.XLOOKUP(S1652,'Tabla Articulos'!B:B,'Tabla Articulos'!E:E)</f>
        <v>#N/A</v>
      </c>
      <c r="R1652" s="44" t="e">
        <f t="shared" si="50"/>
        <v>#N/A</v>
      </c>
      <c r="S1652" s="45" t="str">
        <f t="shared" si="51"/>
        <v>7790213012196</v>
      </c>
    </row>
    <row r="1653" spans="1:19" hidden="1" x14ac:dyDescent="0.35">
      <c r="A1653" s="22">
        <v>6</v>
      </c>
      <c r="B1653" t="s">
        <v>801</v>
      </c>
      <c r="C1653" t="s">
        <v>802</v>
      </c>
      <c r="E1653" t="s">
        <v>1098</v>
      </c>
      <c r="F1653" s="11">
        <v>9003299</v>
      </c>
      <c r="G1653" t="s">
        <v>1099</v>
      </c>
      <c r="H1653" t="s">
        <v>805</v>
      </c>
      <c r="I1653">
        <v>188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188</v>
      </c>
      <c r="P1653" s="44" t="e">
        <f>_xlfn.XLOOKUP(Tabla5[[#This Row],[EAN CORREGIDO]],'Tabla Articulos'!B:B,'Tabla Articulos'!D:D)</f>
        <v>#N/A</v>
      </c>
      <c r="Q1653" s="44" t="e">
        <f>_xlfn.XLOOKUP(S1653,'Tabla Articulos'!B:B,'Tabla Articulos'!E:E)</f>
        <v>#N/A</v>
      </c>
      <c r="R1653" s="44" t="e">
        <f t="shared" si="50"/>
        <v>#N/A</v>
      </c>
      <c r="S1653" s="45" t="str">
        <f t="shared" si="51"/>
        <v>UNIF000046</v>
      </c>
    </row>
    <row r="1654" spans="1:19" hidden="1" x14ac:dyDescent="0.35">
      <c r="A1654" s="22">
        <v>6</v>
      </c>
      <c r="B1654" t="s">
        <v>801</v>
      </c>
      <c r="C1654" t="s">
        <v>802</v>
      </c>
      <c r="E1654" t="s">
        <v>1100</v>
      </c>
      <c r="F1654" s="11">
        <v>9003298</v>
      </c>
      <c r="G1654" t="s">
        <v>1101</v>
      </c>
      <c r="H1654" t="s">
        <v>805</v>
      </c>
      <c r="I1654">
        <v>12</v>
      </c>
      <c r="J1654">
        <v>40</v>
      </c>
      <c r="K1654">
        <v>0</v>
      </c>
      <c r="L1654">
        <v>0</v>
      </c>
      <c r="M1654">
        <v>0</v>
      </c>
      <c r="N1654">
        <v>0</v>
      </c>
      <c r="O1654">
        <v>52</v>
      </c>
      <c r="P1654" s="44" t="e">
        <f>_xlfn.XLOOKUP(Tabla5[[#This Row],[EAN CORREGIDO]],'Tabla Articulos'!B:B,'Tabla Articulos'!D:D)</f>
        <v>#N/A</v>
      </c>
      <c r="Q1654" s="44" t="e">
        <f>_xlfn.XLOOKUP(S1654,'Tabla Articulos'!B:B,'Tabla Articulos'!E:E)</f>
        <v>#N/A</v>
      </c>
      <c r="R1654" s="44" t="e">
        <f t="shared" si="50"/>
        <v>#N/A</v>
      </c>
      <c r="S1654" s="45" t="str">
        <f t="shared" si="51"/>
        <v>UNIF000045</v>
      </c>
    </row>
    <row r="1655" spans="1:19" hidden="1" x14ac:dyDescent="0.35">
      <c r="A1655" s="22">
        <v>6</v>
      </c>
      <c r="B1655" t="s">
        <v>801</v>
      </c>
      <c r="C1655" t="s">
        <v>802</v>
      </c>
      <c r="E1655" t="s">
        <v>1102</v>
      </c>
      <c r="F1655">
        <v>9003477</v>
      </c>
      <c r="G1655" t="s">
        <v>1103</v>
      </c>
      <c r="H1655" t="s">
        <v>805</v>
      </c>
      <c r="I1655">
        <v>4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4</v>
      </c>
      <c r="P1655" s="44" t="e">
        <f>_xlfn.XLOOKUP(Tabla5[[#This Row],[EAN CORREGIDO]],'Tabla Articulos'!B:B,'Tabla Articulos'!D:D)</f>
        <v>#N/A</v>
      </c>
      <c r="Q1655" s="44" t="e">
        <f>_xlfn.XLOOKUP(S1655,'Tabla Articulos'!B:B,'Tabla Articulos'!E:E)</f>
        <v>#N/A</v>
      </c>
      <c r="R1655" s="44" t="e">
        <f t="shared" si="50"/>
        <v>#N/A</v>
      </c>
      <c r="S1655" s="45" t="str">
        <f t="shared" si="51"/>
        <v>UNIF000209</v>
      </c>
    </row>
    <row r="1656" spans="1:19" hidden="1" x14ac:dyDescent="0.35">
      <c r="A1656" s="22">
        <v>1</v>
      </c>
      <c r="B1656" t="s">
        <v>812</v>
      </c>
      <c r="C1656" t="s">
        <v>802</v>
      </c>
      <c r="D1656" t="s">
        <v>1104</v>
      </c>
      <c r="E1656" t="s">
        <v>1105</v>
      </c>
      <c r="F1656">
        <v>4076531</v>
      </c>
      <c r="G1656" t="s">
        <v>1106</v>
      </c>
      <c r="H1656" t="s">
        <v>805</v>
      </c>
      <c r="I1656">
        <v>360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360</v>
      </c>
      <c r="P1656" s="44" t="e">
        <f>_xlfn.XLOOKUP(Tabla5[[#This Row],[EAN CORREGIDO]],'Tabla Articulos'!B:B,'Tabla Articulos'!D:D)</f>
        <v>#N/A</v>
      </c>
      <c r="Q1656" s="44" t="e">
        <f>_xlfn.XLOOKUP(S1656,'Tabla Articulos'!B:B,'Tabla Articulos'!E:E)</f>
        <v>#N/A</v>
      </c>
      <c r="R1656" s="44" t="e">
        <f t="shared" si="50"/>
        <v>#N/A</v>
      </c>
      <c r="S1656" s="45" t="str">
        <f t="shared" si="51"/>
        <v>7790971002211</v>
      </c>
    </row>
    <row r="1657" spans="1:19" hidden="1" x14ac:dyDescent="0.35">
      <c r="A1657" s="22">
        <v>6</v>
      </c>
      <c r="B1657" t="s">
        <v>801</v>
      </c>
      <c r="C1657" t="s">
        <v>802</v>
      </c>
      <c r="E1657" t="s">
        <v>1107</v>
      </c>
      <c r="F1657">
        <v>5002845</v>
      </c>
      <c r="G1657" t="s">
        <v>1108</v>
      </c>
      <c r="H1657" t="s">
        <v>805</v>
      </c>
      <c r="I1657">
        <v>114</v>
      </c>
      <c r="J1657">
        <v>0</v>
      </c>
      <c r="K1657">
        <v>0</v>
      </c>
      <c r="L1657">
        <v>0</v>
      </c>
      <c r="M1657">
        <v>7</v>
      </c>
      <c r="N1657">
        <v>0</v>
      </c>
      <c r="O1657">
        <v>107</v>
      </c>
      <c r="P1657" s="44" t="e">
        <f>_xlfn.XLOOKUP(Tabla5[[#This Row],[EAN CORREGIDO]],'Tabla Articulos'!B:B,'Tabla Articulos'!D:D)</f>
        <v>#N/A</v>
      </c>
      <c r="Q1657" s="44" t="e">
        <f>_xlfn.XLOOKUP(S1657,'Tabla Articulos'!B:B,'Tabla Articulos'!E:E)</f>
        <v>#N/A</v>
      </c>
      <c r="R1657" s="44" t="e">
        <f t="shared" si="50"/>
        <v>#N/A</v>
      </c>
      <c r="S1657" s="45" t="str">
        <f t="shared" si="51"/>
        <v>BAZ000883</v>
      </c>
    </row>
    <row r="1658" spans="1:19" hidden="1" x14ac:dyDescent="0.35">
      <c r="A1658" s="22">
        <v>6</v>
      </c>
      <c r="B1658" t="s">
        <v>801</v>
      </c>
      <c r="C1658" t="s">
        <v>802</v>
      </c>
      <c r="D1658"/>
      <c r="E1658" t="s">
        <v>5464</v>
      </c>
      <c r="F1658"/>
      <c r="G1658" t="s">
        <v>5465</v>
      </c>
      <c r="H1658" t="s">
        <v>805</v>
      </c>
      <c r="I1658">
        <v>10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10</v>
      </c>
      <c r="P1658" s="44" t="e">
        <f>_xlfn.XLOOKUP(Tabla5[[#This Row],[EAN CORREGIDO]],'Tabla Articulos'!B:B,'Tabla Articulos'!D:D)</f>
        <v>#N/A</v>
      </c>
      <c r="Q1658" s="44" t="e">
        <f>_xlfn.XLOOKUP(S1658,'Tabla Articulos'!B:B,'Tabla Articulos'!E:E)</f>
        <v>#N/A</v>
      </c>
      <c r="R1658" s="44" t="e">
        <f t="shared" si="50"/>
        <v>#N/A</v>
      </c>
      <c r="S1658" s="45" t="str">
        <f t="shared" si="51"/>
        <v>BUSAT0011017</v>
      </c>
    </row>
    <row r="1659" spans="1:19" hidden="1" x14ac:dyDescent="0.35">
      <c r="A1659" s="22">
        <v>6</v>
      </c>
      <c r="B1659" t="s">
        <v>801</v>
      </c>
      <c r="C1659" t="s">
        <v>802</v>
      </c>
      <c r="D1659"/>
      <c r="E1659" t="s">
        <v>5466</v>
      </c>
      <c r="F1659"/>
      <c r="G1659" t="s">
        <v>5467</v>
      </c>
      <c r="H1659" t="s">
        <v>805</v>
      </c>
      <c r="I1659">
        <v>10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10</v>
      </c>
      <c r="P1659" s="44" t="e">
        <f>_xlfn.XLOOKUP(Tabla5[[#This Row],[EAN CORREGIDO]],'Tabla Articulos'!B:B,'Tabla Articulos'!D:D)</f>
        <v>#N/A</v>
      </c>
      <c r="Q1659" s="44" t="e">
        <f>_xlfn.XLOOKUP(S1659,'Tabla Articulos'!B:B,'Tabla Articulos'!E:E)</f>
        <v>#N/A</v>
      </c>
      <c r="R1659" s="44" t="e">
        <f t="shared" si="50"/>
        <v>#N/A</v>
      </c>
      <c r="S1659" s="45" t="str">
        <f t="shared" si="51"/>
        <v>BUSAT000947</v>
      </c>
    </row>
    <row r="1660" spans="1:19" hidden="1" x14ac:dyDescent="0.35">
      <c r="A1660" s="22">
        <v>6</v>
      </c>
      <c r="B1660" t="s">
        <v>801</v>
      </c>
      <c r="C1660" t="s">
        <v>802</v>
      </c>
      <c r="E1660" t="s">
        <v>5468</v>
      </c>
      <c r="F1660"/>
      <c r="G1660" t="s">
        <v>5469</v>
      </c>
      <c r="H1660" t="s">
        <v>805</v>
      </c>
      <c r="I1660">
        <v>4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4</v>
      </c>
      <c r="P1660" s="44" t="e">
        <f>_xlfn.XLOOKUP(Tabla5[[#This Row],[EAN CORREGIDO]],'Tabla Articulos'!B:B,'Tabla Articulos'!D:D)</f>
        <v>#N/A</v>
      </c>
      <c r="Q1660" s="44" t="e">
        <f>_xlfn.XLOOKUP(S1660,'Tabla Articulos'!B:B,'Tabla Articulos'!E:E)</f>
        <v>#N/A</v>
      </c>
      <c r="R1660" s="44" t="e">
        <f t="shared" si="50"/>
        <v>#N/A</v>
      </c>
      <c r="S1660" s="45" t="str">
        <f t="shared" si="51"/>
        <v>BUSAT000367</v>
      </c>
    </row>
    <row r="1661" spans="1:19" hidden="1" x14ac:dyDescent="0.35">
      <c r="A1661" s="22">
        <v>6</v>
      </c>
      <c r="B1661" t="s">
        <v>801</v>
      </c>
      <c r="C1661" t="s">
        <v>802</v>
      </c>
      <c r="E1661" t="s">
        <v>5470</v>
      </c>
      <c r="F1661"/>
      <c r="G1661" t="s">
        <v>5471</v>
      </c>
      <c r="H1661" t="s">
        <v>805</v>
      </c>
      <c r="I1661">
        <v>2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2</v>
      </c>
      <c r="P1661" s="44" t="e">
        <f>_xlfn.XLOOKUP(Tabla5[[#This Row],[EAN CORREGIDO]],'Tabla Articulos'!B:B,'Tabla Articulos'!D:D)</f>
        <v>#N/A</v>
      </c>
      <c r="Q1661" s="44" t="e">
        <f>_xlfn.XLOOKUP(S1661,'Tabla Articulos'!B:B,'Tabla Articulos'!E:E)</f>
        <v>#N/A</v>
      </c>
      <c r="R1661" s="44" t="e">
        <f t="shared" si="50"/>
        <v>#N/A</v>
      </c>
      <c r="S1661" s="45" t="str">
        <f t="shared" si="51"/>
        <v>BUSAT000246</v>
      </c>
    </row>
    <row r="1662" spans="1:19" hidden="1" x14ac:dyDescent="0.35">
      <c r="A1662" s="22">
        <v>6</v>
      </c>
      <c r="B1662" t="s">
        <v>801</v>
      </c>
      <c r="C1662" t="s">
        <v>802</v>
      </c>
      <c r="D1662"/>
      <c r="E1662" t="s">
        <v>5472</v>
      </c>
      <c r="F1662"/>
      <c r="G1662" t="s">
        <v>5473</v>
      </c>
      <c r="H1662" t="s">
        <v>805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1</v>
      </c>
      <c r="P1662" s="44" t="e">
        <f>_xlfn.XLOOKUP(Tabla5[[#This Row],[EAN CORREGIDO]],'Tabla Articulos'!B:B,'Tabla Articulos'!D:D)</f>
        <v>#N/A</v>
      </c>
      <c r="Q1662" s="44" t="e">
        <f>_xlfn.XLOOKUP(S1662,'Tabla Articulos'!B:B,'Tabla Articulos'!E:E)</f>
        <v>#N/A</v>
      </c>
      <c r="R1662" s="44" t="e">
        <f t="shared" si="50"/>
        <v>#N/A</v>
      </c>
      <c r="S1662" s="45" t="str">
        <f t="shared" si="51"/>
        <v>BUSAT000171</v>
      </c>
    </row>
    <row r="1663" spans="1:19" hidden="1" x14ac:dyDescent="0.35">
      <c r="A1663" s="22">
        <v>6</v>
      </c>
      <c r="B1663" t="s">
        <v>801</v>
      </c>
      <c r="C1663" t="s">
        <v>802</v>
      </c>
      <c r="E1663" t="s">
        <v>5474</v>
      </c>
      <c r="F1663"/>
      <c r="G1663" t="s">
        <v>5475</v>
      </c>
      <c r="H1663" t="s">
        <v>805</v>
      </c>
      <c r="I1663">
        <v>5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5</v>
      </c>
      <c r="P1663" s="44" t="e">
        <f>_xlfn.XLOOKUP(Tabla5[[#This Row],[EAN CORREGIDO]],'Tabla Articulos'!B:B,'Tabla Articulos'!D:D)</f>
        <v>#N/A</v>
      </c>
      <c r="Q1663" s="44" t="e">
        <f>_xlfn.XLOOKUP(S1663,'Tabla Articulos'!B:B,'Tabla Articulos'!E:E)</f>
        <v>#N/A</v>
      </c>
      <c r="R1663" s="44" t="e">
        <f t="shared" si="50"/>
        <v>#N/A</v>
      </c>
      <c r="S1663" s="45" t="str">
        <f t="shared" si="51"/>
        <v>BUSAT000714</v>
      </c>
    </row>
    <row r="1664" spans="1:19" hidden="1" x14ac:dyDescent="0.35">
      <c r="A1664" s="22">
        <v>6</v>
      </c>
      <c r="B1664" t="s">
        <v>801</v>
      </c>
      <c r="C1664" t="s">
        <v>802</v>
      </c>
      <c r="D1664"/>
      <c r="E1664" t="s">
        <v>5476</v>
      </c>
      <c r="F1664"/>
      <c r="G1664" t="s">
        <v>5477</v>
      </c>
      <c r="H1664" t="s">
        <v>805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 s="44" t="e">
        <f>_xlfn.XLOOKUP(Tabla5[[#This Row],[EAN CORREGIDO]],'Tabla Articulos'!B:B,'Tabla Articulos'!D:D)</f>
        <v>#N/A</v>
      </c>
      <c r="Q1664" s="44" t="e">
        <f>_xlfn.XLOOKUP(S1664,'Tabla Articulos'!B:B,'Tabla Articulos'!E:E)</f>
        <v>#N/A</v>
      </c>
      <c r="R1664" s="44" t="e">
        <f t="shared" si="50"/>
        <v>#N/A</v>
      </c>
      <c r="S1664" s="45" t="str">
        <f t="shared" si="51"/>
        <v>BUSAT000118</v>
      </c>
    </row>
    <row r="1665" spans="1:19" hidden="1" x14ac:dyDescent="0.35">
      <c r="A1665" s="22">
        <v>6</v>
      </c>
      <c r="B1665" t="s">
        <v>801</v>
      </c>
      <c r="C1665" t="s">
        <v>802</v>
      </c>
      <c r="E1665" t="s">
        <v>5478</v>
      </c>
      <c r="F1665"/>
      <c r="G1665" t="s">
        <v>5479</v>
      </c>
      <c r="H1665" t="s">
        <v>805</v>
      </c>
      <c r="I1665">
        <v>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5</v>
      </c>
      <c r="P1665" s="44" t="e">
        <f>_xlfn.XLOOKUP(Tabla5[[#This Row],[EAN CORREGIDO]],'Tabla Articulos'!B:B,'Tabla Articulos'!D:D)</f>
        <v>#N/A</v>
      </c>
      <c r="Q1665" s="44" t="e">
        <f>_xlfn.XLOOKUP(S1665,'Tabla Articulos'!B:B,'Tabla Articulos'!E:E)</f>
        <v>#N/A</v>
      </c>
      <c r="R1665" s="44" t="e">
        <f t="shared" ref="R1665:R1728" si="52">O1665*Q1665</f>
        <v>#N/A</v>
      </c>
      <c r="S1665" s="45" t="str">
        <f t="shared" ref="S1665:S1728" si="53">TRIM(E1665)</f>
        <v>BUSAT000050</v>
      </c>
    </row>
    <row r="1666" spans="1:19" hidden="1" x14ac:dyDescent="0.35">
      <c r="A1666" s="22">
        <v>6</v>
      </c>
      <c r="B1666" t="s">
        <v>801</v>
      </c>
      <c r="C1666" t="s">
        <v>802</v>
      </c>
      <c r="D1666"/>
      <c r="E1666" t="s">
        <v>5480</v>
      </c>
      <c r="F1666"/>
      <c r="G1666" t="s">
        <v>5481</v>
      </c>
      <c r="H1666" t="s">
        <v>805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 s="44" t="e">
        <f>_xlfn.XLOOKUP(Tabla5[[#This Row],[EAN CORREGIDO]],'Tabla Articulos'!B:B,'Tabla Articulos'!D:D)</f>
        <v>#N/A</v>
      </c>
      <c r="Q1666" s="44" t="e">
        <f>_xlfn.XLOOKUP(S1666,'Tabla Articulos'!B:B,'Tabla Articulos'!E:E)</f>
        <v>#N/A</v>
      </c>
      <c r="R1666" s="44" t="e">
        <f t="shared" si="52"/>
        <v>#N/A</v>
      </c>
      <c r="S1666" s="45" t="str">
        <f t="shared" si="53"/>
        <v>BUSAT000581</v>
      </c>
    </row>
    <row r="1667" spans="1:19" hidden="1" x14ac:dyDescent="0.35">
      <c r="A1667" s="22">
        <v>6</v>
      </c>
      <c r="B1667" t="s">
        <v>801</v>
      </c>
      <c r="C1667" t="s">
        <v>802</v>
      </c>
      <c r="D1667"/>
      <c r="E1667" t="s">
        <v>5482</v>
      </c>
      <c r="F1667"/>
      <c r="G1667" t="s">
        <v>5483</v>
      </c>
      <c r="H1667" t="s">
        <v>805</v>
      </c>
      <c r="I1667">
        <v>64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64</v>
      </c>
      <c r="P1667" s="44" t="e">
        <f>_xlfn.XLOOKUP(Tabla5[[#This Row],[EAN CORREGIDO]],'Tabla Articulos'!B:B,'Tabla Articulos'!D:D)</f>
        <v>#N/A</v>
      </c>
      <c r="Q1667" s="44" t="e">
        <f>_xlfn.XLOOKUP(S1667,'Tabla Articulos'!B:B,'Tabla Articulos'!E:E)</f>
        <v>#N/A</v>
      </c>
      <c r="R1667" s="44" t="e">
        <f t="shared" si="52"/>
        <v>#N/A</v>
      </c>
      <c r="S1667" s="45" t="str">
        <f t="shared" si="53"/>
        <v>BUSAT000272</v>
      </c>
    </row>
    <row r="1668" spans="1:19" hidden="1" x14ac:dyDescent="0.35">
      <c r="A1668" s="22">
        <v>6</v>
      </c>
      <c r="B1668" t="s">
        <v>801</v>
      </c>
      <c r="C1668" t="s">
        <v>802</v>
      </c>
      <c r="D1668"/>
      <c r="E1668" t="s">
        <v>5484</v>
      </c>
      <c r="F1668"/>
      <c r="G1668" t="s">
        <v>5485</v>
      </c>
      <c r="H1668" t="s">
        <v>805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 s="44" t="e">
        <f>_xlfn.XLOOKUP(Tabla5[[#This Row],[EAN CORREGIDO]],'Tabla Articulos'!B:B,'Tabla Articulos'!D:D)</f>
        <v>#N/A</v>
      </c>
      <c r="Q1668" s="44" t="e">
        <f>_xlfn.XLOOKUP(S1668,'Tabla Articulos'!B:B,'Tabla Articulos'!E:E)</f>
        <v>#N/A</v>
      </c>
      <c r="R1668" s="44" t="e">
        <f t="shared" si="52"/>
        <v>#N/A</v>
      </c>
      <c r="S1668" s="45" t="str">
        <f t="shared" si="53"/>
        <v>BUSAT000306</v>
      </c>
    </row>
    <row r="1669" spans="1:19" hidden="1" x14ac:dyDescent="0.35">
      <c r="A1669" s="22">
        <v>6</v>
      </c>
      <c r="B1669" t="s">
        <v>801</v>
      </c>
      <c r="C1669" t="s">
        <v>802</v>
      </c>
      <c r="D1669"/>
      <c r="E1669" t="s">
        <v>5486</v>
      </c>
      <c r="F1669"/>
      <c r="G1669" t="s">
        <v>5487</v>
      </c>
      <c r="H1669" t="s">
        <v>805</v>
      </c>
      <c r="I1669">
        <v>20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20</v>
      </c>
      <c r="P1669" s="44" t="e">
        <f>_xlfn.XLOOKUP(Tabla5[[#This Row],[EAN CORREGIDO]],'Tabla Articulos'!B:B,'Tabla Articulos'!D:D)</f>
        <v>#N/A</v>
      </c>
      <c r="Q1669" s="44" t="e">
        <f>_xlfn.XLOOKUP(S1669,'Tabla Articulos'!B:B,'Tabla Articulos'!E:E)</f>
        <v>#N/A</v>
      </c>
      <c r="R1669" s="44" t="e">
        <f t="shared" si="52"/>
        <v>#N/A</v>
      </c>
      <c r="S1669" s="45" t="str">
        <f t="shared" si="53"/>
        <v>BUSAT000347</v>
      </c>
    </row>
    <row r="1670" spans="1:19" hidden="1" x14ac:dyDescent="0.35">
      <c r="A1670" s="22">
        <v>6</v>
      </c>
      <c r="B1670" t="s">
        <v>801</v>
      </c>
      <c r="C1670" t="s">
        <v>802</v>
      </c>
      <c r="E1670" t="s">
        <v>5488</v>
      </c>
      <c r="F1670"/>
      <c r="G1670" t="s">
        <v>5489</v>
      </c>
      <c r="H1670" t="s">
        <v>805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</v>
      </c>
      <c r="P1670" s="44" t="e">
        <f>_xlfn.XLOOKUP(Tabla5[[#This Row],[EAN CORREGIDO]],'Tabla Articulos'!B:B,'Tabla Articulos'!D:D)</f>
        <v>#N/A</v>
      </c>
      <c r="Q1670" s="44" t="e">
        <f>_xlfn.XLOOKUP(S1670,'Tabla Articulos'!B:B,'Tabla Articulos'!E:E)</f>
        <v>#N/A</v>
      </c>
      <c r="R1670" s="44" t="e">
        <f t="shared" si="52"/>
        <v>#N/A</v>
      </c>
      <c r="S1670" s="45" t="str">
        <f t="shared" si="53"/>
        <v>BUSAT000883</v>
      </c>
    </row>
    <row r="1671" spans="1:19" hidden="1" x14ac:dyDescent="0.35">
      <c r="A1671" s="22">
        <v>6</v>
      </c>
      <c r="B1671" t="s">
        <v>801</v>
      </c>
      <c r="C1671" t="s">
        <v>802</v>
      </c>
      <c r="E1671" t="s">
        <v>5490</v>
      </c>
      <c r="F1671"/>
      <c r="G1671" t="s">
        <v>5491</v>
      </c>
      <c r="H1671" t="s">
        <v>805</v>
      </c>
      <c r="I1671">
        <v>2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2</v>
      </c>
      <c r="P1671" s="44" t="e">
        <f>_xlfn.XLOOKUP(Tabla5[[#This Row],[EAN CORREGIDO]],'Tabla Articulos'!B:B,'Tabla Articulos'!D:D)</f>
        <v>#N/A</v>
      </c>
      <c r="Q1671" s="44" t="e">
        <f>_xlfn.XLOOKUP(S1671,'Tabla Articulos'!B:B,'Tabla Articulos'!E:E)</f>
        <v>#N/A</v>
      </c>
      <c r="R1671" s="44" t="e">
        <f t="shared" si="52"/>
        <v>#N/A</v>
      </c>
      <c r="S1671" s="45" t="str">
        <f t="shared" si="53"/>
        <v>BUSAT000897</v>
      </c>
    </row>
    <row r="1672" spans="1:19" hidden="1" x14ac:dyDescent="0.35">
      <c r="A1672" s="22">
        <v>6</v>
      </c>
      <c r="B1672" t="s">
        <v>801</v>
      </c>
      <c r="C1672" t="s">
        <v>802</v>
      </c>
      <c r="E1672" t="s">
        <v>5492</v>
      </c>
      <c r="F1672"/>
      <c r="G1672" t="s">
        <v>4251</v>
      </c>
      <c r="H1672" t="s">
        <v>805</v>
      </c>
      <c r="I1672">
        <v>6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6</v>
      </c>
      <c r="P1672" s="44" t="e">
        <f>_xlfn.XLOOKUP(Tabla5[[#This Row],[EAN CORREGIDO]],'Tabla Articulos'!B:B,'Tabla Articulos'!D:D)</f>
        <v>#N/A</v>
      </c>
      <c r="Q1672" s="44" t="e">
        <f>_xlfn.XLOOKUP(S1672,'Tabla Articulos'!B:B,'Tabla Articulos'!E:E)</f>
        <v>#N/A</v>
      </c>
      <c r="R1672" s="44" t="e">
        <f t="shared" si="52"/>
        <v>#N/A</v>
      </c>
      <c r="S1672" s="45" t="str">
        <f t="shared" si="53"/>
        <v>BUSAT000427</v>
      </c>
    </row>
    <row r="1673" spans="1:19" hidden="1" x14ac:dyDescent="0.35">
      <c r="A1673" s="22">
        <v>6</v>
      </c>
      <c r="B1673" t="s">
        <v>801</v>
      </c>
      <c r="C1673" t="s">
        <v>802</v>
      </c>
      <c r="D1673"/>
      <c r="E1673" t="s">
        <v>5493</v>
      </c>
      <c r="F1673"/>
      <c r="G1673" t="s">
        <v>5494</v>
      </c>
      <c r="H1673" t="s">
        <v>805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 s="44" t="e">
        <f>_xlfn.XLOOKUP(Tabla5[[#This Row],[EAN CORREGIDO]],'Tabla Articulos'!B:B,'Tabla Articulos'!D:D)</f>
        <v>#N/A</v>
      </c>
      <c r="Q1673" s="44" t="e">
        <f>_xlfn.XLOOKUP(S1673,'Tabla Articulos'!B:B,'Tabla Articulos'!E:E)</f>
        <v>#N/A</v>
      </c>
      <c r="R1673" s="44" t="e">
        <f t="shared" si="52"/>
        <v>#N/A</v>
      </c>
      <c r="S1673" s="45" t="str">
        <f t="shared" si="53"/>
        <v>BUSAT000312</v>
      </c>
    </row>
    <row r="1674" spans="1:19" hidden="1" x14ac:dyDescent="0.35">
      <c r="A1674" s="22">
        <v>6</v>
      </c>
      <c r="B1674" t="s">
        <v>801</v>
      </c>
      <c r="C1674" t="s">
        <v>802</v>
      </c>
      <c r="D1674"/>
      <c r="E1674" t="s">
        <v>5495</v>
      </c>
      <c r="F1674"/>
      <c r="G1674" t="s">
        <v>5496</v>
      </c>
      <c r="H1674" t="s">
        <v>805</v>
      </c>
      <c r="I1674">
        <v>3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3</v>
      </c>
      <c r="P1674" s="44" t="e">
        <f>_xlfn.XLOOKUP(Tabla5[[#This Row],[EAN CORREGIDO]],'Tabla Articulos'!B:B,'Tabla Articulos'!D:D)</f>
        <v>#N/A</v>
      </c>
      <c r="Q1674" s="44" t="e">
        <f>_xlfn.XLOOKUP(S1674,'Tabla Articulos'!B:B,'Tabla Articulos'!E:E)</f>
        <v>#N/A</v>
      </c>
      <c r="R1674" s="44" t="e">
        <f t="shared" si="52"/>
        <v>#N/A</v>
      </c>
      <c r="S1674" s="45" t="str">
        <f t="shared" si="53"/>
        <v>BUSAT000409</v>
      </c>
    </row>
    <row r="1675" spans="1:19" hidden="1" x14ac:dyDescent="0.35">
      <c r="A1675" s="22">
        <v>6</v>
      </c>
      <c r="B1675" t="s">
        <v>801</v>
      </c>
      <c r="C1675" t="s">
        <v>802</v>
      </c>
      <c r="E1675" t="s">
        <v>5497</v>
      </c>
      <c r="F1675"/>
      <c r="G1675" t="s">
        <v>5498</v>
      </c>
      <c r="H1675" t="s">
        <v>805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1</v>
      </c>
      <c r="P1675" s="44" t="e">
        <f>_xlfn.XLOOKUP(Tabla5[[#This Row],[EAN CORREGIDO]],'Tabla Articulos'!B:B,'Tabla Articulos'!D:D)</f>
        <v>#N/A</v>
      </c>
      <c r="Q1675" s="44" t="e">
        <f>_xlfn.XLOOKUP(S1675,'Tabla Articulos'!B:B,'Tabla Articulos'!E:E)</f>
        <v>#N/A</v>
      </c>
      <c r="R1675" s="44" t="e">
        <f t="shared" si="52"/>
        <v>#N/A</v>
      </c>
      <c r="S1675" s="45" t="str">
        <f t="shared" si="53"/>
        <v>BUSAT000188</v>
      </c>
    </row>
    <row r="1676" spans="1:19" hidden="1" x14ac:dyDescent="0.35">
      <c r="A1676" s="22">
        <v>6</v>
      </c>
      <c r="B1676" t="s">
        <v>801</v>
      </c>
      <c r="C1676" t="s">
        <v>802</v>
      </c>
      <c r="E1676" t="s">
        <v>5499</v>
      </c>
      <c r="F1676"/>
      <c r="G1676" t="s">
        <v>5500</v>
      </c>
      <c r="H1676" t="s">
        <v>805</v>
      </c>
      <c r="I1676">
        <v>2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2</v>
      </c>
      <c r="P1676" s="44" t="e">
        <f>_xlfn.XLOOKUP(Tabla5[[#This Row],[EAN CORREGIDO]],'Tabla Articulos'!B:B,'Tabla Articulos'!D:D)</f>
        <v>#N/A</v>
      </c>
      <c r="Q1676" s="44" t="e">
        <f>_xlfn.XLOOKUP(S1676,'Tabla Articulos'!B:B,'Tabla Articulos'!E:E)</f>
        <v>#N/A</v>
      </c>
      <c r="R1676" s="44" t="e">
        <f t="shared" si="52"/>
        <v>#N/A</v>
      </c>
      <c r="S1676" s="45" t="str">
        <f t="shared" si="53"/>
        <v>BUSAT000884</v>
      </c>
    </row>
    <row r="1677" spans="1:19" hidden="1" x14ac:dyDescent="0.35">
      <c r="A1677" s="22">
        <v>6</v>
      </c>
      <c r="B1677" t="s">
        <v>801</v>
      </c>
      <c r="C1677" t="s">
        <v>802</v>
      </c>
      <c r="D1677" s="11" t="s">
        <v>819</v>
      </c>
      <c r="E1677" t="s">
        <v>2779</v>
      </c>
      <c r="F1677" s="11">
        <v>2007431</v>
      </c>
      <c r="G1677" t="s">
        <v>2780</v>
      </c>
      <c r="H1677" t="s">
        <v>805</v>
      </c>
      <c r="I1677">
        <v>3181</v>
      </c>
      <c r="J1677">
        <v>0</v>
      </c>
      <c r="K1677">
        <v>0</v>
      </c>
      <c r="L1677">
        <v>0</v>
      </c>
      <c r="M1677">
        <v>15</v>
      </c>
      <c r="N1677">
        <v>0</v>
      </c>
      <c r="O1677">
        <v>3166</v>
      </c>
      <c r="P1677" s="44" t="e">
        <f>_xlfn.XLOOKUP(Tabla5[[#This Row],[EAN CORREGIDO]],'Tabla Articulos'!B:B,'Tabla Articulos'!D:D)</f>
        <v>#N/A</v>
      </c>
      <c r="Q1677" s="44" t="e">
        <f>_xlfn.XLOOKUP(S1677,'Tabla Articulos'!B:B,'Tabla Articulos'!E:E)</f>
        <v>#N/A</v>
      </c>
      <c r="R1677" s="44" t="e">
        <f t="shared" si="52"/>
        <v>#N/A</v>
      </c>
      <c r="S1677" s="45" t="str">
        <f t="shared" si="53"/>
        <v>7796322010270</v>
      </c>
    </row>
    <row r="1678" spans="1:19" hidden="1" x14ac:dyDescent="0.35">
      <c r="A1678" s="22">
        <v>5</v>
      </c>
      <c r="B1678" t="s">
        <v>829</v>
      </c>
      <c r="C1678" t="s">
        <v>802</v>
      </c>
      <c r="D1678" t="s">
        <v>1207</v>
      </c>
      <c r="E1678" t="s">
        <v>3152</v>
      </c>
      <c r="F1678">
        <v>4022301</v>
      </c>
      <c r="G1678" t="s">
        <v>3153</v>
      </c>
      <c r="H1678" t="s">
        <v>805</v>
      </c>
      <c r="I1678">
        <v>58559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58559</v>
      </c>
      <c r="P1678" s="44" t="e">
        <f>_xlfn.XLOOKUP(Tabla5[[#This Row],[EAN CORREGIDO]],'Tabla Articulos'!B:B,'Tabla Articulos'!D:D)</f>
        <v>#N/A</v>
      </c>
      <c r="Q1678" s="44" t="e">
        <f>_xlfn.XLOOKUP(S1678,'Tabla Articulos'!B:B,'Tabla Articulos'!E:E)</f>
        <v>#N/A</v>
      </c>
      <c r="R1678" s="44" t="e">
        <f t="shared" si="52"/>
        <v>#N/A</v>
      </c>
      <c r="S1678" s="45" t="str">
        <f t="shared" si="53"/>
        <v>7797470003718</v>
      </c>
    </row>
    <row r="1679" spans="1:19" hidden="1" x14ac:dyDescent="0.35">
      <c r="A1679" s="22">
        <v>1</v>
      </c>
      <c r="B1679" t="s">
        <v>812</v>
      </c>
      <c r="C1679" t="s">
        <v>802</v>
      </c>
      <c r="D1679" s="11" t="s">
        <v>1207</v>
      </c>
      <c r="E1679" t="s">
        <v>3152</v>
      </c>
      <c r="F1679">
        <v>4022301</v>
      </c>
      <c r="G1679" t="s">
        <v>3153</v>
      </c>
      <c r="H1679" t="s">
        <v>805</v>
      </c>
      <c r="I1679">
        <v>21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21</v>
      </c>
      <c r="P1679" s="44" t="e">
        <f>_xlfn.XLOOKUP(Tabla5[[#This Row],[EAN CORREGIDO]],'Tabla Articulos'!B:B,'Tabla Articulos'!D:D)</f>
        <v>#N/A</v>
      </c>
      <c r="Q1679" s="44" t="e">
        <f>_xlfn.XLOOKUP(S1679,'Tabla Articulos'!B:B,'Tabla Articulos'!E:E)</f>
        <v>#N/A</v>
      </c>
      <c r="R1679" s="44" t="e">
        <f t="shared" si="52"/>
        <v>#N/A</v>
      </c>
      <c r="S1679" s="45" t="str">
        <f t="shared" si="53"/>
        <v>7797470003718</v>
      </c>
    </row>
    <row r="1680" spans="1:19" hidden="1" x14ac:dyDescent="0.35">
      <c r="A1680" s="22">
        <v>5</v>
      </c>
      <c r="B1680" t="s">
        <v>829</v>
      </c>
      <c r="C1680" t="s">
        <v>802</v>
      </c>
      <c r="D1680" t="s">
        <v>3154</v>
      </c>
      <c r="E1680" t="s">
        <v>3155</v>
      </c>
      <c r="F1680">
        <v>4019376</v>
      </c>
      <c r="G1680" t="s">
        <v>3156</v>
      </c>
      <c r="H1680" t="s">
        <v>1034</v>
      </c>
      <c r="I1680">
        <v>50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50</v>
      </c>
      <c r="P1680" s="44" t="e">
        <f>_xlfn.XLOOKUP(Tabla5[[#This Row],[EAN CORREGIDO]],'Tabla Articulos'!B:B,'Tabla Articulos'!D:D)</f>
        <v>#N/A</v>
      </c>
      <c r="Q1680" s="44" t="e">
        <f>_xlfn.XLOOKUP(S1680,'Tabla Articulos'!B:B,'Tabla Articulos'!E:E)</f>
        <v>#N/A</v>
      </c>
      <c r="R1680" s="44" t="e">
        <f t="shared" si="52"/>
        <v>#N/A</v>
      </c>
      <c r="S1680" s="45" t="str">
        <f t="shared" si="53"/>
        <v>7790150231258</v>
      </c>
    </row>
    <row r="1681" spans="1:19" hidden="1" x14ac:dyDescent="0.35">
      <c r="A1681" s="22">
        <v>5</v>
      </c>
      <c r="B1681" t="s">
        <v>829</v>
      </c>
      <c r="C1681" t="s">
        <v>802</v>
      </c>
      <c r="D1681" t="s">
        <v>3157</v>
      </c>
      <c r="E1681" t="s">
        <v>3158</v>
      </c>
      <c r="F1681">
        <v>4022749</v>
      </c>
      <c r="G1681" t="s">
        <v>3159</v>
      </c>
      <c r="H1681" t="s">
        <v>805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 s="44" t="e">
        <f>_xlfn.XLOOKUP(Tabla5[[#This Row],[EAN CORREGIDO]],'Tabla Articulos'!B:B,'Tabla Articulos'!D:D)</f>
        <v>#N/A</v>
      </c>
      <c r="Q1681" s="44" t="e">
        <f>_xlfn.XLOOKUP(S1681,'Tabla Articulos'!B:B,'Tabla Articulos'!E:E)</f>
        <v>#N/A</v>
      </c>
      <c r="R1681" s="44" t="e">
        <f t="shared" si="52"/>
        <v>#N/A</v>
      </c>
      <c r="S1681" s="45" t="str">
        <f t="shared" si="53"/>
        <v>7798334500435</v>
      </c>
    </row>
    <row r="1682" spans="1:19" hidden="1" x14ac:dyDescent="0.35">
      <c r="A1682" s="22">
        <v>1</v>
      </c>
      <c r="B1682" t="s">
        <v>812</v>
      </c>
      <c r="C1682" t="s">
        <v>802</v>
      </c>
      <c r="D1682" t="s">
        <v>3160</v>
      </c>
      <c r="E1682" t="s">
        <v>3161</v>
      </c>
      <c r="F1682">
        <v>4019870</v>
      </c>
      <c r="G1682" t="s">
        <v>3162</v>
      </c>
      <c r="H1682" t="s">
        <v>805</v>
      </c>
      <c r="I1682">
        <v>44</v>
      </c>
      <c r="J1682">
        <v>0</v>
      </c>
      <c r="K1682">
        <v>0</v>
      </c>
      <c r="L1682">
        <v>0</v>
      </c>
      <c r="M1682">
        <v>6</v>
      </c>
      <c r="N1682">
        <v>0</v>
      </c>
      <c r="O1682">
        <v>38</v>
      </c>
      <c r="P1682" s="44" t="e">
        <f>_xlfn.XLOOKUP(Tabla5[[#This Row],[EAN CORREGIDO]],'Tabla Articulos'!B:B,'Tabla Articulos'!D:D)</f>
        <v>#N/A</v>
      </c>
      <c r="Q1682" s="44" t="e">
        <f>_xlfn.XLOOKUP(S1682,'Tabla Articulos'!B:B,'Tabla Articulos'!E:E)</f>
        <v>#N/A</v>
      </c>
      <c r="R1682" s="44" t="e">
        <f t="shared" si="52"/>
        <v>#N/A</v>
      </c>
      <c r="S1682" s="45" t="str">
        <f t="shared" si="53"/>
        <v>7790499017629</v>
      </c>
    </row>
    <row r="1683" spans="1:19" hidden="1" x14ac:dyDescent="0.35">
      <c r="A1683" s="22">
        <v>5</v>
      </c>
      <c r="B1683" t="s">
        <v>829</v>
      </c>
      <c r="C1683" t="s">
        <v>802</v>
      </c>
      <c r="D1683" t="s">
        <v>1237</v>
      </c>
      <c r="E1683" t="s">
        <v>1812</v>
      </c>
      <c r="F1683">
        <v>4023610</v>
      </c>
      <c r="G1683" t="s">
        <v>1813</v>
      </c>
      <c r="H1683" t="s">
        <v>805</v>
      </c>
      <c r="I1683">
        <v>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2</v>
      </c>
      <c r="P1683" s="44" t="e">
        <f>_xlfn.XLOOKUP(Tabla5[[#This Row],[EAN CORREGIDO]],'Tabla Articulos'!B:B,'Tabla Articulos'!D:D)</f>
        <v>#N/A</v>
      </c>
      <c r="Q1683" s="44" t="e">
        <f>_xlfn.XLOOKUP(S1683,'Tabla Articulos'!B:B,'Tabla Articulos'!E:E)</f>
        <v>#N/A</v>
      </c>
      <c r="R1683" s="44" t="e">
        <f t="shared" si="52"/>
        <v>#N/A</v>
      </c>
      <c r="S1683" s="45" t="str">
        <f t="shared" si="53"/>
        <v>7790971000170</v>
      </c>
    </row>
    <row r="1684" spans="1:19" hidden="1" x14ac:dyDescent="0.35">
      <c r="A1684" s="22">
        <v>1</v>
      </c>
      <c r="B1684" t="s">
        <v>812</v>
      </c>
      <c r="C1684" t="s">
        <v>802</v>
      </c>
      <c r="D1684" t="s">
        <v>1237</v>
      </c>
      <c r="E1684" t="s">
        <v>1812</v>
      </c>
      <c r="F1684">
        <v>4023610</v>
      </c>
      <c r="G1684" t="s">
        <v>1813</v>
      </c>
      <c r="H1684" t="s">
        <v>805</v>
      </c>
      <c r="I1684">
        <v>127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127</v>
      </c>
      <c r="P1684" s="44" t="e">
        <f>_xlfn.XLOOKUP(Tabla5[[#This Row],[EAN CORREGIDO]],'Tabla Articulos'!B:B,'Tabla Articulos'!D:D)</f>
        <v>#N/A</v>
      </c>
      <c r="Q1684" s="44" t="e">
        <f>_xlfn.XLOOKUP(S1684,'Tabla Articulos'!B:B,'Tabla Articulos'!E:E)</f>
        <v>#N/A</v>
      </c>
      <c r="R1684" s="44" t="e">
        <f t="shared" si="52"/>
        <v>#N/A</v>
      </c>
      <c r="S1684" s="45" t="str">
        <f t="shared" si="53"/>
        <v>7790971000170</v>
      </c>
    </row>
    <row r="1685" spans="1:19" hidden="1" x14ac:dyDescent="0.35">
      <c r="A1685" s="22">
        <v>1</v>
      </c>
      <c r="B1685" t="s">
        <v>812</v>
      </c>
      <c r="C1685" t="s">
        <v>802</v>
      </c>
      <c r="D1685" t="s">
        <v>1814</v>
      </c>
      <c r="E1685" t="s">
        <v>1815</v>
      </c>
      <c r="F1685">
        <v>4017987</v>
      </c>
      <c r="G1685" t="s">
        <v>1816</v>
      </c>
      <c r="H1685" t="s">
        <v>816</v>
      </c>
      <c r="I1685">
        <v>6.875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6.875</v>
      </c>
      <c r="P1685" s="44" t="e">
        <f>_xlfn.XLOOKUP(Tabla5[[#This Row],[EAN CORREGIDO]],'Tabla Articulos'!B:B,'Tabla Articulos'!D:D)</f>
        <v>#N/A</v>
      </c>
      <c r="Q1685" s="44" t="e">
        <f>_xlfn.XLOOKUP(S1685,'Tabla Articulos'!B:B,'Tabla Articulos'!E:E)</f>
        <v>#N/A</v>
      </c>
      <c r="R1685" s="44" t="e">
        <f t="shared" si="52"/>
        <v>#N/A</v>
      </c>
      <c r="S1685" s="45" t="str">
        <f t="shared" si="53"/>
        <v>7790216010102</v>
      </c>
    </row>
    <row r="1686" spans="1:19" hidden="1" x14ac:dyDescent="0.35">
      <c r="A1686" s="22">
        <v>5</v>
      </c>
      <c r="B1686" t="s">
        <v>829</v>
      </c>
      <c r="C1686" t="s">
        <v>802</v>
      </c>
      <c r="D1686" s="11" t="s">
        <v>1814</v>
      </c>
      <c r="E1686" t="s">
        <v>1815</v>
      </c>
      <c r="F1686">
        <v>4017987</v>
      </c>
      <c r="G1686" t="s">
        <v>1816</v>
      </c>
      <c r="H1686" t="s">
        <v>816</v>
      </c>
      <c r="I1686">
        <v>3.45</v>
      </c>
      <c r="J1686">
        <v>0</v>
      </c>
      <c r="K1686">
        <v>0</v>
      </c>
      <c r="L1686">
        <v>0</v>
      </c>
      <c r="M1686">
        <v>2</v>
      </c>
      <c r="N1686">
        <v>0</v>
      </c>
      <c r="O1686">
        <v>1.45</v>
      </c>
      <c r="P1686" s="44" t="e">
        <f>_xlfn.XLOOKUP(Tabla5[[#This Row],[EAN CORREGIDO]],'Tabla Articulos'!B:B,'Tabla Articulos'!D:D)</f>
        <v>#N/A</v>
      </c>
      <c r="Q1686" s="44" t="e">
        <f>_xlfn.XLOOKUP(S1686,'Tabla Articulos'!B:B,'Tabla Articulos'!E:E)</f>
        <v>#N/A</v>
      </c>
      <c r="R1686" s="44" t="e">
        <f t="shared" si="52"/>
        <v>#N/A</v>
      </c>
      <c r="S1686" s="45" t="str">
        <f t="shared" si="53"/>
        <v>7790216010102</v>
      </c>
    </row>
    <row r="1687" spans="1:19" hidden="1" x14ac:dyDescent="0.35">
      <c r="A1687" s="22">
        <v>6</v>
      </c>
      <c r="B1687" t="s">
        <v>801</v>
      </c>
      <c r="C1687" t="s">
        <v>802</v>
      </c>
      <c r="D1687"/>
      <c r="E1687" t="s">
        <v>1817</v>
      </c>
      <c r="F1687">
        <v>9004123</v>
      </c>
      <c r="G1687" t="s">
        <v>1818</v>
      </c>
      <c r="H1687" t="s">
        <v>805</v>
      </c>
      <c r="I1687">
        <v>110</v>
      </c>
      <c r="J1687">
        <v>0</v>
      </c>
      <c r="K1687">
        <v>0</v>
      </c>
      <c r="L1687">
        <v>0</v>
      </c>
      <c r="M1687">
        <v>4</v>
      </c>
      <c r="N1687">
        <v>0</v>
      </c>
      <c r="O1687">
        <v>106</v>
      </c>
      <c r="P1687" s="44" t="e">
        <f>_xlfn.XLOOKUP(Tabla5[[#This Row],[EAN CORREGIDO]],'Tabla Articulos'!B:B,'Tabla Articulos'!D:D)</f>
        <v>#N/A</v>
      </c>
      <c r="Q1687" s="44" t="e">
        <f>_xlfn.XLOOKUP(S1687,'Tabla Articulos'!B:B,'Tabla Articulos'!E:E)</f>
        <v>#N/A</v>
      </c>
      <c r="R1687" s="44" t="e">
        <f t="shared" si="52"/>
        <v>#N/A</v>
      </c>
      <c r="S1687" s="45" t="str">
        <f t="shared" si="53"/>
        <v>4040337562150</v>
      </c>
    </row>
    <row r="1688" spans="1:19" hidden="1" x14ac:dyDescent="0.35">
      <c r="A1688" s="22">
        <v>5</v>
      </c>
      <c r="B1688" t="s">
        <v>829</v>
      </c>
      <c r="C1688" t="s">
        <v>802</v>
      </c>
      <c r="D1688" t="s">
        <v>1819</v>
      </c>
      <c r="E1688" t="s">
        <v>1820</v>
      </c>
      <c r="F1688">
        <v>2006230</v>
      </c>
      <c r="G1688" t="s">
        <v>1821</v>
      </c>
      <c r="H1688" t="s">
        <v>805</v>
      </c>
      <c r="I1688">
        <v>432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432</v>
      </c>
      <c r="P1688" s="44" t="e">
        <f>_xlfn.XLOOKUP(Tabla5[[#This Row],[EAN CORREGIDO]],'Tabla Articulos'!B:B,'Tabla Articulos'!D:D)</f>
        <v>#N/A</v>
      </c>
      <c r="Q1688" s="44" t="e">
        <f>_xlfn.XLOOKUP(S1688,'Tabla Articulos'!B:B,'Tabla Articulos'!E:E)</f>
        <v>#N/A</v>
      </c>
      <c r="R1688" s="44" t="e">
        <f t="shared" si="52"/>
        <v>#N/A</v>
      </c>
      <c r="S1688" s="45" t="str">
        <f t="shared" si="53"/>
        <v>LIM000242</v>
      </c>
    </row>
    <row r="1689" spans="1:19" hidden="1" x14ac:dyDescent="0.35">
      <c r="A1689" s="22">
        <v>6</v>
      </c>
      <c r="B1689" t="s">
        <v>801</v>
      </c>
      <c r="C1689" t="s">
        <v>802</v>
      </c>
      <c r="D1689" t="s">
        <v>1819</v>
      </c>
      <c r="E1689" t="s">
        <v>1820</v>
      </c>
      <c r="F1689">
        <v>2006230</v>
      </c>
      <c r="G1689" t="s">
        <v>1821</v>
      </c>
      <c r="H1689" t="s">
        <v>805</v>
      </c>
      <c r="I1689">
        <v>154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154</v>
      </c>
      <c r="P1689" s="44" t="e">
        <f>_xlfn.XLOOKUP(Tabla5[[#This Row],[EAN CORREGIDO]],'Tabla Articulos'!B:B,'Tabla Articulos'!D:D)</f>
        <v>#N/A</v>
      </c>
      <c r="Q1689" s="44" t="e">
        <f>_xlfn.XLOOKUP(S1689,'Tabla Articulos'!B:B,'Tabla Articulos'!E:E)</f>
        <v>#N/A</v>
      </c>
      <c r="R1689" s="44" t="e">
        <f t="shared" si="52"/>
        <v>#N/A</v>
      </c>
      <c r="S1689" s="45" t="str">
        <f t="shared" si="53"/>
        <v>LIM000242</v>
      </c>
    </row>
    <row r="1690" spans="1:19" hidden="1" x14ac:dyDescent="0.35">
      <c r="A1690" s="22">
        <v>1</v>
      </c>
      <c r="B1690" t="s">
        <v>812</v>
      </c>
      <c r="C1690" t="s">
        <v>802</v>
      </c>
      <c r="D1690" s="11" t="s">
        <v>1822</v>
      </c>
      <c r="E1690" t="s">
        <v>1823</v>
      </c>
      <c r="F1690">
        <v>4018864</v>
      </c>
      <c r="G1690" t="s">
        <v>1824</v>
      </c>
      <c r="H1690" t="s">
        <v>805</v>
      </c>
      <c r="I1690">
        <v>18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18</v>
      </c>
      <c r="P1690" s="44" t="e">
        <f>_xlfn.XLOOKUP(Tabla5[[#This Row],[EAN CORREGIDO]],'Tabla Articulos'!B:B,'Tabla Articulos'!D:D)</f>
        <v>#N/A</v>
      </c>
      <c r="Q1690" s="44" t="e">
        <f>_xlfn.XLOOKUP(S1690,'Tabla Articulos'!B:B,'Tabla Articulos'!E:E)</f>
        <v>#N/A</v>
      </c>
      <c r="R1690" s="44" t="e">
        <f t="shared" si="52"/>
        <v>#N/A</v>
      </c>
      <c r="S1690" s="45" t="str">
        <f t="shared" si="53"/>
        <v>7796236000978</v>
      </c>
    </row>
    <row r="1691" spans="1:19" hidden="1" x14ac:dyDescent="0.35">
      <c r="A1691" s="22">
        <v>5</v>
      </c>
      <c r="B1691" t="s">
        <v>829</v>
      </c>
      <c r="C1691" t="s">
        <v>802</v>
      </c>
      <c r="D1691" s="11" t="s">
        <v>229</v>
      </c>
      <c r="E1691" t="s">
        <v>1825</v>
      </c>
      <c r="F1691">
        <v>2006168</v>
      </c>
      <c r="G1691" t="s">
        <v>1826</v>
      </c>
      <c r="H1691" t="s">
        <v>805</v>
      </c>
      <c r="I1691">
        <v>4666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4666</v>
      </c>
      <c r="P1691" s="44" t="e">
        <f>_xlfn.XLOOKUP(Tabla5[[#This Row],[EAN CORREGIDO]],'Tabla Articulos'!B:B,'Tabla Articulos'!D:D)</f>
        <v>#N/A</v>
      </c>
      <c r="Q1691" s="44" t="e">
        <f>_xlfn.XLOOKUP(S1691,'Tabla Articulos'!B:B,'Tabla Articulos'!E:E)</f>
        <v>#N/A</v>
      </c>
      <c r="R1691" s="44" t="e">
        <f t="shared" si="52"/>
        <v>#N/A</v>
      </c>
      <c r="S1691" s="45" t="str">
        <f t="shared" si="53"/>
        <v>7798549612325</v>
      </c>
    </row>
    <row r="1692" spans="1:19" hidden="1" x14ac:dyDescent="0.35">
      <c r="A1692" s="22">
        <v>5</v>
      </c>
      <c r="B1692" t="s">
        <v>829</v>
      </c>
      <c r="C1692" t="s">
        <v>802</v>
      </c>
      <c r="D1692" s="11" t="s">
        <v>1827</v>
      </c>
      <c r="E1692" t="s">
        <v>1828</v>
      </c>
      <c r="F1692">
        <v>4020248</v>
      </c>
      <c r="G1692" t="s">
        <v>1829</v>
      </c>
      <c r="H1692" t="s">
        <v>805</v>
      </c>
      <c r="I1692">
        <v>3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3</v>
      </c>
      <c r="P1692" s="44" t="e">
        <f>_xlfn.XLOOKUP(Tabla5[[#This Row],[EAN CORREGIDO]],'Tabla Articulos'!B:B,'Tabla Articulos'!D:D)</f>
        <v>#N/A</v>
      </c>
      <c r="Q1692" s="44" t="e">
        <f>_xlfn.XLOOKUP(S1692,'Tabla Articulos'!B:B,'Tabla Articulos'!E:E)</f>
        <v>#N/A</v>
      </c>
      <c r="R1692" s="44" t="e">
        <f t="shared" si="52"/>
        <v>#N/A</v>
      </c>
      <c r="S1692" s="45" t="str">
        <f t="shared" si="53"/>
        <v>7793875360326</v>
      </c>
    </row>
    <row r="1693" spans="1:19" hidden="1" x14ac:dyDescent="0.35">
      <c r="A1693" s="22">
        <v>1</v>
      </c>
      <c r="B1693" t="s">
        <v>812</v>
      </c>
      <c r="C1693" t="s">
        <v>802</v>
      </c>
      <c r="D1693" t="s">
        <v>1827</v>
      </c>
      <c r="E1693" t="s">
        <v>1828</v>
      </c>
      <c r="F1693">
        <v>4020248</v>
      </c>
      <c r="G1693" t="s">
        <v>1829</v>
      </c>
      <c r="H1693" t="s">
        <v>805</v>
      </c>
      <c r="I1693">
        <v>16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16</v>
      </c>
      <c r="P1693" s="44" t="e">
        <f>_xlfn.XLOOKUP(Tabla5[[#This Row],[EAN CORREGIDO]],'Tabla Articulos'!B:B,'Tabla Articulos'!D:D)</f>
        <v>#N/A</v>
      </c>
      <c r="Q1693" s="44" t="e">
        <f>_xlfn.XLOOKUP(S1693,'Tabla Articulos'!B:B,'Tabla Articulos'!E:E)</f>
        <v>#N/A</v>
      </c>
      <c r="R1693" s="44" t="e">
        <f t="shared" si="52"/>
        <v>#N/A</v>
      </c>
      <c r="S1693" s="45" t="str">
        <f t="shared" si="53"/>
        <v>7793875360326</v>
      </c>
    </row>
    <row r="1694" spans="1:19" hidden="1" x14ac:dyDescent="0.35">
      <c r="A1694" s="22">
        <v>6</v>
      </c>
      <c r="B1694" t="s">
        <v>801</v>
      </c>
      <c r="C1694" t="s">
        <v>802</v>
      </c>
      <c r="D1694"/>
      <c r="E1694" t="s">
        <v>1830</v>
      </c>
      <c r="F1694">
        <v>9003871</v>
      </c>
      <c r="G1694" t="s">
        <v>1831</v>
      </c>
      <c r="H1694" t="s">
        <v>805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 s="44" t="e">
        <f>_xlfn.XLOOKUP(Tabla5[[#This Row],[EAN CORREGIDO]],'Tabla Articulos'!B:B,'Tabla Articulos'!D:D)</f>
        <v>#N/A</v>
      </c>
      <c r="Q1694" s="44" t="e">
        <f>_xlfn.XLOOKUP(S1694,'Tabla Articulos'!B:B,'Tabla Articulos'!E:E)</f>
        <v>#N/A</v>
      </c>
      <c r="R1694" s="44" t="e">
        <f t="shared" si="52"/>
        <v>#N/A</v>
      </c>
      <c r="S1694" s="45" t="str">
        <f t="shared" si="53"/>
        <v>BAZ001294</v>
      </c>
    </row>
    <row r="1695" spans="1:19" hidden="1" x14ac:dyDescent="0.35">
      <c r="A1695" s="22">
        <v>1</v>
      </c>
      <c r="B1695" t="s">
        <v>812</v>
      </c>
      <c r="C1695" t="s">
        <v>802</v>
      </c>
      <c r="D1695" t="s">
        <v>1832</v>
      </c>
      <c r="E1695" t="s">
        <v>1833</v>
      </c>
      <c r="F1695">
        <v>4019843</v>
      </c>
      <c r="G1695" t="s">
        <v>1834</v>
      </c>
      <c r="H1695" t="s">
        <v>805</v>
      </c>
      <c r="I1695">
        <v>3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3</v>
      </c>
      <c r="P1695" s="44" t="e">
        <f>_xlfn.XLOOKUP(Tabla5[[#This Row],[EAN CORREGIDO]],'Tabla Articulos'!B:B,'Tabla Articulos'!D:D)</f>
        <v>#N/A</v>
      </c>
      <c r="Q1695" s="44" t="e">
        <f>_xlfn.XLOOKUP(S1695,'Tabla Articulos'!B:B,'Tabla Articulos'!E:E)</f>
        <v>#N/A</v>
      </c>
      <c r="R1695" s="44" t="e">
        <f t="shared" si="52"/>
        <v>#N/A</v>
      </c>
      <c r="S1695" s="45" t="str">
        <f t="shared" si="53"/>
        <v>7790530850185</v>
      </c>
    </row>
    <row r="1696" spans="1:19" hidden="1" x14ac:dyDescent="0.35">
      <c r="A1696" s="22">
        <v>5</v>
      </c>
      <c r="B1696" t="s">
        <v>829</v>
      </c>
      <c r="C1696" t="s">
        <v>802</v>
      </c>
      <c r="D1696" t="s">
        <v>1832</v>
      </c>
      <c r="E1696" t="s">
        <v>1833</v>
      </c>
      <c r="F1696">
        <v>4019843</v>
      </c>
      <c r="G1696" t="s">
        <v>1834</v>
      </c>
      <c r="H1696" t="s">
        <v>805</v>
      </c>
      <c r="I1696">
        <v>2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2</v>
      </c>
      <c r="P1696" s="44" t="e">
        <f>_xlfn.XLOOKUP(Tabla5[[#This Row],[EAN CORREGIDO]],'Tabla Articulos'!B:B,'Tabla Articulos'!D:D)</f>
        <v>#N/A</v>
      </c>
      <c r="Q1696" s="44" t="e">
        <f>_xlfn.XLOOKUP(S1696,'Tabla Articulos'!B:B,'Tabla Articulos'!E:E)</f>
        <v>#N/A</v>
      </c>
      <c r="R1696" s="44" t="e">
        <f t="shared" si="52"/>
        <v>#N/A</v>
      </c>
      <c r="S1696" s="45" t="str">
        <f t="shared" si="53"/>
        <v>7790530850185</v>
      </c>
    </row>
    <row r="1697" spans="1:19" hidden="1" x14ac:dyDescent="0.35">
      <c r="A1697" s="22">
        <v>6</v>
      </c>
      <c r="B1697" t="s">
        <v>801</v>
      </c>
      <c r="C1697" t="s">
        <v>802</v>
      </c>
      <c r="D1697"/>
      <c r="E1697" t="s">
        <v>5501</v>
      </c>
      <c r="F1697"/>
      <c r="G1697" t="s">
        <v>5502</v>
      </c>
      <c r="H1697" t="s">
        <v>805</v>
      </c>
      <c r="I1697">
        <v>131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131</v>
      </c>
      <c r="P1697" s="44" t="e">
        <f>_xlfn.XLOOKUP(Tabla5[[#This Row],[EAN CORREGIDO]],'Tabla Articulos'!B:B,'Tabla Articulos'!D:D)</f>
        <v>#N/A</v>
      </c>
      <c r="Q1697" s="44" t="e">
        <f>_xlfn.XLOOKUP(S1697,'Tabla Articulos'!B:B,'Tabla Articulos'!E:E)</f>
        <v>#N/A</v>
      </c>
      <c r="R1697" s="44" t="e">
        <f t="shared" si="52"/>
        <v>#N/A</v>
      </c>
      <c r="S1697" s="45" t="str">
        <f t="shared" si="53"/>
        <v>2006183</v>
      </c>
    </row>
    <row r="1698" spans="1:19" hidden="1" x14ac:dyDescent="0.35">
      <c r="A1698" s="22">
        <v>6</v>
      </c>
      <c r="B1698" t="s">
        <v>801</v>
      </c>
      <c r="C1698" t="s">
        <v>802</v>
      </c>
      <c r="E1698" t="s">
        <v>5503</v>
      </c>
      <c r="F1698"/>
      <c r="G1698" t="s">
        <v>5504</v>
      </c>
      <c r="H1698" t="s">
        <v>805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 s="44" t="e">
        <f>_xlfn.XLOOKUP(Tabla5[[#This Row],[EAN CORREGIDO]],'Tabla Articulos'!B:B,'Tabla Articulos'!D:D)</f>
        <v>#N/A</v>
      </c>
      <c r="Q1698" s="44" t="e">
        <f>_xlfn.XLOOKUP(S1698,'Tabla Articulos'!B:B,'Tabla Articulos'!E:E)</f>
        <v>#N/A</v>
      </c>
      <c r="R1698" s="44" t="e">
        <f t="shared" si="52"/>
        <v>#N/A</v>
      </c>
      <c r="S1698" s="45" t="str">
        <f t="shared" si="53"/>
        <v>BUSAT0001134</v>
      </c>
    </row>
    <row r="1699" spans="1:19" hidden="1" x14ac:dyDescent="0.35">
      <c r="A1699" s="22">
        <v>6</v>
      </c>
      <c r="B1699" t="s">
        <v>801</v>
      </c>
      <c r="C1699" t="s">
        <v>802</v>
      </c>
      <c r="D1699"/>
      <c r="E1699" t="s">
        <v>1835</v>
      </c>
      <c r="F1699">
        <v>9003604</v>
      </c>
      <c r="G1699" t="s">
        <v>1836</v>
      </c>
      <c r="H1699" t="s">
        <v>805</v>
      </c>
      <c r="I1699">
        <v>17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17</v>
      </c>
      <c r="P1699" s="44" t="e">
        <f>_xlfn.XLOOKUP(Tabla5[[#This Row],[EAN CORREGIDO]],'Tabla Articulos'!B:B,'Tabla Articulos'!D:D)</f>
        <v>#N/A</v>
      </c>
      <c r="Q1699" s="44" t="e">
        <f>_xlfn.XLOOKUP(S1699,'Tabla Articulos'!B:B,'Tabla Articulos'!E:E)</f>
        <v>#N/A</v>
      </c>
      <c r="R1699" s="44" t="e">
        <f t="shared" si="52"/>
        <v>#N/A</v>
      </c>
      <c r="S1699" s="45" t="str">
        <f t="shared" si="53"/>
        <v>UNIF000443</v>
      </c>
    </row>
    <row r="1700" spans="1:19" hidden="1" x14ac:dyDescent="0.35">
      <c r="A1700" s="22">
        <v>1</v>
      </c>
      <c r="B1700" t="s">
        <v>812</v>
      </c>
      <c r="C1700" t="s">
        <v>802</v>
      </c>
      <c r="D1700" t="s">
        <v>1266</v>
      </c>
      <c r="E1700" t="s">
        <v>2369</v>
      </c>
      <c r="F1700">
        <v>4021174</v>
      </c>
      <c r="G1700" t="s">
        <v>2370</v>
      </c>
      <c r="H1700" t="s">
        <v>816</v>
      </c>
      <c r="I1700">
        <v>35.020000000000003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35.020000000000003</v>
      </c>
      <c r="P1700" s="44" t="e">
        <f>_xlfn.XLOOKUP(Tabla5[[#This Row],[EAN CORREGIDO]],'Tabla Articulos'!B:B,'Tabla Articulos'!D:D)</f>
        <v>#N/A</v>
      </c>
      <c r="Q1700" s="44" t="e">
        <f>_xlfn.XLOOKUP(S1700,'Tabla Articulos'!B:B,'Tabla Articulos'!E:E)</f>
        <v>#N/A</v>
      </c>
      <c r="R1700" s="44" t="e">
        <f t="shared" si="52"/>
        <v>#N/A</v>
      </c>
      <c r="S1700" s="45" t="str">
        <f t="shared" si="53"/>
        <v>7790212030092</v>
      </c>
    </row>
    <row r="1701" spans="1:19" hidden="1" x14ac:dyDescent="0.35">
      <c r="A1701" s="22">
        <v>6</v>
      </c>
      <c r="B1701" t="s">
        <v>801</v>
      </c>
      <c r="C1701" t="s">
        <v>802</v>
      </c>
      <c r="E1701" t="s">
        <v>2371</v>
      </c>
      <c r="F1701">
        <v>2011449</v>
      </c>
      <c r="G1701" t="s">
        <v>2372</v>
      </c>
      <c r="H1701" t="s">
        <v>805</v>
      </c>
      <c r="I1701">
        <v>736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736</v>
      </c>
      <c r="P1701" s="44" t="e">
        <f>_xlfn.XLOOKUP(Tabla5[[#This Row],[EAN CORREGIDO]],'Tabla Articulos'!B:B,'Tabla Articulos'!D:D)</f>
        <v>#N/A</v>
      </c>
      <c r="Q1701" s="44" t="e">
        <f>_xlfn.XLOOKUP(S1701,'Tabla Articulos'!B:B,'Tabla Articulos'!E:E)</f>
        <v>#N/A</v>
      </c>
      <c r="R1701" s="44" t="e">
        <f t="shared" si="52"/>
        <v>#N/A</v>
      </c>
      <c r="S1701" s="45" t="str">
        <f t="shared" si="53"/>
        <v>7793253004248</v>
      </c>
    </row>
    <row r="1702" spans="1:19" hidden="1" x14ac:dyDescent="0.35">
      <c r="A1702" s="22">
        <v>6</v>
      </c>
      <c r="B1702" t="s">
        <v>801</v>
      </c>
      <c r="C1702" t="s">
        <v>802</v>
      </c>
      <c r="D1702" t="s">
        <v>1917</v>
      </c>
      <c r="E1702" t="s">
        <v>2373</v>
      </c>
      <c r="F1702">
        <v>2007422</v>
      </c>
      <c r="G1702" t="s">
        <v>2374</v>
      </c>
      <c r="H1702" t="s">
        <v>805</v>
      </c>
      <c r="I1702">
        <v>324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324</v>
      </c>
      <c r="P1702" s="44" t="e">
        <f>_xlfn.XLOOKUP(Tabla5[[#This Row],[EAN CORREGIDO]],'Tabla Articulos'!B:B,'Tabla Articulos'!D:D)</f>
        <v>#N/A</v>
      </c>
      <c r="Q1702" s="44" t="e">
        <f>_xlfn.XLOOKUP(S1702,'Tabla Articulos'!B:B,'Tabla Articulos'!E:E)</f>
        <v>#N/A</v>
      </c>
      <c r="R1702" s="44" t="e">
        <f t="shared" si="52"/>
        <v>#N/A</v>
      </c>
      <c r="S1702" s="45" t="str">
        <f t="shared" si="53"/>
        <v>7793253005054</v>
      </c>
    </row>
    <row r="1703" spans="1:19" hidden="1" x14ac:dyDescent="0.35">
      <c r="A1703" s="22">
        <v>6</v>
      </c>
      <c r="B1703" t="s">
        <v>801</v>
      </c>
      <c r="C1703" t="s">
        <v>802</v>
      </c>
      <c r="E1703" t="s">
        <v>2759</v>
      </c>
      <c r="F1703">
        <v>2011404</v>
      </c>
      <c r="G1703" t="s">
        <v>2760</v>
      </c>
      <c r="H1703" t="s">
        <v>805</v>
      </c>
      <c r="I1703">
        <v>286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286</v>
      </c>
      <c r="P1703" s="44" t="e">
        <f>_xlfn.XLOOKUP(Tabla5[[#This Row],[EAN CORREGIDO]],'Tabla Articulos'!B:B,'Tabla Articulos'!D:D)</f>
        <v>#N/A</v>
      </c>
      <c r="Q1703" s="44" t="e">
        <f>_xlfn.XLOOKUP(S1703,'Tabla Articulos'!B:B,'Tabla Articulos'!E:E)</f>
        <v>#N/A</v>
      </c>
      <c r="R1703" s="44" t="e">
        <f t="shared" si="52"/>
        <v>#N/A</v>
      </c>
      <c r="S1703" s="45" t="str">
        <f t="shared" si="53"/>
        <v>7798188650430</v>
      </c>
    </row>
    <row r="1704" spans="1:19" hidden="1" x14ac:dyDescent="0.35">
      <c r="A1704" s="22">
        <v>6</v>
      </c>
      <c r="B1704" t="s">
        <v>801</v>
      </c>
      <c r="C1704" t="s">
        <v>802</v>
      </c>
      <c r="D1704"/>
      <c r="E1704" t="s">
        <v>2761</v>
      </c>
      <c r="F1704">
        <v>9003135</v>
      </c>
      <c r="G1704" t="s">
        <v>2762</v>
      </c>
      <c r="H1704" t="s">
        <v>805</v>
      </c>
      <c r="I1704">
        <v>15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15</v>
      </c>
      <c r="P1704" s="44" t="e">
        <f>_xlfn.XLOOKUP(Tabla5[[#This Row],[EAN CORREGIDO]],'Tabla Articulos'!B:B,'Tabla Articulos'!D:D)</f>
        <v>#N/A</v>
      </c>
      <c r="Q1704" s="44" t="e">
        <f>_xlfn.XLOOKUP(S1704,'Tabla Articulos'!B:B,'Tabla Articulos'!E:E)</f>
        <v>#N/A</v>
      </c>
      <c r="R1704" s="44" t="e">
        <f t="shared" si="52"/>
        <v>#N/A</v>
      </c>
      <c r="S1704" s="45" t="str">
        <f t="shared" si="53"/>
        <v>UNIF000597</v>
      </c>
    </row>
    <row r="1705" spans="1:19" hidden="1" x14ac:dyDescent="0.35">
      <c r="A1705" s="22">
        <v>1</v>
      </c>
      <c r="B1705" t="s">
        <v>812</v>
      </c>
      <c r="C1705" t="s">
        <v>802</v>
      </c>
      <c r="D1705" t="s">
        <v>2763</v>
      </c>
      <c r="E1705" t="s">
        <v>2764</v>
      </c>
      <c r="F1705">
        <v>4049031</v>
      </c>
      <c r="G1705" t="s">
        <v>2765</v>
      </c>
      <c r="H1705" t="s">
        <v>805</v>
      </c>
      <c r="I1705">
        <v>62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62</v>
      </c>
      <c r="P1705" s="44" t="e">
        <f>_xlfn.XLOOKUP(Tabla5[[#This Row],[EAN CORREGIDO]],'Tabla Articulos'!B:B,'Tabla Articulos'!D:D)</f>
        <v>#N/A</v>
      </c>
      <c r="Q1705" s="44" t="e">
        <f>_xlfn.XLOOKUP(S1705,'Tabla Articulos'!B:B,'Tabla Articulos'!E:E)</f>
        <v>#N/A</v>
      </c>
      <c r="R1705" s="44" t="e">
        <f t="shared" si="52"/>
        <v>#N/A</v>
      </c>
      <c r="S1705" s="45" t="str">
        <f t="shared" si="53"/>
        <v>7792378000838</v>
      </c>
    </row>
    <row r="1706" spans="1:19" hidden="1" x14ac:dyDescent="0.35">
      <c r="A1706" s="22">
        <v>1</v>
      </c>
      <c r="B1706" t="s">
        <v>812</v>
      </c>
      <c r="C1706" t="s">
        <v>802</v>
      </c>
      <c r="D1706" t="s">
        <v>2766</v>
      </c>
      <c r="E1706" t="s">
        <v>2767</v>
      </c>
      <c r="F1706">
        <v>4018641</v>
      </c>
      <c r="G1706" t="s">
        <v>2768</v>
      </c>
      <c r="H1706" t="s">
        <v>805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</v>
      </c>
      <c r="P1706" s="44" t="e">
        <f>_xlfn.XLOOKUP(Tabla5[[#This Row],[EAN CORREGIDO]],'Tabla Articulos'!B:B,'Tabla Articulos'!D:D)</f>
        <v>#N/A</v>
      </c>
      <c r="Q1706" s="44" t="e">
        <f>_xlfn.XLOOKUP(S1706,'Tabla Articulos'!B:B,'Tabla Articulos'!E:E)</f>
        <v>#N/A</v>
      </c>
      <c r="R1706" s="44" t="e">
        <f t="shared" si="52"/>
        <v>#N/A</v>
      </c>
      <c r="S1706" s="45" t="str">
        <f t="shared" si="53"/>
        <v>77902113030047</v>
      </c>
    </row>
    <row r="1707" spans="1:19" hidden="1" x14ac:dyDescent="0.35">
      <c r="A1707" s="22">
        <v>1</v>
      </c>
      <c r="B1707" t="s">
        <v>812</v>
      </c>
      <c r="C1707" t="s">
        <v>802</v>
      </c>
      <c r="D1707" t="s">
        <v>1138</v>
      </c>
      <c r="E1707" t="s">
        <v>2769</v>
      </c>
      <c r="F1707">
        <v>4020758</v>
      </c>
      <c r="G1707" t="s">
        <v>2770</v>
      </c>
      <c r="H1707" t="s">
        <v>805</v>
      </c>
      <c r="I1707">
        <v>131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131</v>
      </c>
      <c r="P1707" s="44" t="e">
        <f>_xlfn.XLOOKUP(Tabla5[[#This Row],[EAN CORREGIDO]],'Tabla Articulos'!B:B,'Tabla Articulos'!D:D)</f>
        <v>#N/A</v>
      </c>
      <c r="Q1707" s="44" t="e">
        <f>_xlfn.XLOOKUP(S1707,'Tabla Articulos'!B:B,'Tabla Articulos'!E:E)</f>
        <v>#N/A</v>
      </c>
      <c r="R1707" s="44" t="e">
        <f t="shared" si="52"/>
        <v>#N/A</v>
      </c>
      <c r="S1707" s="45" t="str">
        <f t="shared" si="53"/>
        <v>7793875342155</v>
      </c>
    </row>
    <row r="1708" spans="1:19" hidden="1" x14ac:dyDescent="0.35">
      <c r="A1708" s="22">
        <v>5</v>
      </c>
      <c r="B1708" t="s">
        <v>829</v>
      </c>
      <c r="C1708" t="s">
        <v>802</v>
      </c>
      <c r="D1708" t="s">
        <v>1138</v>
      </c>
      <c r="E1708" t="s">
        <v>2769</v>
      </c>
      <c r="F1708">
        <v>4020758</v>
      </c>
      <c r="G1708" t="s">
        <v>2770</v>
      </c>
      <c r="H1708" t="s">
        <v>805</v>
      </c>
      <c r="I1708">
        <v>2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2</v>
      </c>
      <c r="P1708" s="44" t="e">
        <f>_xlfn.XLOOKUP(Tabla5[[#This Row],[EAN CORREGIDO]],'Tabla Articulos'!B:B,'Tabla Articulos'!D:D)</f>
        <v>#N/A</v>
      </c>
      <c r="Q1708" s="44" t="e">
        <f>_xlfn.XLOOKUP(S1708,'Tabla Articulos'!B:B,'Tabla Articulos'!E:E)</f>
        <v>#N/A</v>
      </c>
      <c r="R1708" s="44" t="e">
        <f t="shared" si="52"/>
        <v>#N/A</v>
      </c>
      <c r="S1708" s="45" t="str">
        <f t="shared" si="53"/>
        <v>7793875342155</v>
      </c>
    </row>
    <row r="1709" spans="1:19" hidden="1" x14ac:dyDescent="0.35">
      <c r="A1709" s="22">
        <v>1</v>
      </c>
      <c r="B1709" t="s">
        <v>812</v>
      </c>
      <c r="C1709" t="s">
        <v>802</v>
      </c>
      <c r="D1709" t="s">
        <v>1366</v>
      </c>
      <c r="E1709" t="s">
        <v>2771</v>
      </c>
      <c r="F1709">
        <v>4017307</v>
      </c>
      <c r="G1709" t="s">
        <v>2772</v>
      </c>
      <c r="H1709" t="s">
        <v>805</v>
      </c>
      <c r="I1709">
        <v>12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12</v>
      </c>
      <c r="P1709" s="44" t="e">
        <f>_xlfn.XLOOKUP(Tabla5[[#This Row],[EAN CORREGIDO]],'Tabla Articulos'!B:B,'Tabla Articulos'!D:D)</f>
        <v>#N/A</v>
      </c>
      <c r="Q1709" s="44" t="e">
        <f>_xlfn.XLOOKUP(S1709,'Tabla Articulos'!B:B,'Tabla Articulos'!E:E)</f>
        <v>#N/A</v>
      </c>
      <c r="R1709" s="44" t="e">
        <f t="shared" si="52"/>
        <v>#N/A</v>
      </c>
      <c r="S1709" s="45" t="str">
        <f t="shared" si="53"/>
        <v>7790154008078</v>
      </c>
    </row>
    <row r="1710" spans="1:19" hidden="1" x14ac:dyDescent="0.35">
      <c r="A1710" s="22">
        <v>5</v>
      </c>
      <c r="B1710" t="s">
        <v>829</v>
      </c>
      <c r="C1710" t="s">
        <v>802</v>
      </c>
      <c r="D1710" t="s">
        <v>2483</v>
      </c>
      <c r="E1710" t="s">
        <v>2773</v>
      </c>
      <c r="F1710">
        <v>4019872</v>
      </c>
      <c r="G1710" t="s">
        <v>2774</v>
      </c>
      <c r="H1710" t="s">
        <v>805</v>
      </c>
      <c r="I1710">
        <v>835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835</v>
      </c>
      <c r="P1710" s="44" t="e">
        <f>_xlfn.XLOOKUP(Tabla5[[#This Row],[EAN CORREGIDO]],'Tabla Articulos'!B:B,'Tabla Articulos'!D:D)</f>
        <v>#N/A</v>
      </c>
      <c r="Q1710" s="44" t="e">
        <f>_xlfn.XLOOKUP(S1710,'Tabla Articulos'!B:B,'Tabla Articulos'!E:E)</f>
        <v>#N/A</v>
      </c>
      <c r="R1710" s="44" t="e">
        <f t="shared" si="52"/>
        <v>#N/A</v>
      </c>
      <c r="S1710" s="45" t="str">
        <f t="shared" si="53"/>
        <v>7790503198498</v>
      </c>
    </row>
    <row r="1711" spans="1:19" hidden="1" x14ac:dyDescent="0.35">
      <c r="A1711" s="22">
        <v>1</v>
      </c>
      <c r="B1711" t="s">
        <v>812</v>
      </c>
      <c r="C1711" t="s">
        <v>802</v>
      </c>
      <c r="D1711" t="s">
        <v>1769</v>
      </c>
      <c r="E1711" t="s">
        <v>2775</v>
      </c>
      <c r="F1711">
        <v>4024289</v>
      </c>
      <c r="G1711" t="s">
        <v>2776</v>
      </c>
      <c r="H1711" t="s">
        <v>805</v>
      </c>
      <c r="I1711">
        <v>2147</v>
      </c>
      <c r="J1711">
        <v>0</v>
      </c>
      <c r="K1711">
        <v>0</v>
      </c>
      <c r="L1711">
        <v>35</v>
      </c>
      <c r="M1711">
        <v>35</v>
      </c>
      <c r="N1711">
        <v>0</v>
      </c>
      <c r="O1711">
        <v>2077</v>
      </c>
      <c r="P1711" s="44" t="e">
        <f>_xlfn.XLOOKUP(Tabla5[[#This Row],[EAN CORREGIDO]],'Tabla Articulos'!B:B,'Tabla Articulos'!D:D)</f>
        <v>#N/A</v>
      </c>
      <c r="Q1711" s="44" t="e">
        <f>_xlfn.XLOOKUP(S1711,'Tabla Articulos'!B:B,'Tabla Articulos'!E:E)</f>
        <v>#N/A</v>
      </c>
      <c r="R1711" s="44" t="e">
        <f t="shared" si="52"/>
        <v>#N/A</v>
      </c>
      <c r="S1711" s="45" t="str">
        <f t="shared" si="53"/>
        <v>7790499001055</v>
      </c>
    </row>
    <row r="1712" spans="1:19" hidden="1" x14ac:dyDescent="0.35">
      <c r="A1712" s="22">
        <v>5</v>
      </c>
      <c r="B1712" t="s">
        <v>829</v>
      </c>
      <c r="C1712" t="s">
        <v>802</v>
      </c>
      <c r="D1712" t="s">
        <v>1769</v>
      </c>
      <c r="E1712" t="s">
        <v>2775</v>
      </c>
      <c r="F1712">
        <v>4024289</v>
      </c>
      <c r="G1712" t="s">
        <v>2776</v>
      </c>
      <c r="H1712" t="s">
        <v>805</v>
      </c>
      <c r="I1712">
        <v>11926</v>
      </c>
      <c r="J1712">
        <v>0</v>
      </c>
      <c r="K1712">
        <v>0</v>
      </c>
      <c r="L1712">
        <v>0</v>
      </c>
      <c r="M1712">
        <v>40</v>
      </c>
      <c r="N1712">
        <v>0</v>
      </c>
      <c r="O1712">
        <v>11886</v>
      </c>
      <c r="P1712" s="44" t="e">
        <f>_xlfn.XLOOKUP(Tabla5[[#This Row],[EAN CORREGIDO]],'Tabla Articulos'!B:B,'Tabla Articulos'!D:D)</f>
        <v>#N/A</v>
      </c>
      <c r="Q1712" s="44" t="e">
        <f>_xlfn.XLOOKUP(S1712,'Tabla Articulos'!B:B,'Tabla Articulos'!E:E)</f>
        <v>#N/A</v>
      </c>
      <c r="R1712" s="44" t="e">
        <f t="shared" si="52"/>
        <v>#N/A</v>
      </c>
      <c r="S1712" s="45" t="str">
        <f t="shared" si="53"/>
        <v>7790499001055</v>
      </c>
    </row>
    <row r="1713" spans="1:19" hidden="1" x14ac:dyDescent="0.35">
      <c r="A1713" s="22">
        <v>6</v>
      </c>
      <c r="B1713" t="s">
        <v>801</v>
      </c>
      <c r="C1713" t="s">
        <v>802</v>
      </c>
      <c r="D1713"/>
      <c r="E1713" t="s">
        <v>2385</v>
      </c>
      <c r="F1713">
        <v>5000794</v>
      </c>
      <c r="G1713" t="s">
        <v>2386</v>
      </c>
      <c r="H1713" t="s">
        <v>805</v>
      </c>
      <c r="I1713">
        <v>4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4</v>
      </c>
      <c r="P1713" s="44" t="e">
        <f>_xlfn.XLOOKUP(Tabla5[[#This Row],[EAN CORREGIDO]],'Tabla Articulos'!B:B,'Tabla Articulos'!D:D)</f>
        <v>#N/A</v>
      </c>
      <c r="Q1713" s="44" t="e">
        <f>_xlfn.XLOOKUP(S1713,'Tabla Articulos'!B:B,'Tabla Articulos'!E:E)</f>
        <v>#N/A</v>
      </c>
      <c r="R1713" s="44" t="e">
        <f t="shared" si="52"/>
        <v>#N/A</v>
      </c>
      <c r="S1713" s="45" t="str">
        <f t="shared" si="53"/>
        <v>5000794</v>
      </c>
    </row>
    <row r="1714" spans="1:19" hidden="1" x14ac:dyDescent="0.35">
      <c r="A1714" s="22">
        <v>1</v>
      </c>
      <c r="B1714" t="s">
        <v>812</v>
      </c>
      <c r="C1714" t="s">
        <v>802</v>
      </c>
      <c r="D1714" s="11" t="s">
        <v>2387</v>
      </c>
      <c r="E1714" t="s">
        <v>2388</v>
      </c>
      <c r="F1714">
        <v>4018241</v>
      </c>
      <c r="G1714" t="s">
        <v>2389</v>
      </c>
      <c r="H1714" t="s">
        <v>805</v>
      </c>
      <c r="I1714">
        <v>7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7</v>
      </c>
      <c r="P1714" s="44" t="e">
        <f>_xlfn.XLOOKUP(Tabla5[[#This Row],[EAN CORREGIDO]],'Tabla Articulos'!B:B,'Tabla Articulos'!D:D)</f>
        <v>#N/A</v>
      </c>
      <c r="Q1714" s="44" t="e">
        <f>_xlfn.XLOOKUP(S1714,'Tabla Articulos'!B:B,'Tabla Articulos'!E:E)</f>
        <v>#N/A</v>
      </c>
      <c r="R1714" s="44" t="e">
        <f t="shared" si="52"/>
        <v>#N/A</v>
      </c>
      <c r="S1714" s="45" t="str">
        <f t="shared" si="53"/>
        <v>5016533648560</v>
      </c>
    </row>
    <row r="1715" spans="1:19" hidden="1" x14ac:dyDescent="0.35">
      <c r="A1715" s="22">
        <v>6</v>
      </c>
      <c r="B1715" t="s">
        <v>801</v>
      </c>
      <c r="C1715" t="s">
        <v>802</v>
      </c>
      <c r="D1715" s="11" t="s">
        <v>363</v>
      </c>
      <c r="E1715" t="s">
        <v>2390</v>
      </c>
      <c r="F1715">
        <v>2011504</v>
      </c>
      <c r="G1715" t="s">
        <v>2391</v>
      </c>
      <c r="H1715" t="s">
        <v>805</v>
      </c>
      <c r="I1715">
        <v>495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495</v>
      </c>
      <c r="P1715" s="44" t="str">
        <f>_xlfn.XLOOKUP(Tabla5[[#This Row],[EAN CORREGIDO]],'Tabla Articulos'!B:B,'Tabla Articulos'!D:D)</f>
        <v>BANDEJA 102</v>
      </c>
      <c r="Q1715" s="44">
        <f>_xlfn.XLOOKUP(S1715,'Tabla Articulos'!B:B,'Tabla Articulos'!E:E)</f>
        <v>100</v>
      </c>
      <c r="R1715" s="44">
        <f t="shared" si="52"/>
        <v>49500</v>
      </c>
      <c r="S1715" s="45" t="str">
        <f t="shared" si="53"/>
        <v>7798011210039</v>
      </c>
    </row>
    <row r="1716" spans="1:19" hidden="1" x14ac:dyDescent="0.35">
      <c r="A1716" s="22">
        <v>5</v>
      </c>
      <c r="B1716" t="s">
        <v>829</v>
      </c>
      <c r="C1716" t="s">
        <v>802</v>
      </c>
      <c r="D1716" s="11" t="s">
        <v>2392</v>
      </c>
      <c r="E1716" t="s">
        <v>2393</v>
      </c>
      <c r="F1716">
        <v>4022808</v>
      </c>
      <c r="G1716" t="s">
        <v>2394</v>
      </c>
      <c r="H1716" t="s">
        <v>805</v>
      </c>
      <c r="I1716">
        <v>20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20</v>
      </c>
      <c r="P1716" s="44" t="e">
        <f>_xlfn.XLOOKUP(Tabla5[[#This Row],[EAN CORREGIDO]],'Tabla Articulos'!B:B,'Tabla Articulos'!D:D)</f>
        <v>#N/A</v>
      </c>
      <c r="Q1716" s="44" t="e">
        <f>_xlfn.XLOOKUP(S1716,'Tabla Articulos'!B:B,'Tabla Articulos'!E:E)</f>
        <v>#N/A</v>
      </c>
      <c r="R1716" s="44" t="e">
        <f t="shared" si="52"/>
        <v>#N/A</v>
      </c>
      <c r="S1716" s="45" t="str">
        <f t="shared" si="53"/>
        <v>7793323003317</v>
      </c>
    </row>
    <row r="1717" spans="1:19" hidden="1" x14ac:dyDescent="0.35">
      <c r="A1717" s="22">
        <v>6</v>
      </c>
      <c r="B1717" t="s">
        <v>801</v>
      </c>
      <c r="C1717" t="s">
        <v>802</v>
      </c>
      <c r="D1717" s="11" t="s">
        <v>1388</v>
      </c>
      <c r="E1717" t="s">
        <v>2395</v>
      </c>
      <c r="F1717">
        <v>2006146</v>
      </c>
      <c r="G1717" t="s">
        <v>2396</v>
      </c>
      <c r="H1717" t="s">
        <v>805</v>
      </c>
      <c r="I1717">
        <v>10691</v>
      </c>
      <c r="J1717">
        <v>0</v>
      </c>
      <c r="K1717">
        <v>0</v>
      </c>
      <c r="L1717">
        <v>0</v>
      </c>
      <c r="M1717">
        <v>2</v>
      </c>
      <c r="N1717">
        <v>0</v>
      </c>
      <c r="O1717">
        <v>10689</v>
      </c>
      <c r="P1717" s="44" t="e">
        <f>_xlfn.XLOOKUP(Tabla5[[#This Row],[EAN CORREGIDO]],'Tabla Articulos'!B:B,'Tabla Articulos'!D:D)</f>
        <v>#N/A</v>
      </c>
      <c r="Q1717" s="44" t="e">
        <f>_xlfn.XLOOKUP(S1717,'Tabla Articulos'!B:B,'Tabla Articulos'!E:E)</f>
        <v>#N/A</v>
      </c>
      <c r="R1717" s="44" t="e">
        <f t="shared" si="52"/>
        <v>#N/A</v>
      </c>
      <c r="S1717" s="45" t="str">
        <f t="shared" si="53"/>
        <v>LIM000266</v>
      </c>
    </row>
    <row r="1718" spans="1:19" hidden="1" x14ac:dyDescent="0.35">
      <c r="A1718" s="22">
        <v>6</v>
      </c>
      <c r="B1718" t="s">
        <v>801</v>
      </c>
      <c r="C1718" t="s">
        <v>802</v>
      </c>
      <c r="D1718"/>
      <c r="E1718" t="s">
        <v>2397</v>
      </c>
      <c r="F1718">
        <v>9003359</v>
      </c>
      <c r="G1718" t="s">
        <v>2398</v>
      </c>
      <c r="H1718" t="s">
        <v>805</v>
      </c>
      <c r="I1718">
        <v>10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10</v>
      </c>
      <c r="P1718" s="44" t="e">
        <f>_xlfn.XLOOKUP(Tabla5[[#This Row],[EAN CORREGIDO]],'Tabla Articulos'!B:B,'Tabla Articulos'!D:D)</f>
        <v>#N/A</v>
      </c>
      <c r="Q1718" s="44" t="e">
        <f>_xlfn.XLOOKUP(S1718,'Tabla Articulos'!B:B,'Tabla Articulos'!E:E)</f>
        <v>#N/A</v>
      </c>
      <c r="R1718" s="44" t="e">
        <f t="shared" si="52"/>
        <v>#N/A</v>
      </c>
      <c r="S1718" s="45" t="str">
        <f t="shared" si="53"/>
        <v>UNIF000264</v>
      </c>
    </row>
    <row r="1719" spans="1:19" hidden="1" x14ac:dyDescent="0.35">
      <c r="A1719" s="22">
        <v>6</v>
      </c>
      <c r="B1719" t="s">
        <v>801</v>
      </c>
      <c r="C1719" t="s">
        <v>802</v>
      </c>
      <c r="D1719" t="s">
        <v>403</v>
      </c>
      <c r="E1719" t="s">
        <v>2399</v>
      </c>
      <c r="F1719">
        <v>2006473</v>
      </c>
      <c r="G1719" t="s">
        <v>2400</v>
      </c>
      <c r="H1719" t="s">
        <v>1534</v>
      </c>
      <c r="I1719">
        <v>32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32</v>
      </c>
      <c r="P1719" s="44" t="str">
        <f>_xlfn.XLOOKUP(Tabla5[[#This Row],[EAN CORREGIDO]],'Tabla Articulos'!B:B,'Tabla Articulos'!D:D)</f>
        <v>TAPA DOMO</v>
      </c>
      <c r="Q1719" s="44">
        <f>_xlfn.XLOOKUP(S1719,'Tabla Articulos'!B:B,'Tabla Articulos'!E:E)</f>
        <v>800</v>
      </c>
      <c r="R1719" s="44">
        <f t="shared" si="52"/>
        <v>25600</v>
      </c>
      <c r="S1719" s="45" t="str">
        <f t="shared" si="53"/>
        <v>7790321020389</v>
      </c>
    </row>
    <row r="1720" spans="1:19" hidden="1" x14ac:dyDescent="0.35">
      <c r="A1720" s="22">
        <v>5</v>
      </c>
      <c r="B1720" t="s">
        <v>829</v>
      </c>
      <c r="C1720" t="s">
        <v>802</v>
      </c>
      <c r="D1720" s="11" t="s">
        <v>3458</v>
      </c>
      <c r="E1720" t="s">
        <v>3459</v>
      </c>
      <c r="F1720">
        <v>4018081</v>
      </c>
      <c r="G1720" t="s">
        <v>3460</v>
      </c>
      <c r="H1720" t="s">
        <v>805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 s="44" t="e">
        <f>_xlfn.XLOOKUP(Tabla5[[#This Row],[EAN CORREGIDO]],'Tabla Articulos'!B:B,'Tabla Articulos'!D:D)</f>
        <v>#N/A</v>
      </c>
      <c r="Q1720" s="44" t="e">
        <f>_xlfn.XLOOKUP(S1720,'Tabla Articulos'!B:B,'Tabla Articulos'!E:E)</f>
        <v>#N/A</v>
      </c>
      <c r="R1720" s="44" t="e">
        <f t="shared" si="52"/>
        <v>#N/A</v>
      </c>
      <c r="S1720" s="45" t="str">
        <f t="shared" si="53"/>
        <v>7790216020115</v>
      </c>
    </row>
    <row r="1721" spans="1:19" hidden="1" x14ac:dyDescent="0.35">
      <c r="A1721" s="22">
        <v>1</v>
      </c>
      <c r="B1721" t="s">
        <v>812</v>
      </c>
      <c r="C1721" t="s">
        <v>802</v>
      </c>
      <c r="D1721" t="s">
        <v>1901</v>
      </c>
      <c r="E1721" t="s">
        <v>3675</v>
      </c>
      <c r="F1721">
        <v>4019832</v>
      </c>
      <c r="G1721" t="s">
        <v>3676</v>
      </c>
      <c r="H1721" t="s">
        <v>805</v>
      </c>
      <c r="I1721">
        <v>115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115</v>
      </c>
      <c r="P1721" s="44" t="e">
        <f>_xlfn.XLOOKUP(Tabla5[[#This Row],[EAN CORREGIDO]],'Tabla Articulos'!B:B,'Tabla Articulos'!D:D)</f>
        <v>#N/A</v>
      </c>
      <c r="Q1721" s="44" t="e">
        <f>_xlfn.XLOOKUP(S1721,'Tabla Articulos'!B:B,'Tabla Articulos'!E:E)</f>
        <v>#N/A</v>
      </c>
      <c r="R1721" s="44" t="e">
        <f t="shared" si="52"/>
        <v>#N/A</v>
      </c>
      <c r="S1721" s="45" t="str">
        <f t="shared" si="53"/>
        <v>7792180140586</v>
      </c>
    </row>
    <row r="1722" spans="1:19" hidden="1" x14ac:dyDescent="0.35">
      <c r="A1722" s="22">
        <v>5</v>
      </c>
      <c r="B1722" t="s">
        <v>829</v>
      </c>
      <c r="C1722" t="s">
        <v>802</v>
      </c>
      <c r="D1722" t="s">
        <v>1207</v>
      </c>
      <c r="E1722" t="s">
        <v>3677</v>
      </c>
      <c r="F1722">
        <v>4077023</v>
      </c>
      <c r="G1722" t="s">
        <v>3678</v>
      </c>
      <c r="H1722" t="s">
        <v>805</v>
      </c>
      <c r="I1722">
        <v>1157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1157</v>
      </c>
      <c r="P1722" s="44" t="e">
        <f>_xlfn.XLOOKUP(Tabla5[[#This Row],[EAN CORREGIDO]],'Tabla Articulos'!B:B,'Tabla Articulos'!D:D)</f>
        <v>#N/A</v>
      </c>
      <c r="Q1722" s="44" t="e">
        <f>_xlfn.XLOOKUP(S1722,'Tabla Articulos'!B:B,'Tabla Articulos'!E:E)</f>
        <v>#N/A</v>
      </c>
      <c r="R1722" s="44" t="e">
        <f t="shared" si="52"/>
        <v>#N/A</v>
      </c>
      <c r="S1722" s="45" t="str">
        <f t="shared" si="53"/>
        <v>7797470003701</v>
      </c>
    </row>
    <row r="1723" spans="1:19" hidden="1" x14ac:dyDescent="0.35">
      <c r="A1723" s="22">
        <v>6</v>
      </c>
      <c r="B1723" t="s">
        <v>801</v>
      </c>
      <c r="C1723" t="s">
        <v>802</v>
      </c>
      <c r="D1723"/>
      <c r="E1723" t="s">
        <v>3679</v>
      </c>
      <c r="F1723">
        <v>9003482</v>
      </c>
      <c r="G1723" t="s">
        <v>3680</v>
      </c>
      <c r="H1723" t="s">
        <v>805</v>
      </c>
      <c r="I1723">
        <v>13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13</v>
      </c>
      <c r="P1723" s="44" t="e">
        <f>_xlfn.XLOOKUP(Tabla5[[#This Row],[EAN CORREGIDO]],'Tabla Articulos'!B:B,'Tabla Articulos'!D:D)</f>
        <v>#N/A</v>
      </c>
      <c r="Q1723" s="44" t="e">
        <f>_xlfn.XLOOKUP(S1723,'Tabla Articulos'!B:B,'Tabla Articulos'!E:E)</f>
        <v>#N/A</v>
      </c>
      <c r="R1723" s="44" t="e">
        <f t="shared" si="52"/>
        <v>#N/A</v>
      </c>
      <c r="S1723" s="45" t="str">
        <f t="shared" si="53"/>
        <v>UNIF000214</v>
      </c>
    </row>
    <row r="1724" spans="1:19" hidden="1" x14ac:dyDescent="0.35">
      <c r="A1724" s="22">
        <v>6</v>
      </c>
      <c r="B1724" t="s">
        <v>801</v>
      </c>
      <c r="C1724" t="s">
        <v>802</v>
      </c>
      <c r="D1724"/>
      <c r="E1724" t="s">
        <v>3681</v>
      </c>
      <c r="F1724">
        <v>9003417</v>
      </c>
      <c r="G1724" t="s">
        <v>3682</v>
      </c>
      <c r="H1724" t="s">
        <v>805</v>
      </c>
      <c r="I1724">
        <v>8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8</v>
      </c>
      <c r="P1724" s="44" t="e">
        <f>_xlfn.XLOOKUP(Tabla5[[#This Row],[EAN CORREGIDO]],'Tabla Articulos'!B:B,'Tabla Articulos'!D:D)</f>
        <v>#N/A</v>
      </c>
      <c r="Q1724" s="44" t="e">
        <f>_xlfn.XLOOKUP(S1724,'Tabla Articulos'!B:B,'Tabla Articulos'!E:E)</f>
        <v>#N/A</v>
      </c>
      <c r="R1724" s="44" t="e">
        <f t="shared" si="52"/>
        <v>#N/A</v>
      </c>
      <c r="S1724" s="45" t="str">
        <f t="shared" si="53"/>
        <v>UNIF000104</v>
      </c>
    </row>
    <row r="1725" spans="1:19" hidden="1" x14ac:dyDescent="0.35">
      <c r="A1725" s="22">
        <v>6</v>
      </c>
      <c r="B1725" t="s">
        <v>801</v>
      </c>
      <c r="C1725" t="s">
        <v>802</v>
      </c>
      <c r="D1725"/>
      <c r="E1725" t="s">
        <v>3683</v>
      </c>
      <c r="F1725">
        <v>9003266</v>
      </c>
      <c r="G1725" t="s">
        <v>3684</v>
      </c>
      <c r="H1725" t="s">
        <v>805</v>
      </c>
      <c r="I1725">
        <v>75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75</v>
      </c>
      <c r="P1725" s="44" t="e">
        <f>_xlfn.XLOOKUP(Tabla5[[#This Row],[EAN CORREGIDO]],'Tabla Articulos'!B:B,'Tabla Articulos'!D:D)</f>
        <v>#N/A</v>
      </c>
      <c r="Q1725" s="44" t="e">
        <f>_xlfn.XLOOKUP(S1725,'Tabla Articulos'!B:B,'Tabla Articulos'!E:E)</f>
        <v>#N/A</v>
      </c>
      <c r="R1725" s="44" t="e">
        <f t="shared" si="52"/>
        <v>#N/A</v>
      </c>
      <c r="S1725" s="45" t="str">
        <f t="shared" si="53"/>
        <v>UNIF000423</v>
      </c>
    </row>
    <row r="1726" spans="1:19" hidden="1" x14ac:dyDescent="0.35">
      <c r="A1726" s="22">
        <v>6</v>
      </c>
      <c r="B1726" t="s">
        <v>801</v>
      </c>
      <c r="C1726" t="s">
        <v>802</v>
      </c>
      <c r="E1726" t="s">
        <v>3685</v>
      </c>
      <c r="F1726">
        <v>9003101</v>
      </c>
      <c r="G1726" t="s">
        <v>3686</v>
      </c>
      <c r="H1726" t="s">
        <v>805</v>
      </c>
      <c r="I1726">
        <v>16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16</v>
      </c>
      <c r="P1726" s="44" t="e">
        <f>_xlfn.XLOOKUP(Tabla5[[#This Row],[EAN CORREGIDO]],'Tabla Articulos'!B:B,'Tabla Articulos'!D:D)</f>
        <v>#N/A</v>
      </c>
      <c r="Q1726" s="44" t="e">
        <f>_xlfn.XLOOKUP(S1726,'Tabla Articulos'!B:B,'Tabla Articulos'!E:E)</f>
        <v>#N/A</v>
      </c>
      <c r="R1726" s="44" t="e">
        <f t="shared" si="52"/>
        <v>#N/A</v>
      </c>
      <c r="S1726" s="45" t="str">
        <f t="shared" si="53"/>
        <v>UNIF000563</v>
      </c>
    </row>
    <row r="1727" spans="1:19" hidden="1" x14ac:dyDescent="0.35">
      <c r="A1727" s="22">
        <v>1</v>
      </c>
      <c r="B1727" t="s">
        <v>812</v>
      </c>
      <c r="C1727" t="s">
        <v>802</v>
      </c>
      <c r="D1727" t="s">
        <v>3687</v>
      </c>
      <c r="E1727" t="s">
        <v>3688</v>
      </c>
      <c r="F1727">
        <v>4021392</v>
      </c>
      <c r="G1727" t="s">
        <v>3689</v>
      </c>
      <c r="H1727" t="s">
        <v>805</v>
      </c>
      <c r="I1727">
        <v>3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3</v>
      </c>
      <c r="P1727" s="44" t="e">
        <f>_xlfn.XLOOKUP(Tabla5[[#This Row],[EAN CORREGIDO]],'Tabla Articulos'!B:B,'Tabla Articulos'!D:D)</f>
        <v>#N/A</v>
      </c>
      <c r="Q1727" s="44" t="e">
        <f>_xlfn.XLOOKUP(S1727,'Tabla Articulos'!B:B,'Tabla Articulos'!E:E)</f>
        <v>#N/A</v>
      </c>
      <c r="R1727" s="44" t="e">
        <f t="shared" si="52"/>
        <v>#N/A</v>
      </c>
      <c r="S1727" s="45" t="str">
        <f t="shared" si="53"/>
        <v>7793323002358</v>
      </c>
    </row>
    <row r="1728" spans="1:19" hidden="1" x14ac:dyDescent="0.35">
      <c r="A1728" s="22">
        <v>5</v>
      </c>
      <c r="B1728" t="s">
        <v>829</v>
      </c>
      <c r="C1728" t="s">
        <v>802</v>
      </c>
      <c r="D1728" t="s">
        <v>3687</v>
      </c>
      <c r="E1728" t="s">
        <v>3688</v>
      </c>
      <c r="F1728">
        <v>4021392</v>
      </c>
      <c r="G1728" t="s">
        <v>3689</v>
      </c>
      <c r="H1728" t="s">
        <v>805</v>
      </c>
      <c r="I1728">
        <v>45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45</v>
      </c>
      <c r="P1728" s="44" t="e">
        <f>_xlfn.XLOOKUP(Tabla5[[#This Row],[EAN CORREGIDO]],'Tabla Articulos'!B:B,'Tabla Articulos'!D:D)</f>
        <v>#N/A</v>
      </c>
      <c r="Q1728" s="44" t="e">
        <f>_xlfn.XLOOKUP(S1728,'Tabla Articulos'!B:B,'Tabla Articulos'!E:E)</f>
        <v>#N/A</v>
      </c>
      <c r="R1728" s="44" t="e">
        <f t="shared" si="52"/>
        <v>#N/A</v>
      </c>
      <c r="S1728" s="45" t="str">
        <f t="shared" si="53"/>
        <v>7793323002358</v>
      </c>
    </row>
    <row r="1729" spans="1:19" hidden="1" x14ac:dyDescent="0.35">
      <c r="A1729" s="22">
        <v>6</v>
      </c>
      <c r="B1729" t="s">
        <v>801</v>
      </c>
      <c r="C1729" t="s">
        <v>802</v>
      </c>
      <c r="E1729" t="s">
        <v>3690</v>
      </c>
      <c r="F1729" s="11">
        <v>9003833</v>
      </c>
      <c r="G1729" t="s">
        <v>3691</v>
      </c>
      <c r="H1729" t="s">
        <v>805</v>
      </c>
      <c r="I1729">
        <v>6086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6086</v>
      </c>
      <c r="P1729" s="44" t="e">
        <f>_xlfn.XLOOKUP(Tabla5[[#This Row],[EAN CORREGIDO]],'Tabla Articulos'!B:B,'Tabla Articulos'!D:D)</f>
        <v>#N/A</v>
      </c>
      <c r="Q1729" s="44" t="e">
        <f>_xlfn.XLOOKUP(S1729,'Tabla Articulos'!B:B,'Tabla Articulos'!E:E)</f>
        <v>#N/A</v>
      </c>
      <c r="R1729" s="44" t="e">
        <f t="shared" ref="R1729:R1792" si="54">O1729*Q1729</f>
        <v>#N/A</v>
      </c>
      <c r="S1729" s="45" t="str">
        <f t="shared" ref="S1729:S1792" si="55">TRIM(E1729)</f>
        <v>BAZ001163</v>
      </c>
    </row>
    <row r="1730" spans="1:19" hidden="1" x14ac:dyDescent="0.35">
      <c r="A1730" s="22">
        <v>5</v>
      </c>
      <c r="B1730" t="s">
        <v>829</v>
      </c>
      <c r="C1730" t="s">
        <v>802</v>
      </c>
      <c r="D1730" s="11" t="s">
        <v>1185</v>
      </c>
      <c r="E1730" t="s">
        <v>3692</v>
      </c>
      <c r="F1730" s="11">
        <v>4024378</v>
      </c>
      <c r="G1730" t="s">
        <v>3693</v>
      </c>
      <c r="H1730" t="s">
        <v>805</v>
      </c>
      <c r="I1730">
        <v>35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35</v>
      </c>
      <c r="P1730" s="44" t="e">
        <f>_xlfn.XLOOKUP(Tabla5[[#This Row],[EAN CORREGIDO]],'Tabla Articulos'!B:B,'Tabla Articulos'!D:D)</f>
        <v>#N/A</v>
      </c>
      <c r="Q1730" s="44" t="e">
        <f>_xlfn.XLOOKUP(S1730,'Tabla Articulos'!B:B,'Tabla Articulos'!E:E)</f>
        <v>#N/A</v>
      </c>
      <c r="R1730" s="44" t="e">
        <f t="shared" si="54"/>
        <v>#N/A</v>
      </c>
      <c r="S1730" s="45" t="str">
        <f t="shared" si="55"/>
        <v>7790070335999</v>
      </c>
    </row>
    <row r="1731" spans="1:19" hidden="1" x14ac:dyDescent="0.35">
      <c r="A1731" s="22">
        <v>6</v>
      </c>
      <c r="B1731" t="s">
        <v>801</v>
      </c>
      <c r="C1731" t="s">
        <v>802</v>
      </c>
      <c r="E1731" t="s">
        <v>3694</v>
      </c>
      <c r="F1731" s="11">
        <v>9003185</v>
      </c>
      <c r="G1731" t="s">
        <v>3695</v>
      </c>
      <c r="H1731" t="s">
        <v>805</v>
      </c>
      <c r="I1731">
        <v>2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2</v>
      </c>
      <c r="P1731" s="44" t="e">
        <f>_xlfn.XLOOKUP(Tabla5[[#This Row],[EAN CORREGIDO]],'Tabla Articulos'!B:B,'Tabla Articulos'!D:D)</f>
        <v>#N/A</v>
      </c>
      <c r="Q1731" s="44" t="e">
        <f>_xlfn.XLOOKUP(S1731,'Tabla Articulos'!B:B,'Tabla Articulos'!E:E)</f>
        <v>#N/A</v>
      </c>
      <c r="R1731" s="44" t="e">
        <f t="shared" si="54"/>
        <v>#N/A</v>
      </c>
      <c r="S1731" s="45" t="str">
        <f t="shared" si="55"/>
        <v>UNIF000311</v>
      </c>
    </row>
    <row r="1732" spans="1:19" hidden="1" x14ac:dyDescent="0.35">
      <c r="A1732" s="22">
        <v>1</v>
      </c>
      <c r="B1732" t="s">
        <v>812</v>
      </c>
      <c r="C1732" t="s">
        <v>802</v>
      </c>
      <c r="D1732" s="11" t="s">
        <v>3652</v>
      </c>
      <c r="E1732" t="s">
        <v>3696</v>
      </c>
      <c r="F1732" s="11">
        <v>4020212</v>
      </c>
      <c r="G1732" t="s">
        <v>3697</v>
      </c>
      <c r="H1732" t="s">
        <v>805</v>
      </c>
      <c r="I1732">
        <v>442</v>
      </c>
      <c r="J1732">
        <v>24</v>
      </c>
      <c r="K1732">
        <v>0</v>
      </c>
      <c r="L1732">
        <v>0</v>
      </c>
      <c r="M1732">
        <v>0</v>
      </c>
      <c r="N1732">
        <v>0</v>
      </c>
      <c r="O1732">
        <v>466</v>
      </c>
      <c r="P1732" s="44" t="e">
        <f>_xlfn.XLOOKUP(Tabla5[[#This Row],[EAN CORREGIDO]],'Tabla Articulos'!B:B,'Tabla Articulos'!D:D)</f>
        <v>#N/A</v>
      </c>
      <c r="Q1732" s="44" t="e">
        <f>_xlfn.XLOOKUP(S1732,'Tabla Articulos'!B:B,'Tabla Articulos'!E:E)</f>
        <v>#N/A</v>
      </c>
      <c r="R1732" s="44" t="e">
        <f t="shared" si="54"/>
        <v>#N/A</v>
      </c>
      <c r="S1732" s="45" t="str">
        <f t="shared" si="55"/>
        <v>7792260639689</v>
      </c>
    </row>
    <row r="1733" spans="1:19" hidden="1" x14ac:dyDescent="0.35">
      <c r="A1733" s="22">
        <v>6</v>
      </c>
      <c r="B1733" t="s">
        <v>801</v>
      </c>
      <c r="C1733" t="s">
        <v>802</v>
      </c>
      <c r="D1733" s="11" t="s">
        <v>3252</v>
      </c>
      <c r="E1733" t="s">
        <v>3698</v>
      </c>
      <c r="F1733" s="11">
        <v>2007481</v>
      </c>
      <c r="G1733" t="s">
        <v>3699</v>
      </c>
      <c r="H1733" t="s">
        <v>805</v>
      </c>
      <c r="I1733">
        <v>7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7</v>
      </c>
      <c r="P1733" s="44" t="e">
        <f>_xlfn.XLOOKUP(Tabla5[[#This Row],[EAN CORREGIDO]],'Tabla Articulos'!B:B,'Tabla Articulos'!D:D)</f>
        <v>#N/A</v>
      </c>
      <c r="Q1733" s="44" t="e">
        <f>_xlfn.XLOOKUP(S1733,'Tabla Articulos'!B:B,'Tabla Articulos'!E:E)</f>
        <v>#N/A</v>
      </c>
      <c r="R1733" s="44" t="e">
        <f t="shared" si="54"/>
        <v>#N/A</v>
      </c>
      <c r="S1733" s="45" t="str">
        <f t="shared" si="55"/>
        <v>7790000000458</v>
      </c>
    </row>
    <row r="1734" spans="1:19" hidden="1" x14ac:dyDescent="0.35">
      <c r="A1734" s="22">
        <v>6</v>
      </c>
      <c r="B1734" t="s">
        <v>801</v>
      </c>
      <c r="C1734" t="s">
        <v>802</v>
      </c>
      <c r="D1734" s="11" t="s">
        <v>3700</v>
      </c>
      <c r="E1734" t="s">
        <v>3701</v>
      </c>
      <c r="F1734" s="11">
        <v>2011426</v>
      </c>
      <c r="G1734" t="s">
        <v>3702</v>
      </c>
      <c r="H1734" t="s">
        <v>805</v>
      </c>
      <c r="I1734">
        <v>28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28</v>
      </c>
      <c r="P1734" s="44" t="e">
        <f>_xlfn.XLOOKUP(Tabla5[[#This Row],[EAN CORREGIDO]],'Tabla Articulos'!B:B,'Tabla Articulos'!D:D)</f>
        <v>#N/A</v>
      </c>
      <c r="Q1734" s="44" t="e">
        <f>_xlfn.XLOOKUP(S1734,'Tabla Articulos'!B:B,'Tabla Articulos'!E:E)</f>
        <v>#N/A</v>
      </c>
      <c r="R1734" s="44" t="e">
        <f t="shared" si="54"/>
        <v>#N/A</v>
      </c>
      <c r="S1734" s="45" t="str">
        <f t="shared" si="55"/>
        <v>7790000000671</v>
      </c>
    </row>
    <row r="1735" spans="1:19" hidden="1" x14ac:dyDescent="0.35">
      <c r="A1735" s="22">
        <v>6</v>
      </c>
      <c r="B1735" t="s">
        <v>801</v>
      </c>
      <c r="C1735" t="s">
        <v>802</v>
      </c>
      <c r="E1735" t="s">
        <v>3703</v>
      </c>
      <c r="F1735" s="11">
        <v>9003592</v>
      </c>
      <c r="G1735" t="s">
        <v>3704</v>
      </c>
      <c r="H1735" t="s">
        <v>805</v>
      </c>
      <c r="I1735">
        <v>188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188</v>
      </c>
      <c r="P1735" s="44" t="e">
        <f>_xlfn.XLOOKUP(Tabla5[[#This Row],[EAN CORREGIDO]],'Tabla Articulos'!B:B,'Tabla Articulos'!D:D)</f>
        <v>#N/A</v>
      </c>
      <c r="Q1735" s="44" t="e">
        <f>_xlfn.XLOOKUP(S1735,'Tabla Articulos'!B:B,'Tabla Articulos'!E:E)</f>
        <v>#N/A</v>
      </c>
      <c r="R1735" s="44" t="e">
        <f t="shared" si="54"/>
        <v>#N/A</v>
      </c>
      <c r="S1735" s="45" t="str">
        <f t="shared" si="55"/>
        <v>UNIF000431</v>
      </c>
    </row>
    <row r="1736" spans="1:19" hidden="1" x14ac:dyDescent="0.35">
      <c r="A1736" s="22">
        <v>5</v>
      </c>
      <c r="B1736" t="s">
        <v>829</v>
      </c>
      <c r="C1736" t="s">
        <v>802</v>
      </c>
      <c r="D1736" s="11" t="s">
        <v>3705</v>
      </c>
      <c r="E1736" t="s">
        <v>3706</v>
      </c>
      <c r="F1736" s="11">
        <v>4077270</v>
      </c>
      <c r="G1736" t="s">
        <v>3707</v>
      </c>
      <c r="H1736" t="s">
        <v>805</v>
      </c>
      <c r="I1736">
        <v>0</v>
      </c>
      <c r="J1736">
        <v>50</v>
      </c>
      <c r="K1736">
        <v>0</v>
      </c>
      <c r="L1736">
        <v>0</v>
      </c>
      <c r="M1736">
        <v>0</v>
      </c>
      <c r="N1736">
        <v>0</v>
      </c>
      <c r="O1736">
        <v>50</v>
      </c>
      <c r="P1736" s="44" t="e">
        <f>_xlfn.XLOOKUP(Tabla5[[#This Row],[EAN CORREGIDO]],'Tabla Articulos'!B:B,'Tabla Articulos'!D:D)</f>
        <v>#N/A</v>
      </c>
      <c r="Q1736" s="44" t="e">
        <f>_xlfn.XLOOKUP(S1736,'Tabla Articulos'!B:B,'Tabla Articulos'!E:E)</f>
        <v>#N/A</v>
      </c>
      <c r="R1736" s="44" t="e">
        <f t="shared" si="54"/>
        <v>#N/A</v>
      </c>
      <c r="S1736" s="45" t="str">
        <f t="shared" si="55"/>
        <v>7791885004841</v>
      </c>
    </row>
    <row r="1737" spans="1:19" hidden="1" x14ac:dyDescent="0.35">
      <c r="A1737" s="22">
        <v>1</v>
      </c>
      <c r="B1737" t="s">
        <v>812</v>
      </c>
      <c r="C1737" t="s">
        <v>802</v>
      </c>
      <c r="D1737" s="11" t="s">
        <v>1237</v>
      </c>
      <c r="E1737" t="s">
        <v>1238</v>
      </c>
      <c r="F1737" s="11">
        <v>4020022</v>
      </c>
      <c r="G1737" t="s">
        <v>1239</v>
      </c>
      <c r="H1737" t="s">
        <v>805</v>
      </c>
      <c r="I1737">
        <v>0</v>
      </c>
      <c r="J1737">
        <v>4</v>
      </c>
      <c r="K1737">
        <v>0</v>
      </c>
      <c r="L1737">
        <v>0</v>
      </c>
      <c r="M1737">
        <v>0</v>
      </c>
      <c r="N1737">
        <v>0</v>
      </c>
      <c r="O1737">
        <v>4</v>
      </c>
      <c r="P1737" s="44" t="e">
        <f>_xlfn.XLOOKUP(Tabla5[[#This Row],[EAN CORREGIDO]],'Tabla Articulos'!B:B,'Tabla Articulos'!D:D)</f>
        <v>#N/A</v>
      </c>
      <c r="Q1737" s="44" t="e">
        <f>_xlfn.XLOOKUP(S1737,'Tabla Articulos'!B:B,'Tabla Articulos'!E:E)</f>
        <v>#N/A</v>
      </c>
      <c r="R1737" s="44" t="e">
        <f t="shared" si="54"/>
        <v>#N/A</v>
      </c>
      <c r="S1737" s="45" t="str">
        <f t="shared" si="55"/>
        <v>7791113004599</v>
      </c>
    </row>
    <row r="1738" spans="1:19" hidden="1" x14ac:dyDescent="0.35">
      <c r="A1738" s="22">
        <v>1</v>
      </c>
      <c r="B1738" t="s">
        <v>812</v>
      </c>
      <c r="C1738" t="s">
        <v>802</v>
      </c>
      <c r="D1738" s="11" t="s">
        <v>1240</v>
      </c>
      <c r="E1738" t="s">
        <v>1241</v>
      </c>
      <c r="F1738" s="11">
        <v>4021176</v>
      </c>
      <c r="G1738" t="s">
        <v>1242</v>
      </c>
      <c r="H1738" t="s">
        <v>816</v>
      </c>
      <c r="I1738">
        <v>66</v>
      </c>
      <c r="J1738">
        <v>0</v>
      </c>
      <c r="K1738">
        <v>0</v>
      </c>
      <c r="L1738">
        <v>0</v>
      </c>
      <c r="M1738">
        <v>0</v>
      </c>
      <c r="N1738">
        <v>11.04</v>
      </c>
      <c r="O1738">
        <v>54.96</v>
      </c>
      <c r="P1738" s="44" t="e">
        <f>_xlfn.XLOOKUP(Tabla5[[#This Row],[EAN CORREGIDO]],'Tabla Articulos'!B:B,'Tabla Articulos'!D:D)</f>
        <v>#N/A</v>
      </c>
      <c r="Q1738" s="44" t="e">
        <f>_xlfn.XLOOKUP(S1738,'Tabla Articulos'!B:B,'Tabla Articulos'!E:E)</f>
        <v>#N/A</v>
      </c>
      <c r="R1738" s="44" t="e">
        <f t="shared" si="54"/>
        <v>#N/A</v>
      </c>
      <c r="S1738" s="45" t="str">
        <f t="shared" si="55"/>
        <v>7790212031216</v>
      </c>
    </row>
    <row r="1739" spans="1:19" hidden="1" x14ac:dyDescent="0.35">
      <c r="A1739" s="22">
        <v>6</v>
      </c>
      <c r="B1739" t="s">
        <v>801</v>
      </c>
      <c r="C1739" t="s">
        <v>802</v>
      </c>
      <c r="E1739" t="s">
        <v>1243</v>
      </c>
      <c r="F1739" s="11">
        <v>9003774</v>
      </c>
      <c r="G1739" t="s">
        <v>1244</v>
      </c>
      <c r="H1739" t="s">
        <v>805</v>
      </c>
      <c r="I1739">
        <v>1246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1246</v>
      </c>
      <c r="P1739" s="44" t="e">
        <f>_xlfn.XLOOKUP(Tabla5[[#This Row],[EAN CORREGIDO]],'Tabla Articulos'!B:B,'Tabla Articulos'!D:D)</f>
        <v>#N/A</v>
      </c>
      <c r="Q1739" s="44" t="e">
        <f>_xlfn.XLOOKUP(S1739,'Tabla Articulos'!B:B,'Tabla Articulos'!E:E)</f>
        <v>#N/A</v>
      </c>
      <c r="R1739" s="44" t="e">
        <f t="shared" si="54"/>
        <v>#N/A</v>
      </c>
      <c r="S1739" s="45" t="str">
        <f t="shared" si="55"/>
        <v>BAZ001265</v>
      </c>
    </row>
    <row r="1740" spans="1:19" hidden="1" x14ac:dyDescent="0.35">
      <c r="A1740" s="22">
        <v>6</v>
      </c>
      <c r="B1740" t="s">
        <v>801</v>
      </c>
      <c r="C1740" t="s">
        <v>802</v>
      </c>
      <c r="D1740" s="11" t="s">
        <v>318</v>
      </c>
      <c r="E1740" t="s">
        <v>1245</v>
      </c>
      <c r="F1740" s="11">
        <v>2006162</v>
      </c>
      <c r="G1740" t="s">
        <v>1246</v>
      </c>
      <c r="H1740" t="s">
        <v>805</v>
      </c>
      <c r="I1740">
        <v>3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3</v>
      </c>
      <c r="P1740" s="44" t="str">
        <f>_xlfn.XLOOKUP(Tabla5[[#This Row],[EAN CORREGIDO]],'Tabla Articulos'!B:B,'Tabla Articulos'!D:D)</f>
        <v>CAMISETA 50X60 REF</v>
      </c>
      <c r="Q1740" s="44">
        <f>_xlfn.XLOOKUP(S1740,'Tabla Articulos'!B:B,'Tabla Articulos'!E:E)</f>
        <v>100</v>
      </c>
      <c r="R1740" s="44">
        <f t="shared" si="54"/>
        <v>300</v>
      </c>
      <c r="S1740" s="45" t="str">
        <f t="shared" si="55"/>
        <v>7790321020167</v>
      </c>
    </row>
    <row r="1741" spans="1:19" hidden="1" x14ac:dyDescent="0.35">
      <c r="A1741" s="22">
        <v>5</v>
      </c>
      <c r="B1741" t="s">
        <v>829</v>
      </c>
      <c r="C1741" t="s">
        <v>802</v>
      </c>
      <c r="D1741" s="11" t="s">
        <v>1247</v>
      </c>
      <c r="E1741" t="s">
        <v>1248</v>
      </c>
      <c r="F1741" s="11">
        <v>4022177</v>
      </c>
      <c r="G1741" t="s">
        <v>1249</v>
      </c>
      <c r="H1741" t="s">
        <v>805</v>
      </c>
      <c r="I1741">
        <v>10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10</v>
      </c>
      <c r="P1741" s="44" t="e">
        <f>_xlfn.XLOOKUP(Tabla5[[#This Row],[EAN CORREGIDO]],'Tabla Articulos'!B:B,'Tabla Articulos'!D:D)</f>
        <v>#N/A</v>
      </c>
      <c r="Q1741" s="44" t="e">
        <f>_xlfn.XLOOKUP(S1741,'Tabla Articulos'!B:B,'Tabla Articulos'!E:E)</f>
        <v>#N/A</v>
      </c>
      <c r="R1741" s="44" t="e">
        <f t="shared" si="54"/>
        <v>#N/A</v>
      </c>
      <c r="S1741" s="45" t="str">
        <f t="shared" si="55"/>
        <v>7798011977390</v>
      </c>
    </row>
    <row r="1742" spans="1:19" hidden="1" x14ac:dyDescent="0.35">
      <c r="A1742" s="22">
        <v>1</v>
      </c>
      <c r="B1742" t="s">
        <v>812</v>
      </c>
      <c r="C1742" t="s">
        <v>802</v>
      </c>
      <c r="D1742" s="11" t="s">
        <v>1247</v>
      </c>
      <c r="E1742" t="s">
        <v>1248</v>
      </c>
      <c r="F1742" s="11">
        <v>4022177</v>
      </c>
      <c r="G1742" t="s">
        <v>1249</v>
      </c>
      <c r="H1742" t="s">
        <v>805</v>
      </c>
      <c r="I1742">
        <v>14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14</v>
      </c>
      <c r="P1742" s="44" t="e">
        <f>_xlfn.XLOOKUP(Tabla5[[#This Row],[EAN CORREGIDO]],'Tabla Articulos'!B:B,'Tabla Articulos'!D:D)</f>
        <v>#N/A</v>
      </c>
      <c r="Q1742" s="44" t="e">
        <f>_xlfn.XLOOKUP(S1742,'Tabla Articulos'!B:B,'Tabla Articulos'!E:E)</f>
        <v>#N/A</v>
      </c>
      <c r="R1742" s="44" t="e">
        <f t="shared" si="54"/>
        <v>#N/A</v>
      </c>
      <c r="S1742" s="45" t="str">
        <f t="shared" si="55"/>
        <v>7798011977390</v>
      </c>
    </row>
    <row r="1743" spans="1:19" hidden="1" x14ac:dyDescent="0.35">
      <c r="A1743" s="22">
        <v>6</v>
      </c>
      <c r="B1743" t="s">
        <v>801</v>
      </c>
      <c r="C1743" t="s">
        <v>802</v>
      </c>
      <c r="E1743" t="s">
        <v>1250</v>
      </c>
      <c r="F1743" s="11">
        <v>1000212</v>
      </c>
      <c r="G1743" t="s">
        <v>1251</v>
      </c>
      <c r="H1743" t="s">
        <v>805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</v>
      </c>
      <c r="P1743" s="44" t="e">
        <f>_xlfn.XLOOKUP(Tabla5[[#This Row],[EAN CORREGIDO]],'Tabla Articulos'!B:B,'Tabla Articulos'!D:D)</f>
        <v>#N/A</v>
      </c>
      <c r="Q1743" s="44" t="e">
        <f>_xlfn.XLOOKUP(S1743,'Tabla Articulos'!B:B,'Tabla Articulos'!E:E)</f>
        <v>#N/A</v>
      </c>
      <c r="R1743" s="44" t="e">
        <f t="shared" si="54"/>
        <v>#N/A</v>
      </c>
      <c r="S1743" s="45" t="str">
        <f t="shared" si="55"/>
        <v>BUM00247</v>
      </c>
    </row>
    <row r="1744" spans="1:19" hidden="1" x14ac:dyDescent="0.35">
      <c r="A1744" s="22">
        <v>1</v>
      </c>
      <c r="B1744" t="s">
        <v>812</v>
      </c>
      <c r="C1744" t="s">
        <v>802</v>
      </c>
      <c r="D1744" s="11" t="s">
        <v>1252</v>
      </c>
      <c r="E1744" t="s">
        <v>1253</v>
      </c>
      <c r="F1744" s="11">
        <v>4018465</v>
      </c>
      <c r="G1744" t="s">
        <v>1254</v>
      </c>
      <c r="H1744" t="s">
        <v>805</v>
      </c>
      <c r="I1744">
        <v>3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3</v>
      </c>
      <c r="P1744" s="44" t="e">
        <f>_xlfn.XLOOKUP(Tabla5[[#This Row],[EAN CORREGIDO]],'Tabla Articulos'!B:B,'Tabla Articulos'!D:D)</f>
        <v>#N/A</v>
      </c>
      <c r="Q1744" s="44" t="e">
        <f>_xlfn.XLOOKUP(S1744,'Tabla Articulos'!B:B,'Tabla Articulos'!E:E)</f>
        <v>#N/A</v>
      </c>
      <c r="R1744" s="44" t="e">
        <f t="shared" si="54"/>
        <v>#N/A</v>
      </c>
      <c r="S1744" s="45" t="str">
        <f t="shared" si="55"/>
        <v>7798041132477</v>
      </c>
    </row>
    <row r="1745" spans="1:19" hidden="1" x14ac:dyDescent="0.35">
      <c r="A1745" s="22">
        <v>6</v>
      </c>
      <c r="B1745" t="s">
        <v>801</v>
      </c>
      <c r="C1745" t="s">
        <v>802</v>
      </c>
      <c r="D1745" s="11" t="s">
        <v>1374</v>
      </c>
      <c r="E1745" t="s">
        <v>3708</v>
      </c>
      <c r="F1745" s="11">
        <v>2006769</v>
      </c>
      <c r="G1745" t="s">
        <v>3709</v>
      </c>
      <c r="H1745" t="s">
        <v>805</v>
      </c>
      <c r="I1745">
        <v>54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54</v>
      </c>
      <c r="P1745" s="44" t="e">
        <f>_xlfn.XLOOKUP(Tabla5[[#This Row],[EAN CORREGIDO]],'Tabla Articulos'!B:B,'Tabla Articulos'!D:D)</f>
        <v>#N/A</v>
      </c>
      <c r="Q1745" s="44" t="e">
        <f>_xlfn.XLOOKUP(S1745,'Tabla Articulos'!B:B,'Tabla Articulos'!E:E)</f>
        <v>#N/A</v>
      </c>
      <c r="R1745" s="44" t="e">
        <f t="shared" si="54"/>
        <v>#N/A</v>
      </c>
      <c r="S1745" s="45" t="str">
        <f t="shared" si="55"/>
        <v>7798011944129</v>
      </c>
    </row>
    <row r="1746" spans="1:19" hidden="1" x14ac:dyDescent="0.35">
      <c r="A1746" s="22">
        <v>6</v>
      </c>
      <c r="B1746" t="s">
        <v>801</v>
      </c>
      <c r="C1746" t="s">
        <v>802</v>
      </c>
      <c r="D1746" s="11" t="s">
        <v>276</v>
      </c>
      <c r="E1746" t="s">
        <v>3710</v>
      </c>
      <c r="F1746" s="11">
        <v>2016596</v>
      </c>
      <c r="G1746" t="s">
        <v>3711</v>
      </c>
      <c r="H1746" t="s">
        <v>805</v>
      </c>
      <c r="I1746">
        <v>51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51</v>
      </c>
      <c r="P1746" s="44" t="str">
        <f>_xlfn.XLOOKUP(Tabla5[[#This Row],[EAN CORREGIDO]],'Tabla Articulos'!B:B,'Tabla Articulos'!D:D)</f>
        <v>CUCHILLO DESCARTABLE</v>
      </c>
      <c r="Q1746" s="44">
        <f>_xlfn.XLOOKUP(S1746,'Tabla Articulos'!B:B,'Tabla Articulos'!E:E)</f>
        <v>1000</v>
      </c>
      <c r="R1746" s="44">
        <f t="shared" si="54"/>
        <v>51000</v>
      </c>
      <c r="S1746" s="45" t="str">
        <f t="shared" si="55"/>
        <v>714604111788</v>
      </c>
    </row>
    <row r="1747" spans="1:19" hidden="1" x14ac:dyDescent="0.35">
      <c r="A1747" s="22">
        <v>5</v>
      </c>
      <c r="B1747" t="s">
        <v>829</v>
      </c>
      <c r="C1747" t="s">
        <v>802</v>
      </c>
      <c r="D1747" s="11" t="s">
        <v>4558</v>
      </c>
      <c r="E1747" t="s">
        <v>4559</v>
      </c>
      <c r="F1747" s="11">
        <v>4020348</v>
      </c>
      <c r="G1747" t="s">
        <v>4560</v>
      </c>
      <c r="H1747" t="s">
        <v>805</v>
      </c>
      <c r="I1747">
        <v>49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49</v>
      </c>
      <c r="P1747" s="44" t="e">
        <f>_xlfn.XLOOKUP(Tabla5[[#This Row],[EAN CORREGIDO]],'Tabla Articulos'!B:B,'Tabla Articulos'!D:D)</f>
        <v>#N/A</v>
      </c>
      <c r="Q1747" s="44" t="e">
        <f>_xlfn.XLOOKUP(S1747,'Tabla Articulos'!B:B,'Tabla Articulos'!E:E)</f>
        <v>#N/A</v>
      </c>
      <c r="R1747" s="44" t="e">
        <f t="shared" si="54"/>
        <v>#N/A</v>
      </c>
      <c r="S1747" s="45" t="str">
        <f t="shared" si="55"/>
        <v>7798011976607</v>
      </c>
    </row>
    <row r="1748" spans="1:19" hidden="1" x14ac:dyDescent="0.35">
      <c r="A1748" s="22">
        <v>6</v>
      </c>
      <c r="B1748" t="s">
        <v>801</v>
      </c>
      <c r="C1748" t="s">
        <v>802</v>
      </c>
      <c r="D1748" s="11" t="s">
        <v>1917</v>
      </c>
      <c r="E1748" t="s">
        <v>4561</v>
      </c>
      <c r="F1748" s="11">
        <v>2007078</v>
      </c>
      <c r="G1748" t="s">
        <v>4562</v>
      </c>
      <c r="H1748" t="s">
        <v>805</v>
      </c>
      <c r="I1748">
        <v>30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30</v>
      </c>
      <c r="P1748" s="44" t="e">
        <f>_xlfn.XLOOKUP(Tabla5[[#This Row],[EAN CORREGIDO]],'Tabla Articulos'!B:B,'Tabla Articulos'!D:D)</f>
        <v>#N/A</v>
      </c>
      <c r="Q1748" s="44" t="e">
        <f>_xlfn.XLOOKUP(S1748,'Tabla Articulos'!B:B,'Tabla Articulos'!E:E)</f>
        <v>#N/A</v>
      </c>
      <c r="R1748" s="44" t="e">
        <f t="shared" si="54"/>
        <v>#N/A</v>
      </c>
      <c r="S1748" s="45" t="str">
        <f t="shared" si="55"/>
        <v>7798332283637</v>
      </c>
    </row>
    <row r="1749" spans="1:19" hidden="1" x14ac:dyDescent="0.35">
      <c r="A1749" s="22">
        <v>6</v>
      </c>
      <c r="B1749" t="s">
        <v>801</v>
      </c>
      <c r="C1749" t="s">
        <v>802</v>
      </c>
      <c r="E1749" t="s">
        <v>4563</v>
      </c>
      <c r="F1749" s="11">
        <v>9003569</v>
      </c>
      <c r="G1749" t="s">
        <v>4564</v>
      </c>
      <c r="H1749" t="s">
        <v>805</v>
      </c>
      <c r="I1749">
        <v>36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36</v>
      </c>
      <c r="P1749" s="44" t="e">
        <f>_xlfn.XLOOKUP(Tabla5[[#This Row],[EAN CORREGIDO]],'Tabla Articulos'!B:B,'Tabla Articulos'!D:D)</f>
        <v>#N/A</v>
      </c>
      <c r="Q1749" s="44" t="e">
        <f>_xlfn.XLOOKUP(S1749,'Tabla Articulos'!B:B,'Tabla Articulos'!E:E)</f>
        <v>#N/A</v>
      </c>
      <c r="R1749" s="44" t="e">
        <f t="shared" si="54"/>
        <v>#N/A</v>
      </c>
      <c r="S1749" s="45" t="str">
        <f t="shared" si="55"/>
        <v>UNIF000152</v>
      </c>
    </row>
    <row r="1750" spans="1:19" hidden="1" x14ac:dyDescent="0.35">
      <c r="A1750" s="22">
        <v>6</v>
      </c>
      <c r="B1750" t="s">
        <v>801</v>
      </c>
      <c r="C1750" t="s">
        <v>802</v>
      </c>
      <c r="E1750" t="s">
        <v>4565</v>
      </c>
      <c r="F1750" s="11">
        <v>9003304</v>
      </c>
      <c r="G1750" t="s">
        <v>4566</v>
      </c>
      <c r="H1750" t="s">
        <v>805</v>
      </c>
      <c r="I1750">
        <v>186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186</v>
      </c>
      <c r="P1750" s="44" t="e">
        <f>_xlfn.XLOOKUP(Tabla5[[#This Row],[EAN CORREGIDO]],'Tabla Articulos'!B:B,'Tabla Articulos'!D:D)</f>
        <v>#N/A</v>
      </c>
      <c r="Q1750" s="44" t="e">
        <f>_xlfn.XLOOKUP(S1750,'Tabla Articulos'!B:B,'Tabla Articulos'!E:E)</f>
        <v>#N/A</v>
      </c>
      <c r="R1750" s="44" t="e">
        <f t="shared" si="54"/>
        <v>#N/A</v>
      </c>
      <c r="S1750" s="45" t="str">
        <f t="shared" si="55"/>
        <v>UNIF000051</v>
      </c>
    </row>
    <row r="1751" spans="1:19" hidden="1" x14ac:dyDescent="0.35">
      <c r="A1751" s="22">
        <v>6</v>
      </c>
      <c r="B1751" t="s">
        <v>801</v>
      </c>
      <c r="C1751" t="s">
        <v>802</v>
      </c>
      <c r="E1751" t="s">
        <v>4567</v>
      </c>
      <c r="F1751" s="11">
        <v>9003294</v>
      </c>
      <c r="G1751" t="s">
        <v>4568</v>
      </c>
      <c r="H1751" t="s">
        <v>805</v>
      </c>
      <c r="I1751">
        <v>5</v>
      </c>
      <c r="J1751">
        <v>210</v>
      </c>
      <c r="K1751">
        <v>0</v>
      </c>
      <c r="L1751">
        <v>0</v>
      </c>
      <c r="M1751">
        <v>0</v>
      </c>
      <c r="N1751">
        <v>0</v>
      </c>
      <c r="O1751">
        <v>215</v>
      </c>
      <c r="P1751" s="44" t="e">
        <f>_xlfn.XLOOKUP(Tabla5[[#This Row],[EAN CORREGIDO]],'Tabla Articulos'!B:B,'Tabla Articulos'!D:D)</f>
        <v>#N/A</v>
      </c>
      <c r="Q1751" s="44" t="e">
        <f>_xlfn.XLOOKUP(S1751,'Tabla Articulos'!B:B,'Tabla Articulos'!E:E)</f>
        <v>#N/A</v>
      </c>
      <c r="R1751" s="44" t="e">
        <f t="shared" si="54"/>
        <v>#N/A</v>
      </c>
      <c r="S1751" s="45" t="str">
        <f t="shared" si="55"/>
        <v>UNIF000041</v>
      </c>
    </row>
    <row r="1752" spans="1:19" hidden="1" x14ac:dyDescent="0.35">
      <c r="A1752" s="22">
        <v>6</v>
      </c>
      <c r="B1752" t="s">
        <v>801</v>
      </c>
      <c r="C1752" t="s">
        <v>802</v>
      </c>
      <c r="E1752" t="s">
        <v>4569</v>
      </c>
      <c r="F1752" s="11">
        <v>9003124</v>
      </c>
      <c r="G1752" t="s">
        <v>4570</v>
      </c>
      <c r="H1752" t="s">
        <v>805</v>
      </c>
      <c r="I1752">
        <v>37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37</v>
      </c>
      <c r="P1752" s="44" t="e">
        <f>_xlfn.XLOOKUP(Tabla5[[#This Row],[EAN CORREGIDO]],'Tabla Articulos'!B:B,'Tabla Articulos'!D:D)</f>
        <v>#N/A</v>
      </c>
      <c r="Q1752" s="44" t="e">
        <f>_xlfn.XLOOKUP(S1752,'Tabla Articulos'!B:B,'Tabla Articulos'!E:E)</f>
        <v>#N/A</v>
      </c>
      <c r="R1752" s="44" t="e">
        <f t="shared" si="54"/>
        <v>#N/A</v>
      </c>
      <c r="S1752" s="45" t="str">
        <f t="shared" si="55"/>
        <v>UNIF000586</v>
      </c>
    </row>
    <row r="1753" spans="1:19" hidden="1" x14ac:dyDescent="0.35">
      <c r="A1753" s="22">
        <v>6</v>
      </c>
      <c r="B1753" t="s">
        <v>801</v>
      </c>
      <c r="C1753" t="s">
        <v>802</v>
      </c>
      <c r="E1753" t="s">
        <v>3439</v>
      </c>
      <c r="F1753" s="11">
        <v>9003864</v>
      </c>
      <c r="G1753" t="s">
        <v>3440</v>
      </c>
      <c r="H1753" t="s">
        <v>805</v>
      </c>
      <c r="I1753">
        <v>12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12</v>
      </c>
      <c r="P1753" s="44" t="e">
        <f>_xlfn.XLOOKUP(Tabla5[[#This Row],[EAN CORREGIDO]],'Tabla Articulos'!B:B,'Tabla Articulos'!D:D)</f>
        <v>#N/A</v>
      </c>
      <c r="Q1753" s="44" t="e">
        <f>_xlfn.XLOOKUP(S1753,'Tabla Articulos'!B:B,'Tabla Articulos'!E:E)</f>
        <v>#N/A</v>
      </c>
      <c r="R1753" s="44" t="e">
        <f t="shared" si="54"/>
        <v>#N/A</v>
      </c>
      <c r="S1753" s="45" t="str">
        <f t="shared" si="55"/>
        <v>BAZ001271</v>
      </c>
    </row>
    <row r="1754" spans="1:19" hidden="1" x14ac:dyDescent="0.35">
      <c r="A1754" s="22">
        <v>1</v>
      </c>
      <c r="B1754" t="s">
        <v>812</v>
      </c>
      <c r="C1754" t="s">
        <v>802</v>
      </c>
      <c r="D1754" s="11" t="s">
        <v>2751</v>
      </c>
      <c r="E1754" t="s">
        <v>3441</v>
      </c>
      <c r="F1754" s="11">
        <v>4019690</v>
      </c>
      <c r="G1754" t="s">
        <v>3442</v>
      </c>
      <c r="H1754" t="s">
        <v>805</v>
      </c>
      <c r="I1754">
        <v>15318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15318</v>
      </c>
      <c r="P1754" s="44" t="e">
        <f>_xlfn.XLOOKUP(Tabla5[[#This Row],[EAN CORREGIDO]],'Tabla Articulos'!B:B,'Tabla Articulos'!D:D)</f>
        <v>#N/A</v>
      </c>
      <c r="Q1754" s="44" t="e">
        <f>_xlfn.XLOOKUP(S1754,'Tabla Articulos'!B:B,'Tabla Articulos'!E:E)</f>
        <v>#N/A</v>
      </c>
      <c r="R1754" s="44" t="e">
        <f t="shared" si="54"/>
        <v>#N/A</v>
      </c>
      <c r="S1754" s="45" t="str">
        <f t="shared" si="55"/>
        <v>7790971002327</v>
      </c>
    </row>
    <row r="1755" spans="1:19" hidden="1" x14ac:dyDescent="0.35">
      <c r="A1755" s="22">
        <v>6</v>
      </c>
      <c r="B1755" t="s">
        <v>801</v>
      </c>
      <c r="C1755" t="s">
        <v>802</v>
      </c>
      <c r="D1755" s="11" t="s">
        <v>3443</v>
      </c>
      <c r="E1755" t="s">
        <v>3444</v>
      </c>
      <c r="F1755" s="11">
        <v>2016562</v>
      </c>
      <c r="G1755" t="s">
        <v>3445</v>
      </c>
      <c r="H1755" t="s">
        <v>805</v>
      </c>
      <c r="I1755">
        <v>10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10</v>
      </c>
      <c r="P1755" s="44" t="str">
        <f>_xlfn.XLOOKUP(Tabla5[[#This Row],[EAN CORREGIDO]],'Tabla Articulos'!B:B,'Tabla Articulos'!D:D)</f>
        <v>TAPA DEGUSTADOR</v>
      </c>
      <c r="Q1755" s="44">
        <f>_xlfn.XLOOKUP(S1755,'Tabla Articulos'!B:B,'Tabla Articulos'!E:E)</f>
        <v>2000</v>
      </c>
      <c r="R1755" s="44">
        <f t="shared" si="54"/>
        <v>20000</v>
      </c>
      <c r="S1755" s="45" t="str">
        <f t="shared" si="55"/>
        <v>7790000000736</v>
      </c>
    </row>
    <row r="1756" spans="1:19" hidden="1" x14ac:dyDescent="0.35">
      <c r="A1756" s="22">
        <v>1</v>
      </c>
      <c r="B1756" t="s">
        <v>812</v>
      </c>
      <c r="C1756" t="s">
        <v>802</v>
      </c>
      <c r="D1756" t="s">
        <v>1663</v>
      </c>
      <c r="E1756" t="s">
        <v>3446</v>
      </c>
      <c r="F1756">
        <v>4022746</v>
      </c>
      <c r="G1756" t="s">
        <v>3447</v>
      </c>
      <c r="H1756" t="s">
        <v>805</v>
      </c>
      <c r="I1756">
        <v>250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250</v>
      </c>
      <c r="P1756" s="44" t="e">
        <f>_xlfn.XLOOKUP(Tabla5[[#This Row],[EAN CORREGIDO]],'Tabla Articulos'!B:B,'Tabla Articulos'!D:D)</f>
        <v>#N/A</v>
      </c>
      <c r="Q1756" s="44" t="e">
        <f>_xlfn.XLOOKUP(S1756,'Tabla Articulos'!B:B,'Tabla Articulos'!E:E)</f>
        <v>#N/A</v>
      </c>
      <c r="R1756" s="44" t="e">
        <f t="shared" si="54"/>
        <v>#N/A</v>
      </c>
      <c r="S1756" s="45" t="str">
        <f t="shared" si="55"/>
        <v>7798138555464</v>
      </c>
    </row>
    <row r="1757" spans="1:19" hidden="1" x14ac:dyDescent="0.35">
      <c r="A1757" s="22">
        <v>5</v>
      </c>
      <c r="B1757" t="s">
        <v>829</v>
      </c>
      <c r="C1757" t="s">
        <v>802</v>
      </c>
      <c r="D1757" t="s">
        <v>1663</v>
      </c>
      <c r="E1757" t="s">
        <v>3446</v>
      </c>
      <c r="F1757">
        <v>4022746</v>
      </c>
      <c r="G1757" t="s">
        <v>3447</v>
      </c>
      <c r="H1757" t="s">
        <v>805</v>
      </c>
      <c r="I1757">
        <v>1</v>
      </c>
      <c r="J1757">
        <v>0</v>
      </c>
      <c r="K1757">
        <v>1</v>
      </c>
      <c r="L1757">
        <v>0</v>
      </c>
      <c r="M1757">
        <v>0</v>
      </c>
      <c r="N1757">
        <v>0</v>
      </c>
      <c r="O1757">
        <v>0</v>
      </c>
      <c r="P1757" s="44" t="e">
        <f>_xlfn.XLOOKUP(Tabla5[[#This Row],[EAN CORREGIDO]],'Tabla Articulos'!B:B,'Tabla Articulos'!D:D)</f>
        <v>#N/A</v>
      </c>
      <c r="Q1757" s="44" t="e">
        <f>_xlfn.XLOOKUP(S1757,'Tabla Articulos'!B:B,'Tabla Articulos'!E:E)</f>
        <v>#N/A</v>
      </c>
      <c r="R1757" s="44" t="e">
        <f t="shared" si="54"/>
        <v>#N/A</v>
      </c>
      <c r="S1757" s="45" t="str">
        <f t="shared" si="55"/>
        <v>7798138555464</v>
      </c>
    </row>
    <row r="1758" spans="1:19" hidden="1" x14ac:dyDescent="0.35">
      <c r="A1758" s="22">
        <v>6</v>
      </c>
      <c r="B1758" t="s">
        <v>801</v>
      </c>
      <c r="C1758" t="s">
        <v>802</v>
      </c>
      <c r="D1758"/>
      <c r="E1758" t="s">
        <v>3448</v>
      </c>
      <c r="F1758">
        <v>9003714</v>
      </c>
      <c r="G1758" t="s">
        <v>3449</v>
      </c>
      <c r="H1758" t="s">
        <v>805</v>
      </c>
      <c r="I1758">
        <v>2436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2436</v>
      </c>
      <c r="P1758" s="44" t="e">
        <f>_xlfn.XLOOKUP(Tabla5[[#This Row],[EAN CORREGIDO]],'Tabla Articulos'!B:B,'Tabla Articulos'!D:D)</f>
        <v>#N/A</v>
      </c>
      <c r="Q1758" s="44" t="e">
        <f>_xlfn.XLOOKUP(S1758,'Tabla Articulos'!B:B,'Tabla Articulos'!E:E)</f>
        <v>#N/A</v>
      </c>
      <c r="R1758" s="44" t="e">
        <f t="shared" si="54"/>
        <v>#N/A</v>
      </c>
      <c r="S1758" s="45" t="str">
        <f t="shared" si="55"/>
        <v>BAZ001159</v>
      </c>
    </row>
    <row r="1759" spans="1:19" hidden="1" x14ac:dyDescent="0.35">
      <c r="A1759" s="22">
        <v>6</v>
      </c>
      <c r="B1759" t="s">
        <v>801</v>
      </c>
      <c r="C1759" t="s">
        <v>802</v>
      </c>
      <c r="D1759" t="s">
        <v>1957</v>
      </c>
      <c r="E1759" t="s">
        <v>3450</v>
      </c>
      <c r="F1759">
        <v>2011391</v>
      </c>
      <c r="G1759" t="s">
        <v>3451</v>
      </c>
      <c r="H1759" t="s">
        <v>805</v>
      </c>
      <c r="I1759">
        <v>171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171</v>
      </c>
      <c r="P1759" s="44" t="e">
        <f>_xlfn.XLOOKUP(Tabla5[[#This Row],[EAN CORREGIDO]],'Tabla Articulos'!B:B,'Tabla Articulos'!D:D)</f>
        <v>#N/A</v>
      </c>
      <c r="Q1759" s="44" t="e">
        <f>_xlfn.XLOOKUP(S1759,'Tabla Articulos'!B:B,'Tabla Articulos'!E:E)</f>
        <v>#N/A</v>
      </c>
      <c r="R1759" s="44" t="e">
        <f t="shared" si="54"/>
        <v>#N/A</v>
      </c>
      <c r="S1759" s="45" t="str">
        <f t="shared" si="55"/>
        <v>7798188650423</v>
      </c>
    </row>
    <row r="1760" spans="1:19" hidden="1" x14ac:dyDescent="0.35">
      <c r="A1760" s="22">
        <v>6</v>
      </c>
      <c r="B1760" t="s">
        <v>801</v>
      </c>
      <c r="C1760" t="s">
        <v>802</v>
      </c>
      <c r="E1760" t="s">
        <v>3452</v>
      </c>
      <c r="F1760">
        <v>9003616</v>
      </c>
      <c r="G1760" t="s">
        <v>3453</v>
      </c>
      <c r="H1760" t="s">
        <v>805</v>
      </c>
      <c r="I1760">
        <v>29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29</v>
      </c>
      <c r="P1760" s="44" t="e">
        <f>_xlfn.XLOOKUP(Tabla5[[#This Row],[EAN CORREGIDO]],'Tabla Articulos'!B:B,'Tabla Articulos'!D:D)</f>
        <v>#N/A</v>
      </c>
      <c r="Q1760" s="44" t="e">
        <f>_xlfn.XLOOKUP(S1760,'Tabla Articulos'!B:B,'Tabla Articulos'!E:E)</f>
        <v>#N/A</v>
      </c>
      <c r="R1760" s="44" t="e">
        <f t="shared" si="54"/>
        <v>#N/A</v>
      </c>
      <c r="S1760" s="45" t="str">
        <f t="shared" si="55"/>
        <v>UNIF000455</v>
      </c>
    </row>
    <row r="1761" spans="1:19" hidden="1" x14ac:dyDescent="0.35">
      <c r="A1761" s="22">
        <v>6</v>
      </c>
      <c r="B1761" t="s">
        <v>801</v>
      </c>
      <c r="C1761" t="s">
        <v>802</v>
      </c>
      <c r="D1761"/>
      <c r="E1761" t="s">
        <v>3454</v>
      </c>
      <c r="F1761">
        <v>9003085</v>
      </c>
      <c r="G1761" t="s">
        <v>3455</v>
      </c>
      <c r="H1761" t="s">
        <v>805</v>
      </c>
      <c r="I1761">
        <v>8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8</v>
      </c>
      <c r="P1761" s="44" t="e">
        <f>_xlfn.XLOOKUP(Tabla5[[#This Row],[EAN CORREGIDO]],'Tabla Articulos'!B:B,'Tabla Articulos'!D:D)</f>
        <v>#N/A</v>
      </c>
      <c r="Q1761" s="44" t="e">
        <f>_xlfn.XLOOKUP(S1761,'Tabla Articulos'!B:B,'Tabla Articulos'!E:E)</f>
        <v>#N/A</v>
      </c>
      <c r="R1761" s="44" t="e">
        <f t="shared" si="54"/>
        <v>#N/A</v>
      </c>
      <c r="S1761" s="45" t="str">
        <f t="shared" si="55"/>
        <v>UNIF000547</v>
      </c>
    </row>
    <row r="1762" spans="1:19" hidden="1" x14ac:dyDescent="0.35">
      <c r="A1762" s="22">
        <v>5</v>
      </c>
      <c r="B1762" t="s">
        <v>829</v>
      </c>
      <c r="C1762" t="s">
        <v>802</v>
      </c>
      <c r="D1762" t="s">
        <v>229</v>
      </c>
      <c r="E1762" t="s">
        <v>3456</v>
      </c>
      <c r="F1762">
        <v>2006470</v>
      </c>
      <c r="G1762" t="s">
        <v>3457</v>
      </c>
      <c r="H1762" t="s">
        <v>805</v>
      </c>
      <c r="I1762">
        <v>217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217</v>
      </c>
      <c r="P1762" s="44" t="e">
        <f>_xlfn.XLOOKUP(Tabla5[[#This Row],[EAN CORREGIDO]],'Tabla Articulos'!B:B,'Tabla Articulos'!D:D)</f>
        <v>#N/A</v>
      </c>
      <c r="Q1762" s="44" t="e">
        <f>_xlfn.XLOOKUP(S1762,'Tabla Articulos'!B:B,'Tabla Articulos'!E:E)</f>
        <v>#N/A</v>
      </c>
      <c r="R1762" s="44" t="e">
        <f t="shared" si="54"/>
        <v>#N/A</v>
      </c>
      <c r="S1762" s="45" t="str">
        <f t="shared" si="55"/>
        <v>EMB000033</v>
      </c>
    </row>
    <row r="1763" spans="1:19" hidden="1" x14ac:dyDescent="0.35">
      <c r="A1763" s="22">
        <v>1</v>
      </c>
      <c r="B1763" t="s">
        <v>812</v>
      </c>
      <c r="C1763" t="s">
        <v>802</v>
      </c>
      <c r="D1763" t="s">
        <v>229</v>
      </c>
      <c r="E1763" t="s">
        <v>3456</v>
      </c>
      <c r="F1763">
        <v>2006470</v>
      </c>
      <c r="G1763" t="s">
        <v>3457</v>
      </c>
      <c r="H1763" t="s">
        <v>805</v>
      </c>
      <c r="I1763">
        <v>150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150</v>
      </c>
      <c r="P1763" s="44" t="e">
        <f>_xlfn.XLOOKUP(Tabla5[[#This Row],[EAN CORREGIDO]],'Tabla Articulos'!B:B,'Tabla Articulos'!D:D)</f>
        <v>#N/A</v>
      </c>
      <c r="Q1763" s="44" t="e">
        <f>_xlfn.XLOOKUP(S1763,'Tabla Articulos'!B:B,'Tabla Articulos'!E:E)</f>
        <v>#N/A</v>
      </c>
      <c r="R1763" s="44" t="e">
        <f t="shared" si="54"/>
        <v>#N/A</v>
      </c>
      <c r="S1763" s="45" t="str">
        <f t="shared" si="55"/>
        <v>EMB000033</v>
      </c>
    </row>
    <row r="1764" spans="1:19" hidden="1" x14ac:dyDescent="0.35">
      <c r="A1764" s="22">
        <v>1</v>
      </c>
      <c r="B1764" t="s">
        <v>812</v>
      </c>
      <c r="C1764" t="s">
        <v>802</v>
      </c>
      <c r="D1764" s="11" t="s">
        <v>2756</v>
      </c>
      <c r="E1764" t="s">
        <v>2757</v>
      </c>
      <c r="F1764">
        <v>4020496</v>
      </c>
      <c r="G1764" t="s">
        <v>2758</v>
      </c>
      <c r="H1764" t="s">
        <v>805</v>
      </c>
      <c r="I1764">
        <v>919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919</v>
      </c>
      <c r="P1764" s="44" t="e">
        <f>_xlfn.XLOOKUP(Tabla5[[#This Row],[EAN CORREGIDO]],'Tabla Articulos'!B:B,'Tabla Articulos'!D:D)</f>
        <v>#N/A</v>
      </c>
      <c r="Q1764" s="44" t="e">
        <f>_xlfn.XLOOKUP(S1764,'Tabla Articulos'!B:B,'Tabla Articulos'!E:E)</f>
        <v>#N/A</v>
      </c>
      <c r="R1764" s="44" t="e">
        <f t="shared" si="54"/>
        <v>#N/A</v>
      </c>
      <c r="S1764" s="45" t="str">
        <f t="shared" si="55"/>
        <v>7791113000478</v>
      </c>
    </row>
    <row r="1765" spans="1:19" hidden="1" x14ac:dyDescent="0.35">
      <c r="A1765" s="22">
        <v>5</v>
      </c>
      <c r="B1765" t="s">
        <v>829</v>
      </c>
      <c r="C1765" t="s">
        <v>802</v>
      </c>
      <c r="D1765" t="s">
        <v>926</v>
      </c>
      <c r="E1765" t="s">
        <v>1255</v>
      </c>
      <c r="F1765">
        <v>4023674</v>
      </c>
      <c r="G1765" t="s">
        <v>1256</v>
      </c>
      <c r="H1765" t="s">
        <v>805</v>
      </c>
      <c r="I1765">
        <v>46922</v>
      </c>
      <c r="J1765">
        <v>0</v>
      </c>
      <c r="K1765">
        <v>0</v>
      </c>
      <c r="L1765">
        <v>0</v>
      </c>
      <c r="M1765">
        <v>-2751</v>
      </c>
      <c r="N1765">
        <v>0</v>
      </c>
      <c r="O1765">
        <v>49673</v>
      </c>
      <c r="P1765" s="44" t="e">
        <f>_xlfn.XLOOKUP(Tabla5[[#This Row],[EAN CORREGIDO]],'Tabla Articulos'!B:B,'Tabla Articulos'!D:D)</f>
        <v>#N/A</v>
      </c>
      <c r="Q1765" s="44" t="e">
        <f>_xlfn.XLOOKUP(S1765,'Tabla Articulos'!B:B,'Tabla Articulos'!E:E)</f>
        <v>#N/A</v>
      </c>
      <c r="R1765" s="44" t="e">
        <f t="shared" si="54"/>
        <v>#N/A</v>
      </c>
      <c r="S1765" s="45" t="str">
        <f t="shared" si="55"/>
        <v>7798016190152</v>
      </c>
    </row>
    <row r="1766" spans="1:19" hidden="1" x14ac:dyDescent="0.35">
      <c r="A1766" s="22">
        <v>1</v>
      </c>
      <c r="B1766" t="s">
        <v>812</v>
      </c>
      <c r="C1766" t="s">
        <v>802</v>
      </c>
      <c r="D1766" t="s">
        <v>926</v>
      </c>
      <c r="E1766" t="s">
        <v>1255</v>
      </c>
      <c r="F1766">
        <v>4023674</v>
      </c>
      <c r="G1766" t="s">
        <v>1256</v>
      </c>
      <c r="H1766" t="s">
        <v>805</v>
      </c>
      <c r="I1766">
        <v>2586</v>
      </c>
      <c r="J1766">
        <v>2329</v>
      </c>
      <c r="K1766">
        <v>0</v>
      </c>
      <c r="L1766">
        <v>0</v>
      </c>
      <c r="M1766">
        <v>0</v>
      </c>
      <c r="N1766">
        <v>0</v>
      </c>
      <c r="O1766">
        <v>4915</v>
      </c>
      <c r="P1766" s="44" t="e">
        <f>_xlfn.XLOOKUP(Tabla5[[#This Row],[EAN CORREGIDO]],'Tabla Articulos'!B:B,'Tabla Articulos'!D:D)</f>
        <v>#N/A</v>
      </c>
      <c r="Q1766" s="44" t="e">
        <f>_xlfn.XLOOKUP(S1766,'Tabla Articulos'!B:B,'Tabla Articulos'!E:E)</f>
        <v>#N/A</v>
      </c>
      <c r="R1766" s="44" t="e">
        <f t="shared" si="54"/>
        <v>#N/A</v>
      </c>
      <c r="S1766" s="45" t="str">
        <f t="shared" si="55"/>
        <v>7798016190152</v>
      </c>
    </row>
    <row r="1767" spans="1:19" hidden="1" x14ac:dyDescent="0.35">
      <c r="A1767" s="22">
        <v>6</v>
      </c>
      <c r="B1767" t="s">
        <v>801</v>
      </c>
      <c r="C1767" t="s">
        <v>802</v>
      </c>
      <c r="D1767"/>
      <c r="E1767" t="s">
        <v>1799</v>
      </c>
      <c r="F1767">
        <v>9003486</v>
      </c>
      <c r="G1767" t="s">
        <v>1800</v>
      </c>
      <c r="H1767" t="s">
        <v>805</v>
      </c>
      <c r="I1767">
        <v>8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8</v>
      </c>
      <c r="P1767" s="44" t="e">
        <f>_xlfn.XLOOKUP(Tabla5[[#This Row],[EAN CORREGIDO]],'Tabla Articulos'!B:B,'Tabla Articulos'!D:D)</f>
        <v>#N/A</v>
      </c>
      <c r="Q1767" s="44" t="e">
        <f>_xlfn.XLOOKUP(S1767,'Tabla Articulos'!B:B,'Tabla Articulos'!E:E)</f>
        <v>#N/A</v>
      </c>
      <c r="R1767" s="44" t="e">
        <f t="shared" si="54"/>
        <v>#N/A</v>
      </c>
      <c r="S1767" s="45" t="str">
        <f t="shared" si="55"/>
        <v>UNIF000218</v>
      </c>
    </row>
    <row r="1768" spans="1:19" hidden="1" x14ac:dyDescent="0.35">
      <c r="A1768" s="22">
        <v>1</v>
      </c>
      <c r="B1768" t="s">
        <v>812</v>
      </c>
      <c r="C1768" t="s">
        <v>802</v>
      </c>
      <c r="D1768" t="s">
        <v>1801</v>
      </c>
      <c r="E1768" t="s">
        <v>1802</v>
      </c>
      <c r="F1768">
        <v>4019889</v>
      </c>
      <c r="G1768" t="s">
        <v>1803</v>
      </c>
      <c r="H1768" t="s">
        <v>805</v>
      </c>
      <c r="I1768">
        <v>12928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12928</v>
      </c>
      <c r="P1768" s="44" t="e">
        <f>_xlfn.XLOOKUP(Tabla5[[#This Row],[EAN CORREGIDO]],'Tabla Articulos'!B:B,'Tabla Articulos'!D:D)</f>
        <v>#N/A</v>
      </c>
      <c r="Q1768" s="44" t="e">
        <f>_xlfn.XLOOKUP(S1768,'Tabla Articulos'!B:B,'Tabla Articulos'!E:E)</f>
        <v>#N/A</v>
      </c>
      <c r="R1768" s="44" t="e">
        <f t="shared" si="54"/>
        <v>#N/A</v>
      </c>
      <c r="S1768" s="45" t="str">
        <f t="shared" si="55"/>
        <v>7790726120269</v>
      </c>
    </row>
    <row r="1769" spans="1:19" hidden="1" x14ac:dyDescent="0.35">
      <c r="A1769" s="22">
        <v>6</v>
      </c>
      <c r="B1769" t="s">
        <v>801</v>
      </c>
      <c r="C1769" t="s">
        <v>802</v>
      </c>
      <c r="D1769" t="s">
        <v>1804</v>
      </c>
      <c r="E1769" t="s">
        <v>1805</v>
      </c>
      <c r="F1769">
        <v>2006336</v>
      </c>
      <c r="G1769" t="s">
        <v>1806</v>
      </c>
      <c r="H1769" t="s">
        <v>805</v>
      </c>
      <c r="I1769">
        <v>228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228</v>
      </c>
      <c r="P1769" s="44" t="e">
        <f>_xlfn.XLOOKUP(Tabla5[[#This Row],[EAN CORREGIDO]],'Tabla Articulos'!B:B,'Tabla Articulos'!D:D)</f>
        <v>#N/A</v>
      </c>
      <c r="Q1769" s="44" t="e">
        <f>_xlfn.XLOOKUP(S1769,'Tabla Articulos'!B:B,'Tabla Articulos'!E:E)</f>
        <v>#N/A</v>
      </c>
      <c r="R1769" s="44" t="e">
        <f t="shared" si="54"/>
        <v>#N/A</v>
      </c>
      <c r="S1769" s="45" t="str">
        <f t="shared" si="55"/>
        <v>7798188650805</v>
      </c>
    </row>
    <row r="1770" spans="1:19" hidden="1" x14ac:dyDescent="0.35">
      <c r="A1770" s="22">
        <v>6</v>
      </c>
      <c r="B1770" t="s">
        <v>801</v>
      </c>
      <c r="C1770" t="s">
        <v>802</v>
      </c>
      <c r="D1770" t="s">
        <v>1807</v>
      </c>
      <c r="E1770" t="s">
        <v>1808</v>
      </c>
      <c r="F1770">
        <v>2006813</v>
      </c>
      <c r="G1770" t="s">
        <v>1809</v>
      </c>
      <c r="H1770" t="s">
        <v>805</v>
      </c>
      <c r="I1770">
        <v>12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12</v>
      </c>
      <c r="P1770" s="44" t="e">
        <f>_xlfn.XLOOKUP(Tabla5[[#This Row],[EAN CORREGIDO]],'Tabla Articulos'!B:B,'Tabla Articulos'!D:D)</f>
        <v>#N/A</v>
      </c>
      <c r="Q1770" s="44" t="e">
        <f>_xlfn.XLOOKUP(S1770,'Tabla Articulos'!B:B,'Tabla Articulos'!E:E)</f>
        <v>#N/A</v>
      </c>
      <c r="R1770" s="44" t="e">
        <f t="shared" si="54"/>
        <v>#N/A</v>
      </c>
      <c r="S1770" s="45" t="str">
        <f t="shared" si="55"/>
        <v>LIM000149</v>
      </c>
    </row>
    <row r="1771" spans="1:19" hidden="1" x14ac:dyDescent="0.35">
      <c r="A1771" s="22">
        <v>6</v>
      </c>
      <c r="B1771" t="s">
        <v>801</v>
      </c>
      <c r="C1771" t="s">
        <v>802</v>
      </c>
      <c r="D1771"/>
      <c r="E1771" t="s">
        <v>1810</v>
      </c>
      <c r="F1771">
        <v>9003249</v>
      </c>
      <c r="G1771" t="s">
        <v>1811</v>
      </c>
      <c r="H1771" t="s">
        <v>805</v>
      </c>
      <c r="I1771">
        <v>111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111</v>
      </c>
      <c r="P1771" s="44" t="e">
        <f>_xlfn.XLOOKUP(Tabla5[[#This Row],[EAN CORREGIDO]],'Tabla Articulos'!B:B,'Tabla Articulos'!D:D)</f>
        <v>#N/A</v>
      </c>
      <c r="Q1771" s="44" t="e">
        <f>_xlfn.XLOOKUP(S1771,'Tabla Articulos'!B:B,'Tabla Articulos'!E:E)</f>
        <v>#N/A</v>
      </c>
      <c r="R1771" s="44" t="e">
        <f t="shared" si="54"/>
        <v>#N/A</v>
      </c>
      <c r="S1771" s="45" t="str">
        <f t="shared" si="55"/>
        <v>UNIF000477</v>
      </c>
    </row>
    <row r="1772" spans="1:19" hidden="1" x14ac:dyDescent="0.35">
      <c r="A1772" s="22">
        <v>6</v>
      </c>
      <c r="B1772" t="s">
        <v>801</v>
      </c>
      <c r="C1772" t="s">
        <v>802</v>
      </c>
      <c r="D1772"/>
      <c r="E1772" t="s">
        <v>4571</v>
      </c>
      <c r="F1772"/>
      <c r="G1772" t="s">
        <v>4572</v>
      </c>
      <c r="H1772" t="s">
        <v>805</v>
      </c>
      <c r="I1772">
        <v>29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29</v>
      </c>
      <c r="P1772" s="44" t="e">
        <f>_xlfn.XLOOKUP(Tabla5[[#This Row],[EAN CORREGIDO]],'Tabla Articulos'!B:B,'Tabla Articulos'!D:D)</f>
        <v>#N/A</v>
      </c>
      <c r="Q1772" s="44" t="e">
        <f>_xlfn.XLOOKUP(S1772,'Tabla Articulos'!B:B,'Tabla Articulos'!E:E)</f>
        <v>#N/A</v>
      </c>
      <c r="R1772" s="44" t="e">
        <f t="shared" si="54"/>
        <v>#N/A</v>
      </c>
      <c r="S1772" s="45" t="str">
        <f t="shared" si="55"/>
        <v>BUSAT000117</v>
      </c>
    </row>
    <row r="1773" spans="1:19" hidden="1" x14ac:dyDescent="0.35">
      <c r="A1773" s="22">
        <v>6</v>
      </c>
      <c r="B1773" t="s">
        <v>801</v>
      </c>
      <c r="C1773" t="s">
        <v>802</v>
      </c>
      <c r="D1773"/>
      <c r="E1773" t="s">
        <v>4573</v>
      </c>
      <c r="F1773"/>
      <c r="G1773" t="s">
        <v>4574</v>
      </c>
      <c r="H1773" t="s">
        <v>805</v>
      </c>
      <c r="I1773">
        <v>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4</v>
      </c>
      <c r="P1773" s="44" t="e">
        <f>_xlfn.XLOOKUP(Tabla5[[#This Row],[EAN CORREGIDO]],'Tabla Articulos'!B:B,'Tabla Articulos'!D:D)</f>
        <v>#N/A</v>
      </c>
      <c r="Q1773" s="44" t="e">
        <f>_xlfn.XLOOKUP(S1773,'Tabla Articulos'!B:B,'Tabla Articulos'!E:E)</f>
        <v>#N/A</v>
      </c>
      <c r="R1773" s="44" t="e">
        <f t="shared" si="54"/>
        <v>#N/A</v>
      </c>
      <c r="S1773" s="45" t="str">
        <f t="shared" si="55"/>
        <v>BUSAT000602</v>
      </c>
    </row>
    <row r="1774" spans="1:19" hidden="1" x14ac:dyDescent="0.35">
      <c r="A1774" s="22">
        <v>6</v>
      </c>
      <c r="B1774" t="s">
        <v>801</v>
      </c>
      <c r="C1774" t="s">
        <v>802</v>
      </c>
      <c r="D1774"/>
      <c r="E1774" t="s">
        <v>4575</v>
      </c>
      <c r="F1774"/>
      <c r="G1774" t="s">
        <v>4576</v>
      </c>
      <c r="H1774" t="s">
        <v>805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 s="44" t="e">
        <f>_xlfn.XLOOKUP(Tabla5[[#This Row],[EAN CORREGIDO]],'Tabla Articulos'!B:B,'Tabla Articulos'!D:D)</f>
        <v>#N/A</v>
      </c>
      <c r="Q1774" s="44" t="e">
        <f>_xlfn.XLOOKUP(S1774,'Tabla Articulos'!B:B,'Tabla Articulos'!E:E)</f>
        <v>#N/A</v>
      </c>
      <c r="R1774" s="44" t="e">
        <f t="shared" si="54"/>
        <v>#N/A</v>
      </c>
      <c r="S1774" s="45" t="str">
        <f t="shared" si="55"/>
        <v>BUSAT000888</v>
      </c>
    </row>
    <row r="1775" spans="1:19" hidden="1" x14ac:dyDescent="0.35">
      <c r="A1775" s="22">
        <v>6</v>
      </c>
      <c r="B1775" t="s">
        <v>801</v>
      </c>
      <c r="C1775" t="s">
        <v>802</v>
      </c>
      <c r="D1775"/>
      <c r="E1775" t="s">
        <v>4577</v>
      </c>
      <c r="F1775"/>
      <c r="G1775" t="s">
        <v>4578</v>
      </c>
      <c r="H1775" t="s">
        <v>805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1</v>
      </c>
      <c r="P1775" s="44" t="e">
        <f>_xlfn.XLOOKUP(Tabla5[[#This Row],[EAN CORREGIDO]],'Tabla Articulos'!B:B,'Tabla Articulos'!D:D)</f>
        <v>#N/A</v>
      </c>
      <c r="Q1775" s="44" t="e">
        <f>_xlfn.XLOOKUP(S1775,'Tabla Articulos'!B:B,'Tabla Articulos'!E:E)</f>
        <v>#N/A</v>
      </c>
      <c r="R1775" s="44" t="e">
        <f t="shared" si="54"/>
        <v>#N/A</v>
      </c>
      <c r="S1775" s="45" t="str">
        <f t="shared" si="55"/>
        <v>BUSAT000172</v>
      </c>
    </row>
    <row r="1776" spans="1:19" hidden="1" x14ac:dyDescent="0.35">
      <c r="A1776" s="22">
        <v>6</v>
      </c>
      <c r="B1776" t="s">
        <v>801</v>
      </c>
      <c r="C1776" t="s">
        <v>802</v>
      </c>
      <c r="D1776"/>
      <c r="E1776" t="s">
        <v>4579</v>
      </c>
      <c r="F1776"/>
      <c r="G1776" t="s">
        <v>4580</v>
      </c>
      <c r="H1776" t="s">
        <v>805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</v>
      </c>
      <c r="P1776" s="44" t="e">
        <f>_xlfn.XLOOKUP(Tabla5[[#This Row],[EAN CORREGIDO]],'Tabla Articulos'!B:B,'Tabla Articulos'!D:D)</f>
        <v>#N/A</v>
      </c>
      <c r="Q1776" s="44" t="e">
        <f>_xlfn.XLOOKUP(S1776,'Tabla Articulos'!B:B,'Tabla Articulos'!E:E)</f>
        <v>#N/A</v>
      </c>
      <c r="R1776" s="44" t="e">
        <f t="shared" si="54"/>
        <v>#N/A</v>
      </c>
      <c r="S1776" s="45" t="str">
        <f t="shared" si="55"/>
        <v>BUSAT000294</v>
      </c>
    </row>
    <row r="1777" spans="1:19" hidden="1" x14ac:dyDescent="0.35">
      <c r="A1777" s="22">
        <v>6</v>
      </c>
      <c r="B1777" t="s">
        <v>801</v>
      </c>
      <c r="C1777" t="s">
        <v>802</v>
      </c>
      <c r="D1777"/>
      <c r="E1777" t="s">
        <v>4581</v>
      </c>
      <c r="F1777"/>
      <c r="G1777" t="s">
        <v>4582</v>
      </c>
      <c r="H1777" t="s">
        <v>805</v>
      </c>
      <c r="I1777">
        <v>8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8</v>
      </c>
      <c r="P1777" s="44" t="e">
        <f>_xlfn.XLOOKUP(Tabla5[[#This Row],[EAN CORREGIDO]],'Tabla Articulos'!B:B,'Tabla Articulos'!D:D)</f>
        <v>#N/A</v>
      </c>
      <c r="Q1777" s="44" t="e">
        <f>_xlfn.XLOOKUP(S1777,'Tabla Articulos'!B:B,'Tabla Articulos'!E:E)</f>
        <v>#N/A</v>
      </c>
      <c r="R1777" s="44" t="e">
        <f t="shared" si="54"/>
        <v>#N/A</v>
      </c>
      <c r="S1777" s="45" t="str">
        <f t="shared" si="55"/>
        <v>BUSAT000389</v>
      </c>
    </row>
    <row r="1778" spans="1:19" hidden="1" x14ac:dyDescent="0.35">
      <c r="A1778" s="22">
        <v>6</v>
      </c>
      <c r="B1778" t="s">
        <v>801</v>
      </c>
      <c r="C1778" t="s">
        <v>802</v>
      </c>
      <c r="D1778"/>
      <c r="E1778" t="s">
        <v>4583</v>
      </c>
      <c r="F1778"/>
      <c r="G1778" t="s">
        <v>4584</v>
      </c>
      <c r="H1778" t="s">
        <v>805</v>
      </c>
      <c r="I1778">
        <v>28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28</v>
      </c>
      <c r="P1778" s="44" t="e">
        <f>_xlfn.XLOOKUP(Tabla5[[#This Row],[EAN CORREGIDO]],'Tabla Articulos'!B:B,'Tabla Articulos'!D:D)</f>
        <v>#N/A</v>
      </c>
      <c r="Q1778" s="44" t="e">
        <f>_xlfn.XLOOKUP(S1778,'Tabla Articulos'!B:B,'Tabla Articulos'!E:E)</f>
        <v>#N/A</v>
      </c>
      <c r="R1778" s="44" t="e">
        <f t="shared" si="54"/>
        <v>#N/A</v>
      </c>
      <c r="S1778" s="45" t="str">
        <f t="shared" si="55"/>
        <v>OBR000115</v>
      </c>
    </row>
    <row r="1779" spans="1:19" hidden="1" x14ac:dyDescent="0.35">
      <c r="A1779" s="22">
        <v>6</v>
      </c>
      <c r="B1779" t="s">
        <v>801</v>
      </c>
      <c r="C1779" t="s">
        <v>802</v>
      </c>
      <c r="D1779"/>
      <c r="E1779" t="s">
        <v>4585</v>
      </c>
      <c r="F1779"/>
      <c r="G1779" t="s">
        <v>4586</v>
      </c>
      <c r="H1779" t="s">
        <v>805</v>
      </c>
      <c r="I1779">
        <v>36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36</v>
      </c>
      <c r="P1779" s="44" t="e">
        <f>_xlfn.XLOOKUP(Tabla5[[#This Row],[EAN CORREGIDO]],'Tabla Articulos'!B:B,'Tabla Articulos'!D:D)</f>
        <v>#N/A</v>
      </c>
      <c r="Q1779" s="44" t="e">
        <f>_xlfn.XLOOKUP(S1779,'Tabla Articulos'!B:B,'Tabla Articulos'!E:E)</f>
        <v>#N/A</v>
      </c>
      <c r="R1779" s="44" t="e">
        <f t="shared" si="54"/>
        <v>#N/A</v>
      </c>
      <c r="S1779" s="45" t="str">
        <f t="shared" si="55"/>
        <v>2004526</v>
      </c>
    </row>
    <row r="1780" spans="1:19" hidden="1" x14ac:dyDescent="0.35">
      <c r="A1780" s="22">
        <v>6</v>
      </c>
      <c r="B1780" t="s">
        <v>801</v>
      </c>
      <c r="C1780" t="s">
        <v>802</v>
      </c>
      <c r="E1780" t="s">
        <v>4587</v>
      </c>
      <c r="F1780"/>
      <c r="G1780" t="s">
        <v>4588</v>
      </c>
      <c r="H1780" t="s">
        <v>805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 s="44" t="e">
        <f>_xlfn.XLOOKUP(Tabla5[[#This Row],[EAN CORREGIDO]],'Tabla Articulos'!B:B,'Tabla Articulos'!D:D)</f>
        <v>#N/A</v>
      </c>
      <c r="Q1780" s="44" t="e">
        <f>_xlfn.XLOOKUP(S1780,'Tabla Articulos'!B:B,'Tabla Articulos'!E:E)</f>
        <v>#N/A</v>
      </c>
      <c r="R1780" s="44" t="e">
        <f t="shared" si="54"/>
        <v>#N/A</v>
      </c>
      <c r="S1780" s="45" t="str">
        <f t="shared" si="55"/>
        <v>F01005C1706024049</v>
      </c>
    </row>
    <row r="1781" spans="1:19" hidden="1" x14ac:dyDescent="0.35">
      <c r="A1781" s="22">
        <v>6</v>
      </c>
      <c r="B1781" t="s">
        <v>801</v>
      </c>
      <c r="C1781" t="s">
        <v>802</v>
      </c>
      <c r="D1781"/>
      <c r="E1781" t="s">
        <v>4589</v>
      </c>
      <c r="F1781"/>
      <c r="G1781" t="s">
        <v>4590</v>
      </c>
      <c r="H1781" t="s">
        <v>805</v>
      </c>
      <c r="I1781">
        <v>6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6</v>
      </c>
      <c r="P1781" s="44" t="e">
        <f>_xlfn.XLOOKUP(Tabla5[[#This Row],[EAN CORREGIDO]],'Tabla Articulos'!B:B,'Tabla Articulos'!D:D)</f>
        <v>#N/A</v>
      </c>
      <c r="Q1781" s="44" t="e">
        <f>_xlfn.XLOOKUP(S1781,'Tabla Articulos'!B:B,'Tabla Articulos'!E:E)</f>
        <v>#N/A</v>
      </c>
      <c r="R1781" s="44" t="e">
        <f t="shared" si="54"/>
        <v>#N/A</v>
      </c>
      <c r="S1781" s="45" t="str">
        <f t="shared" si="55"/>
        <v>BUSAT000123</v>
      </c>
    </row>
    <row r="1782" spans="1:19" hidden="1" x14ac:dyDescent="0.35">
      <c r="A1782" s="22">
        <v>6</v>
      </c>
      <c r="B1782" t="s">
        <v>801</v>
      </c>
      <c r="C1782" t="s">
        <v>802</v>
      </c>
      <c r="D1782"/>
      <c r="E1782" t="s">
        <v>4591</v>
      </c>
      <c r="F1782"/>
      <c r="G1782" t="s">
        <v>4592</v>
      </c>
      <c r="H1782" t="s">
        <v>805</v>
      </c>
      <c r="I1782">
        <v>2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2</v>
      </c>
      <c r="P1782" s="44" t="e">
        <f>_xlfn.XLOOKUP(Tabla5[[#This Row],[EAN CORREGIDO]],'Tabla Articulos'!B:B,'Tabla Articulos'!D:D)</f>
        <v>#N/A</v>
      </c>
      <c r="Q1782" s="44" t="e">
        <f>_xlfn.XLOOKUP(S1782,'Tabla Articulos'!B:B,'Tabla Articulos'!E:E)</f>
        <v>#N/A</v>
      </c>
      <c r="R1782" s="44" t="e">
        <f t="shared" si="54"/>
        <v>#N/A</v>
      </c>
      <c r="S1782" s="45" t="str">
        <f t="shared" si="55"/>
        <v>BUSAT000789</v>
      </c>
    </row>
    <row r="1783" spans="1:19" hidden="1" x14ac:dyDescent="0.35">
      <c r="A1783" s="22">
        <v>6</v>
      </c>
      <c r="B1783" t="s">
        <v>801</v>
      </c>
      <c r="C1783" t="s">
        <v>802</v>
      </c>
      <c r="D1783"/>
      <c r="E1783" t="s">
        <v>4593</v>
      </c>
      <c r="F1783"/>
      <c r="G1783" t="s">
        <v>4594</v>
      </c>
      <c r="H1783" t="s">
        <v>805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</v>
      </c>
      <c r="P1783" s="44" t="e">
        <f>_xlfn.XLOOKUP(Tabla5[[#This Row],[EAN CORREGIDO]],'Tabla Articulos'!B:B,'Tabla Articulos'!D:D)</f>
        <v>#N/A</v>
      </c>
      <c r="Q1783" s="44" t="e">
        <f>_xlfn.XLOOKUP(S1783,'Tabla Articulos'!B:B,'Tabla Articulos'!E:E)</f>
        <v>#N/A</v>
      </c>
      <c r="R1783" s="44" t="e">
        <f t="shared" si="54"/>
        <v>#N/A</v>
      </c>
      <c r="S1783" s="45" t="str">
        <f t="shared" si="55"/>
        <v>BUSAT001101</v>
      </c>
    </row>
    <row r="1784" spans="1:19" hidden="1" x14ac:dyDescent="0.35">
      <c r="A1784" s="22">
        <v>6</v>
      </c>
      <c r="B1784" t="s">
        <v>801</v>
      </c>
      <c r="C1784" t="s">
        <v>802</v>
      </c>
      <c r="E1784" t="s">
        <v>4595</v>
      </c>
      <c r="F1784"/>
      <c r="G1784" t="s">
        <v>4596</v>
      </c>
      <c r="H1784" t="s">
        <v>805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</v>
      </c>
      <c r="P1784" s="44" t="e">
        <f>_xlfn.XLOOKUP(Tabla5[[#This Row],[EAN CORREGIDO]],'Tabla Articulos'!B:B,'Tabla Articulos'!D:D)</f>
        <v>#N/A</v>
      </c>
      <c r="Q1784" s="44" t="e">
        <f>_xlfn.XLOOKUP(S1784,'Tabla Articulos'!B:B,'Tabla Articulos'!E:E)</f>
        <v>#N/A</v>
      </c>
      <c r="R1784" s="44" t="e">
        <f t="shared" si="54"/>
        <v>#N/A</v>
      </c>
      <c r="S1784" s="45" t="str">
        <f t="shared" si="55"/>
        <v>BUSAT000357</v>
      </c>
    </row>
    <row r="1785" spans="1:19" hidden="1" x14ac:dyDescent="0.35">
      <c r="A1785" s="22">
        <v>6</v>
      </c>
      <c r="B1785" t="s">
        <v>801</v>
      </c>
      <c r="C1785" t="s">
        <v>802</v>
      </c>
      <c r="D1785"/>
      <c r="E1785" t="s">
        <v>4597</v>
      </c>
      <c r="F1785"/>
      <c r="G1785" t="s">
        <v>4598</v>
      </c>
      <c r="H1785" t="s">
        <v>805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</v>
      </c>
      <c r="P1785" s="44" t="e">
        <f>_xlfn.XLOOKUP(Tabla5[[#This Row],[EAN CORREGIDO]],'Tabla Articulos'!B:B,'Tabla Articulos'!D:D)</f>
        <v>#N/A</v>
      </c>
      <c r="Q1785" s="44" t="e">
        <f>_xlfn.XLOOKUP(S1785,'Tabla Articulos'!B:B,'Tabla Articulos'!E:E)</f>
        <v>#N/A</v>
      </c>
      <c r="R1785" s="44" t="e">
        <f t="shared" si="54"/>
        <v>#N/A</v>
      </c>
      <c r="S1785" s="45" t="str">
        <f t="shared" si="55"/>
        <v>BUSAT000283</v>
      </c>
    </row>
    <row r="1786" spans="1:19" hidden="1" x14ac:dyDescent="0.35">
      <c r="A1786" s="22">
        <v>6</v>
      </c>
      <c r="B1786" t="s">
        <v>801</v>
      </c>
      <c r="C1786" t="s">
        <v>802</v>
      </c>
      <c r="E1786" t="s">
        <v>4599</v>
      </c>
      <c r="F1786"/>
      <c r="G1786" t="s">
        <v>4600</v>
      </c>
      <c r="H1786" t="s">
        <v>805</v>
      </c>
      <c r="I1786">
        <v>168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168</v>
      </c>
      <c r="P1786" s="44" t="e">
        <f>_xlfn.XLOOKUP(Tabla5[[#This Row],[EAN CORREGIDO]],'Tabla Articulos'!B:B,'Tabla Articulos'!D:D)</f>
        <v>#N/A</v>
      </c>
      <c r="Q1786" s="44" t="e">
        <f>_xlfn.XLOOKUP(S1786,'Tabla Articulos'!B:B,'Tabla Articulos'!E:E)</f>
        <v>#N/A</v>
      </c>
      <c r="R1786" s="44" t="e">
        <f t="shared" si="54"/>
        <v>#N/A</v>
      </c>
      <c r="S1786" s="45" t="str">
        <f t="shared" si="55"/>
        <v>BUSAT000205</v>
      </c>
    </row>
    <row r="1787" spans="1:19" hidden="1" x14ac:dyDescent="0.35">
      <c r="A1787" s="22">
        <v>6</v>
      </c>
      <c r="B1787" t="s">
        <v>801</v>
      </c>
      <c r="C1787" t="s">
        <v>802</v>
      </c>
      <c r="D1787"/>
      <c r="E1787" t="s">
        <v>4601</v>
      </c>
      <c r="F1787"/>
      <c r="G1787" t="s">
        <v>4602</v>
      </c>
      <c r="H1787" t="s">
        <v>805</v>
      </c>
      <c r="I1787">
        <v>68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68</v>
      </c>
      <c r="P1787" s="44" t="e">
        <f>_xlfn.XLOOKUP(Tabla5[[#This Row],[EAN CORREGIDO]],'Tabla Articulos'!B:B,'Tabla Articulos'!D:D)</f>
        <v>#N/A</v>
      </c>
      <c r="Q1787" s="44" t="e">
        <f>_xlfn.XLOOKUP(S1787,'Tabla Articulos'!B:B,'Tabla Articulos'!E:E)</f>
        <v>#N/A</v>
      </c>
      <c r="R1787" s="44" t="e">
        <f t="shared" si="54"/>
        <v>#N/A</v>
      </c>
      <c r="S1787" s="45" t="str">
        <f t="shared" si="55"/>
        <v>BUSAT000893</v>
      </c>
    </row>
    <row r="1788" spans="1:19" hidden="1" x14ac:dyDescent="0.35">
      <c r="A1788" s="22">
        <v>6</v>
      </c>
      <c r="B1788" t="s">
        <v>801</v>
      </c>
      <c r="C1788" t="s">
        <v>802</v>
      </c>
      <c r="D1788"/>
      <c r="E1788" t="s">
        <v>4603</v>
      </c>
      <c r="F1788"/>
      <c r="G1788" t="s">
        <v>4604</v>
      </c>
      <c r="H1788" t="s">
        <v>805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 s="44" t="e">
        <f>_xlfn.XLOOKUP(Tabla5[[#This Row],[EAN CORREGIDO]],'Tabla Articulos'!B:B,'Tabla Articulos'!D:D)</f>
        <v>#N/A</v>
      </c>
      <c r="Q1788" s="44" t="e">
        <f>_xlfn.XLOOKUP(S1788,'Tabla Articulos'!B:B,'Tabla Articulos'!E:E)</f>
        <v>#N/A</v>
      </c>
      <c r="R1788" s="44" t="e">
        <f t="shared" si="54"/>
        <v>#N/A</v>
      </c>
      <c r="S1788" s="45" t="str">
        <f t="shared" si="55"/>
        <v>BUSAT0011007</v>
      </c>
    </row>
    <row r="1789" spans="1:19" hidden="1" x14ac:dyDescent="0.35">
      <c r="A1789" s="22">
        <v>6</v>
      </c>
      <c r="B1789" t="s">
        <v>801</v>
      </c>
      <c r="C1789" t="s">
        <v>802</v>
      </c>
      <c r="D1789"/>
      <c r="E1789" t="s">
        <v>4605</v>
      </c>
      <c r="F1789"/>
      <c r="G1789" t="s">
        <v>4606</v>
      </c>
      <c r="H1789" t="s">
        <v>805</v>
      </c>
      <c r="I1789">
        <v>342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342</v>
      </c>
      <c r="P1789" s="44" t="e">
        <f>_xlfn.XLOOKUP(Tabla5[[#This Row],[EAN CORREGIDO]],'Tabla Articulos'!B:B,'Tabla Articulos'!D:D)</f>
        <v>#N/A</v>
      </c>
      <c r="Q1789" s="44" t="e">
        <f>_xlfn.XLOOKUP(S1789,'Tabla Articulos'!B:B,'Tabla Articulos'!E:E)</f>
        <v>#N/A</v>
      </c>
      <c r="R1789" s="44" t="e">
        <f t="shared" si="54"/>
        <v>#N/A</v>
      </c>
      <c r="S1789" s="45" t="str">
        <f t="shared" si="55"/>
        <v>BUSAT000150</v>
      </c>
    </row>
    <row r="1790" spans="1:19" hidden="1" x14ac:dyDescent="0.35">
      <c r="A1790" s="22">
        <v>6</v>
      </c>
      <c r="B1790" t="s">
        <v>801</v>
      </c>
      <c r="C1790" t="s">
        <v>802</v>
      </c>
      <c r="D1790"/>
      <c r="E1790" t="s">
        <v>4607</v>
      </c>
      <c r="F1790"/>
      <c r="G1790" t="s">
        <v>4608</v>
      </c>
      <c r="H1790" t="s">
        <v>805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 s="44" t="e">
        <f>_xlfn.XLOOKUP(Tabla5[[#This Row],[EAN CORREGIDO]],'Tabla Articulos'!B:B,'Tabla Articulos'!D:D)</f>
        <v>#N/A</v>
      </c>
      <c r="Q1790" s="44" t="e">
        <f>_xlfn.XLOOKUP(S1790,'Tabla Articulos'!B:B,'Tabla Articulos'!E:E)</f>
        <v>#N/A</v>
      </c>
      <c r="R1790" s="44" t="e">
        <f t="shared" si="54"/>
        <v>#N/A</v>
      </c>
      <c r="S1790" s="45" t="str">
        <f t="shared" si="55"/>
        <v>BUSAT000140</v>
      </c>
    </row>
    <row r="1791" spans="1:19" hidden="1" x14ac:dyDescent="0.35">
      <c r="A1791" s="22">
        <v>6</v>
      </c>
      <c r="B1791" t="s">
        <v>801</v>
      </c>
      <c r="C1791" t="s">
        <v>802</v>
      </c>
      <c r="E1791" t="s">
        <v>4609</v>
      </c>
      <c r="G1791" t="s">
        <v>4610</v>
      </c>
      <c r="H1791" t="s">
        <v>805</v>
      </c>
      <c r="I1791">
        <v>2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2</v>
      </c>
      <c r="P1791" s="44" t="e">
        <f>_xlfn.XLOOKUP(Tabla5[[#This Row],[EAN CORREGIDO]],'Tabla Articulos'!B:B,'Tabla Articulos'!D:D)</f>
        <v>#N/A</v>
      </c>
      <c r="Q1791" s="44" t="e">
        <f>_xlfn.XLOOKUP(S1791,'Tabla Articulos'!B:B,'Tabla Articulos'!E:E)</f>
        <v>#N/A</v>
      </c>
      <c r="R1791" s="44" t="e">
        <f t="shared" si="54"/>
        <v>#N/A</v>
      </c>
      <c r="S1791" s="45" t="str">
        <f t="shared" si="55"/>
        <v>BUSAT000060</v>
      </c>
    </row>
    <row r="1792" spans="1:19" hidden="1" x14ac:dyDescent="0.35">
      <c r="A1792" s="22">
        <v>6</v>
      </c>
      <c r="B1792" t="s">
        <v>801</v>
      </c>
      <c r="C1792" t="s">
        <v>802</v>
      </c>
      <c r="E1792" t="s">
        <v>4611</v>
      </c>
      <c r="G1792" t="s">
        <v>4612</v>
      </c>
      <c r="H1792" t="s">
        <v>805</v>
      </c>
      <c r="I1792">
        <v>2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2</v>
      </c>
      <c r="P1792" s="44" t="e">
        <f>_xlfn.XLOOKUP(Tabla5[[#This Row],[EAN CORREGIDO]],'Tabla Articulos'!B:B,'Tabla Articulos'!D:D)</f>
        <v>#N/A</v>
      </c>
      <c r="Q1792" s="44" t="e">
        <f>_xlfn.XLOOKUP(S1792,'Tabla Articulos'!B:B,'Tabla Articulos'!E:E)</f>
        <v>#N/A</v>
      </c>
      <c r="R1792" s="44" t="e">
        <f t="shared" si="54"/>
        <v>#N/A</v>
      </c>
      <c r="S1792" s="45" t="str">
        <f t="shared" si="55"/>
        <v>BUSAT000611</v>
      </c>
    </row>
    <row r="1793" spans="1:19" hidden="1" x14ac:dyDescent="0.35">
      <c r="A1793" s="22">
        <v>6</v>
      </c>
      <c r="B1793" t="s">
        <v>801</v>
      </c>
      <c r="C1793" t="s">
        <v>802</v>
      </c>
      <c r="E1793" t="s">
        <v>4613</v>
      </c>
      <c r="G1793" t="s">
        <v>4614</v>
      </c>
      <c r="H1793" t="s">
        <v>805</v>
      </c>
      <c r="I1793">
        <v>2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2</v>
      </c>
      <c r="P1793" s="44" t="e">
        <f>_xlfn.XLOOKUP(Tabla5[[#This Row],[EAN CORREGIDO]],'Tabla Articulos'!B:B,'Tabla Articulos'!D:D)</f>
        <v>#N/A</v>
      </c>
      <c r="Q1793" s="44" t="e">
        <f>_xlfn.XLOOKUP(S1793,'Tabla Articulos'!B:B,'Tabla Articulos'!E:E)</f>
        <v>#N/A</v>
      </c>
      <c r="R1793" s="44" t="e">
        <f t="shared" ref="R1793:R1856" si="56">O1793*Q1793</f>
        <v>#N/A</v>
      </c>
      <c r="S1793" s="45" t="str">
        <f t="shared" ref="S1793:S1856" si="57">TRIM(E1793)</f>
        <v>BUSAT000609</v>
      </c>
    </row>
    <row r="1794" spans="1:19" hidden="1" x14ac:dyDescent="0.35">
      <c r="A1794" s="22">
        <v>6</v>
      </c>
      <c r="B1794" t="s">
        <v>801</v>
      </c>
      <c r="C1794" t="s">
        <v>802</v>
      </c>
      <c r="E1794" t="s">
        <v>3469</v>
      </c>
      <c r="F1794" s="11">
        <v>9003204</v>
      </c>
      <c r="G1794" t="s">
        <v>3470</v>
      </c>
      <c r="H1794" t="s">
        <v>805</v>
      </c>
      <c r="I1794">
        <v>76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76</v>
      </c>
      <c r="P1794" s="44" t="e">
        <f>_xlfn.XLOOKUP(Tabla5[[#This Row],[EAN CORREGIDO]],'Tabla Articulos'!B:B,'Tabla Articulos'!D:D)</f>
        <v>#N/A</v>
      </c>
      <c r="Q1794" s="44" t="e">
        <f>_xlfn.XLOOKUP(S1794,'Tabla Articulos'!B:B,'Tabla Articulos'!E:E)</f>
        <v>#N/A</v>
      </c>
      <c r="R1794" s="44" t="e">
        <f t="shared" si="56"/>
        <v>#N/A</v>
      </c>
      <c r="S1794" s="45" t="str">
        <f t="shared" si="57"/>
        <v>UNIF000329</v>
      </c>
    </row>
    <row r="1795" spans="1:19" hidden="1" x14ac:dyDescent="0.35">
      <c r="A1795" s="22">
        <v>6</v>
      </c>
      <c r="B1795" t="s">
        <v>801</v>
      </c>
      <c r="C1795" t="s">
        <v>802</v>
      </c>
      <c r="D1795" s="11" t="s">
        <v>1388</v>
      </c>
      <c r="E1795" t="s">
        <v>3471</v>
      </c>
      <c r="F1795" s="11">
        <v>2006412</v>
      </c>
      <c r="G1795" t="s">
        <v>3472</v>
      </c>
      <c r="H1795" t="s">
        <v>805</v>
      </c>
      <c r="I1795">
        <v>5</v>
      </c>
      <c r="J1795">
        <v>300</v>
      </c>
      <c r="K1795">
        <v>0</v>
      </c>
      <c r="L1795">
        <v>0</v>
      </c>
      <c r="M1795">
        <v>0</v>
      </c>
      <c r="N1795">
        <v>0</v>
      </c>
      <c r="O1795">
        <v>305</v>
      </c>
      <c r="P1795" s="44" t="e">
        <f>_xlfn.XLOOKUP(Tabla5[[#This Row],[EAN CORREGIDO]],'Tabla Articulos'!B:B,'Tabla Articulos'!D:D)</f>
        <v>#N/A</v>
      </c>
      <c r="Q1795" s="44" t="e">
        <f>_xlfn.XLOOKUP(S1795,'Tabla Articulos'!B:B,'Tabla Articulos'!E:E)</f>
        <v>#N/A</v>
      </c>
      <c r="R1795" s="44" t="e">
        <f t="shared" si="56"/>
        <v>#N/A</v>
      </c>
      <c r="S1795" s="45" t="str">
        <f t="shared" si="57"/>
        <v>LIM000107</v>
      </c>
    </row>
    <row r="1796" spans="1:19" hidden="1" x14ac:dyDescent="0.35">
      <c r="A1796" s="22">
        <v>6</v>
      </c>
      <c r="B1796" t="s">
        <v>801</v>
      </c>
      <c r="C1796" t="s">
        <v>802</v>
      </c>
      <c r="D1796"/>
      <c r="E1796" t="s">
        <v>2311</v>
      </c>
      <c r="F1796">
        <v>9003693</v>
      </c>
      <c r="G1796" t="s">
        <v>2312</v>
      </c>
      <c r="H1796" t="s">
        <v>805</v>
      </c>
      <c r="I1796">
        <v>1179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1179</v>
      </c>
      <c r="P1796" s="44" t="e">
        <f>_xlfn.XLOOKUP(Tabla5[[#This Row],[EAN CORREGIDO]],'Tabla Articulos'!B:B,'Tabla Articulos'!D:D)</f>
        <v>#N/A</v>
      </c>
      <c r="Q1796" s="44" t="e">
        <f>_xlfn.XLOOKUP(S1796,'Tabla Articulos'!B:B,'Tabla Articulos'!E:E)</f>
        <v>#N/A</v>
      </c>
      <c r="R1796" s="44" t="e">
        <f t="shared" si="56"/>
        <v>#N/A</v>
      </c>
      <c r="S1796" s="45" t="str">
        <f t="shared" si="57"/>
        <v>BAZ001187</v>
      </c>
    </row>
    <row r="1797" spans="1:19" hidden="1" x14ac:dyDescent="0.35">
      <c r="A1797" s="22">
        <v>6</v>
      </c>
      <c r="B1797" t="s">
        <v>801</v>
      </c>
      <c r="C1797" t="s">
        <v>802</v>
      </c>
      <c r="D1797"/>
      <c r="E1797" t="s">
        <v>2313</v>
      </c>
      <c r="F1797">
        <v>9003782</v>
      </c>
      <c r="G1797" t="s">
        <v>2314</v>
      </c>
      <c r="H1797" t="s">
        <v>805</v>
      </c>
      <c r="I1797">
        <v>30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30</v>
      </c>
      <c r="P1797" s="44" t="e">
        <f>_xlfn.XLOOKUP(Tabla5[[#This Row],[EAN CORREGIDO]],'Tabla Articulos'!B:B,'Tabla Articulos'!D:D)</f>
        <v>#N/A</v>
      </c>
      <c r="Q1797" s="44" t="e">
        <f>_xlfn.XLOOKUP(S1797,'Tabla Articulos'!B:B,'Tabla Articulos'!E:E)</f>
        <v>#N/A</v>
      </c>
      <c r="R1797" s="44" t="e">
        <f t="shared" si="56"/>
        <v>#N/A</v>
      </c>
      <c r="S1797" s="45" t="str">
        <f t="shared" si="57"/>
        <v>BAZ001319</v>
      </c>
    </row>
    <row r="1798" spans="1:19" hidden="1" x14ac:dyDescent="0.35">
      <c r="A1798" s="22">
        <v>6</v>
      </c>
      <c r="B1798" t="s">
        <v>801</v>
      </c>
      <c r="C1798" t="s">
        <v>802</v>
      </c>
      <c r="D1798" s="11" t="s">
        <v>1714</v>
      </c>
      <c r="E1798" t="s">
        <v>2315</v>
      </c>
      <c r="F1798">
        <v>2006528</v>
      </c>
      <c r="G1798" t="s">
        <v>2316</v>
      </c>
      <c r="H1798" t="s">
        <v>805</v>
      </c>
      <c r="I1798">
        <v>36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36</v>
      </c>
      <c r="P1798" s="44" t="e">
        <f>_xlfn.XLOOKUP(Tabla5[[#This Row],[EAN CORREGIDO]],'Tabla Articulos'!B:B,'Tabla Articulos'!D:D)</f>
        <v>#N/A</v>
      </c>
      <c r="Q1798" s="44" t="e">
        <f>_xlfn.XLOOKUP(S1798,'Tabla Articulos'!B:B,'Tabla Articulos'!E:E)</f>
        <v>#N/A</v>
      </c>
      <c r="R1798" s="44" t="e">
        <f t="shared" si="56"/>
        <v>#N/A</v>
      </c>
      <c r="S1798" s="45" t="str">
        <f t="shared" si="57"/>
        <v>7798188650348</v>
      </c>
    </row>
    <row r="1799" spans="1:19" hidden="1" x14ac:dyDescent="0.35">
      <c r="A1799" s="22">
        <v>6</v>
      </c>
      <c r="B1799" t="s">
        <v>801</v>
      </c>
      <c r="C1799" t="s">
        <v>802</v>
      </c>
      <c r="E1799" t="s">
        <v>2317</v>
      </c>
      <c r="F1799">
        <v>9003820</v>
      </c>
      <c r="G1799" t="s">
        <v>2318</v>
      </c>
      <c r="H1799" t="s">
        <v>805</v>
      </c>
      <c r="I1799">
        <v>29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29</v>
      </c>
      <c r="P1799" s="44" t="e">
        <f>_xlfn.XLOOKUP(Tabla5[[#This Row],[EAN CORREGIDO]],'Tabla Articulos'!B:B,'Tabla Articulos'!D:D)</f>
        <v>#N/A</v>
      </c>
      <c r="Q1799" s="44" t="e">
        <f>_xlfn.XLOOKUP(S1799,'Tabla Articulos'!B:B,'Tabla Articulos'!E:E)</f>
        <v>#N/A</v>
      </c>
      <c r="R1799" s="44" t="e">
        <f t="shared" si="56"/>
        <v>#N/A</v>
      </c>
      <c r="S1799" s="45" t="str">
        <f t="shared" si="57"/>
        <v>BAZ001305</v>
      </c>
    </row>
    <row r="1800" spans="1:19" hidden="1" x14ac:dyDescent="0.35">
      <c r="A1800" s="22">
        <v>1</v>
      </c>
      <c r="B1800" t="s">
        <v>812</v>
      </c>
      <c r="C1800" t="s">
        <v>802</v>
      </c>
      <c r="D1800" s="11" t="s">
        <v>1266</v>
      </c>
      <c r="E1800" t="s">
        <v>2319</v>
      </c>
      <c r="F1800">
        <v>4017679</v>
      </c>
      <c r="G1800" t="s">
        <v>2320</v>
      </c>
      <c r="H1800" t="s">
        <v>816</v>
      </c>
      <c r="I1800">
        <v>12.67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12.67</v>
      </c>
      <c r="P1800" s="44" t="e">
        <f>_xlfn.XLOOKUP(Tabla5[[#This Row],[EAN CORREGIDO]],'Tabla Articulos'!B:B,'Tabla Articulos'!D:D)</f>
        <v>#N/A</v>
      </c>
      <c r="Q1800" s="44" t="e">
        <f>_xlfn.XLOOKUP(S1800,'Tabla Articulos'!B:B,'Tabla Articulos'!E:E)</f>
        <v>#N/A</v>
      </c>
      <c r="R1800" s="44" t="e">
        <f t="shared" si="56"/>
        <v>#N/A</v>
      </c>
      <c r="S1800" s="45" t="str">
        <f t="shared" si="57"/>
        <v>790212030074</v>
      </c>
    </row>
    <row r="1801" spans="1:19" hidden="1" x14ac:dyDescent="0.35">
      <c r="A1801" s="22">
        <v>6</v>
      </c>
      <c r="B1801" t="s">
        <v>801</v>
      </c>
      <c r="C1801" t="s">
        <v>802</v>
      </c>
      <c r="E1801" t="s">
        <v>2321</v>
      </c>
      <c r="F1801">
        <v>9003479</v>
      </c>
      <c r="G1801" t="s">
        <v>2322</v>
      </c>
      <c r="H1801" t="s">
        <v>805</v>
      </c>
      <c r="I1801">
        <v>4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4</v>
      </c>
      <c r="P1801" s="44" t="e">
        <f>_xlfn.XLOOKUP(Tabla5[[#This Row],[EAN CORREGIDO]],'Tabla Articulos'!B:B,'Tabla Articulos'!D:D)</f>
        <v>#N/A</v>
      </c>
      <c r="Q1801" s="44" t="e">
        <f>_xlfn.XLOOKUP(S1801,'Tabla Articulos'!B:B,'Tabla Articulos'!E:E)</f>
        <v>#N/A</v>
      </c>
      <c r="R1801" s="44" t="e">
        <f t="shared" si="56"/>
        <v>#N/A</v>
      </c>
      <c r="S1801" s="45" t="str">
        <f t="shared" si="57"/>
        <v>UNIF000211</v>
      </c>
    </row>
    <row r="1802" spans="1:19" hidden="1" x14ac:dyDescent="0.35">
      <c r="A1802" s="22">
        <v>6</v>
      </c>
      <c r="B1802" t="s">
        <v>801</v>
      </c>
      <c r="C1802" t="s">
        <v>802</v>
      </c>
      <c r="E1802" t="s">
        <v>2323</v>
      </c>
      <c r="F1802" s="11">
        <v>2006993</v>
      </c>
      <c r="G1802" t="s">
        <v>2324</v>
      </c>
      <c r="H1802" t="s">
        <v>805</v>
      </c>
      <c r="I1802">
        <v>111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111</v>
      </c>
      <c r="P1802" s="44" t="e">
        <f>_xlfn.XLOOKUP(Tabla5[[#This Row],[EAN CORREGIDO]],'Tabla Articulos'!B:B,'Tabla Articulos'!D:D)</f>
        <v>#N/A</v>
      </c>
      <c r="Q1802" s="44" t="e">
        <f>_xlfn.XLOOKUP(S1802,'Tabla Articulos'!B:B,'Tabla Articulos'!E:E)</f>
        <v>#N/A</v>
      </c>
      <c r="R1802" s="44" t="e">
        <f t="shared" si="56"/>
        <v>#N/A</v>
      </c>
      <c r="S1802" s="45" t="str">
        <f t="shared" si="57"/>
        <v>2006993</v>
      </c>
    </row>
    <row r="1803" spans="1:19" hidden="1" x14ac:dyDescent="0.35">
      <c r="A1803" s="22">
        <v>5</v>
      </c>
      <c r="B1803" t="s">
        <v>829</v>
      </c>
      <c r="C1803" t="s">
        <v>802</v>
      </c>
      <c r="D1803" s="11" t="s">
        <v>3313</v>
      </c>
      <c r="E1803" t="s">
        <v>3463</v>
      </c>
      <c r="F1803" s="11">
        <v>4020279</v>
      </c>
      <c r="G1803" t="s">
        <v>3464</v>
      </c>
      <c r="H1803" t="s">
        <v>1534</v>
      </c>
      <c r="I1803">
        <v>45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45</v>
      </c>
      <c r="P1803" s="44" t="e">
        <f>_xlfn.XLOOKUP(Tabla5[[#This Row],[EAN CORREGIDO]],'Tabla Articulos'!B:B,'Tabla Articulos'!D:D)</f>
        <v>#N/A</v>
      </c>
      <c r="Q1803" s="44" t="e">
        <f>_xlfn.XLOOKUP(S1803,'Tabla Articulos'!B:B,'Tabla Articulos'!E:E)</f>
        <v>#N/A</v>
      </c>
      <c r="R1803" s="44" t="e">
        <f t="shared" si="56"/>
        <v>#N/A</v>
      </c>
      <c r="S1803" s="45" t="str">
        <f t="shared" si="57"/>
        <v>7798011976614</v>
      </c>
    </row>
    <row r="1804" spans="1:19" hidden="1" x14ac:dyDescent="0.35">
      <c r="A1804" s="22">
        <v>6</v>
      </c>
      <c r="B1804" t="s">
        <v>801</v>
      </c>
      <c r="C1804" t="s">
        <v>802</v>
      </c>
      <c r="E1804" t="s">
        <v>3465</v>
      </c>
      <c r="F1804" s="11">
        <v>9003489</v>
      </c>
      <c r="G1804" t="s">
        <v>3466</v>
      </c>
      <c r="H1804" t="s">
        <v>805</v>
      </c>
      <c r="I1804">
        <v>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8</v>
      </c>
      <c r="P1804" s="44" t="e">
        <f>_xlfn.XLOOKUP(Tabla5[[#This Row],[EAN CORREGIDO]],'Tabla Articulos'!B:B,'Tabla Articulos'!D:D)</f>
        <v>#N/A</v>
      </c>
      <c r="Q1804" s="44" t="e">
        <f>_xlfn.XLOOKUP(S1804,'Tabla Articulos'!B:B,'Tabla Articulos'!E:E)</f>
        <v>#N/A</v>
      </c>
      <c r="R1804" s="44" t="e">
        <f t="shared" si="56"/>
        <v>#N/A</v>
      </c>
      <c r="S1804" s="45" t="str">
        <f t="shared" si="57"/>
        <v>UNIF000221</v>
      </c>
    </row>
    <row r="1805" spans="1:19" hidden="1" x14ac:dyDescent="0.35">
      <c r="A1805" s="22">
        <v>1</v>
      </c>
      <c r="B1805" t="s">
        <v>812</v>
      </c>
      <c r="C1805" t="s">
        <v>802</v>
      </c>
      <c r="D1805" s="11" t="s">
        <v>1271</v>
      </c>
      <c r="E1805" t="s">
        <v>3467</v>
      </c>
      <c r="F1805" s="11">
        <v>4020342</v>
      </c>
      <c r="G1805" t="s">
        <v>3468</v>
      </c>
      <c r="H1805" t="s">
        <v>805</v>
      </c>
      <c r="I1805">
        <v>11989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11989</v>
      </c>
      <c r="P1805" s="44" t="e">
        <f>_xlfn.XLOOKUP(Tabla5[[#This Row],[EAN CORREGIDO]],'Tabla Articulos'!B:B,'Tabla Articulos'!D:D)</f>
        <v>#N/A</v>
      </c>
      <c r="Q1805" s="44" t="e">
        <f>_xlfn.XLOOKUP(S1805,'Tabla Articulos'!B:B,'Tabla Articulos'!E:E)</f>
        <v>#N/A</v>
      </c>
      <c r="R1805" s="44" t="e">
        <f t="shared" si="56"/>
        <v>#N/A</v>
      </c>
      <c r="S1805" s="45" t="str">
        <f t="shared" si="57"/>
        <v>7797470199343</v>
      </c>
    </row>
    <row r="1806" spans="1:19" hidden="1" x14ac:dyDescent="0.35">
      <c r="A1806" s="22">
        <v>6</v>
      </c>
      <c r="B1806" t="s">
        <v>801</v>
      </c>
      <c r="C1806" t="s">
        <v>802</v>
      </c>
      <c r="E1806" t="s">
        <v>2715</v>
      </c>
      <c r="F1806" s="11">
        <v>9003139</v>
      </c>
      <c r="G1806" t="s">
        <v>962</v>
      </c>
      <c r="H1806" t="s">
        <v>805</v>
      </c>
      <c r="I1806">
        <v>35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35</v>
      </c>
      <c r="P1806" s="44" t="e">
        <f>_xlfn.XLOOKUP(Tabla5[[#This Row],[EAN CORREGIDO]],'Tabla Articulos'!B:B,'Tabla Articulos'!D:D)</f>
        <v>#N/A</v>
      </c>
      <c r="Q1806" s="44" t="e">
        <f>_xlfn.XLOOKUP(S1806,'Tabla Articulos'!B:B,'Tabla Articulos'!E:E)</f>
        <v>#N/A</v>
      </c>
      <c r="R1806" s="44" t="e">
        <f t="shared" si="56"/>
        <v>#N/A</v>
      </c>
      <c r="S1806" s="45" t="str">
        <f t="shared" si="57"/>
        <v>UNIF000601</v>
      </c>
    </row>
    <row r="1807" spans="1:19" hidden="1" x14ac:dyDescent="0.35">
      <c r="A1807" s="22">
        <v>6</v>
      </c>
      <c r="B1807" t="s">
        <v>801</v>
      </c>
      <c r="C1807" t="s">
        <v>802</v>
      </c>
      <c r="E1807" t="s">
        <v>2716</v>
      </c>
      <c r="F1807" s="11">
        <v>9003180</v>
      </c>
      <c r="G1807" t="s">
        <v>2717</v>
      </c>
      <c r="H1807" t="s">
        <v>805</v>
      </c>
      <c r="I1807">
        <v>56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56</v>
      </c>
      <c r="P1807" s="44" t="e">
        <f>_xlfn.XLOOKUP(Tabla5[[#This Row],[EAN CORREGIDO]],'Tabla Articulos'!B:B,'Tabla Articulos'!D:D)</f>
        <v>#N/A</v>
      </c>
      <c r="Q1807" s="44" t="e">
        <f>_xlfn.XLOOKUP(S1807,'Tabla Articulos'!B:B,'Tabla Articulos'!E:E)</f>
        <v>#N/A</v>
      </c>
      <c r="R1807" s="44" t="e">
        <f t="shared" si="56"/>
        <v>#N/A</v>
      </c>
      <c r="S1807" s="45" t="str">
        <f t="shared" si="57"/>
        <v>UNIF000305</v>
      </c>
    </row>
    <row r="1808" spans="1:19" hidden="1" x14ac:dyDescent="0.35">
      <c r="A1808" s="22">
        <v>6</v>
      </c>
      <c r="B1808" t="s">
        <v>801</v>
      </c>
      <c r="C1808" t="s">
        <v>802</v>
      </c>
      <c r="E1808" t="s">
        <v>2718</v>
      </c>
      <c r="F1808" s="11">
        <v>9003228</v>
      </c>
      <c r="G1808" t="s">
        <v>2719</v>
      </c>
      <c r="H1808" t="s">
        <v>805</v>
      </c>
      <c r="I1808">
        <v>159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159</v>
      </c>
      <c r="P1808" s="44" t="e">
        <f>_xlfn.XLOOKUP(Tabla5[[#This Row],[EAN CORREGIDO]],'Tabla Articulos'!B:B,'Tabla Articulos'!D:D)</f>
        <v>#N/A</v>
      </c>
      <c r="Q1808" s="44" t="e">
        <f>_xlfn.XLOOKUP(S1808,'Tabla Articulos'!B:B,'Tabla Articulos'!E:E)</f>
        <v>#N/A</v>
      </c>
      <c r="R1808" s="44" t="e">
        <f t="shared" si="56"/>
        <v>#N/A</v>
      </c>
      <c r="S1808" s="45" t="str">
        <f t="shared" si="57"/>
        <v>UNIF000241</v>
      </c>
    </row>
    <row r="1809" spans="1:19" hidden="1" x14ac:dyDescent="0.35">
      <c r="A1809" s="22">
        <v>6</v>
      </c>
      <c r="B1809" t="s">
        <v>801</v>
      </c>
      <c r="C1809" t="s">
        <v>802</v>
      </c>
      <c r="E1809" t="s">
        <v>2720</v>
      </c>
      <c r="F1809" s="11">
        <v>9003866</v>
      </c>
      <c r="G1809" t="s">
        <v>2721</v>
      </c>
      <c r="H1809" t="s">
        <v>805</v>
      </c>
      <c r="I1809">
        <v>1458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1458</v>
      </c>
      <c r="P1809" s="44" t="e">
        <f>_xlfn.XLOOKUP(Tabla5[[#This Row],[EAN CORREGIDO]],'Tabla Articulos'!B:B,'Tabla Articulos'!D:D)</f>
        <v>#N/A</v>
      </c>
      <c r="Q1809" s="44" t="e">
        <f>_xlfn.XLOOKUP(S1809,'Tabla Articulos'!B:B,'Tabla Articulos'!E:E)</f>
        <v>#N/A</v>
      </c>
      <c r="R1809" s="44" t="e">
        <f t="shared" si="56"/>
        <v>#N/A</v>
      </c>
      <c r="S1809" s="45" t="str">
        <f t="shared" si="57"/>
        <v>BAZ001276</v>
      </c>
    </row>
    <row r="1810" spans="1:19" hidden="1" x14ac:dyDescent="0.35">
      <c r="A1810" s="22">
        <v>1</v>
      </c>
      <c r="B1810" t="s">
        <v>812</v>
      </c>
      <c r="C1810" t="s">
        <v>802</v>
      </c>
      <c r="D1810" s="11" t="s">
        <v>2722</v>
      </c>
      <c r="E1810" t="s">
        <v>2723</v>
      </c>
      <c r="F1810" s="11">
        <v>4017343</v>
      </c>
      <c r="G1810" t="s">
        <v>2724</v>
      </c>
      <c r="H1810" t="s">
        <v>805</v>
      </c>
      <c r="I1810">
        <v>109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109</v>
      </c>
      <c r="P1810" s="44" t="e">
        <f>_xlfn.XLOOKUP(Tabla5[[#This Row],[EAN CORREGIDO]],'Tabla Articulos'!B:B,'Tabla Articulos'!D:D)</f>
        <v>#N/A</v>
      </c>
      <c r="Q1810" s="44" t="e">
        <f>_xlfn.XLOOKUP(S1810,'Tabla Articulos'!B:B,'Tabla Articulos'!E:E)</f>
        <v>#N/A</v>
      </c>
      <c r="R1810" s="44" t="e">
        <f t="shared" si="56"/>
        <v>#N/A</v>
      </c>
      <c r="S1810" s="45" t="str">
        <f t="shared" si="57"/>
        <v>7790895000720</v>
      </c>
    </row>
    <row r="1811" spans="1:19" hidden="1" x14ac:dyDescent="0.35">
      <c r="A1811" s="22">
        <v>1</v>
      </c>
      <c r="B1811" t="s">
        <v>812</v>
      </c>
      <c r="C1811" t="s">
        <v>802</v>
      </c>
      <c r="D1811" s="11" t="s">
        <v>2146</v>
      </c>
      <c r="E1811" t="s">
        <v>2147</v>
      </c>
      <c r="F1811" s="11">
        <v>4024236</v>
      </c>
      <c r="G1811" t="s">
        <v>2148</v>
      </c>
      <c r="H1811" t="s">
        <v>805</v>
      </c>
      <c r="I1811">
        <v>10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10</v>
      </c>
      <c r="P1811" s="44" t="e">
        <f>_xlfn.XLOOKUP(Tabla5[[#This Row],[EAN CORREGIDO]],'Tabla Articulos'!B:B,'Tabla Articulos'!D:D)</f>
        <v>#N/A</v>
      </c>
      <c r="Q1811" s="44" t="e">
        <f>_xlfn.XLOOKUP(S1811,'Tabla Articulos'!B:B,'Tabla Articulos'!E:E)</f>
        <v>#N/A</v>
      </c>
      <c r="R1811" s="44" t="e">
        <f t="shared" si="56"/>
        <v>#N/A</v>
      </c>
      <c r="S1811" s="45" t="str">
        <f t="shared" si="57"/>
        <v>0724751080400</v>
      </c>
    </row>
    <row r="1812" spans="1:19" hidden="1" x14ac:dyDescent="0.35">
      <c r="A1812" s="22">
        <v>1</v>
      </c>
      <c r="B1812" t="s">
        <v>812</v>
      </c>
      <c r="C1812" t="s">
        <v>802</v>
      </c>
      <c r="D1812" s="11" t="s">
        <v>2149</v>
      </c>
      <c r="E1812" t="s">
        <v>2150</v>
      </c>
      <c r="F1812" s="11">
        <v>4024246</v>
      </c>
      <c r="G1812" t="s">
        <v>2151</v>
      </c>
      <c r="H1812" t="s">
        <v>805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</v>
      </c>
      <c r="P1812" s="44" t="e">
        <f>_xlfn.XLOOKUP(Tabla5[[#This Row],[EAN CORREGIDO]],'Tabla Articulos'!B:B,'Tabla Articulos'!D:D)</f>
        <v>#N/A</v>
      </c>
      <c r="Q1812" s="44" t="e">
        <f>_xlfn.XLOOKUP(S1812,'Tabla Articulos'!B:B,'Tabla Articulos'!E:E)</f>
        <v>#N/A</v>
      </c>
      <c r="R1812" s="44" t="e">
        <f t="shared" si="56"/>
        <v>#N/A</v>
      </c>
      <c r="S1812" s="45" t="str">
        <f t="shared" si="57"/>
        <v>7790495005996</v>
      </c>
    </row>
    <row r="1813" spans="1:19" hidden="1" x14ac:dyDescent="0.35">
      <c r="A1813" s="22">
        <v>6</v>
      </c>
      <c r="B1813" t="s">
        <v>801</v>
      </c>
      <c r="C1813" t="s">
        <v>802</v>
      </c>
      <c r="E1813" t="s">
        <v>2152</v>
      </c>
      <c r="F1813" s="11">
        <v>9003207</v>
      </c>
      <c r="G1813" t="s">
        <v>2153</v>
      </c>
      <c r="H1813" t="s">
        <v>805</v>
      </c>
      <c r="I1813">
        <v>74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74</v>
      </c>
      <c r="P1813" s="44" t="e">
        <f>_xlfn.XLOOKUP(Tabla5[[#This Row],[EAN CORREGIDO]],'Tabla Articulos'!B:B,'Tabla Articulos'!D:D)</f>
        <v>#N/A</v>
      </c>
      <c r="Q1813" s="44" t="e">
        <f>_xlfn.XLOOKUP(S1813,'Tabla Articulos'!B:B,'Tabla Articulos'!E:E)</f>
        <v>#N/A</v>
      </c>
      <c r="R1813" s="44" t="e">
        <f t="shared" si="56"/>
        <v>#N/A</v>
      </c>
      <c r="S1813" s="45" t="str">
        <f t="shared" si="57"/>
        <v>UNIF000363</v>
      </c>
    </row>
    <row r="1814" spans="1:19" hidden="1" x14ac:dyDescent="0.35">
      <c r="A1814" s="22">
        <v>6</v>
      </c>
      <c r="B1814" t="s">
        <v>801</v>
      </c>
      <c r="C1814" t="s">
        <v>802</v>
      </c>
      <c r="E1814" t="s">
        <v>2154</v>
      </c>
      <c r="F1814" s="11">
        <v>9003755</v>
      </c>
      <c r="G1814" t="s">
        <v>2155</v>
      </c>
      <c r="H1814" t="s">
        <v>805</v>
      </c>
      <c r="I1814">
        <v>632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632</v>
      </c>
      <c r="P1814" s="44" t="e">
        <f>_xlfn.XLOOKUP(Tabla5[[#This Row],[EAN CORREGIDO]],'Tabla Articulos'!B:B,'Tabla Articulos'!D:D)</f>
        <v>#N/A</v>
      </c>
      <c r="Q1814" s="44" t="e">
        <f>_xlfn.XLOOKUP(S1814,'Tabla Articulos'!B:B,'Tabla Articulos'!E:E)</f>
        <v>#N/A</v>
      </c>
      <c r="R1814" s="44" t="e">
        <f t="shared" si="56"/>
        <v>#N/A</v>
      </c>
      <c r="S1814" s="45" t="str">
        <f t="shared" si="57"/>
        <v>BAZ001231</v>
      </c>
    </row>
    <row r="1815" spans="1:19" hidden="1" x14ac:dyDescent="0.35">
      <c r="A1815" s="22">
        <v>1</v>
      </c>
      <c r="B1815" t="s">
        <v>812</v>
      </c>
      <c r="C1815" t="s">
        <v>802</v>
      </c>
      <c r="D1815" s="11" t="s">
        <v>1192</v>
      </c>
      <c r="E1815" t="s">
        <v>3716</v>
      </c>
      <c r="F1815" s="11">
        <v>4023047</v>
      </c>
      <c r="G1815" t="s">
        <v>3717</v>
      </c>
      <c r="H1815" t="s">
        <v>805</v>
      </c>
      <c r="I1815">
        <v>14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14</v>
      </c>
      <c r="P1815" s="44" t="e">
        <f>_xlfn.XLOOKUP(Tabla5[[#This Row],[EAN CORREGIDO]],'Tabla Articulos'!B:B,'Tabla Articulos'!D:D)</f>
        <v>#N/A</v>
      </c>
      <c r="Q1815" s="44" t="e">
        <f>_xlfn.XLOOKUP(S1815,'Tabla Articulos'!B:B,'Tabla Articulos'!E:E)</f>
        <v>#N/A</v>
      </c>
      <c r="R1815" s="44" t="e">
        <f t="shared" si="56"/>
        <v>#N/A</v>
      </c>
      <c r="S1815" s="45" t="str">
        <f t="shared" si="57"/>
        <v>7798151692504</v>
      </c>
    </row>
    <row r="1816" spans="1:19" hidden="1" x14ac:dyDescent="0.35">
      <c r="A1816" s="22">
        <v>5</v>
      </c>
      <c r="B1816" t="s">
        <v>829</v>
      </c>
      <c r="C1816" t="s">
        <v>802</v>
      </c>
      <c r="D1816" s="11" t="s">
        <v>3718</v>
      </c>
      <c r="E1816" t="s">
        <v>3719</v>
      </c>
      <c r="F1816" s="11">
        <v>4018077</v>
      </c>
      <c r="G1816" t="s">
        <v>3720</v>
      </c>
      <c r="H1816" t="s">
        <v>816</v>
      </c>
      <c r="I1816">
        <v>1.56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1.56</v>
      </c>
      <c r="P1816" s="44" t="e">
        <f>_xlfn.XLOOKUP(Tabla5[[#This Row],[EAN CORREGIDO]],'Tabla Articulos'!B:B,'Tabla Articulos'!D:D)</f>
        <v>#N/A</v>
      </c>
      <c r="Q1816" s="44" t="e">
        <f>_xlfn.XLOOKUP(S1816,'Tabla Articulos'!B:B,'Tabla Articulos'!E:E)</f>
        <v>#N/A</v>
      </c>
      <c r="R1816" s="44" t="e">
        <f t="shared" si="56"/>
        <v>#N/A</v>
      </c>
      <c r="S1816" s="45" t="str">
        <f t="shared" si="57"/>
        <v>7790216020094</v>
      </c>
    </row>
    <row r="1817" spans="1:19" hidden="1" x14ac:dyDescent="0.35">
      <c r="A1817" s="22">
        <v>6</v>
      </c>
      <c r="B1817" t="s">
        <v>801</v>
      </c>
      <c r="C1817" t="s">
        <v>802</v>
      </c>
      <c r="E1817" t="s">
        <v>3721</v>
      </c>
      <c r="F1817" s="11">
        <v>2006300</v>
      </c>
      <c r="G1817" t="s">
        <v>3722</v>
      </c>
      <c r="H1817" t="s">
        <v>805</v>
      </c>
      <c r="I1817">
        <v>252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252</v>
      </c>
      <c r="P1817" s="44" t="e">
        <f>_xlfn.XLOOKUP(Tabla5[[#This Row],[EAN CORREGIDO]],'Tabla Articulos'!B:B,'Tabla Articulos'!D:D)</f>
        <v>#N/A</v>
      </c>
      <c r="Q1817" s="44" t="e">
        <f>_xlfn.XLOOKUP(S1817,'Tabla Articulos'!B:B,'Tabla Articulos'!E:E)</f>
        <v>#N/A</v>
      </c>
      <c r="R1817" s="44" t="e">
        <f t="shared" si="56"/>
        <v>#N/A</v>
      </c>
      <c r="S1817" s="45" t="str">
        <f t="shared" si="57"/>
        <v>LIM000464</v>
      </c>
    </row>
    <row r="1818" spans="1:19" hidden="1" x14ac:dyDescent="0.35">
      <c r="A1818" s="22">
        <v>1</v>
      </c>
      <c r="B1818" t="s">
        <v>812</v>
      </c>
      <c r="C1818" t="s">
        <v>802</v>
      </c>
      <c r="D1818" s="11" t="s">
        <v>3723</v>
      </c>
      <c r="E1818" t="s">
        <v>3724</v>
      </c>
      <c r="F1818" s="11">
        <v>4023174</v>
      </c>
      <c r="G1818" t="s">
        <v>3725</v>
      </c>
      <c r="H1818" t="s">
        <v>805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4</v>
      </c>
      <c r="P1818" s="44" t="e">
        <f>_xlfn.XLOOKUP(Tabla5[[#This Row],[EAN CORREGIDO]],'Tabla Articulos'!B:B,'Tabla Articulos'!D:D)</f>
        <v>#N/A</v>
      </c>
      <c r="Q1818" s="44" t="e">
        <f>_xlfn.XLOOKUP(S1818,'Tabla Articulos'!B:B,'Tabla Articulos'!E:E)</f>
        <v>#N/A</v>
      </c>
      <c r="R1818" s="44" t="e">
        <f t="shared" si="56"/>
        <v>#N/A</v>
      </c>
      <c r="S1818" s="45" t="str">
        <f t="shared" si="57"/>
        <v>7791113007194</v>
      </c>
    </row>
    <row r="1819" spans="1:19" hidden="1" x14ac:dyDescent="0.35">
      <c r="A1819" s="22">
        <v>1</v>
      </c>
      <c r="B1819" t="s">
        <v>812</v>
      </c>
      <c r="C1819" t="s">
        <v>802</v>
      </c>
      <c r="D1819" s="11" t="s">
        <v>3726</v>
      </c>
      <c r="E1819" t="s">
        <v>3727</v>
      </c>
      <c r="F1819" s="11">
        <v>4022175</v>
      </c>
      <c r="G1819" t="s">
        <v>3728</v>
      </c>
      <c r="H1819" t="s">
        <v>805</v>
      </c>
      <c r="I1819">
        <v>2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2</v>
      </c>
      <c r="P1819" s="44" t="e">
        <f>_xlfn.XLOOKUP(Tabla5[[#This Row],[EAN CORREGIDO]],'Tabla Articulos'!B:B,'Tabla Articulos'!D:D)</f>
        <v>#N/A</v>
      </c>
      <c r="Q1819" s="44" t="e">
        <f>_xlfn.XLOOKUP(S1819,'Tabla Articulos'!B:B,'Tabla Articulos'!E:E)</f>
        <v>#N/A</v>
      </c>
      <c r="R1819" s="44" t="e">
        <f t="shared" si="56"/>
        <v>#N/A</v>
      </c>
      <c r="S1819" s="45" t="str">
        <f t="shared" si="57"/>
        <v>7798011977376</v>
      </c>
    </row>
    <row r="1820" spans="1:19" hidden="1" x14ac:dyDescent="0.35">
      <c r="A1820" s="22">
        <v>6</v>
      </c>
      <c r="B1820" t="s">
        <v>801</v>
      </c>
      <c r="C1820" t="s">
        <v>802</v>
      </c>
      <c r="E1820" t="s">
        <v>1613</v>
      </c>
      <c r="F1820" s="11">
        <v>2006816</v>
      </c>
      <c r="G1820" t="s">
        <v>1614</v>
      </c>
      <c r="H1820" t="s">
        <v>805</v>
      </c>
      <c r="I1820">
        <v>43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43</v>
      </c>
      <c r="P1820" s="44" t="e">
        <f>_xlfn.XLOOKUP(Tabla5[[#This Row],[EAN CORREGIDO]],'Tabla Articulos'!B:B,'Tabla Articulos'!D:D)</f>
        <v>#N/A</v>
      </c>
      <c r="Q1820" s="44" t="e">
        <f>_xlfn.XLOOKUP(S1820,'Tabla Articulos'!B:B,'Tabla Articulos'!E:E)</f>
        <v>#N/A</v>
      </c>
      <c r="R1820" s="44" t="e">
        <f t="shared" si="56"/>
        <v>#N/A</v>
      </c>
      <c r="S1820" s="45" t="str">
        <f t="shared" si="57"/>
        <v>7798188650621</v>
      </c>
    </row>
    <row r="1821" spans="1:19" hidden="1" x14ac:dyDescent="0.35">
      <c r="A1821" s="22">
        <v>5</v>
      </c>
      <c r="B1821" t="s">
        <v>829</v>
      </c>
      <c r="C1821" t="s">
        <v>802</v>
      </c>
      <c r="D1821" s="11" t="s">
        <v>1615</v>
      </c>
      <c r="E1821" t="s">
        <v>1616</v>
      </c>
      <c r="F1821" s="11">
        <v>4077186</v>
      </c>
      <c r="G1821" t="s">
        <v>1617</v>
      </c>
      <c r="H1821" t="s">
        <v>805</v>
      </c>
      <c r="I1821">
        <v>8302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8302</v>
      </c>
      <c r="P1821" s="44" t="e">
        <f>_xlfn.XLOOKUP(Tabla5[[#This Row],[EAN CORREGIDO]],'Tabla Articulos'!B:B,'Tabla Articulos'!D:D)</f>
        <v>#N/A</v>
      </c>
      <c r="Q1821" s="44" t="e">
        <f>_xlfn.XLOOKUP(S1821,'Tabla Articulos'!B:B,'Tabla Articulos'!E:E)</f>
        <v>#N/A</v>
      </c>
      <c r="R1821" s="44" t="e">
        <f t="shared" si="56"/>
        <v>#N/A</v>
      </c>
      <c r="S1821" s="45" t="str">
        <f t="shared" si="57"/>
        <v>7798430450047</v>
      </c>
    </row>
    <row r="1822" spans="1:19" hidden="1" x14ac:dyDescent="0.35">
      <c r="A1822" s="22">
        <v>6</v>
      </c>
      <c r="B1822" t="s">
        <v>801</v>
      </c>
      <c r="C1822" t="s">
        <v>802</v>
      </c>
      <c r="E1822" t="s">
        <v>1618</v>
      </c>
      <c r="F1822" s="11">
        <v>9003816</v>
      </c>
      <c r="G1822" t="s">
        <v>1619</v>
      </c>
      <c r="H1822" t="s">
        <v>805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 s="44" t="e">
        <f>_xlfn.XLOOKUP(Tabla5[[#This Row],[EAN CORREGIDO]],'Tabla Articulos'!B:B,'Tabla Articulos'!D:D)</f>
        <v>#N/A</v>
      </c>
      <c r="Q1822" s="44" t="e">
        <f>_xlfn.XLOOKUP(S1822,'Tabla Articulos'!B:B,'Tabla Articulos'!E:E)</f>
        <v>#N/A</v>
      </c>
      <c r="R1822" s="44" t="e">
        <f t="shared" si="56"/>
        <v>#N/A</v>
      </c>
      <c r="S1822" s="45" t="str">
        <f t="shared" si="57"/>
        <v>BAZ001174</v>
      </c>
    </row>
    <row r="1823" spans="1:19" hidden="1" x14ac:dyDescent="0.35">
      <c r="A1823" s="22">
        <v>5</v>
      </c>
      <c r="B1823" t="s">
        <v>829</v>
      </c>
      <c r="C1823" t="s">
        <v>802</v>
      </c>
      <c r="D1823" s="11" t="s">
        <v>1620</v>
      </c>
      <c r="E1823" t="s">
        <v>1621</v>
      </c>
      <c r="F1823" s="11">
        <v>4077013</v>
      </c>
      <c r="G1823" t="s">
        <v>1622</v>
      </c>
      <c r="H1823" t="s">
        <v>805</v>
      </c>
      <c r="I1823">
        <v>29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29</v>
      </c>
      <c r="P1823" s="44" t="e">
        <f>_xlfn.XLOOKUP(Tabla5[[#This Row],[EAN CORREGIDO]],'Tabla Articulos'!B:B,'Tabla Articulos'!D:D)</f>
        <v>#N/A</v>
      </c>
      <c r="Q1823" s="44" t="e">
        <f>_xlfn.XLOOKUP(S1823,'Tabla Articulos'!B:B,'Tabla Articulos'!E:E)</f>
        <v>#N/A</v>
      </c>
      <c r="R1823" s="44" t="e">
        <f t="shared" si="56"/>
        <v>#N/A</v>
      </c>
      <c r="S1823" s="45" t="str">
        <f t="shared" si="57"/>
        <v>7798092900157</v>
      </c>
    </row>
    <row r="1824" spans="1:19" hidden="1" x14ac:dyDescent="0.35">
      <c r="A1824" s="22">
        <v>6</v>
      </c>
      <c r="B1824" t="s">
        <v>801</v>
      </c>
      <c r="C1824" t="s">
        <v>802</v>
      </c>
      <c r="D1824"/>
      <c r="E1824" t="s">
        <v>1623</v>
      </c>
      <c r="F1824">
        <v>2007020</v>
      </c>
      <c r="G1824" t="s">
        <v>1624</v>
      </c>
      <c r="H1824" t="s">
        <v>805</v>
      </c>
      <c r="I1824">
        <v>111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111</v>
      </c>
      <c r="P1824" s="44" t="e">
        <f>_xlfn.XLOOKUP(Tabla5[[#This Row],[EAN CORREGIDO]],'Tabla Articulos'!B:B,'Tabla Articulos'!D:D)</f>
        <v>#N/A</v>
      </c>
      <c r="Q1824" s="44" t="e">
        <f>_xlfn.XLOOKUP(S1824,'Tabla Articulos'!B:B,'Tabla Articulos'!E:E)</f>
        <v>#N/A</v>
      </c>
      <c r="R1824" s="44" t="e">
        <f t="shared" si="56"/>
        <v>#N/A</v>
      </c>
      <c r="S1824" s="45" t="str">
        <f t="shared" si="57"/>
        <v>7798188651116</v>
      </c>
    </row>
    <row r="1825" spans="1:19" hidden="1" x14ac:dyDescent="0.35">
      <c r="A1825" s="22">
        <v>6</v>
      </c>
      <c r="B1825" t="s">
        <v>801</v>
      </c>
      <c r="C1825" t="s">
        <v>802</v>
      </c>
      <c r="D1825"/>
      <c r="E1825" t="s">
        <v>1625</v>
      </c>
      <c r="F1825">
        <v>9003255</v>
      </c>
      <c r="G1825" t="s">
        <v>1626</v>
      </c>
      <c r="H1825" t="s">
        <v>805</v>
      </c>
      <c r="I1825">
        <v>39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39</v>
      </c>
      <c r="P1825" s="44" t="e">
        <f>_xlfn.XLOOKUP(Tabla5[[#This Row],[EAN CORREGIDO]],'Tabla Articulos'!B:B,'Tabla Articulos'!D:D)</f>
        <v>#N/A</v>
      </c>
      <c r="Q1825" s="44" t="e">
        <f>_xlfn.XLOOKUP(S1825,'Tabla Articulos'!B:B,'Tabla Articulos'!E:E)</f>
        <v>#N/A</v>
      </c>
      <c r="R1825" s="44" t="e">
        <f t="shared" si="56"/>
        <v>#N/A</v>
      </c>
      <c r="S1825" s="45" t="str">
        <f t="shared" si="57"/>
        <v>UNIF000483</v>
      </c>
    </row>
    <row r="1826" spans="1:19" hidden="1" x14ac:dyDescent="0.35">
      <c r="A1826" s="22">
        <v>1</v>
      </c>
      <c r="B1826" t="s">
        <v>812</v>
      </c>
      <c r="C1826" t="s">
        <v>802</v>
      </c>
      <c r="D1826" s="11" t="s">
        <v>1195</v>
      </c>
      <c r="E1826" t="s">
        <v>1627</v>
      </c>
      <c r="F1826">
        <v>4021274</v>
      </c>
      <c r="G1826" t="s">
        <v>1628</v>
      </c>
      <c r="H1826" t="s">
        <v>805</v>
      </c>
      <c r="I1826">
        <v>346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346</v>
      </c>
      <c r="P1826" s="44" t="e">
        <f>_xlfn.XLOOKUP(Tabla5[[#This Row],[EAN CORREGIDO]],'Tabla Articulos'!B:B,'Tabla Articulos'!D:D)</f>
        <v>#N/A</v>
      </c>
      <c r="Q1826" s="44" t="e">
        <f>_xlfn.XLOOKUP(S1826,'Tabla Articulos'!B:B,'Tabla Articulos'!E:E)</f>
        <v>#N/A</v>
      </c>
      <c r="R1826" s="44" t="e">
        <f t="shared" si="56"/>
        <v>#N/A</v>
      </c>
      <c r="S1826" s="45" t="str">
        <f t="shared" si="57"/>
        <v>7790645003148</v>
      </c>
    </row>
    <row r="1827" spans="1:19" hidden="1" x14ac:dyDescent="0.35">
      <c r="A1827" s="22">
        <v>1</v>
      </c>
      <c r="B1827" t="s">
        <v>812</v>
      </c>
      <c r="C1827" t="s">
        <v>802</v>
      </c>
      <c r="D1827" t="s">
        <v>1629</v>
      </c>
      <c r="E1827" t="s">
        <v>1630</v>
      </c>
      <c r="F1827">
        <v>4017443</v>
      </c>
      <c r="G1827" t="s">
        <v>1631</v>
      </c>
      <c r="H1827" t="s">
        <v>805</v>
      </c>
      <c r="I1827">
        <v>140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140</v>
      </c>
      <c r="P1827" s="44" t="e">
        <f>_xlfn.XLOOKUP(Tabla5[[#This Row],[EAN CORREGIDO]],'Tabla Articulos'!B:B,'Tabla Articulos'!D:D)</f>
        <v>#N/A</v>
      </c>
      <c r="Q1827" s="44" t="e">
        <f>_xlfn.XLOOKUP(S1827,'Tabla Articulos'!B:B,'Tabla Articulos'!E:E)</f>
        <v>#N/A</v>
      </c>
      <c r="R1827" s="44" t="e">
        <f t="shared" si="56"/>
        <v>#N/A</v>
      </c>
      <c r="S1827" s="45" t="str">
        <f t="shared" si="57"/>
        <v>7790895647772</v>
      </c>
    </row>
    <row r="1828" spans="1:19" hidden="1" x14ac:dyDescent="0.35">
      <c r="A1828" s="22">
        <v>6</v>
      </c>
      <c r="B1828" t="s">
        <v>801</v>
      </c>
      <c r="C1828" t="s">
        <v>802</v>
      </c>
      <c r="D1828" t="s">
        <v>1069</v>
      </c>
      <c r="E1828" t="s">
        <v>1632</v>
      </c>
      <c r="F1828">
        <v>2016620</v>
      </c>
      <c r="G1828" t="s">
        <v>1633</v>
      </c>
      <c r="H1828" t="s">
        <v>805</v>
      </c>
      <c r="I1828">
        <v>509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509</v>
      </c>
      <c r="P1828" s="44" t="e">
        <f>_xlfn.XLOOKUP(Tabla5[[#This Row],[EAN CORREGIDO]],'Tabla Articulos'!B:B,'Tabla Articulos'!D:D)</f>
        <v>#N/A</v>
      </c>
      <c r="Q1828" s="44" t="e">
        <f>_xlfn.XLOOKUP(S1828,'Tabla Articulos'!B:B,'Tabla Articulos'!E:E)</f>
        <v>#N/A</v>
      </c>
      <c r="R1828" s="44" t="e">
        <f t="shared" si="56"/>
        <v>#N/A</v>
      </c>
      <c r="S1828" s="45" t="str">
        <f t="shared" si="57"/>
        <v>7790000000758</v>
      </c>
    </row>
    <row r="1829" spans="1:19" hidden="1" x14ac:dyDescent="0.35">
      <c r="A1829" s="22">
        <v>6</v>
      </c>
      <c r="B1829" t="s">
        <v>801</v>
      </c>
      <c r="C1829" t="s">
        <v>802</v>
      </c>
      <c r="D1829"/>
      <c r="E1829" t="s">
        <v>1634</v>
      </c>
      <c r="F1829">
        <v>9003181</v>
      </c>
      <c r="G1829" t="s">
        <v>1635</v>
      </c>
      <c r="H1829" t="s">
        <v>805</v>
      </c>
      <c r="I1829">
        <v>47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47</v>
      </c>
      <c r="P1829" s="44" t="e">
        <f>_xlfn.XLOOKUP(Tabla5[[#This Row],[EAN CORREGIDO]],'Tabla Articulos'!B:B,'Tabla Articulos'!D:D)</f>
        <v>#N/A</v>
      </c>
      <c r="Q1829" s="44" t="e">
        <f>_xlfn.XLOOKUP(S1829,'Tabla Articulos'!B:B,'Tabla Articulos'!E:E)</f>
        <v>#N/A</v>
      </c>
      <c r="R1829" s="44" t="e">
        <f t="shared" si="56"/>
        <v>#N/A</v>
      </c>
      <c r="S1829" s="45" t="str">
        <f t="shared" si="57"/>
        <v>UNIF000307</v>
      </c>
    </row>
    <row r="1830" spans="1:19" hidden="1" x14ac:dyDescent="0.35">
      <c r="A1830" s="22">
        <v>1</v>
      </c>
      <c r="B1830" t="s">
        <v>812</v>
      </c>
      <c r="C1830" t="s">
        <v>802</v>
      </c>
      <c r="D1830" t="s">
        <v>1636</v>
      </c>
      <c r="E1830" t="s">
        <v>1637</v>
      </c>
      <c r="F1830">
        <v>4019022</v>
      </c>
      <c r="G1830" t="s">
        <v>1638</v>
      </c>
      <c r="H1830" t="s">
        <v>805</v>
      </c>
      <c r="I1830">
        <v>29481</v>
      </c>
      <c r="J1830">
        <v>0</v>
      </c>
      <c r="K1830">
        <v>0</v>
      </c>
      <c r="L1830">
        <v>0</v>
      </c>
      <c r="M1830">
        <v>125</v>
      </c>
      <c r="N1830">
        <v>0</v>
      </c>
      <c r="O1830">
        <v>29356</v>
      </c>
      <c r="P1830" s="44" t="e">
        <f>_xlfn.XLOOKUP(Tabla5[[#This Row],[EAN CORREGIDO]],'Tabla Articulos'!B:B,'Tabla Articulos'!D:D)</f>
        <v>#N/A</v>
      </c>
      <c r="Q1830" s="44" t="e">
        <f>_xlfn.XLOOKUP(S1830,'Tabla Articulos'!B:B,'Tabla Articulos'!E:E)</f>
        <v>#N/A</v>
      </c>
      <c r="R1830" s="44" t="e">
        <f t="shared" si="56"/>
        <v>#N/A</v>
      </c>
      <c r="S1830" s="45" t="str">
        <f t="shared" si="57"/>
        <v>7798188380160</v>
      </c>
    </row>
    <row r="1831" spans="1:19" hidden="1" x14ac:dyDescent="0.35">
      <c r="A1831" s="22">
        <v>5</v>
      </c>
      <c r="B1831" t="s">
        <v>829</v>
      </c>
      <c r="C1831" t="s">
        <v>802</v>
      </c>
      <c r="D1831" s="11" t="s">
        <v>1636</v>
      </c>
      <c r="E1831" t="s">
        <v>1637</v>
      </c>
      <c r="F1831">
        <v>4019022</v>
      </c>
      <c r="G1831" t="s">
        <v>1638</v>
      </c>
      <c r="H1831" t="s">
        <v>805</v>
      </c>
      <c r="I1831">
        <v>57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57</v>
      </c>
      <c r="P1831" s="44" t="e">
        <f>_xlfn.XLOOKUP(Tabla5[[#This Row],[EAN CORREGIDO]],'Tabla Articulos'!B:B,'Tabla Articulos'!D:D)</f>
        <v>#N/A</v>
      </c>
      <c r="Q1831" s="44" t="e">
        <f>_xlfn.XLOOKUP(S1831,'Tabla Articulos'!B:B,'Tabla Articulos'!E:E)</f>
        <v>#N/A</v>
      </c>
      <c r="R1831" s="44" t="e">
        <f t="shared" si="56"/>
        <v>#N/A</v>
      </c>
      <c r="S1831" s="45" t="str">
        <f t="shared" si="57"/>
        <v>7798188380160</v>
      </c>
    </row>
    <row r="1832" spans="1:19" hidden="1" x14ac:dyDescent="0.35">
      <c r="A1832" s="22">
        <v>5</v>
      </c>
      <c r="B1832" t="s">
        <v>829</v>
      </c>
      <c r="C1832" t="s">
        <v>802</v>
      </c>
      <c r="D1832" s="11" t="s">
        <v>926</v>
      </c>
      <c r="E1832" t="s">
        <v>2540</v>
      </c>
      <c r="F1832">
        <v>4022849</v>
      </c>
      <c r="G1832" t="s">
        <v>2541</v>
      </c>
      <c r="H1832" t="s">
        <v>805</v>
      </c>
      <c r="I1832">
        <v>3608</v>
      </c>
      <c r="J1832">
        <v>0</v>
      </c>
      <c r="K1832">
        <v>0</v>
      </c>
      <c r="L1832">
        <v>0</v>
      </c>
      <c r="M1832">
        <v>25</v>
      </c>
      <c r="N1832">
        <v>0</v>
      </c>
      <c r="O1832">
        <v>3583</v>
      </c>
      <c r="P1832" s="44" t="e">
        <f>_xlfn.XLOOKUP(Tabla5[[#This Row],[EAN CORREGIDO]],'Tabla Articulos'!B:B,'Tabla Articulos'!D:D)</f>
        <v>#N/A</v>
      </c>
      <c r="Q1832" s="44" t="e">
        <f>_xlfn.XLOOKUP(S1832,'Tabla Articulos'!B:B,'Tabla Articulos'!E:E)</f>
        <v>#N/A</v>
      </c>
      <c r="R1832" s="44" t="e">
        <f t="shared" si="56"/>
        <v>#N/A</v>
      </c>
      <c r="S1832" s="45" t="str">
        <f t="shared" si="57"/>
        <v>7791476034011</v>
      </c>
    </row>
    <row r="1833" spans="1:19" hidden="1" x14ac:dyDescent="0.35">
      <c r="A1833" s="22">
        <v>1</v>
      </c>
      <c r="B1833" t="s">
        <v>812</v>
      </c>
      <c r="C1833" t="s">
        <v>802</v>
      </c>
      <c r="D1833" t="s">
        <v>926</v>
      </c>
      <c r="E1833" t="s">
        <v>2540</v>
      </c>
      <c r="F1833">
        <v>4022849</v>
      </c>
      <c r="G1833" t="s">
        <v>2541</v>
      </c>
      <c r="H1833" t="s">
        <v>805</v>
      </c>
      <c r="I1833">
        <v>361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361</v>
      </c>
      <c r="P1833" s="44" t="e">
        <f>_xlfn.XLOOKUP(Tabla5[[#This Row],[EAN CORREGIDO]],'Tabla Articulos'!B:B,'Tabla Articulos'!D:D)</f>
        <v>#N/A</v>
      </c>
      <c r="Q1833" s="44" t="e">
        <f>_xlfn.XLOOKUP(S1833,'Tabla Articulos'!B:B,'Tabla Articulos'!E:E)</f>
        <v>#N/A</v>
      </c>
      <c r="R1833" s="44" t="e">
        <f t="shared" si="56"/>
        <v>#N/A</v>
      </c>
      <c r="S1833" s="45" t="str">
        <f t="shared" si="57"/>
        <v>7791476034011</v>
      </c>
    </row>
    <row r="1834" spans="1:19" hidden="1" x14ac:dyDescent="0.35">
      <c r="A1834" s="22">
        <v>1</v>
      </c>
      <c r="B1834" t="s">
        <v>812</v>
      </c>
      <c r="C1834" t="s">
        <v>802</v>
      </c>
      <c r="D1834" s="11" t="s">
        <v>2284</v>
      </c>
      <c r="E1834" t="s">
        <v>2542</v>
      </c>
      <c r="F1834">
        <v>4018707</v>
      </c>
      <c r="G1834" t="s">
        <v>2543</v>
      </c>
      <c r="H1834" t="s">
        <v>805</v>
      </c>
      <c r="I1834">
        <v>54</v>
      </c>
      <c r="J1834">
        <v>0</v>
      </c>
      <c r="K1834">
        <v>0</v>
      </c>
      <c r="L1834">
        <v>0</v>
      </c>
      <c r="M1834">
        <v>10</v>
      </c>
      <c r="N1834">
        <v>0</v>
      </c>
      <c r="O1834">
        <v>44</v>
      </c>
      <c r="P1834" s="44" t="e">
        <f>_xlfn.XLOOKUP(Tabla5[[#This Row],[EAN CORREGIDO]],'Tabla Articulos'!B:B,'Tabla Articulos'!D:D)</f>
        <v>#N/A</v>
      </c>
      <c r="Q1834" s="44" t="e">
        <f>_xlfn.XLOOKUP(S1834,'Tabla Articulos'!B:B,'Tabla Articulos'!E:E)</f>
        <v>#N/A</v>
      </c>
      <c r="R1834" s="44" t="e">
        <f t="shared" si="56"/>
        <v>#N/A</v>
      </c>
      <c r="S1834" s="45" t="str">
        <f t="shared" si="57"/>
        <v>7791218122617</v>
      </c>
    </row>
    <row r="1835" spans="1:19" hidden="1" x14ac:dyDescent="0.35">
      <c r="A1835" s="22">
        <v>6</v>
      </c>
      <c r="B1835" t="s">
        <v>801</v>
      </c>
      <c r="C1835" t="s">
        <v>802</v>
      </c>
      <c r="D1835"/>
      <c r="E1835" t="s">
        <v>2544</v>
      </c>
      <c r="F1835">
        <v>9003597</v>
      </c>
      <c r="G1835" t="s">
        <v>2545</v>
      </c>
      <c r="H1835" t="s">
        <v>805</v>
      </c>
      <c r="I1835">
        <v>81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81</v>
      </c>
      <c r="P1835" s="44" t="e">
        <f>_xlfn.XLOOKUP(Tabla5[[#This Row],[EAN CORREGIDO]],'Tabla Articulos'!B:B,'Tabla Articulos'!D:D)</f>
        <v>#N/A</v>
      </c>
      <c r="Q1835" s="44" t="e">
        <f>_xlfn.XLOOKUP(S1835,'Tabla Articulos'!B:B,'Tabla Articulos'!E:E)</f>
        <v>#N/A</v>
      </c>
      <c r="R1835" s="44" t="e">
        <f t="shared" si="56"/>
        <v>#N/A</v>
      </c>
      <c r="S1835" s="45" t="str">
        <f t="shared" si="57"/>
        <v>UNIF000436</v>
      </c>
    </row>
    <row r="1836" spans="1:19" hidden="1" x14ac:dyDescent="0.35">
      <c r="A1836" s="22">
        <v>6</v>
      </c>
      <c r="B1836" t="s">
        <v>801</v>
      </c>
      <c r="C1836" t="s">
        <v>802</v>
      </c>
      <c r="E1836" t="s">
        <v>2546</v>
      </c>
      <c r="F1836">
        <v>9003852</v>
      </c>
      <c r="G1836" t="s">
        <v>2547</v>
      </c>
      <c r="H1836" t="s">
        <v>805</v>
      </c>
      <c r="I1836">
        <v>134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134</v>
      </c>
      <c r="P1836" s="44" t="e">
        <f>_xlfn.XLOOKUP(Tabla5[[#This Row],[EAN CORREGIDO]],'Tabla Articulos'!B:B,'Tabla Articulos'!D:D)</f>
        <v>#N/A</v>
      </c>
      <c r="Q1836" s="44" t="e">
        <f>_xlfn.XLOOKUP(S1836,'Tabla Articulos'!B:B,'Tabla Articulos'!E:E)</f>
        <v>#N/A</v>
      </c>
      <c r="R1836" s="44" t="e">
        <f t="shared" si="56"/>
        <v>#N/A</v>
      </c>
      <c r="S1836" s="45" t="str">
        <f t="shared" si="57"/>
        <v>BAZ001230</v>
      </c>
    </row>
    <row r="1837" spans="1:19" hidden="1" x14ac:dyDescent="0.35">
      <c r="A1837" s="22">
        <v>6</v>
      </c>
      <c r="B1837" t="s">
        <v>801</v>
      </c>
      <c r="C1837" t="s">
        <v>802</v>
      </c>
      <c r="D1837" t="s">
        <v>1535</v>
      </c>
      <c r="E1837" t="s">
        <v>2548</v>
      </c>
      <c r="F1837">
        <v>2006969</v>
      </c>
      <c r="G1837" t="s">
        <v>2549</v>
      </c>
      <c r="H1837" t="s">
        <v>805</v>
      </c>
      <c r="I1837">
        <v>59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59</v>
      </c>
      <c r="P1837" s="44" t="e">
        <f>_xlfn.XLOOKUP(Tabla5[[#This Row],[EAN CORREGIDO]],'Tabla Articulos'!B:B,'Tabla Articulos'!D:D)</f>
        <v>#N/A</v>
      </c>
      <c r="Q1837" s="44" t="e">
        <f>_xlfn.XLOOKUP(S1837,'Tabla Articulos'!B:B,'Tabla Articulos'!E:E)</f>
        <v>#N/A</v>
      </c>
      <c r="R1837" s="44" t="e">
        <f t="shared" si="56"/>
        <v>#N/A</v>
      </c>
      <c r="S1837" s="45" t="str">
        <f t="shared" si="57"/>
        <v>LIM00353</v>
      </c>
    </row>
    <row r="1838" spans="1:19" hidden="1" x14ac:dyDescent="0.35">
      <c r="A1838" s="22">
        <v>5</v>
      </c>
      <c r="B1838" t="s">
        <v>829</v>
      </c>
      <c r="C1838" t="s">
        <v>802</v>
      </c>
      <c r="D1838" t="s">
        <v>2550</v>
      </c>
      <c r="E1838" t="s">
        <v>2551</v>
      </c>
      <c r="F1838">
        <v>4023263</v>
      </c>
      <c r="G1838" t="s">
        <v>2552</v>
      </c>
      <c r="H1838" t="s">
        <v>816</v>
      </c>
      <c r="I1838">
        <v>725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725</v>
      </c>
      <c r="P1838" s="44" t="e">
        <f>_xlfn.XLOOKUP(Tabla5[[#This Row],[EAN CORREGIDO]],'Tabla Articulos'!B:B,'Tabla Articulos'!D:D)</f>
        <v>#N/A</v>
      </c>
      <c r="Q1838" s="44" t="e">
        <f>_xlfn.XLOOKUP(S1838,'Tabla Articulos'!B:B,'Tabla Articulos'!E:E)</f>
        <v>#N/A</v>
      </c>
      <c r="R1838" s="44" t="e">
        <f t="shared" si="56"/>
        <v>#N/A</v>
      </c>
      <c r="S1838" s="45" t="str">
        <f t="shared" si="57"/>
        <v>7790000000447</v>
      </c>
    </row>
    <row r="1839" spans="1:19" hidden="1" x14ac:dyDescent="0.35">
      <c r="A1839" s="22">
        <v>1</v>
      </c>
      <c r="B1839" t="s">
        <v>812</v>
      </c>
      <c r="C1839" t="s">
        <v>802</v>
      </c>
      <c r="D1839" t="s">
        <v>2553</v>
      </c>
      <c r="E1839" t="s">
        <v>2554</v>
      </c>
      <c r="F1839">
        <v>4019179</v>
      </c>
      <c r="G1839" t="s">
        <v>2555</v>
      </c>
      <c r="H1839" t="s">
        <v>805</v>
      </c>
      <c r="I1839">
        <v>10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10</v>
      </c>
      <c r="P1839" s="44" t="e">
        <f>_xlfn.XLOOKUP(Tabla5[[#This Row],[EAN CORREGIDO]],'Tabla Articulos'!B:B,'Tabla Articulos'!D:D)</f>
        <v>#N/A</v>
      </c>
      <c r="Q1839" s="44" t="e">
        <f>_xlfn.XLOOKUP(S1839,'Tabla Articulos'!B:B,'Tabla Articulos'!E:E)</f>
        <v>#N/A</v>
      </c>
      <c r="R1839" s="44" t="e">
        <f t="shared" si="56"/>
        <v>#N/A</v>
      </c>
      <c r="S1839" s="45" t="str">
        <f t="shared" si="57"/>
        <v>77912268</v>
      </c>
    </row>
    <row r="1840" spans="1:19" hidden="1" x14ac:dyDescent="0.35">
      <c r="A1840" s="22">
        <v>6</v>
      </c>
      <c r="B1840" t="s">
        <v>801</v>
      </c>
      <c r="C1840" t="s">
        <v>802</v>
      </c>
      <c r="D1840"/>
      <c r="E1840" t="s">
        <v>2556</v>
      </c>
      <c r="F1840">
        <v>9003209</v>
      </c>
      <c r="G1840" t="s">
        <v>2557</v>
      </c>
      <c r="H1840" t="s">
        <v>805</v>
      </c>
      <c r="I1840">
        <v>244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244</v>
      </c>
      <c r="P1840" s="44" t="e">
        <f>_xlfn.XLOOKUP(Tabla5[[#This Row],[EAN CORREGIDO]],'Tabla Articulos'!B:B,'Tabla Articulos'!D:D)</f>
        <v>#N/A</v>
      </c>
      <c r="Q1840" s="44" t="e">
        <f>_xlfn.XLOOKUP(S1840,'Tabla Articulos'!B:B,'Tabla Articulos'!E:E)</f>
        <v>#N/A</v>
      </c>
      <c r="R1840" s="44" t="e">
        <f t="shared" si="56"/>
        <v>#N/A</v>
      </c>
      <c r="S1840" s="45" t="str">
        <f t="shared" si="57"/>
        <v>UNIF000174</v>
      </c>
    </row>
    <row r="1841" spans="1:19" hidden="1" x14ac:dyDescent="0.35">
      <c r="A1841" s="22">
        <v>6</v>
      </c>
      <c r="B1841" t="s">
        <v>801</v>
      </c>
      <c r="C1841" t="s">
        <v>802</v>
      </c>
      <c r="D1841" s="11" t="s">
        <v>297</v>
      </c>
      <c r="E1841" t="s">
        <v>3712</v>
      </c>
      <c r="F1841">
        <v>2007253</v>
      </c>
      <c r="G1841" t="s">
        <v>3713</v>
      </c>
      <c r="H1841" t="s">
        <v>805</v>
      </c>
      <c r="I1841">
        <v>22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22</v>
      </c>
      <c r="P1841" s="44" t="str">
        <f>_xlfn.XLOOKUP(Tabla5[[#This Row],[EAN CORREGIDO]],'Tabla Articulos'!B:B,'Tabla Articulos'!D:D)</f>
        <v>BANDEJA R5</v>
      </c>
      <c r="Q1841" s="44">
        <f>_xlfn.XLOOKUP(S1841,'Tabla Articulos'!B:B,'Tabla Articulos'!E:E)</f>
        <v>600</v>
      </c>
      <c r="R1841" s="44">
        <f t="shared" si="56"/>
        <v>13200</v>
      </c>
      <c r="S1841" s="45" t="str">
        <f t="shared" si="57"/>
        <v>610000108738</v>
      </c>
    </row>
    <row r="1842" spans="1:19" hidden="1" x14ac:dyDescent="0.35">
      <c r="A1842" s="22">
        <v>6</v>
      </c>
      <c r="B1842" t="s">
        <v>801</v>
      </c>
      <c r="C1842" t="s">
        <v>802</v>
      </c>
      <c r="D1842"/>
      <c r="E1842" t="s">
        <v>3714</v>
      </c>
      <c r="F1842">
        <v>9003438</v>
      </c>
      <c r="G1842" t="s">
        <v>3715</v>
      </c>
      <c r="H1842" t="s">
        <v>805</v>
      </c>
      <c r="I1842">
        <v>32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32</v>
      </c>
      <c r="P1842" s="44" t="e">
        <f>_xlfn.XLOOKUP(Tabla5[[#This Row],[EAN CORREGIDO]],'Tabla Articulos'!B:B,'Tabla Articulos'!D:D)</f>
        <v>#N/A</v>
      </c>
      <c r="Q1842" s="44" t="e">
        <f>_xlfn.XLOOKUP(S1842,'Tabla Articulos'!B:B,'Tabla Articulos'!E:E)</f>
        <v>#N/A</v>
      </c>
      <c r="R1842" s="44" t="e">
        <f t="shared" si="56"/>
        <v>#N/A</v>
      </c>
      <c r="S1842" s="45" t="str">
        <f t="shared" si="57"/>
        <v>UNIF000198</v>
      </c>
    </row>
    <row r="1843" spans="1:19" hidden="1" x14ac:dyDescent="0.35">
      <c r="A1843" s="22">
        <v>6</v>
      </c>
      <c r="B1843" t="s">
        <v>801</v>
      </c>
      <c r="C1843" t="s">
        <v>802</v>
      </c>
      <c r="D1843"/>
      <c r="E1843" t="s">
        <v>2156</v>
      </c>
      <c r="F1843">
        <v>2011448</v>
      </c>
      <c r="G1843" t="s">
        <v>2157</v>
      </c>
      <c r="H1843" t="s">
        <v>805</v>
      </c>
      <c r="I1843">
        <v>602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602</v>
      </c>
      <c r="P1843" s="44" t="e">
        <f>_xlfn.XLOOKUP(Tabla5[[#This Row],[EAN CORREGIDO]],'Tabla Articulos'!B:B,'Tabla Articulos'!D:D)</f>
        <v>#N/A</v>
      </c>
      <c r="Q1843" s="44" t="e">
        <f>_xlfn.XLOOKUP(S1843,'Tabla Articulos'!B:B,'Tabla Articulos'!E:E)</f>
        <v>#N/A</v>
      </c>
      <c r="R1843" s="44" t="e">
        <f t="shared" si="56"/>
        <v>#N/A</v>
      </c>
      <c r="S1843" s="45" t="str">
        <f t="shared" si="57"/>
        <v>7793253004255</v>
      </c>
    </row>
    <row r="1844" spans="1:19" hidden="1" x14ac:dyDescent="0.35">
      <c r="A1844" s="22">
        <v>5</v>
      </c>
      <c r="B1844" t="s">
        <v>829</v>
      </c>
      <c r="C1844" t="s">
        <v>802</v>
      </c>
      <c r="D1844" s="11" t="s">
        <v>2158</v>
      </c>
      <c r="E1844" t="s">
        <v>2159</v>
      </c>
      <c r="F1844">
        <v>4019857</v>
      </c>
      <c r="G1844" t="s">
        <v>2160</v>
      </c>
      <c r="H1844" t="s">
        <v>805</v>
      </c>
      <c r="I1844">
        <v>5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5</v>
      </c>
      <c r="P1844" s="44" t="e">
        <f>_xlfn.XLOOKUP(Tabla5[[#This Row],[EAN CORREGIDO]],'Tabla Articulos'!B:B,'Tabla Articulos'!D:D)</f>
        <v>#N/A</v>
      </c>
      <c r="Q1844" s="44" t="e">
        <f>_xlfn.XLOOKUP(S1844,'Tabla Articulos'!B:B,'Tabla Articulos'!E:E)</f>
        <v>#N/A</v>
      </c>
      <c r="R1844" s="44" t="e">
        <f t="shared" si="56"/>
        <v>#N/A</v>
      </c>
      <c r="S1844" s="45" t="str">
        <f t="shared" si="57"/>
        <v>7790847060543</v>
      </c>
    </row>
    <row r="1845" spans="1:19" hidden="1" x14ac:dyDescent="0.35">
      <c r="A1845" s="22">
        <v>1</v>
      </c>
      <c r="B1845" t="s">
        <v>812</v>
      </c>
      <c r="C1845" t="s">
        <v>802</v>
      </c>
      <c r="D1845" s="11" t="s">
        <v>2158</v>
      </c>
      <c r="E1845" t="s">
        <v>2159</v>
      </c>
      <c r="F1845">
        <v>4019857</v>
      </c>
      <c r="G1845" t="s">
        <v>2160</v>
      </c>
      <c r="H1845" t="s">
        <v>805</v>
      </c>
      <c r="I1845">
        <v>2357</v>
      </c>
      <c r="J1845">
        <v>0</v>
      </c>
      <c r="K1845">
        <v>0</v>
      </c>
      <c r="L1845">
        <v>130</v>
      </c>
      <c r="M1845">
        <v>130</v>
      </c>
      <c r="N1845">
        <v>0</v>
      </c>
      <c r="O1845">
        <v>2097</v>
      </c>
      <c r="P1845" s="44" t="e">
        <f>_xlfn.XLOOKUP(Tabla5[[#This Row],[EAN CORREGIDO]],'Tabla Articulos'!B:B,'Tabla Articulos'!D:D)</f>
        <v>#N/A</v>
      </c>
      <c r="Q1845" s="44" t="e">
        <f>_xlfn.XLOOKUP(S1845,'Tabla Articulos'!B:B,'Tabla Articulos'!E:E)</f>
        <v>#N/A</v>
      </c>
      <c r="R1845" s="44" t="e">
        <f t="shared" si="56"/>
        <v>#N/A</v>
      </c>
      <c r="S1845" s="45" t="str">
        <f t="shared" si="57"/>
        <v>7790847060543</v>
      </c>
    </row>
    <row r="1846" spans="1:19" hidden="1" x14ac:dyDescent="0.35">
      <c r="A1846" s="22">
        <v>5</v>
      </c>
      <c r="B1846" t="s">
        <v>829</v>
      </c>
      <c r="C1846" t="s">
        <v>802</v>
      </c>
      <c r="E1846" t="s">
        <v>6834</v>
      </c>
      <c r="F1846">
        <v>4077442</v>
      </c>
      <c r="G1846" t="s">
        <v>6835</v>
      </c>
      <c r="H1846" t="s">
        <v>805</v>
      </c>
      <c r="I1846">
        <v>412</v>
      </c>
      <c r="J1846">
        <v>0</v>
      </c>
      <c r="K1846">
        <v>0</v>
      </c>
      <c r="L1846">
        <v>0</v>
      </c>
      <c r="M1846">
        <v>412</v>
      </c>
      <c r="N1846">
        <v>0</v>
      </c>
      <c r="O1846">
        <v>0</v>
      </c>
      <c r="P1846" s="44" t="e">
        <f>_xlfn.XLOOKUP(Tabla5[[#This Row],[EAN CORREGIDO]],'Tabla Articulos'!B:B,'Tabla Articulos'!D:D)</f>
        <v>#N/A</v>
      </c>
      <c r="Q1846" s="44" t="e">
        <f>_xlfn.XLOOKUP(S1846,'Tabla Articulos'!B:B,'Tabla Articulos'!E:E)</f>
        <v>#N/A</v>
      </c>
      <c r="R1846" s="44" t="e">
        <f t="shared" si="56"/>
        <v>#N/A</v>
      </c>
      <c r="S1846" s="45" t="str">
        <f t="shared" si="57"/>
        <v>MOD21156</v>
      </c>
    </row>
    <row r="1847" spans="1:19" hidden="1" x14ac:dyDescent="0.35">
      <c r="A1847" s="22">
        <v>6</v>
      </c>
      <c r="B1847" t="s">
        <v>801</v>
      </c>
      <c r="C1847" t="s">
        <v>802</v>
      </c>
      <c r="D1847"/>
      <c r="E1847" t="s">
        <v>2161</v>
      </c>
      <c r="F1847">
        <v>2011417</v>
      </c>
      <c r="G1847" t="s">
        <v>2162</v>
      </c>
      <c r="H1847" t="s">
        <v>805</v>
      </c>
      <c r="I1847">
        <v>304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304</v>
      </c>
      <c r="P1847" s="44" t="e">
        <f>_xlfn.XLOOKUP(Tabla5[[#This Row],[EAN CORREGIDO]],'Tabla Articulos'!B:B,'Tabla Articulos'!D:D)</f>
        <v>#N/A</v>
      </c>
      <c r="Q1847" s="44" t="e">
        <f>_xlfn.XLOOKUP(S1847,'Tabla Articulos'!B:B,'Tabla Articulos'!E:E)</f>
        <v>#N/A</v>
      </c>
      <c r="R1847" s="44" t="e">
        <f t="shared" si="56"/>
        <v>#N/A</v>
      </c>
      <c r="S1847" s="45" t="str">
        <f t="shared" si="57"/>
        <v>7790000000662</v>
      </c>
    </row>
    <row r="1848" spans="1:19" hidden="1" x14ac:dyDescent="0.35">
      <c r="A1848" s="22">
        <v>1</v>
      </c>
      <c r="B1848" t="s">
        <v>812</v>
      </c>
      <c r="C1848" t="s">
        <v>802</v>
      </c>
      <c r="D1848" s="11" t="s">
        <v>1580</v>
      </c>
      <c r="E1848" t="s">
        <v>2725</v>
      </c>
      <c r="F1848">
        <v>4020607</v>
      </c>
      <c r="G1848" t="s">
        <v>2726</v>
      </c>
      <c r="H1848" t="s">
        <v>816</v>
      </c>
      <c r="I1848">
        <v>474</v>
      </c>
      <c r="J1848">
        <v>0</v>
      </c>
      <c r="K1848">
        <v>0</v>
      </c>
      <c r="L1848">
        <v>0</v>
      </c>
      <c r="M1848">
        <v>3</v>
      </c>
      <c r="N1848">
        <v>0</v>
      </c>
      <c r="O1848">
        <v>471</v>
      </c>
      <c r="P1848" s="44" t="e">
        <f>_xlfn.XLOOKUP(Tabla5[[#This Row],[EAN CORREGIDO]],'Tabla Articulos'!B:B,'Tabla Articulos'!D:D)</f>
        <v>#N/A</v>
      </c>
      <c r="Q1848" s="44" t="e">
        <f>_xlfn.XLOOKUP(S1848,'Tabla Articulos'!B:B,'Tabla Articulos'!E:E)</f>
        <v>#N/A</v>
      </c>
      <c r="R1848" s="44" t="e">
        <f t="shared" si="56"/>
        <v>#N/A</v>
      </c>
      <c r="S1848" s="45" t="str">
        <f t="shared" si="57"/>
        <v>7791113000621</v>
      </c>
    </row>
    <row r="1849" spans="1:19" hidden="1" x14ac:dyDescent="0.35">
      <c r="A1849" s="22">
        <v>5</v>
      </c>
      <c r="B1849" t="s">
        <v>829</v>
      </c>
      <c r="C1849" t="s">
        <v>802</v>
      </c>
      <c r="D1849" t="s">
        <v>1580</v>
      </c>
      <c r="E1849" t="s">
        <v>2725</v>
      </c>
      <c r="F1849">
        <v>4020607</v>
      </c>
      <c r="G1849" t="s">
        <v>2726</v>
      </c>
      <c r="H1849" t="s">
        <v>816</v>
      </c>
      <c r="I1849">
        <v>3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3</v>
      </c>
      <c r="P1849" s="44" t="e">
        <f>_xlfn.XLOOKUP(Tabla5[[#This Row],[EAN CORREGIDO]],'Tabla Articulos'!B:B,'Tabla Articulos'!D:D)</f>
        <v>#N/A</v>
      </c>
      <c r="Q1849" s="44" t="e">
        <f>_xlfn.XLOOKUP(S1849,'Tabla Articulos'!B:B,'Tabla Articulos'!E:E)</f>
        <v>#N/A</v>
      </c>
      <c r="R1849" s="44" t="e">
        <f t="shared" si="56"/>
        <v>#N/A</v>
      </c>
      <c r="S1849" s="45" t="str">
        <f t="shared" si="57"/>
        <v>7791113000621</v>
      </c>
    </row>
    <row r="1850" spans="1:19" hidden="1" x14ac:dyDescent="0.35">
      <c r="A1850" s="22">
        <v>6</v>
      </c>
      <c r="B1850" t="s">
        <v>801</v>
      </c>
      <c r="C1850" t="s">
        <v>802</v>
      </c>
      <c r="E1850" t="s">
        <v>2727</v>
      </c>
      <c r="F1850">
        <v>9003437</v>
      </c>
      <c r="G1850" t="s">
        <v>2728</v>
      </c>
      <c r="H1850" t="s">
        <v>805</v>
      </c>
      <c r="I1850">
        <v>12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12</v>
      </c>
      <c r="P1850" s="44" t="e">
        <f>_xlfn.XLOOKUP(Tabla5[[#This Row],[EAN CORREGIDO]],'Tabla Articulos'!B:B,'Tabla Articulos'!D:D)</f>
        <v>#N/A</v>
      </c>
      <c r="Q1850" s="44" t="e">
        <f>_xlfn.XLOOKUP(S1850,'Tabla Articulos'!B:B,'Tabla Articulos'!E:E)</f>
        <v>#N/A</v>
      </c>
      <c r="R1850" s="44" t="e">
        <f t="shared" si="56"/>
        <v>#N/A</v>
      </c>
      <c r="S1850" s="45" t="str">
        <f t="shared" si="57"/>
        <v>UNIF000197</v>
      </c>
    </row>
    <row r="1851" spans="1:19" hidden="1" x14ac:dyDescent="0.35">
      <c r="A1851" s="22">
        <v>6</v>
      </c>
      <c r="B1851" t="s">
        <v>801</v>
      </c>
      <c r="C1851" t="s">
        <v>802</v>
      </c>
      <c r="E1851" t="s">
        <v>2729</v>
      </c>
      <c r="F1851">
        <v>2007608</v>
      </c>
      <c r="G1851" t="s">
        <v>2730</v>
      </c>
      <c r="H1851" t="s">
        <v>805</v>
      </c>
      <c r="I1851">
        <v>4</v>
      </c>
      <c r="J1851">
        <v>22</v>
      </c>
      <c r="K1851">
        <v>0</v>
      </c>
      <c r="L1851">
        <v>0</v>
      </c>
      <c r="M1851">
        <v>0</v>
      </c>
      <c r="N1851">
        <v>0</v>
      </c>
      <c r="O1851">
        <v>26</v>
      </c>
      <c r="P1851" s="44" t="e">
        <f>_xlfn.XLOOKUP(Tabla5[[#This Row],[EAN CORREGIDO]],'Tabla Articulos'!B:B,'Tabla Articulos'!D:D)</f>
        <v>#N/A</v>
      </c>
      <c r="Q1851" s="44" t="e">
        <f>_xlfn.XLOOKUP(S1851,'Tabla Articulos'!B:B,'Tabla Articulos'!E:E)</f>
        <v>#N/A</v>
      </c>
      <c r="R1851" s="44" t="e">
        <f t="shared" si="56"/>
        <v>#N/A</v>
      </c>
      <c r="S1851" s="45" t="str">
        <f t="shared" si="57"/>
        <v>7798057867815</v>
      </c>
    </row>
    <row r="1852" spans="1:19" hidden="1" x14ac:dyDescent="0.35">
      <c r="A1852" s="22">
        <v>1</v>
      </c>
      <c r="B1852" t="s">
        <v>812</v>
      </c>
      <c r="C1852" t="s">
        <v>802</v>
      </c>
      <c r="D1852" t="s">
        <v>4067</v>
      </c>
      <c r="E1852" t="s">
        <v>4165</v>
      </c>
      <c r="F1852">
        <v>4023199</v>
      </c>
      <c r="G1852" t="s">
        <v>4166</v>
      </c>
      <c r="H1852" t="s">
        <v>805</v>
      </c>
      <c r="I1852">
        <v>4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4</v>
      </c>
      <c r="P1852" s="44" t="e">
        <f>_xlfn.XLOOKUP(Tabla5[[#This Row],[EAN CORREGIDO]],'Tabla Articulos'!B:B,'Tabla Articulos'!D:D)</f>
        <v>#N/A</v>
      </c>
      <c r="Q1852" s="44" t="e">
        <f>_xlfn.XLOOKUP(S1852,'Tabla Articulos'!B:B,'Tabla Articulos'!E:E)</f>
        <v>#N/A</v>
      </c>
      <c r="R1852" s="44" t="e">
        <f t="shared" si="56"/>
        <v>#N/A</v>
      </c>
      <c r="S1852" s="45" t="str">
        <f t="shared" si="57"/>
        <v>7791675908373</v>
      </c>
    </row>
    <row r="1853" spans="1:19" hidden="1" x14ac:dyDescent="0.35">
      <c r="A1853" s="22">
        <v>5</v>
      </c>
      <c r="B1853" t="s">
        <v>829</v>
      </c>
      <c r="C1853" t="s">
        <v>802</v>
      </c>
      <c r="D1853" t="s">
        <v>4067</v>
      </c>
      <c r="E1853" t="s">
        <v>4165</v>
      </c>
      <c r="F1853">
        <v>4023199</v>
      </c>
      <c r="G1853" t="s">
        <v>4166</v>
      </c>
      <c r="H1853" t="s">
        <v>805</v>
      </c>
      <c r="I1853">
        <v>53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53</v>
      </c>
      <c r="P1853" s="44" t="e">
        <f>_xlfn.XLOOKUP(Tabla5[[#This Row],[EAN CORREGIDO]],'Tabla Articulos'!B:B,'Tabla Articulos'!D:D)</f>
        <v>#N/A</v>
      </c>
      <c r="Q1853" s="44" t="e">
        <f>_xlfn.XLOOKUP(S1853,'Tabla Articulos'!B:B,'Tabla Articulos'!E:E)</f>
        <v>#N/A</v>
      </c>
      <c r="R1853" s="44" t="e">
        <f t="shared" si="56"/>
        <v>#N/A</v>
      </c>
      <c r="S1853" s="45" t="str">
        <f t="shared" si="57"/>
        <v>7791675908373</v>
      </c>
    </row>
    <row r="1854" spans="1:19" hidden="1" x14ac:dyDescent="0.35">
      <c r="A1854" s="22">
        <v>6</v>
      </c>
      <c r="B1854" t="s">
        <v>801</v>
      </c>
      <c r="C1854" t="s">
        <v>802</v>
      </c>
      <c r="D1854" t="s">
        <v>4167</v>
      </c>
      <c r="E1854" t="s">
        <v>4168</v>
      </c>
      <c r="F1854">
        <v>2006553</v>
      </c>
      <c r="G1854" t="s">
        <v>4169</v>
      </c>
      <c r="H1854" t="s">
        <v>805</v>
      </c>
      <c r="I1854">
        <v>37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37</v>
      </c>
      <c r="P1854" s="44" t="e">
        <f>_xlfn.XLOOKUP(Tabla5[[#This Row],[EAN CORREGIDO]],'Tabla Articulos'!B:B,'Tabla Articulos'!D:D)</f>
        <v>#N/A</v>
      </c>
      <c r="Q1854" s="44" t="e">
        <f>_xlfn.XLOOKUP(S1854,'Tabla Articulos'!B:B,'Tabla Articulos'!E:E)</f>
        <v>#N/A</v>
      </c>
      <c r="R1854" s="44" t="e">
        <f t="shared" si="56"/>
        <v>#N/A</v>
      </c>
      <c r="S1854" s="45" t="str">
        <f t="shared" si="57"/>
        <v>LIM00436</v>
      </c>
    </row>
    <row r="1855" spans="1:19" hidden="1" x14ac:dyDescent="0.35">
      <c r="A1855" s="22">
        <v>5</v>
      </c>
      <c r="B1855" t="s">
        <v>829</v>
      </c>
      <c r="C1855" t="s">
        <v>802</v>
      </c>
      <c r="D1855" t="s">
        <v>4170</v>
      </c>
      <c r="E1855" t="s">
        <v>4171</v>
      </c>
      <c r="F1855">
        <v>4018765</v>
      </c>
      <c r="G1855" t="s">
        <v>4172</v>
      </c>
      <c r="H1855" t="s">
        <v>805</v>
      </c>
      <c r="I1855">
        <v>50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50</v>
      </c>
      <c r="P1855" s="44" t="e">
        <f>_xlfn.XLOOKUP(Tabla5[[#This Row],[EAN CORREGIDO]],'Tabla Articulos'!B:B,'Tabla Articulos'!D:D)</f>
        <v>#N/A</v>
      </c>
      <c r="Q1855" s="44" t="e">
        <f>_xlfn.XLOOKUP(S1855,'Tabla Articulos'!B:B,'Tabla Articulos'!E:E)</f>
        <v>#N/A</v>
      </c>
      <c r="R1855" s="44" t="e">
        <f t="shared" si="56"/>
        <v>#N/A</v>
      </c>
      <c r="S1855" s="45" t="str">
        <f t="shared" si="57"/>
        <v>7790040139657</v>
      </c>
    </row>
    <row r="1856" spans="1:19" hidden="1" x14ac:dyDescent="0.35">
      <c r="A1856" s="22">
        <v>6</v>
      </c>
      <c r="B1856" t="s">
        <v>801</v>
      </c>
      <c r="C1856" t="s">
        <v>802</v>
      </c>
      <c r="D1856"/>
      <c r="E1856" t="s">
        <v>4173</v>
      </c>
      <c r="F1856">
        <v>9003658</v>
      </c>
      <c r="G1856" t="s">
        <v>4174</v>
      </c>
      <c r="H1856" t="s">
        <v>805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 s="44" t="e">
        <f>_xlfn.XLOOKUP(Tabla5[[#This Row],[EAN CORREGIDO]],'Tabla Articulos'!B:B,'Tabla Articulos'!D:D)</f>
        <v>#N/A</v>
      </c>
      <c r="Q1856" s="44" t="e">
        <f>_xlfn.XLOOKUP(S1856,'Tabla Articulos'!B:B,'Tabla Articulos'!E:E)</f>
        <v>#N/A</v>
      </c>
      <c r="R1856" s="44" t="e">
        <f t="shared" si="56"/>
        <v>#N/A</v>
      </c>
      <c r="S1856" s="45" t="str">
        <f t="shared" si="57"/>
        <v>UNIF000166</v>
      </c>
    </row>
    <row r="1857" spans="1:19" hidden="1" x14ac:dyDescent="0.35">
      <c r="A1857" s="22">
        <v>6</v>
      </c>
      <c r="B1857" t="s">
        <v>801</v>
      </c>
      <c r="C1857" t="s">
        <v>802</v>
      </c>
      <c r="D1857" s="11" t="s">
        <v>55</v>
      </c>
      <c r="E1857" t="s">
        <v>4175</v>
      </c>
      <c r="F1857">
        <v>2011501</v>
      </c>
      <c r="G1857" t="s">
        <v>4176</v>
      </c>
      <c r="H1857" t="s">
        <v>805</v>
      </c>
      <c r="I1857">
        <v>496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496</v>
      </c>
      <c r="P1857" s="44" t="str">
        <f>_xlfn.XLOOKUP(Tabla5[[#This Row],[EAN CORREGIDO]],'Tabla Articulos'!B:B,'Tabla Articulos'!D:D)</f>
        <v>TAPA 101</v>
      </c>
      <c r="Q1857" s="44">
        <f>_xlfn.XLOOKUP(S1857,'Tabla Articulos'!B:B,'Tabla Articulos'!E:E)</f>
        <v>100</v>
      </c>
      <c r="R1857" s="44">
        <f t="shared" ref="R1857:R1920" si="58">O1857*Q1857</f>
        <v>49600</v>
      </c>
      <c r="S1857" s="45" t="str">
        <f t="shared" ref="S1857:S1920" si="59">TRIM(E1857)</f>
        <v>7798011210022</v>
      </c>
    </row>
    <row r="1858" spans="1:19" hidden="1" x14ac:dyDescent="0.35">
      <c r="A1858" s="22">
        <v>6</v>
      </c>
      <c r="B1858" t="s">
        <v>801</v>
      </c>
      <c r="C1858" t="s">
        <v>802</v>
      </c>
      <c r="E1858" t="s">
        <v>4177</v>
      </c>
      <c r="F1858">
        <v>9003812</v>
      </c>
      <c r="G1858" t="s">
        <v>4178</v>
      </c>
      <c r="H1858" t="s">
        <v>805</v>
      </c>
      <c r="I1858">
        <v>257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257</v>
      </c>
      <c r="P1858" s="44" t="e">
        <f>_xlfn.XLOOKUP(Tabla5[[#This Row],[EAN CORREGIDO]],'Tabla Articulos'!B:B,'Tabla Articulos'!D:D)</f>
        <v>#N/A</v>
      </c>
      <c r="Q1858" s="44" t="e">
        <f>_xlfn.XLOOKUP(S1858,'Tabla Articulos'!B:B,'Tabla Articulos'!E:E)</f>
        <v>#N/A</v>
      </c>
      <c r="R1858" s="44" t="e">
        <f t="shared" si="58"/>
        <v>#N/A</v>
      </c>
      <c r="S1858" s="45" t="str">
        <f t="shared" si="59"/>
        <v>BAZ001172</v>
      </c>
    </row>
    <row r="1859" spans="1:19" hidden="1" x14ac:dyDescent="0.35">
      <c r="A1859" s="22">
        <v>6</v>
      </c>
      <c r="B1859" t="s">
        <v>801</v>
      </c>
      <c r="C1859" t="s">
        <v>802</v>
      </c>
      <c r="D1859"/>
      <c r="E1859" t="s">
        <v>4179</v>
      </c>
      <c r="F1859">
        <v>9003169</v>
      </c>
      <c r="G1859" t="s">
        <v>4180</v>
      </c>
      <c r="H1859" t="s">
        <v>805</v>
      </c>
      <c r="I1859">
        <v>112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112</v>
      </c>
      <c r="P1859" s="44" t="e">
        <f>_xlfn.XLOOKUP(Tabla5[[#This Row],[EAN CORREGIDO]],'Tabla Articulos'!B:B,'Tabla Articulos'!D:D)</f>
        <v>#N/A</v>
      </c>
      <c r="Q1859" s="44" t="e">
        <f>_xlfn.XLOOKUP(S1859,'Tabla Articulos'!B:B,'Tabla Articulos'!E:E)</f>
        <v>#N/A</v>
      </c>
      <c r="R1859" s="44" t="e">
        <f t="shared" si="58"/>
        <v>#N/A</v>
      </c>
      <c r="S1859" s="45" t="str">
        <f t="shared" si="59"/>
        <v>UNIF000631</v>
      </c>
    </row>
    <row r="1860" spans="1:19" hidden="1" x14ac:dyDescent="0.35">
      <c r="A1860" s="22">
        <v>5</v>
      </c>
      <c r="B1860" t="s">
        <v>829</v>
      </c>
      <c r="C1860" t="s">
        <v>802</v>
      </c>
      <c r="D1860" t="s">
        <v>4181</v>
      </c>
      <c r="E1860" t="s">
        <v>4182</v>
      </c>
      <c r="F1860">
        <v>4018017</v>
      </c>
      <c r="G1860" t="s">
        <v>4183</v>
      </c>
      <c r="H1860" t="s">
        <v>816</v>
      </c>
      <c r="I1860">
        <v>0.2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0.2</v>
      </c>
      <c r="P1860" s="44" t="e">
        <f>_xlfn.XLOOKUP(Tabla5[[#This Row],[EAN CORREGIDO]],'Tabla Articulos'!B:B,'Tabla Articulos'!D:D)</f>
        <v>#N/A</v>
      </c>
      <c r="Q1860" s="44" t="e">
        <f>_xlfn.XLOOKUP(S1860,'Tabla Articulos'!B:B,'Tabla Articulos'!E:E)</f>
        <v>#N/A</v>
      </c>
      <c r="R1860" s="44" t="e">
        <f t="shared" si="58"/>
        <v>#N/A</v>
      </c>
      <c r="S1860" s="45" t="str">
        <f t="shared" si="59"/>
        <v>7790216020099</v>
      </c>
    </row>
    <row r="1861" spans="1:19" hidden="1" x14ac:dyDescent="0.35">
      <c r="A1861" s="22">
        <v>1</v>
      </c>
      <c r="B1861" t="s">
        <v>812</v>
      </c>
      <c r="C1861" t="s">
        <v>802</v>
      </c>
      <c r="D1861" t="s">
        <v>4184</v>
      </c>
      <c r="E1861" t="s">
        <v>4185</v>
      </c>
      <c r="F1861">
        <v>4048940</v>
      </c>
      <c r="G1861" t="s">
        <v>4186</v>
      </c>
      <c r="H1861" t="s">
        <v>805</v>
      </c>
      <c r="I1861">
        <v>1633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1633</v>
      </c>
      <c r="P1861" s="44" t="e">
        <f>_xlfn.XLOOKUP(Tabla5[[#This Row],[EAN CORREGIDO]],'Tabla Articulos'!B:B,'Tabla Articulos'!D:D)</f>
        <v>#N/A</v>
      </c>
      <c r="Q1861" s="44" t="e">
        <f>_xlfn.XLOOKUP(S1861,'Tabla Articulos'!B:B,'Tabla Articulos'!E:E)</f>
        <v>#N/A</v>
      </c>
      <c r="R1861" s="44" t="e">
        <f t="shared" si="58"/>
        <v>#N/A</v>
      </c>
      <c r="S1861" s="45" t="str">
        <f t="shared" si="59"/>
        <v>7791599000221</v>
      </c>
    </row>
    <row r="1862" spans="1:19" hidden="1" x14ac:dyDescent="0.35">
      <c r="A1862" s="22">
        <v>5</v>
      </c>
      <c r="B1862" t="s">
        <v>829</v>
      </c>
      <c r="C1862" t="s">
        <v>802</v>
      </c>
      <c r="D1862" t="s">
        <v>4184</v>
      </c>
      <c r="E1862" t="s">
        <v>4185</v>
      </c>
      <c r="F1862">
        <v>4048940</v>
      </c>
      <c r="G1862" t="s">
        <v>4186</v>
      </c>
      <c r="H1862" t="s">
        <v>805</v>
      </c>
      <c r="I1862">
        <v>7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7</v>
      </c>
      <c r="P1862" s="44" t="e">
        <f>_xlfn.XLOOKUP(Tabla5[[#This Row],[EAN CORREGIDO]],'Tabla Articulos'!B:B,'Tabla Articulos'!D:D)</f>
        <v>#N/A</v>
      </c>
      <c r="Q1862" s="44" t="e">
        <f>_xlfn.XLOOKUP(S1862,'Tabla Articulos'!B:B,'Tabla Articulos'!E:E)</f>
        <v>#N/A</v>
      </c>
      <c r="R1862" s="44" t="e">
        <f t="shared" si="58"/>
        <v>#N/A</v>
      </c>
      <c r="S1862" s="45" t="str">
        <f t="shared" si="59"/>
        <v>7791599000221</v>
      </c>
    </row>
    <row r="1863" spans="1:19" hidden="1" x14ac:dyDescent="0.35">
      <c r="A1863" s="22">
        <v>5</v>
      </c>
      <c r="B1863" t="s">
        <v>829</v>
      </c>
      <c r="C1863" t="s">
        <v>802</v>
      </c>
      <c r="D1863" s="11" t="s">
        <v>4187</v>
      </c>
      <c r="E1863" t="s">
        <v>4188</v>
      </c>
      <c r="F1863">
        <v>4017328</v>
      </c>
      <c r="G1863" t="s">
        <v>4189</v>
      </c>
      <c r="H1863" t="s">
        <v>805</v>
      </c>
      <c r="I1863">
        <v>0</v>
      </c>
      <c r="J1863">
        <v>40</v>
      </c>
      <c r="K1863">
        <v>0</v>
      </c>
      <c r="L1863">
        <v>0</v>
      </c>
      <c r="M1863">
        <v>0</v>
      </c>
      <c r="N1863">
        <v>0</v>
      </c>
      <c r="O1863">
        <v>40</v>
      </c>
      <c r="P1863" s="44" t="e">
        <f>_xlfn.XLOOKUP(Tabla5[[#This Row],[EAN CORREGIDO]],'Tabla Articulos'!B:B,'Tabla Articulos'!D:D)</f>
        <v>#N/A</v>
      </c>
      <c r="Q1863" s="44" t="e">
        <f>_xlfn.XLOOKUP(S1863,'Tabla Articulos'!B:B,'Tabla Articulos'!E:E)</f>
        <v>#N/A</v>
      </c>
      <c r="R1863" s="44" t="e">
        <f t="shared" si="58"/>
        <v>#N/A</v>
      </c>
      <c r="S1863" s="45" t="str">
        <f t="shared" si="59"/>
        <v>7790984000037</v>
      </c>
    </row>
    <row r="1864" spans="1:19" hidden="1" x14ac:dyDescent="0.35">
      <c r="A1864" s="22">
        <v>6</v>
      </c>
      <c r="B1864" t="s">
        <v>801</v>
      </c>
      <c r="C1864" t="s">
        <v>802</v>
      </c>
      <c r="D1864"/>
      <c r="E1864" t="s">
        <v>1661</v>
      </c>
      <c r="F1864">
        <v>9003062</v>
      </c>
      <c r="G1864" t="s">
        <v>1662</v>
      </c>
      <c r="H1864" t="s">
        <v>805</v>
      </c>
      <c r="I1864">
        <v>28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28</v>
      </c>
      <c r="P1864" s="44" t="e">
        <f>_xlfn.XLOOKUP(Tabla5[[#This Row],[EAN CORREGIDO]],'Tabla Articulos'!B:B,'Tabla Articulos'!D:D)</f>
        <v>#N/A</v>
      </c>
      <c r="Q1864" s="44" t="e">
        <f>_xlfn.XLOOKUP(S1864,'Tabla Articulos'!B:B,'Tabla Articulos'!E:E)</f>
        <v>#N/A</v>
      </c>
      <c r="R1864" s="44" t="e">
        <f t="shared" si="58"/>
        <v>#N/A</v>
      </c>
      <c r="S1864" s="45" t="str">
        <f t="shared" si="59"/>
        <v>UNIF000031</v>
      </c>
    </row>
    <row r="1865" spans="1:19" hidden="1" x14ac:dyDescent="0.35">
      <c r="A1865" s="22">
        <v>5</v>
      </c>
      <c r="B1865" t="s">
        <v>829</v>
      </c>
      <c r="C1865" t="s">
        <v>802</v>
      </c>
      <c r="D1865" t="s">
        <v>1663</v>
      </c>
      <c r="E1865" t="s">
        <v>1664</v>
      </c>
      <c r="F1865">
        <v>4048941</v>
      </c>
      <c r="G1865" t="s">
        <v>1665</v>
      </c>
      <c r="H1865" t="s">
        <v>805</v>
      </c>
      <c r="I1865">
        <v>7573</v>
      </c>
      <c r="J1865">
        <v>0</v>
      </c>
      <c r="K1865">
        <v>0</v>
      </c>
      <c r="L1865">
        <v>0</v>
      </c>
      <c r="M1865">
        <v>25</v>
      </c>
      <c r="N1865">
        <v>0</v>
      </c>
      <c r="O1865">
        <v>7548</v>
      </c>
      <c r="P1865" s="44" t="e">
        <f>_xlfn.XLOOKUP(Tabla5[[#This Row],[EAN CORREGIDO]],'Tabla Articulos'!B:B,'Tabla Articulos'!D:D)</f>
        <v>#N/A</v>
      </c>
      <c r="Q1865" s="44" t="e">
        <f>_xlfn.XLOOKUP(S1865,'Tabla Articulos'!B:B,'Tabla Articulos'!E:E)</f>
        <v>#N/A</v>
      </c>
      <c r="R1865" s="44" t="e">
        <f t="shared" si="58"/>
        <v>#N/A</v>
      </c>
      <c r="S1865" s="45" t="str">
        <f t="shared" si="59"/>
        <v>7791599014648</v>
      </c>
    </row>
    <row r="1866" spans="1:19" hidden="1" x14ac:dyDescent="0.35">
      <c r="A1866" s="22">
        <v>1</v>
      </c>
      <c r="B1866" t="s">
        <v>812</v>
      </c>
      <c r="C1866" t="s">
        <v>802</v>
      </c>
      <c r="D1866" t="s">
        <v>2158</v>
      </c>
      <c r="E1866" t="s">
        <v>2972</v>
      </c>
      <c r="F1866">
        <v>4019698</v>
      </c>
      <c r="G1866" t="s">
        <v>2973</v>
      </c>
      <c r="H1866" t="s">
        <v>805</v>
      </c>
      <c r="I1866">
        <v>148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148</v>
      </c>
      <c r="P1866" s="44" t="e">
        <f>_xlfn.XLOOKUP(Tabla5[[#This Row],[EAN CORREGIDO]],'Tabla Articulos'!B:B,'Tabla Articulos'!D:D)</f>
        <v>#N/A</v>
      </c>
      <c r="Q1866" s="44" t="e">
        <f>_xlfn.XLOOKUP(S1866,'Tabla Articulos'!B:B,'Tabla Articulos'!E:E)</f>
        <v>#N/A</v>
      </c>
      <c r="R1866" s="44" t="e">
        <f t="shared" si="58"/>
        <v>#N/A</v>
      </c>
      <c r="S1866" s="45" t="str">
        <f t="shared" si="59"/>
        <v>7791120037559</v>
      </c>
    </row>
    <row r="1867" spans="1:19" hidden="1" x14ac:dyDescent="0.35">
      <c r="A1867" s="22">
        <v>6</v>
      </c>
      <c r="B1867" t="s">
        <v>801</v>
      </c>
      <c r="C1867" t="s">
        <v>802</v>
      </c>
      <c r="E1867" t="s">
        <v>2974</v>
      </c>
      <c r="F1867">
        <v>9003290</v>
      </c>
      <c r="G1867" t="s">
        <v>2975</v>
      </c>
      <c r="H1867" t="s">
        <v>805</v>
      </c>
      <c r="I1867">
        <v>32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32</v>
      </c>
      <c r="P1867" s="44" t="e">
        <f>_xlfn.XLOOKUP(Tabla5[[#This Row],[EAN CORREGIDO]],'Tabla Articulos'!B:B,'Tabla Articulos'!D:D)</f>
        <v>#N/A</v>
      </c>
      <c r="Q1867" s="44" t="e">
        <f>_xlfn.XLOOKUP(S1867,'Tabla Articulos'!B:B,'Tabla Articulos'!E:E)</f>
        <v>#N/A</v>
      </c>
      <c r="R1867" s="44" t="e">
        <f t="shared" si="58"/>
        <v>#N/A</v>
      </c>
      <c r="S1867" s="45" t="str">
        <f t="shared" si="59"/>
        <v>UNIF000037</v>
      </c>
    </row>
    <row r="1868" spans="1:19" hidden="1" x14ac:dyDescent="0.35">
      <c r="A1868" s="22">
        <v>6</v>
      </c>
      <c r="B1868" t="s">
        <v>801</v>
      </c>
      <c r="C1868" t="s">
        <v>802</v>
      </c>
      <c r="D1868" s="11" t="s">
        <v>301</v>
      </c>
      <c r="E1868" t="s">
        <v>2976</v>
      </c>
      <c r="F1868">
        <v>2007187</v>
      </c>
      <c r="G1868" t="s">
        <v>2977</v>
      </c>
      <c r="H1868" t="s">
        <v>805</v>
      </c>
      <c r="I1868">
        <v>781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781</v>
      </c>
      <c r="P1868" s="44" t="str">
        <f>_xlfn.XLOOKUP(Tabla5[[#This Row],[EAN CORREGIDO]],'Tabla Articulos'!B:B,'Tabla Articulos'!D:D)</f>
        <v>INDIVIDUAL GL SUPPORT</v>
      </c>
      <c r="Q1868" s="44">
        <f>_xlfn.XLOOKUP(S1868,'Tabla Articulos'!B:B,'Tabla Articulos'!E:E)</f>
        <v>1000</v>
      </c>
      <c r="R1868" s="44">
        <f t="shared" si="58"/>
        <v>781000</v>
      </c>
      <c r="S1868" s="45" t="str">
        <f t="shared" si="59"/>
        <v>7790000000231</v>
      </c>
    </row>
    <row r="1869" spans="1:19" hidden="1" x14ac:dyDescent="0.35">
      <c r="A1869" s="22">
        <v>5</v>
      </c>
      <c r="B1869" t="s">
        <v>829</v>
      </c>
      <c r="C1869" t="s">
        <v>802</v>
      </c>
      <c r="D1869" t="s">
        <v>2978</v>
      </c>
      <c r="E1869" t="s">
        <v>2979</v>
      </c>
      <c r="F1869">
        <v>4019348</v>
      </c>
      <c r="G1869" t="s">
        <v>2980</v>
      </c>
      <c r="H1869" t="s">
        <v>805</v>
      </c>
      <c r="I1869">
        <v>162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162</v>
      </c>
      <c r="P1869" s="44" t="e">
        <f>_xlfn.XLOOKUP(Tabla5[[#This Row],[EAN CORREGIDO]],'Tabla Articulos'!B:B,'Tabla Articulos'!D:D)</f>
        <v>#N/A</v>
      </c>
      <c r="Q1869" s="44" t="e">
        <f>_xlfn.XLOOKUP(S1869,'Tabla Articulos'!B:B,'Tabla Articulos'!E:E)</f>
        <v>#N/A</v>
      </c>
      <c r="R1869" s="44" t="e">
        <f t="shared" si="58"/>
        <v>#N/A</v>
      </c>
      <c r="S1869" s="45" t="str">
        <f t="shared" si="59"/>
        <v>7790387010046</v>
      </c>
    </row>
    <row r="1870" spans="1:19" hidden="1" x14ac:dyDescent="0.35">
      <c r="A1870" s="22">
        <v>6</v>
      </c>
      <c r="B1870" t="s">
        <v>801</v>
      </c>
      <c r="C1870" t="s">
        <v>802</v>
      </c>
      <c r="D1870"/>
      <c r="E1870" t="s">
        <v>2981</v>
      </c>
      <c r="F1870">
        <v>9003500</v>
      </c>
      <c r="G1870" t="s">
        <v>2982</v>
      </c>
      <c r="H1870" t="s">
        <v>805</v>
      </c>
      <c r="I1870">
        <v>2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2</v>
      </c>
      <c r="P1870" s="44" t="e">
        <f>_xlfn.XLOOKUP(Tabla5[[#This Row],[EAN CORREGIDO]],'Tabla Articulos'!B:B,'Tabla Articulos'!D:D)</f>
        <v>#N/A</v>
      </c>
      <c r="Q1870" s="44" t="e">
        <f>_xlfn.XLOOKUP(S1870,'Tabla Articulos'!B:B,'Tabla Articulos'!E:E)</f>
        <v>#N/A</v>
      </c>
      <c r="R1870" s="44" t="e">
        <f t="shared" si="58"/>
        <v>#N/A</v>
      </c>
      <c r="S1870" s="45" t="str">
        <f t="shared" si="59"/>
        <v>UNIF000232</v>
      </c>
    </row>
    <row r="1871" spans="1:19" hidden="1" x14ac:dyDescent="0.35">
      <c r="A1871" s="22">
        <v>6</v>
      </c>
      <c r="B1871" t="s">
        <v>801</v>
      </c>
      <c r="C1871" t="s">
        <v>802</v>
      </c>
      <c r="D1871" s="11" t="s">
        <v>2600</v>
      </c>
      <c r="E1871" t="s">
        <v>2983</v>
      </c>
      <c r="F1871">
        <v>2011521</v>
      </c>
      <c r="G1871" t="s">
        <v>2984</v>
      </c>
      <c r="H1871" t="s">
        <v>805</v>
      </c>
      <c r="I1871">
        <v>9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9</v>
      </c>
      <c r="P1871" s="44" t="e">
        <f>_xlfn.XLOOKUP(Tabla5[[#This Row],[EAN CORREGIDO]],'Tabla Articulos'!B:B,'Tabla Articulos'!D:D)</f>
        <v>#N/A</v>
      </c>
      <c r="Q1871" s="44" t="e">
        <f>_xlfn.XLOOKUP(S1871,'Tabla Articulos'!B:B,'Tabla Articulos'!E:E)</f>
        <v>#N/A</v>
      </c>
      <c r="R1871" s="44" t="e">
        <f t="shared" si="58"/>
        <v>#N/A</v>
      </c>
      <c r="S1871" s="45" t="str">
        <f t="shared" si="59"/>
        <v>7798092969444</v>
      </c>
    </row>
    <row r="1872" spans="1:19" hidden="1" x14ac:dyDescent="0.35">
      <c r="A1872" s="22">
        <v>6</v>
      </c>
      <c r="B1872" t="s">
        <v>801</v>
      </c>
      <c r="C1872" t="s">
        <v>802</v>
      </c>
      <c r="E1872" t="s">
        <v>2985</v>
      </c>
      <c r="F1872">
        <v>9003502</v>
      </c>
      <c r="G1872" t="s">
        <v>2986</v>
      </c>
      <c r="H1872" t="s">
        <v>805</v>
      </c>
      <c r="I1872">
        <v>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2</v>
      </c>
      <c r="P1872" s="44" t="e">
        <f>_xlfn.XLOOKUP(Tabla5[[#This Row],[EAN CORREGIDO]],'Tabla Articulos'!B:B,'Tabla Articulos'!D:D)</f>
        <v>#N/A</v>
      </c>
      <c r="Q1872" s="44" t="e">
        <f>_xlfn.XLOOKUP(S1872,'Tabla Articulos'!B:B,'Tabla Articulos'!E:E)</f>
        <v>#N/A</v>
      </c>
      <c r="R1872" s="44" t="e">
        <f t="shared" si="58"/>
        <v>#N/A</v>
      </c>
      <c r="S1872" s="45" t="str">
        <f t="shared" si="59"/>
        <v>UNIF000234</v>
      </c>
    </row>
    <row r="1873" spans="1:19" hidden="1" x14ac:dyDescent="0.35">
      <c r="A1873" s="22">
        <v>6</v>
      </c>
      <c r="B1873" t="s">
        <v>801</v>
      </c>
      <c r="C1873" t="s">
        <v>802</v>
      </c>
      <c r="D1873"/>
      <c r="E1873" t="s">
        <v>2987</v>
      </c>
      <c r="F1873">
        <v>9003130</v>
      </c>
      <c r="G1873" t="s">
        <v>2988</v>
      </c>
      <c r="H1873" t="s">
        <v>805</v>
      </c>
      <c r="I1873">
        <v>13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13</v>
      </c>
      <c r="P1873" s="44" t="e">
        <f>_xlfn.XLOOKUP(Tabla5[[#This Row],[EAN CORREGIDO]],'Tabla Articulos'!B:B,'Tabla Articulos'!D:D)</f>
        <v>#N/A</v>
      </c>
      <c r="Q1873" s="44" t="e">
        <f>_xlfn.XLOOKUP(S1873,'Tabla Articulos'!B:B,'Tabla Articulos'!E:E)</f>
        <v>#N/A</v>
      </c>
      <c r="R1873" s="44" t="e">
        <f t="shared" si="58"/>
        <v>#N/A</v>
      </c>
      <c r="S1873" s="45" t="str">
        <f t="shared" si="59"/>
        <v>UNIF000592</v>
      </c>
    </row>
    <row r="1874" spans="1:19" hidden="1" x14ac:dyDescent="0.35">
      <c r="A1874" s="22">
        <v>6</v>
      </c>
      <c r="B1874" t="s">
        <v>801</v>
      </c>
      <c r="C1874" t="s">
        <v>802</v>
      </c>
      <c r="D1874"/>
      <c r="E1874" t="s">
        <v>2591</v>
      </c>
      <c r="F1874">
        <v>9003497</v>
      </c>
      <c r="G1874" t="s">
        <v>2592</v>
      </c>
      <c r="H1874" t="s">
        <v>805</v>
      </c>
      <c r="I1874">
        <v>6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6</v>
      </c>
      <c r="P1874" s="44" t="e">
        <f>_xlfn.XLOOKUP(Tabla5[[#This Row],[EAN CORREGIDO]],'Tabla Articulos'!B:B,'Tabla Articulos'!D:D)</f>
        <v>#N/A</v>
      </c>
      <c r="Q1874" s="44" t="e">
        <f>_xlfn.XLOOKUP(S1874,'Tabla Articulos'!B:B,'Tabla Articulos'!E:E)</f>
        <v>#N/A</v>
      </c>
      <c r="R1874" s="44" t="e">
        <f t="shared" si="58"/>
        <v>#N/A</v>
      </c>
      <c r="S1874" s="45" t="str">
        <f t="shared" si="59"/>
        <v>UNIF000229</v>
      </c>
    </row>
    <row r="1875" spans="1:19" hidden="1" x14ac:dyDescent="0.35">
      <c r="A1875" s="22">
        <v>6</v>
      </c>
      <c r="B1875" t="s">
        <v>801</v>
      </c>
      <c r="C1875" t="s">
        <v>802</v>
      </c>
      <c r="D1875"/>
      <c r="E1875" t="s">
        <v>2593</v>
      </c>
      <c r="F1875">
        <v>9003578</v>
      </c>
      <c r="G1875" t="s">
        <v>2594</v>
      </c>
      <c r="H1875" t="s">
        <v>805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</v>
      </c>
      <c r="P1875" s="44" t="e">
        <f>_xlfn.XLOOKUP(Tabla5[[#This Row],[EAN CORREGIDO]],'Tabla Articulos'!B:B,'Tabla Articulos'!D:D)</f>
        <v>#N/A</v>
      </c>
      <c r="Q1875" s="44" t="e">
        <f>_xlfn.XLOOKUP(S1875,'Tabla Articulos'!B:B,'Tabla Articulos'!E:E)</f>
        <v>#N/A</v>
      </c>
      <c r="R1875" s="44" t="e">
        <f t="shared" si="58"/>
        <v>#N/A</v>
      </c>
      <c r="S1875" s="45" t="str">
        <f t="shared" si="59"/>
        <v>UNIF000490</v>
      </c>
    </row>
    <row r="1876" spans="1:19" hidden="1" x14ac:dyDescent="0.35">
      <c r="A1876" s="22">
        <v>1</v>
      </c>
      <c r="B1876" t="s">
        <v>812</v>
      </c>
      <c r="C1876" t="s">
        <v>802</v>
      </c>
      <c r="D1876" s="11" t="s">
        <v>2595</v>
      </c>
      <c r="E1876" t="s">
        <v>2596</v>
      </c>
      <c r="F1876">
        <v>4019730</v>
      </c>
      <c r="G1876" t="s">
        <v>2597</v>
      </c>
      <c r="H1876" t="s">
        <v>805</v>
      </c>
      <c r="I1876">
        <v>446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446</v>
      </c>
      <c r="P1876" s="44" t="e">
        <f>_xlfn.XLOOKUP(Tabla5[[#This Row],[EAN CORREGIDO]],'Tabla Articulos'!B:B,'Tabla Articulos'!D:D)</f>
        <v>#N/A</v>
      </c>
      <c r="Q1876" s="44" t="e">
        <f>_xlfn.XLOOKUP(S1876,'Tabla Articulos'!B:B,'Tabla Articulos'!E:E)</f>
        <v>#N/A</v>
      </c>
      <c r="R1876" s="44" t="e">
        <f t="shared" si="58"/>
        <v>#N/A</v>
      </c>
      <c r="S1876" s="45" t="str">
        <f t="shared" si="59"/>
        <v>7790499000546</v>
      </c>
    </row>
    <row r="1877" spans="1:19" hidden="1" x14ac:dyDescent="0.35">
      <c r="A1877" s="22">
        <v>6</v>
      </c>
      <c r="B1877" t="s">
        <v>801</v>
      </c>
      <c r="C1877" t="s">
        <v>802</v>
      </c>
      <c r="D1877" t="s">
        <v>189</v>
      </c>
      <c r="E1877" t="s">
        <v>2598</v>
      </c>
      <c r="F1877">
        <v>2006487</v>
      </c>
      <c r="G1877" t="s">
        <v>2599</v>
      </c>
      <c r="H1877" t="s">
        <v>805</v>
      </c>
      <c r="I1877">
        <v>1245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1245</v>
      </c>
      <c r="P1877" s="44" t="str">
        <f>_xlfn.XLOOKUP(Tabla5[[#This Row],[EAN CORREGIDO]],'Tabla Articulos'!B:B,'Tabla Articulos'!D:D)</f>
        <v>ARRANQUE 15X20</v>
      </c>
      <c r="Q1877" s="44">
        <f>_xlfn.XLOOKUP(S1877,'Tabla Articulos'!B:B,'Tabla Articulos'!E:E)</f>
        <v>1</v>
      </c>
      <c r="R1877" s="44">
        <f t="shared" si="58"/>
        <v>1245</v>
      </c>
      <c r="S1877" s="45" t="str">
        <f t="shared" si="59"/>
        <v>16204014A</v>
      </c>
    </row>
    <row r="1878" spans="1:19" hidden="1" x14ac:dyDescent="0.35">
      <c r="A1878" s="22">
        <v>5</v>
      </c>
      <c r="B1878" t="s">
        <v>829</v>
      </c>
      <c r="C1878" t="s">
        <v>802</v>
      </c>
      <c r="D1878" s="11" t="s">
        <v>189</v>
      </c>
      <c r="E1878" t="s">
        <v>2598</v>
      </c>
      <c r="F1878">
        <v>2006487</v>
      </c>
      <c r="G1878" t="s">
        <v>2599</v>
      </c>
      <c r="H1878" t="s">
        <v>805</v>
      </c>
      <c r="I1878">
        <v>105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105</v>
      </c>
      <c r="P1878" s="44" t="str">
        <f>_xlfn.XLOOKUP(Tabla5[[#This Row],[EAN CORREGIDO]],'Tabla Articulos'!B:B,'Tabla Articulos'!D:D)</f>
        <v>ARRANQUE 15X20</v>
      </c>
      <c r="Q1878" s="44">
        <f>_xlfn.XLOOKUP(S1878,'Tabla Articulos'!B:B,'Tabla Articulos'!E:E)</f>
        <v>1</v>
      </c>
      <c r="R1878" s="44">
        <f t="shared" si="58"/>
        <v>105</v>
      </c>
      <c r="S1878" s="45" t="str">
        <f t="shared" si="59"/>
        <v>16204014A</v>
      </c>
    </row>
    <row r="1879" spans="1:19" hidden="1" x14ac:dyDescent="0.35">
      <c r="A1879" s="22">
        <v>6</v>
      </c>
      <c r="B1879" t="s">
        <v>801</v>
      </c>
      <c r="C1879" t="s">
        <v>802</v>
      </c>
      <c r="D1879" s="11" t="s">
        <v>2600</v>
      </c>
      <c r="E1879" t="s">
        <v>2601</v>
      </c>
      <c r="F1879">
        <v>2006696</v>
      </c>
      <c r="G1879" t="s">
        <v>2602</v>
      </c>
      <c r="H1879" t="s">
        <v>805</v>
      </c>
      <c r="I1879">
        <v>10</v>
      </c>
      <c r="J1879">
        <v>0</v>
      </c>
      <c r="K1879">
        <v>0</v>
      </c>
      <c r="L1879">
        <v>0</v>
      </c>
      <c r="M1879">
        <v>10</v>
      </c>
      <c r="N1879">
        <v>0</v>
      </c>
      <c r="O1879">
        <v>0</v>
      </c>
      <c r="P1879" s="44" t="e">
        <f>_xlfn.XLOOKUP(Tabla5[[#This Row],[EAN CORREGIDO]],'Tabla Articulos'!B:B,'Tabla Articulos'!D:D)</f>
        <v>#N/A</v>
      </c>
      <c r="Q1879" s="44" t="e">
        <f>_xlfn.XLOOKUP(S1879,'Tabla Articulos'!B:B,'Tabla Articulos'!E:E)</f>
        <v>#N/A</v>
      </c>
      <c r="R1879" s="44" t="e">
        <f t="shared" si="58"/>
        <v>#N/A</v>
      </c>
      <c r="S1879" s="45" t="str">
        <f t="shared" si="59"/>
        <v>7793253004443</v>
      </c>
    </row>
    <row r="1880" spans="1:19" hidden="1" x14ac:dyDescent="0.35">
      <c r="A1880" s="22">
        <v>6</v>
      </c>
      <c r="B1880" t="s">
        <v>801</v>
      </c>
      <c r="C1880" t="s">
        <v>802</v>
      </c>
      <c r="D1880"/>
      <c r="E1880" t="s">
        <v>5356</v>
      </c>
      <c r="F1880">
        <v>9003609</v>
      </c>
      <c r="G1880" t="s">
        <v>5357</v>
      </c>
      <c r="H1880" t="s">
        <v>805</v>
      </c>
      <c r="I1880">
        <v>40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40</v>
      </c>
      <c r="P1880" s="44" t="e">
        <f>_xlfn.XLOOKUP(Tabla5[[#This Row],[EAN CORREGIDO]],'Tabla Articulos'!B:B,'Tabla Articulos'!D:D)</f>
        <v>#N/A</v>
      </c>
      <c r="Q1880" s="44" t="e">
        <f>_xlfn.XLOOKUP(S1880,'Tabla Articulos'!B:B,'Tabla Articulos'!E:E)</f>
        <v>#N/A</v>
      </c>
      <c r="R1880" s="44" t="e">
        <f t="shared" si="58"/>
        <v>#N/A</v>
      </c>
      <c r="S1880" s="45" t="str">
        <f t="shared" si="59"/>
        <v>UNIF000448</v>
      </c>
    </row>
    <row r="1881" spans="1:19" hidden="1" x14ac:dyDescent="0.35">
      <c r="A1881" s="22">
        <v>6</v>
      </c>
      <c r="B1881" t="s">
        <v>801</v>
      </c>
      <c r="C1881" t="s">
        <v>802</v>
      </c>
      <c r="D1881"/>
      <c r="E1881" t="s">
        <v>5358</v>
      </c>
      <c r="F1881">
        <v>9003725</v>
      </c>
      <c r="G1881" t="s">
        <v>5359</v>
      </c>
      <c r="H1881" t="s">
        <v>805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4</v>
      </c>
      <c r="P1881" s="44" t="e">
        <f>_xlfn.XLOOKUP(Tabla5[[#This Row],[EAN CORREGIDO]],'Tabla Articulos'!B:B,'Tabla Articulos'!D:D)</f>
        <v>#N/A</v>
      </c>
      <c r="Q1881" s="44" t="e">
        <f>_xlfn.XLOOKUP(S1881,'Tabla Articulos'!B:B,'Tabla Articulos'!E:E)</f>
        <v>#N/A</v>
      </c>
      <c r="R1881" s="44" t="e">
        <f t="shared" si="58"/>
        <v>#N/A</v>
      </c>
      <c r="S1881" s="45" t="str">
        <f t="shared" si="59"/>
        <v>BAZ001331</v>
      </c>
    </row>
    <row r="1882" spans="1:19" hidden="1" x14ac:dyDescent="0.35">
      <c r="A1882" s="22">
        <v>6</v>
      </c>
      <c r="B1882" t="s">
        <v>801</v>
      </c>
      <c r="C1882" t="s">
        <v>802</v>
      </c>
      <c r="D1882"/>
      <c r="E1882" t="s">
        <v>4190</v>
      </c>
      <c r="F1882">
        <v>9004192</v>
      </c>
      <c r="G1882" t="s">
        <v>4191</v>
      </c>
      <c r="H1882" t="s">
        <v>805</v>
      </c>
      <c r="I1882">
        <v>30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30</v>
      </c>
      <c r="P1882" s="44" t="e">
        <f>_xlfn.XLOOKUP(Tabla5[[#This Row],[EAN CORREGIDO]],'Tabla Articulos'!B:B,'Tabla Articulos'!D:D)</f>
        <v>#N/A</v>
      </c>
      <c r="Q1882" s="44" t="e">
        <f>_xlfn.XLOOKUP(S1882,'Tabla Articulos'!B:B,'Tabla Articulos'!E:E)</f>
        <v>#N/A</v>
      </c>
      <c r="R1882" s="44" t="e">
        <f t="shared" si="58"/>
        <v>#N/A</v>
      </c>
      <c r="S1882" s="45" t="str">
        <f t="shared" si="59"/>
        <v>UNIF000738</v>
      </c>
    </row>
    <row r="1883" spans="1:19" hidden="1" x14ac:dyDescent="0.35">
      <c r="A1883" s="22">
        <v>5</v>
      </c>
      <c r="B1883" t="s">
        <v>829</v>
      </c>
      <c r="C1883" t="s">
        <v>802</v>
      </c>
      <c r="D1883" t="s">
        <v>1519</v>
      </c>
      <c r="E1883" t="s">
        <v>4192</v>
      </c>
      <c r="F1883">
        <v>4077269</v>
      </c>
      <c r="G1883" t="s">
        <v>4193</v>
      </c>
      <c r="H1883" t="s">
        <v>805</v>
      </c>
      <c r="I1883">
        <v>100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100</v>
      </c>
      <c r="P1883" s="44" t="e">
        <f>_xlfn.XLOOKUP(Tabla5[[#This Row],[EAN CORREGIDO]],'Tabla Articulos'!B:B,'Tabla Articulos'!D:D)</f>
        <v>#N/A</v>
      </c>
      <c r="Q1883" s="44" t="e">
        <f>_xlfn.XLOOKUP(S1883,'Tabla Articulos'!B:B,'Tabla Articulos'!E:E)</f>
        <v>#N/A</v>
      </c>
      <c r="R1883" s="44" t="e">
        <f t="shared" si="58"/>
        <v>#N/A</v>
      </c>
      <c r="S1883" s="45" t="str">
        <f t="shared" si="59"/>
        <v>7793323024909</v>
      </c>
    </row>
    <row r="1884" spans="1:19" hidden="1" x14ac:dyDescent="0.35">
      <c r="A1884" s="22">
        <v>6</v>
      </c>
      <c r="B1884" t="s">
        <v>801</v>
      </c>
      <c r="C1884" t="s">
        <v>802</v>
      </c>
      <c r="D1884"/>
      <c r="E1884" t="s">
        <v>4194</v>
      </c>
      <c r="F1884">
        <v>9003595</v>
      </c>
      <c r="G1884" t="s">
        <v>4195</v>
      </c>
      <c r="H1884" t="s">
        <v>805</v>
      </c>
      <c r="I1884">
        <v>87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87</v>
      </c>
      <c r="P1884" s="44" t="e">
        <f>_xlfn.XLOOKUP(Tabla5[[#This Row],[EAN CORREGIDO]],'Tabla Articulos'!B:B,'Tabla Articulos'!D:D)</f>
        <v>#N/A</v>
      </c>
      <c r="Q1884" s="44" t="e">
        <f>_xlfn.XLOOKUP(S1884,'Tabla Articulos'!B:B,'Tabla Articulos'!E:E)</f>
        <v>#N/A</v>
      </c>
      <c r="R1884" s="44" t="e">
        <f t="shared" si="58"/>
        <v>#N/A</v>
      </c>
      <c r="S1884" s="45" t="str">
        <f t="shared" si="59"/>
        <v>UNIF000434</v>
      </c>
    </row>
    <row r="1885" spans="1:19" hidden="1" x14ac:dyDescent="0.35">
      <c r="A1885" s="22">
        <v>5</v>
      </c>
      <c r="B1885" t="s">
        <v>829</v>
      </c>
      <c r="C1885" t="s">
        <v>802</v>
      </c>
      <c r="D1885" s="11" t="s">
        <v>4196</v>
      </c>
      <c r="E1885" t="s">
        <v>4197</v>
      </c>
      <c r="F1885">
        <v>4020027</v>
      </c>
      <c r="G1885" t="s">
        <v>4198</v>
      </c>
      <c r="H1885" t="s">
        <v>805</v>
      </c>
      <c r="I1885">
        <v>20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20</v>
      </c>
      <c r="P1885" s="44" t="e">
        <f>_xlfn.XLOOKUP(Tabla5[[#This Row],[EAN CORREGIDO]],'Tabla Articulos'!B:B,'Tabla Articulos'!D:D)</f>
        <v>#N/A</v>
      </c>
      <c r="Q1885" s="44" t="e">
        <f>_xlfn.XLOOKUP(S1885,'Tabla Articulos'!B:B,'Tabla Articulos'!E:E)</f>
        <v>#N/A</v>
      </c>
      <c r="R1885" s="44" t="e">
        <f t="shared" si="58"/>
        <v>#N/A</v>
      </c>
      <c r="S1885" s="45" t="str">
        <f t="shared" si="59"/>
        <v>7791270013649</v>
      </c>
    </row>
    <row r="1886" spans="1:19" hidden="1" x14ac:dyDescent="0.35">
      <c r="A1886" s="22">
        <v>1</v>
      </c>
      <c r="B1886" t="s">
        <v>812</v>
      </c>
      <c r="C1886" t="s">
        <v>802</v>
      </c>
      <c r="D1886" s="11" t="s">
        <v>3852</v>
      </c>
      <c r="E1886" t="s">
        <v>4199</v>
      </c>
      <c r="F1886">
        <v>4018040</v>
      </c>
      <c r="G1886" t="s">
        <v>4200</v>
      </c>
      <c r="H1886" t="s">
        <v>805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</v>
      </c>
      <c r="P1886" s="44" t="e">
        <f>_xlfn.XLOOKUP(Tabla5[[#This Row],[EAN CORREGIDO]],'Tabla Articulos'!B:B,'Tabla Articulos'!D:D)</f>
        <v>#N/A</v>
      </c>
      <c r="Q1886" s="44" t="e">
        <f>_xlfn.XLOOKUP(S1886,'Tabla Articulos'!B:B,'Tabla Articulos'!E:E)</f>
        <v>#N/A</v>
      </c>
      <c r="R1886" s="44" t="e">
        <f t="shared" si="58"/>
        <v>#N/A</v>
      </c>
      <c r="S1886" s="45" t="str">
        <f t="shared" si="59"/>
        <v>7790216020113</v>
      </c>
    </row>
    <row r="1887" spans="1:19" hidden="1" x14ac:dyDescent="0.35">
      <c r="A1887" s="22">
        <v>5</v>
      </c>
      <c r="B1887" t="s">
        <v>829</v>
      </c>
      <c r="C1887" t="s">
        <v>802</v>
      </c>
      <c r="D1887" s="11" t="s">
        <v>3852</v>
      </c>
      <c r="E1887" t="s">
        <v>4199</v>
      </c>
      <c r="F1887">
        <v>4018040</v>
      </c>
      <c r="G1887" t="s">
        <v>4200</v>
      </c>
      <c r="H1887" t="s">
        <v>805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 s="44" t="e">
        <f>_xlfn.XLOOKUP(Tabla5[[#This Row],[EAN CORREGIDO]],'Tabla Articulos'!B:B,'Tabla Articulos'!D:D)</f>
        <v>#N/A</v>
      </c>
      <c r="Q1887" s="44" t="e">
        <f>_xlfn.XLOOKUP(S1887,'Tabla Articulos'!B:B,'Tabla Articulos'!E:E)</f>
        <v>#N/A</v>
      </c>
      <c r="R1887" s="44" t="e">
        <f t="shared" si="58"/>
        <v>#N/A</v>
      </c>
      <c r="S1887" s="45" t="str">
        <f t="shared" si="59"/>
        <v>7790216020113</v>
      </c>
    </row>
    <row r="1888" spans="1:19" hidden="1" x14ac:dyDescent="0.35">
      <c r="A1888" s="22">
        <v>6</v>
      </c>
      <c r="B1888" t="s">
        <v>801</v>
      </c>
      <c r="C1888" t="s">
        <v>802</v>
      </c>
      <c r="D1888"/>
      <c r="E1888" t="s">
        <v>4201</v>
      </c>
      <c r="F1888">
        <v>9003272</v>
      </c>
      <c r="G1888" t="s">
        <v>4202</v>
      </c>
      <c r="H1888" t="s">
        <v>805</v>
      </c>
      <c r="I1888">
        <v>23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23</v>
      </c>
      <c r="P1888" s="44" t="e">
        <f>_xlfn.XLOOKUP(Tabla5[[#This Row],[EAN CORREGIDO]],'Tabla Articulos'!B:B,'Tabla Articulos'!D:D)</f>
        <v>#N/A</v>
      </c>
      <c r="Q1888" s="44" t="e">
        <f>_xlfn.XLOOKUP(S1888,'Tabla Articulos'!B:B,'Tabla Articulos'!E:E)</f>
        <v>#N/A</v>
      </c>
      <c r="R1888" s="44" t="e">
        <f t="shared" si="58"/>
        <v>#N/A</v>
      </c>
      <c r="S1888" s="45" t="str">
        <f t="shared" si="59"/>
        <v>UNIF000412</v>
      </c>
    </row>
    <row r="1889" spans="1:19" hidden="1" x14ac:dyDescent="0.35">
      <c r="A1889" s="22">
        <v>6</v>
      </c>
      <c r="B1889" t="s">
        <v>801</v>
      </c>
      <c r="C1889" t="s">
        <v>802</v>
      </c>
      <c r="D1889"/>
      <c r="E1889" t="s">
        <v>4203</v>
      </c>
      <c r="F1889">
        <v>9003510</v>
      </c>
      <c r="G1889" t="s">
        <v>4204</v>
      </c>
      <c r="H1889" t="s">
        <v>805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 s="44" t="e">
        <f>_xlfn.XLOOKUP(Tabla5[[#This Row],[EAN CORREGIDO]],'Tabla Articulos'!B:B,'Tabla Articulos'!D:D)</f>
        <v>#N/A</v>
      </c>
      <c r="Q1889" s="44" t="e">
        <f>_xlfn.XLOOKUP(S1889,'Tabla Articulos'!B:B,'Tabla Articulos'!E:E)</f>
        <v>#N/A</v>
      </c>
      <c r="R1889" s="44" t="e">
        <f t="shared" si="58"/>
        <v>#N/A</v>
      </c>
      <c r="S1889" s="45" t="str">
        <f t="shared" si="59"/>
        <v>UNIF000391</v>
      </c>
    </row>
    <row r="1890" spans="1:19" hidden="1" x14ac:dyDescent="0.35">
      <c r="A1890" s="22">
        <v>6</v>
      </c>
      <c r="B1890" t="s">
        <v>801</v>
      </c>
      <c r="C1890" t="s">
        <v>802</v>
      </c>
      <c r="D1890" t="s">
        <v>322</v>
      </c>
      <c r="E1890" t="s">
        <v>4205</v>
      </c>
      <c r="F1890">
        <v>2011433</v>
      </c>
      <c r="G1890" t="s">
        <v>4206</v>
      </c>
      <c r="H1890" t="s">
        <v>805</v>
      </c>
      <c r="I1890">
        <v>8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8</v>
      </c>
      <c r="P1890" s="44" t="str">
        <f>_xlfn.XLOOKUP(Tabla5[[#This Row],[EAN CORREGIDO]],'Tabla Articulos'!B:B,'Tabla Articulos'!D:D)</f>
        <v>VASO 12OZ BLUE</v>
      </c>
      <c r="Q1890" s="44">
        <f>_xlfn.XLOOKUP(S1890,'Tabla Articulos'!B:B,'Tabla Articulos'!E:E)</f>
        <v>100</v>
      </c>
      <c r="R1890" s="44">
        <f t="shared" si="58"/>
        <v>800</v>
      </c>
      <c r="S1890" s="45" t="str">
        <f t="shared" si="59"/>
        <v>7790000000675</v>
      </c>
    </row>
    <row r="1891" spans="1:19" hidden="1" x14ac:dyDescent="0.35">
      <c r="A1891" s="22">
        <v>6</v>
      </c>
      <c r="B1891" t="s">
        <v>801</v>
      </c>
      <c r="C1891" t="s">
        <v>802</v>
      </c>
      <c r="D1891" t="s">
        <v>501</v>
      </c>
      <c r="E1891" t="s">
        <v>4207</v>
      </c>
      <c r="F1891">
        <v>2007133</v>
      </c>
      <c r="G1891" t="s">
        <v>4208</v>
      </c>
      <c r="H1891" t="s">
        <v>805</v>
      </c>
      <c r="I1891">
        <v>15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15</v>
      </c>
      <c r="P1891" s="44" t="e">
        <f>_xlfn.XLOOKUP(Tabla5[[#This Row],[EAN CORREGIDO]],'Tabla Articulos'!B:B,'Tabla Articulos'!D:D)</f>
        <v>#N/A</v>
      </c>
      <c r="Q1891" s="44" t="e">
        <f>_xlfn.XLOOKUP(S1891,'Tabla Articulos'!B:B,'Tabla Articulos'!E:E)</f>
        <v>#N/A</v>
      </c>
      <c r="R1891" s="44" t="e">
        <f t="shared" si="58"/>
        <v>#N/A</v>
      </c>
      <c r="S1891" s="45" t="str">
        <f t="shared" si="59"/>
        <v>7790000000250</v>
      </c>
    </row>
    <row r="1892" spans="1:19" hidden="1" x14ac:dyDescent="0.35">
      <c r="A1892" s="22">
        <v>5</v>
      </c>
      <c r="B1892" t="s">
        <v>829</v>
      </c>
      <c r="C1892" t="s">
        <v>802</v>
      </c>
      <c r="D1892" s="11" t="s">
        <v>4209</v>
      </c>
      <c r="E1892" t="s">
        <v>4210</v>
      </c>
      <c r="F1892">
        <v>4020278</v>
      </c>
      <c r="G1892" t="s">
        <v>4211</v>
      </c>
      <c r="H1892" t="s">
        <v>805</v>
      </c>
      <c r="I1892">
        <v>28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28</v>
      </c>
      <c r="P1892" s="44" t="e">
        <f>_xlfn.XLOOKUP(Tabla5[[#This Row],[EAN CORREGIDO]],'Tabla Articulos'!B:B,'Tabla Articulos'!D:D)</f>
        <v>#N/A</v>
      </c>
      <c r="Q1892" s="44" t="e">
        <f>_xlfn.XLOOKUP(S1892,'Tabla Articulos'!B:B,'Tabla Articulos'!E:E)</f>
        <v>#N/A</v>
      </c>
      <c r="R1892" s="44" t="e">
        <f t="shared" si="58"/>
        <v>#N/A</v>
      </c>
      <c r="S1892" s="45" t="str">
        <f t="shared" si="59"/>
        <v>7798011976478</v>
      </c>
    </row>
    <row r="1893" spans="1:19" hidden="1" x14ac:dyDescent="0.35">
      <c r="A1893" s="22">
        <v>6</v>
      </c>
      <c r="B1893" t="s">
        <v>801</v>
      </c>
      <c r="C1893" t="s">
        <v>802</v>
      </c>
      <c r="D1893" t="s">
        <v>2196</v>
      </c>
      <c r="E1893" t="s">
        <v>2197</v>
      </c>
      <c r="F1893">
        <v>2007549</v>
      </c>
      <c r="G1893" t="s">
        <v>2198</v>
      </c>
      <c r="H1893" t="s">
        <v>805</v>
      </c>
      <c r="I1893">
        <v>220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220</v>
      </c>
      <c r="P1893" s="44" t="e">
        <f>_xlfn.XLOOKUP(Tabla5[[#This Row],[EAN CORREGIDO]],'Tabla Articulos'!B:B,'Tabla Articulos'!D:D)</f>
        <v>#N/A</v>
      </c>
      <c r="Q1893" s="44" t="e">
        <f>_xlfn.XLOOKUP(S1893,'Tabla Articulos'!B:B,'Tabla Articulos'!E:E)</f>
        <v>#N/A</v>
      </c>
      <c r="R1893" s="44" t="e">
        <f t="shared" si="58"/>
        <v>#N/A</v>
      </c>
      <c r="S1893" s="45" t="str">
        <f t="shared" si="59"/>
        <v>7798287510062</v>
      </c>
    </row>
    <row r="1894" spans="1:19" hidden="1" x14ac:dyDescent="0.35">
      <c r="A1894" s="22">
        <v>1</v>
      </c>
      <c r="B1894" t="s">
        <v>812</v>
      </c>
      <c r="C1894" t="s">
        <v>802</v>
      </c>
      <c r="D1894" s="11" t="s">
        <v>1437</v>
      </c>
      <c r="E1894" t="s">
        <v>2199</v>
      </c>
      <c r="F1894">
        <v>4023933</v>
      </c>
      <c r="G1894" t="s">
        <v>2200</v>
      </c>
      <c r="H1894" t="s">
        <v>805</v>
      </c>
      <c r="I1894">
        <v>15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15</v>
      </c>
      <c r="P1894" s="44" t="e">
        <f>_xlfn.XLOOKUP(Tabla5[[#This Row],[EAN CORREGIDO]],'Tabla Articulos'!B:B,'Tabla Articulos'!D:D)</f>
        <v>#N/A</v>
      </c>
      <c r="Q1894" s="44" t="e">
        <f>_xlfn.XLOOKUP(S1894,'Tabla Articulos'!B:B,'Tabla Articulos'!E:E)</f>
        <v>#N/A</v>
      </c>
      <c r="R1894" s="44" t="e">
        <f t="shared" si="58"/>
        <v>#N/A</v>
      </c>
      <c r="S1894" s="45" t="str">
        <f t="shared" si="59"/>
        <v>7790895647741</v>
      </c>
    </row>
    <row r="1895" spans="1:19" hidden="1" x14ac:dyDescent="0.35">
      <c r="A1895" s="22">
        <v>5</v>
      </c>
      <c r="B1895" t="s">
        <v>829</v>
      </c>
      <c r="C1895" t="s">
        <v>802</v>
      </c>
      <c r="D1895" t="s">
        <v>2201</v>
      </c>
      <c r="E1895" t="s">
        <v>2202</v>
      </c>
      <c r="F1895">
        <v>4019799</v>
      </c>
      <c r="G1895" t="s">
        <v>2203</v>
      </c>
      <c r="H1895" t="s">
        <v>805</v>
      </c>
      <c r="I1895">
        <v>10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10</v>
      </c>
      <c r="P1895" s="44" t="e">
        <f>_xlfn.XLOOKUP(Tabla5[[#This Row],[EAN CORREGIDO]],'Tabla Articulos'!B:B,'Tabla Articulos'!D:D)</f>
        <v>#N/A</v>
      </c>
      <c r="Q1895" s="44" t="e">
        <f>_xlfn.XLOOKUP(S1895,'Tabla Articulos'!B:B,'Tabla Articulos'!E:E)</f>
        <v>#N/A</v>
      </c>
      <c r="R1895" s="44" t="e">
        <f t="shared" si="58"/>
        <v>#N/A</v>
      </c>
      <c r="S1895" s="45" t="str">
        <f t="shared" si="59"/>
        <v>7791113005800</v>
      </c>
    </row>
    <row r="1896" spans="1:19" hidden="1" x14ac:dyDescent="0.35">
      <c r="A1896" s="22">
        <v>6</v>
      </c>
      <c r="B1896" t="s">
        <v>801</v>
      </c>
      <c r="C1896" t="s">
        <v>802</v>
      </c>
      <c r="E1896" t="s">
        <v>2204</v>
      </c>
      <c r="F1896">
        <v>9003045</v>
      </c>
      <c r="G1896" t="s">
        <v>2205</v>
      </c>
      <c r="H1896" t="s">
        <v>805</v>
      </c>
      <c r="I1896">
        <v>31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31</v>
      </c>
      <c r="P1896" s="44" t="e">
        <f>_xlfn.XLOOKUP(Tabla5[[#This Row],[EAN CORREGIDO]],'Tabla Articulos'!B:B,'Tabla Articulos'!D:D)</f>
        <v>#N/A</v>
      </c>
      <c r="Q1896" s="44" t="e">
        <f>_xlfn.XLOOKUP(S1896,'Tabla Articulos'!B:B,'Tabla Articulos'!E:E)</f>
        <v>#N/A</v>
      </c>
      <c r="R1896" s="44" t="e">
        <f t="shared" si="58"/>
        <v>#N/A</v>
      </c>
      <c r="S1896" s="45" t="str">
        <f t="shared" si="59"/>
        <v>UNIF000014</v>
      </c>
    </row>
    <row r="1897" spans="1:19" hidden="1" x14ac:dyDescent="0.35">
      <c r="A1897" s="22">
        <v>6</v>
      </c>
      <c r="B1897" t="s">
        <v>801</v>
      </c>
      <c r="C1897" t="s">
        <v>802</v>
      </c>
      <c r="D1897" t="s">
        <v>2206</v>
      </c>
      <c r="E1897" t="s">
        <v>2207</v>
      </c>
      <c r="F1897">
        <v>2005412</v>
      </c>
      <c r="G1897" t="s">
        <v>2208</v>
      </c>
      <c r="H1897" t="s">
        <v>805</v>
      </c>
      <c r="I1897">
        <v>6299</v>
      </c>
      <c r="J1897">
        <v>0</v>
      </c>
      <c r="K1897">
        <v>0</v>
      </c>
      <c r="L1897">
        <v>1500</v>
      </c>
      <c r="M1897">
        <v>1500</v>
      </c>
      <c r="N1897">
        <v>0</v>
      </c>
      <c r="O1897">
        <v>3299</v>
      </c>
      <c r="P1897" s="44" t="e">
        <f>_xlfn.XLOOKUP(Tabla5[[#This Row],[EAN CORREGIDO]],'Tabla Articulos'!B:B,'Tabla Articulos'!D:D)</f>
        <v>#N/A</v>
      </c>
      <c r="Q1897" s="44" t="e">
        <f>_xlfn.XLOOKUP(S1897,'Tabla Articulos'!B:B,'Tabla Articulos'!E:E)</f>
        <v>#N/A</v>
      </c>
      <c r="R1897" s="44" t="e">
        <f t="shared" si="58"/>
        <v>#N/A</v>
      </c>
      <c r="S1897" s="45" t="str">
        <f t="shared" si="59"/>
        <v>7790000000400</v>
      </c>
    </row>
    <row r="1898" spans="1:19" hidden="1" x14ac:dyDescent="0.35">
      <c r="A1898" s="22">
        <v>6</v>
      </c>
      <c r="B1898" t="s">
        <v>801</v>
      </c>
      <c r="C1898" t="s">
        <v>802</v>
      </c>
      <c r="D1898"/>
      <c r="E1898" t="s">
        <v>2163</v>
      </c>
      <c r="F1898">
        <v>9003049</v>
      </c>
      <c r="G1898" t="s">
        <v>2164</v>
      </c>
      <c r="H1898" t="s">
        <v>805</v>
      </c>
      <c r="I1898">
        <v>140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140</v>
      </c>
      <c r="P1898" s="44" t="e">
        <f>_xlfn.XLOOKUP(Tabla5[[#This Row],[EAN CORREGIDO]],'Tabla Articulos'!B:B,'Tabla Articulos'!D:D)</f>
        <v>#N/A</v>
      </c>
      <c r="Q1898" s="44" t="e">
        <f>_xlfn.XLOOKUP(S1898,'Tabla Articulos'!B:B,'Tabla Articulos'!E:E)</f>
        <v>#N/A</v>
      </c>
      <c r="R1898" s="44" t="e">
        <f t="shared" si="58"/>
        <v>#N/A</v>
      </c>
      <c r="S1898" s="45" t="str">
        <f t="shared" si="59"/>
        <v>UNIF000018</v>
      </c>
    </row>
    <row r="1899" spans="1:19" hidden="1" x14ac:dyDescent="0.35">
      <c r="A1899" s="22">
        <v>1</v>
      </c>
      <c r="B1899" t="s">
        <v>812</v>
      </c>
      <c r="C1899" t="s">
        <v>802</v>
      </c>
      <c r="D1899" s="11" t="s">
        <v>2165</v>
      </c>
      <c r="E1899" t="s">
        <v>2166</v>
      </c>
      <c r="F1899">
        <v>4018214</v>
      </c>
      <c r="G1899" t="s">
        <v>2167</v>
      </c>
      <c r="H1899" t="s">
        <v>805</v>
      </c>
      <c r="I1899">
        <v>5063</v>
      </c>
      <c r="J1899">
        <v>3512</v>
      </c>
      <c r="K1899">
        <v>0</v>
      </c>
      <c r="L1899">
        <v>0</v>
      </c>
      <c r="M1899">
        <v>0</v>
      </c>
      <c r="N1899">
        <v>0</v>
      </c>
      <c r="O1899">
        <v>8575</v>
      </c>
      <c r="P1899" s="44" t="e">
        <f>_xlfn.XLOOKUP(Tabla5[[#This Row],[EAN CORREGIDO]],'Tabla Articulos'!B:B,'Tabla Articulos'!D:D)</f>
        <v>#N/A</v>
      </c>
      <c r="Q1899" s="44" t="e">
        <f>_xlfn.XLOOKUP(S1899,'Tabla Articulos'!B:B,'Tabla Articulos'!E:E)</f>
        <v>#N/A</v>
      </c>
      <c r="R1899" s="44" t="e">
        <f t="shared" si="58"/>
        <v>#N/A</v>
      </c>
      <c r="S1899" s="45" t="str">
        <f t="shared" si="59"/>
        <v>7798181641411</v>
      </c>
    </row>
    <row r="1900" spans="1:19" hidden="1" x14ac:dyDescent="0.35">
      <c r="A1900" s="22">
        <v>6</v>
      </c>
      <c r="B1900" t="s">
        <v>801</v>
      </c>
      <c r="C1900" t="s">
        <v>802</v>
      </c>
      <c r="E1900" t="s">
        <v>2168</v>
      </c>
      <c r="F1900">
        <v>9003764</v>
      </c>
      <c r="G1900" t="s">
        <v>2169</v>
      </c>
      <c r="H1900" t="s">
        <v>805</v>
      </c>
      <c r="I1900">
        <v>1788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1788</v>
      </c>
      <c r="P1900" s="44" t="e">
        <f>_xlfn.XLOOKUP(Tabla5[[#This Row],[EAN CORREGIDO]],'Tabla Articulos'!B:B,'Tabla Articulos'!D:D)</f>
        <v>#N/A</v>
      </c>
      <c r="Q1900" s="44" t="e">
        <f>_xlfn.XLOOKUP(S1900,'Tabla Articulos'!B:B,'Tabla Articulos'!E:E)</f>
        <v>#N/A</v>
      </c>
      <c r="R1900" s="44" t="e">
        <f t="shared" si="58"/>
        <v>#N/A</v>
      </c>
      <c r="S1900" s="45" t="str">
        <f t="shared" si="59"/>
        <v>BAZ001269</v>
      </c>
    </row>
    <row r="1901" spans="1:19" hidden="1" x14ac:dyDescent="0.35">
      <c r="A1901" s="22">
        <v>6</v>
      </c>
      <c r="B1901" t="s">
        <v>801</v>
      </c>
      <c r="C1901" t="s">
        <v>802</v>
      </c>
      <c r="D1901"/>
      <c r="E1901" t="s">
        <v>3784</v>
      </c>
      <c r="F1901">
        <v>9003559</v>
      </c>
      <c r="G1901" t="s">
        <v>3785</v>
      </c>
      <c r="H1901" t="s">
        <v>805</v>
      </c>
      <c r="I1901">
        <v>2</v>
      </c>
      <c r="J1901">
        <v>50</v>
      </c>
      <c r="K1901">
        <v>0</v>
      </c>
      <c r="L1901">
        <v>0</v>
      </c>
      <c r="M1901">
        <v>0</v>
      </c>
      <c r="N1901">
        <v>0</v>
      </c>
      <c r="O1901">
        <v>52</v>
      </c>
      <c r="P1901" s="44" t="e">
        <f>_xlfn.XLOOKUP(Tabla5[[#This Row],[EAN CORREGIDO]],'Tabla Articulos'!B:B,'Tabla Articulos'!D:D)</f>
        <v>#N/A</v>
      </c>
      <c r="Q1901" s="44" t="e">
        <f>_xlfn.XLOOKUP(S1901,'Tabla Articulos'!B:B,'Tabla Articulos'!E:E)</f>
        <v>#N/A</v>
      </c>
      <c r="R1901" s="44" t="e">
        <f t="shared" si="58"/>
        <v>#N/A</v>
      </c>
      <c r="S1901" s="45" t="str">
        <f t="shared" si="59"/>
        <v>UNIF000142</v>
      </c>
    </row>
    <row r="1902" spans="1:19" hidden="1" x14ac:dyDescent="0.35">
      <c r="A1902" s="22">
        <v>6</v>
      </c>
      <c r="B1902" t="s">
        <v>801</v>
      </c>
      <c r="C1902" t="s">
        <v>802</v>
      </c>
      <c r="E1902" t="s">
        <v>3786</v>
      </c>
      <c r="F1902">
        <v>9003012</v>
      </c>
      <c r="G1902" t="s">
        <v>3787</v>
      </c>
      <c r="H1902" t="s">
        <v>805</v>
      </c>
      <c r="I1902">
        <v>353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353</v>
      </c>
      <c r="P1902" s="44" t="e">
        <f>_xlfn.XLOOKUP(Tabla5[[#This Row],[EAN CORREGIDO]],'Tabla Articulos'!B:B,'Tabla Articulos'!D:D)</f>
        <v>#N/A</v>
      </c>
      <c r="Q1902" s="44" t="e">
        <f>_xlfn.XLOOKUP(S1902,'Tabla Articulos'!B:B,'Tabla Articulos'!E:E)</f>
        <v>#N/A</v>
      </c>
      <c r="R1902" s="44" t="e">
        <f t="shared" si="58"/>
        <v>#N/A</v>
      </c>
      <c r="S1902" s="45" t="str">
        <f t="shared" si="59"/>
        <v>UNIF000003</v>
      </c>
    </row>
    <row r="1903" spans="1:19" hidden="1" x14ac:dyDescent="0.35">
      <c r="A1903" s="22">
        <v>1</v>
      </c>
      <c r="B1903" t="s">
        <v>812</v>
      </c>
      <c r="C1903" t="s">
        <v>802</v>
      </c>
      <c r="D1903" t="s">
        <v>2143</v>
      </c>
      <c r="E1903" t="s">
        <v>3788</v>
      </c>
      <c r="F1903">
        <v>4020412</v>
      </c>
      <c r="G1903" t="s">
        <v>3789</v>
      </c>
      <c r="H1903" t="s">
        <v>805</v>
      </c>
      <c r="I1903">
        <v>358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358</v>
      </c>
      <c r="P1903" s="44" t="e">
        <f>_xlfn.XLOOKUP(Tabla5[[#This Row],[EAN CORREGIDO]],'Tabla Articulos'!B:B,'Tabla Articulos'!D:D)</f>
        <v>#N/A</v>
      </c>
      <c r="Q1903" s="44" t="e">
        <f>_xlfn.XLOOKUP(S1903,'Tabla Articulos'!B:B,'Tabla Articulos'!E:E)</f>
        <v>#N/A</v>
      </c>
      <c r="R1903" s="44" t="e">
        <f t="shared" si="58"/>
        <v>#N/A</v>
      </c>
      <c r="S1903" s="45" t="str">
        <f t="shared" si="59"/>
        <v>7793875315135</v>
      </c>
    </row>
    <row r="1904" spans="1:19" hidden="1" x14ac:dyDescent="0.35">
      <c r="A1904" s="22">
        <v>6</v>
      </c>
      <c r="B1904" t="s">
        <v>801</v>
      </c>
      <c r="C1904" t="s">
        <v>802</v>
      </c>
      <c r="D1904"/>
      <c r="E1904" t="s">
        <v>4274</v>
      </c>
      <c r="F1904">
        <v>9003439</v>
      </c>
      <c r="G1904" t="s">
        <v>4275</v>
      </c>
      <c r="H1904" t="s">
        <v>805</v>
      </c>
      <c r="I1904">
        <v>53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53</v>
      </c>
      <c r="P1904" s="44" t="e">
        <f>_xlfn.XLOOKUP(Tabla5[[#This Row],[EAN CORREGIDO]],'Tabla Articulos'!B:B,'Tabla Articulos'!D:D)</f>
        <v>#N/A</v>
      </c>
      <c r="Q1904" s="44" t="e">
        <f>_xlfn.XLOOKUP(S1904,'Tabla Articulos'!B:B,'Tabla Articulos'!E:E)</f>
        <v>#N/A</v>
      </c>
      <c r="R1904" s="44" t="e">
        <f t="shared" si="58"/>
        <v>#N/A</v>
      </c>
      <c r="S1904" s="45" t="str">
        <f t="shared" si="59"/>
        <v>UNIF000199</v>
      </c>
    </row>
    <row r="1905" spans="1:19" hidden="1" x14ac:dyDescent="0.35">
      <c r="A1905" s="22">
        <v>1</v>
      </c>
      <c r="B1905" t="s">
        <v>812</v>
      </c>
      <c r="C1905" t="s">
        <v>802</v>
      </c>
      <c r="D1905" t="s">
        <v>1252</v>
      </c>
      <c r="E1905" t="s">
        <v>4276</v>
      </c>
      <c r="F1905">
        <v>4018526</v>
      </c>
      <c r="G1905" t="s">
        <v>4277</v>
      </c>
      <c r="H1905" t="s">
        <v>805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 s="44" t="e">
        <f>_xlfn.XLOOKUP(Tabla5[[#This Row],[EAN CORREGIDO]],'Tabla Articulos'!B:B,'Tabla Articulos'!D:D)</f>
        <v>#N/A</v>
      </c>
      <c r="Q1905" s="44" t="e">
        <f>_xlfn.XLOOKUP(S1905,'Tabla Articulos'!B:B,'Tabla Articulos'!E:E)</f>
        <v>#N/A</v>
      </c>
      <c r="R1905" s="44" t="e">
        <f t="shared" si="58"/>
        <v>#N/A</v>
      </c>
      <c r="S1905" s="45" t="str">
        <f t="shared" si="59"/>
        <v>7799132966568</v>
      </c>
    </row>
    <row r="1906" spans="1:19" hidden="1" x14ac:dyDescent="0.35">
      <c r="A1906" s="22">
        <v>6</v>
      </c>
      <c r="B1906" t="s">
        <v>801</v>
      </c>
      <c r="C1906" t="s">
        <v>802</v>
      </c>
      <c r="D1906"/>
      <c r="E1906" t="s">
        <v>4278</v>
      </c>
      <c r="F1906">
        <v>9003170</v>
      </c>
      <c r="G1906" t="s">
        <v>4279</v>
      </c>
      <c r="H1906" t="s">
        <v>805</v>
      </c>
      <c r="I1906">
        <v>146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146</v>
      </c>
      <c r="P1906" s="44" t="e">
        <f>_xlfn.XLOOKUP(Tabla5[[#This Row],[EAN CORREGIDO]],'Tabla Articulos'!B:B,'Tabla Articulos'!D:D)</f>
        <v>#N/A</v>
      </c>
      <c r="Q1906" s="44" t="e">
        <f>_xlfn.XLOOKUP(S1906,'Tabla Articulos'!B:B,'Tabla Articulos'!E:E)</f>
        <v>#N/A</v>
      </c>
      <c r="R1906" s="44" t="e">
        <f t="shared" si="58"/>
        <v>#N/A</v>
      </c>
      <c r="S1906" s="45" t="str">
        <f t="shared" si="59"/>
        <v>UNIF000632</v>
      </c>
    </row>
    <row r="1907" spans="1:19" hidden="1" x14ac:dyDescent="0.35">
      <c r="A1907" s="22">
        <v>5</v>
      </c>
      <c r="B1907" t="s">
        <v>829</v>
      </c>
      <c r="C1907" t="s">
        <v>802</v>
      </c>
      <c r="D1907" t="s">
        <v>1063</v>
      </c>
      <c r="E1907" t="s">
        <v>4280</v>
      </c>
      <c r="F1907">
        <v>4020319</v>
      </c>
      <c r="G1907" t="s">
        <v>4281</v>
      </c>
      <c r="H1907" t="s">
        <v>805</v>
      </c>
      <c r="I1907">
        <v>6</v>
      </c>
      <c r="J1907">
        <v>0</v>
      </c>
      <c r="K1907">
        <v>0</v>
      </c>
      <c r="L1907">
        <v>0</v>
      </c>
      <c r="M1907">
        <v>2</v>
      </c>
      <c r="N1907">
        <v>0</v>
      </c>
      <c r="O1907">
        <v>4</v>
      </c>
      <c r="P1907" s="44" t="e">
        <f>_xlfn.XLOOKUP(Tabla5[[#This Row],[EAN CORREGIDO]],'Tabla Articulos'!B:B,'Tabla Articulos'!D:D)</f>
        <v>#N/A</v>
      </c>
      <c r="Q1907" s="44" t="e">
        <f>_xlfn.XLOOKUP(S1907,'Tabla Articulos'!B:B,'Tabla Articulos'!E:E)</f>
        <v>#N/A</v>
      </c>
      <c r="R1907" s="44" t="e">
        <f t="shared" si="58"/>
        <v>#N/A</v>
      </c>
      <c r="S1907" s="45" t="str">
        <f t="shared" si="59"/>
        <v>7798001562780</v>
      </c>
    </row>
    <row r="1908" spans="1:19" hidden="1" x14ac:dyDescent="0.35">
      <c r="A1908" s="22">
        <v>1</v>
      </c>
      <c r="B1908" t="s">
        <v>812</v>
      </c>
      <c r="C1908" t="s">
        <v>802</v>
      </c>
      <c r="D1908" t="s">
        <v>4282</v>
      </c>
      <c r="E1908" t="s">
        <v>4283</v>
      </c>
      <c r="F1908">
        <v>4019301</v>
      </c>
      <c r="G1908" t="s">
        <v>4284</v>
      </c>
      <c r="H1908" t="s">
        <v>805</v>
      </c>
      <c r="I1908">
        <v>15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15</v>
      </c>
      <c r="P1908" s="44" t="e">
        <f>_xlfn.XLOOKUP(Tabla5[[#This Row],[EAN CORREGIDO]],'Tabla Articulos'!B:B,'Tabla Articulos'!D:D)</f>
        <v>#N/A</v>
      </c>
      <c r="Q1908" s="44" t="e">
        <f>_xlfn.XLOOKUP(S1908,'Tabla Articulos'!B:B,'Tabla Articulos'!E:E)</f>
        <v>#N/A</v>
      </c>
      <c r="R1908" s="44" t="e">
        <f t="shared" si="58"/>
        <v>#N/A</v>
      </c>
      <c r="S1908" s="45" t="str">
        <f t="shared" si="59"/>
        <v>7790070335937</v>
      </c>
    </row>
    <row r="1909" spans="1:19" hidden="1" x14ac:dyDescent="0.35">
      <c r="A1909" s="22">
        <v>6</v>
      </c>
      <c r="B1909" t="s">
        <v>801</v>
      </c>
      <c r="C1909" t="s">
        <v>802</v>
      </c>
      <c r="D1909"/>
      <c r="E1909" t="s">
        <v>4285</v>
      </c>
      <c r="F1909">
        <v>9003600</v>
      </c>
      <c r="G1909" t="s">
        <v>4286</v>
      </c>
      <c r="H1909" t="s">
        <v>805</v>
      </c>
      <c r="I1909">
        <v>88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88</v>
      </c>
      <c r="P1909" s="44" t="e">
        <f>_xlfn.XLOOKUP(Tabla5[[#This Row],[EAN CORREGIDO]],'Tabla Articulos'!B:B,'Tabla Articulos'!D:D)</f>
        <v>#N/A</v>
      </c>
      <c r="Q1909" s="44" t="e">
        <f>_xlfn.XLOOKUP(S1909,'Tabla Articulos'!B:B,'Tabla Articulos'!E:E)</f>
        <v>#N/A</v>
      </c>
      <c r="R1909" s="44" t="e">
        <f t="shared" si="58"/>
        <v>#N/A</v>
      </c>
      <c r="S1909" s="45" t="str">
        <f t="shared" si="59"/>
        <v>UNIF000439</v>
      </c>
    </row>
    <row r="1910" spans="1:19" hidden="1" x14ac:dyDescent="0.35">
      <c r="A1910" s="22">
        <v>6</v>
      </c>
      <c r="B1910" t="s">
        <v>801</v>
      </c>
      <c r="C1910" t="s">
        <v>802</v>
      </c>
      <c r="E1910" t="s">
        <v>4287</v>
      </c>
      <c r="F1910">
        <v>9003515</v>
      </c>
      <c r="G1910" t="s">
        <v>4288</v>
      </c>
      <c r="H1910" t="s">
        <v>805</v>
      </c>
      <c r="I1910">
        <v>28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28</v>
      </c>
      <c r="P1910" s="44" t="e">
        <f>_xlfn.XLOOKUP(Tabla5[[#This Row],[EAN CORREGIDO]],'Tabla Articulos'!B:B,'Tabla Articulos'!D:D)</f>
        <v>#N/A</v>
      </c>
      <c r="Q1910" s="44" t="e">
        <f>_xlfn.XLOOKUP(S1910,'Tabla Articulos'!B:B,'Tabla Articulos'!E:E)</f>
        <v>#N/A</v>
      </c>
      <c r="R1910" s="44" t="e">
        <f t="shared" si="58"/>
        <v>#N/A</v>
      </c>
      <c r="S1910" s="45" t="str">
        <f t="shared" si="59"/>
        <v>UNIF000396</v>
      </c>
    </row>
    <row r="1911" spans="1:19" hidden="1" x14ac:dyDescent="0.35">
      <c r="A1911" s="22">
        <v>1</v>
      </c>
      <c r="B1911" t="s">
        <v>812</v>
      </c>
      <c r="C1911" t="s">
        <v>802</v>
      </c>
      <c r="D1911" s="11" t="s">
        <v>4289</v>
      </c>
      <c r="E1911" t="s">
        <v>4290</v>
      </c>
      <c r="F1911">
        <v>4076821</v>
      </c>
      <c r="G1911" t="s">
        <v>4291</v>
      </c>
      <c r="H1911" t="s">
        <v>805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 s="44" t="e">
        <f>_xlfn.XLOOKUP(Tabla5[[#This Row],[EAN CORREGIDO]],'Tabla Articulos'!B:B,'Tabla Articulos'!D:D)</f>
        <v>#N/A</v>
      </c>
      <c r="Q1911" s="44" t="e">
        <f>_xlfn.XLOOKUP(S1911,'Tabla Articulos'!B:B,'Tabla Articulos'!E:E)</f>
        <v>#N/A</v>
      </c>
      <c r="R1911" s="44" t="e">
        <f t="shared" si="58"/>
        <v>#N/A</v>
      </c>
      <c r="S1911" s="45" t="str">
        <f t="shared" si="59"/>
        <v>7791476070118</v>
      </c>
    </row>
    <row r="1912" spans="1:19" hidden="1" x14ac:dyDescent="0.35">
      <c r="A1912" s="22">
        <v>6</v>
      </c>
      <c r="B1912" t="s">
        <v>801</v>
      </c>
      <c r="C1912" t="s">
        <v>802</v>
      </c>
      <c r="E1912" t="s">
        <v>4292</v>
      </c>
      <c r="F1912" s="11">
        <v>9003473</v>
      </c>
      <c r="G1912" t="s">
        <v>4293</v>
      </c>
      <c r="H1912" t="s">
        <v>805</v>
      </c>
      <c r="I1912">
        <v>9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9</v>
      </c>
      <c r="P1912" s="44" t="e">
        <f>_xlfn.XLOOKUP(Tabla5[[#This Row],[EAN CORREGIDO]],'Tabla Articulos'!B:B,'Tabla Articulos'!D:D)</f>
        <v>#N/A</v>
      </c>
      <c r="Q1912" s="44" t="e">
        <f>_xlfn.XLOOKUP(S1912,'Tabla Articulos'!B:B,'Tabla Articulos'!E:E)</f>
        <v>#N/A</v>
      </c>
      <c r="R1912" s="44" t="e">
        <f t="shared" si="58"/>
        <v>#N/A</v>
      </c>
      <c r="S1912" s="45" t="str">
        <f t="shared" si="59"/>
        <v>UNIF000205</v>
      </c>
    </row>
    <row r="1913" spans="1:19" hidden="1" x14ac:dyDescent="0.35">
      <c r="A1913" s="22">
        <v>6</v>
      </c>
      <c r="B1913" t="s">
        <v>801</v>
      </c>
      <c r="C1913" t="s">
        <v>802</v>
      </c>
      <c r="D1913" s="11" t="s">
        <v>293</v>
      </c>
      <c r="E1913" t="s">
        <v>4294</v>
      </c>
      <c r="F1913" s="11">
        <v>2006236</v>
      </c>
      <c r="G1913" t="s">
        <v>4295</v>
      </c>
      <c r="H1913" t="s">
        <v>805</v>
      </c>
      <c r="I1913">
        <v>560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560</v>
      </c>
      <c r="P1913" s="44" t="e">
        <f>_xlfn.XLOOKUP(Tabla5[[#This Row],[EAN CORREGIDO]],'Tabla Articulos'!B:B,'Tabla Articulos'!D:D)</f>
        <v>#N/A</v>
      </c>
      <c r="Q1913" s="44" t="e">
        <f>_xlfn.XLOOKUP(S1913,'Tabla Articulos'!B:B,'Tabla Articulos'!E:E)</f>
        <v>#N/A</v>
      </c>
      <c r="R1913" s="44" t="e">
        <f t="shared" si="58"/>
        <v>#N/A</v>
      </c>
      <c r="S1913" s="45" t="str">
        <f t="shared" si="59"/>
        <v>7790321020136</v>
      </c>
    </row>
    <row r="1914" spans="1:19" hidden="1" x14ac:dyDescent="0.35">
      <c r="A1914" s="22">
        <v>6</v>
      </c>
      <c r="B1914" t="s">
        <v>801</v>
      </c>
      <c r="C1914" t="s">
        <v>802</v>
      </c>
      <c r="E1914" t="s">
        <v>4296</v>
      </c>
      <c r="F1914" s="11">
        <v>9003283</v>
      </c>
      <c r="G1914" t="s">
        <v>4297</v>
      </c>
      <c r="H1914" t="s">
        <v>805</v>
      </c>
      <c r="I1914">
        <v>29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29</v>
      </c>
      <c r="P1914" s="44" t="e">
        <f>_xlfn.XLOOKUP(Tabla5[[#This Row],[EAN CORREGIDO]],'Tabla Articulos'!B:B,'Tabla Articulos'!D:D)</f>
        <v>#N/A</v>
      </c>
      <c r="Q1914" s="44" t="e">
        <f>_xlfn.XLOOKUP(S1914,'Tabla Articulos'!B:B,'Tabla Articulos'!E:E)</f>
        <v>#N/A</v>
      </c>
      <c r="R1914" s="44" t="e">
        <f t="shared" si="58"/>
        <v>#N/A</v>
      </c>
      <c r="S1914" s="45" t="str">
        <f t="shared" si="59"/>
        <v>UNIF000036</v>
      </c>
    </row>
    <row r="1915" spans="1:19" hidden="1" x14ac:dyDescent="0.35">
      <c r="A1915" s="22">
        <v>5</v>
      </c>
      <c r="B1915" t="s">
        <v>829</v>
      </c>
      <c r="C1915" t="s">
        <v>802</v>
      </c>
      <c r="D1915" s="11" t="s">
        <v>1672</v>
      </c>
      <c r="E1915" t="s">
        <v>4298</v>
      </c>
      <c r="F1915" s="11">
        <v>4021619</v>
      </c>
      <c r="G1915" t="s">
        <v>4299</v>
      </c>
      <c r="H1915" t="s">
        <v>805</v>
      </c>
      <c r="I1915">
        <v>25032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25032</v>
      </c>
      <c r="P1915" s="44" t="e">
        <f>_xlfn.XLOOKUP(Tabla5[[#This Row],[EAN CORREGIDO]],'Tabla Articulos'!B:B,'Tabla Articulos'!D:D)</f>
        <v>#N/A</v>
      </c>
      <c r="Q1915" s="44" t="e">
        <f>_xlfn.XLOOKUP(S1915,'Tabla Articulos'!B:B,'Tabla Articulos'!E:E)</f>
        <v>#N/A</v>
      </c>
      <c r="R1915" s="44" t="e">
        <f t="shared" si="58"/>
        <v>#N/A</v>
      </c>
      <c r="S1915" s="45" t="str">
        <f t="shared" si="59"/>
        <v>7798096031086</v>
      </c>
    </row>
    <row r="1916" spans="1:19" hidden="1" x14ac:dyDescent="0.35">
      <c r="A1916" s="22">
        <v>1</v>
      </c>
      <c r="B1916" t="s">
        <v>812</v>
      </c>
      <c r="C1916" t="s">
        <v>802</v>
      </c>
      <c r="D1916" s="11" t="s">
        <v>1672</v>
      </c>
      <c r="E1916" t="s">
        <v>4298</v>
      </c>
      <c r="F1916">
        <v>4021619</v>
      </c>
      <c r="G1916" t="s">
        <v>4299</v>
      </c>
      <c r="H1916" t="s">
        <v>805</v>
      </c>
      <c r="I1916">
        <v>272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272</v>
      </c>
      <c r="P1916" s="44" t="e">
        <f>_xlfn.XLOOKUP(Tabla5[[#This Row],[EAN CORREGIDO]],'Tabla Articulos'!B:B,'Tabla Articulos'!D:D)</f>
        <v>#N/A</v>
      </c>
      <c r="Q1916" s="44" t="e">
        <f>_xlfn.XLOOKUP(S1916,'Tabla Articulos'!B:B,'Tabla Articulos'!E:E)</f>
        <v>#N/A</v>
      </c>
      <c r="R1916" s="44" t="e">
        <f t="shared" si="58"/>
        <v>#N/A</v>
      </c>
      <c r="S1916" s="45" t="str">
        <f t="shared" si="59"/>
        <v>7798096031086</v>
      </c>
    </row>
    <row r="1917" spans="1:19" hidden="1" x14ac:dyDescent="0.35">
      <c r="A1917" s="22">
        <v>1</v>
      </c>
      <c r="B1917" t="s">
        <v>812</v>
      </c>
      <c r="C1917" t="s">
        <v>802</v>
      </c>
      <c r="D1917" t="s">
        <v>4300</v>
      </c>
      <c r="E1917" t="s">
        <v>4301</v>
      </c>
      <c r="F1917">
        <v>4049119</v>
      </c>
      <c r="G1917" t="s">
        <v>4302</v>
      </c>
      <c r="H1917" t="s">
        <v>805</v>
      </c>
      <c r="I1917">
        <v>5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5</v>
      </c>
      <c r="P1917" s="44" t="e">
        <f>_xlfn.XLOOKUP(Tabla5[[#This Row],[EAN CORREGIDO]],'Tabla Articulos'!B:B,'Tabla Articulos'!D:D)</f>
        <v>#N/A</v>
      </c>
      <c r="Q1917" s="44" t="e">
        <f>_xlfn.XLOOKUP(S1917,'Tabla Articulos'!B:B,'Tabla Articulos'!E:E)</f>
        <v>#N/A</v>
      </c>
      <c r="R1917" s="44" t="e">
        <f t="shared" si="58"/>
        <v>#N/A</v>
      </c>
      <c r="S1917" s="45" t="str">
        <f t="shared" si="59"/>
        <v>8445290648136</v>
      </c>
    </row>
    <row r="1918" spans="1:19" hidden="1" x14ac:dyDescent="0.35">
      <c r="A1918" s="22">
        <v>6</v>
      </c>
      <c r="B1918" t="s">
        <v>801</v>
      </c>
      <c r="C1918" t="s">
        <v>802</v>
      </c>
      <c r="D1918"/>
      <c r="E1918" t="s">
        <v>2209</v>
      </c>
      <c r="F1918">
        <v>9003731</v>
      </c>
      <c r="G1918" t="s">
        <v>2210</v>
      </c>
      <c r="H1918" t="s">
        <v>805</v>
      </c>
      <c r="I1918">
        <v>2003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2003</v>
      </c>
      <c r="P1918" s="44" t="e">
        <f>_xlfn.XLOOKUP(Tabla5[[#This Row],[EAN CORREGIDO]],'Tabla Articulos'!B:B,'Tabla Articulos'!D:D)</f>
        <v>#N/A</v>
      </c>
      <c r="Q1918" s="44" t="e">
        <f>_xlfn.XLOOKUP(S1918,'Tabla Articulos'!B:B,'Tabla Articulos'!E:E)</f>
        <v>#N/A</v>
      </c>
      <c r="R1918" s="44" t="e">
        <f t="shared" si="58"/>
        <v>#N/A</v>
      </c>
      <c r="S1918" s="45" t="str">
        <f t="shared" si="59"/>
        <v>BAZ001188</v>
      </c>
    </row>
    <row r="1919" spans="1:19" hidden="1" x14ac:dyDescent="0.35">
      <c r="A1919" s="22">
        <v>6</v>
      </c>
      <c r="B1919" t="s">
        <v>801</v>
      </c>
      <c r="C1919" t="s">
        <v>802</v>
      </c>
      <c r="E1919" t="s">
        <v>2211</v>
      </c>
      <c r="F1919">
        <v>9003620</v>
      </c>
      <c r="G1919" t="s">
        <v>2212</v>
      </c>
      <c r="H1919" t="s">
        <v>805</v>
      </c>
      <c r="I1919">
        <v>0</v>
      </c>
      <c r="J1919">
        <v>160</v>
      </c>
      <c r="K1919">
        <v>0</v>
      </c>
      <c r="L1919">
        <v>0</v>
      </c>
      <c r="M1919">
        <v>0</v>
      </c>
      <c r="N1919">
        <v>0</v>
      </c>
      <c r="O1919">
        <v>160</v>
      </c>
      <c r="P1919" s="44" t="e">
        <f>_xlfn.XLOOKUP(Tabla5[[#This Row],[EAN CORREGIDO]],'Tabla Articulos'!B:B,'Tabla Articulos'!D:D)</f>
        <v>#N/A</v>
      </c>
      <c r="Q1919" s="44" t="e">
        <f>_xlfn.XLOOKUP(S1919,'Tabla Articulos'!B:B,'Tabla Articulos'!E:E)</f>
        <v>#N/A</v>
      </c>
      <c r="R1919" s="44" t="e">
        <f t="shared" si="58"/>
        <v>#N/A</v>
      </c>
      <c r="S1919" s="45" t="str">
        <f t="shared" si="59"/>
        <v>UNIF000459</v>
      </c>
    </row>
    <row r="1920" spans="1:19" hidden="1" x14ac:dyDescent="0.35">
      <c r="A1920" s="22">
        <v>6</v>
      </c>
      <c r="B1920" t="s">
        <v>801</v>
      </c>
      <c r="C1920" t="s">
        <v>802</v>
      </c>
      <c r="D1920"/>
      <c r="E1920" t="s">
        <v>4212</v>
      </c>
      <c r="F1920">
        <v>9003673</v>
      </c>
      <c r="G1920" t="s">
        <v>4213</v>
      </c>
      <c r="H1920" t="s">
        <v>805</v>
      </c>
      <c r="I1920">
        <v>51</v>
      </c>
      <c r="J1920">
        <v>60</v>
      </c>
      <c r="K1920">
        <v>30</v>
      </c>
      <c r="L1920">
        <v>0</v>
      </c>
      <c r="M1920">
        <v>1</v>
      </c>
      <c r="N1920">
        <v>0</v>
      </c>
      <c r="O1920">
        <v>80</v>
      </c>
      <c r="P1920" s="44" t="e">
        <f>_xlfn.XLOOKUP(Tabla5[[#This Row],[EAN CORREGIDO]],'Tabla Articulos'!B:B,'Tabla Articulos'!D:D)</f>
        <v>#N/A</v>
      </c>
      <c r="Q1920" s="44" t="e">
        <f>_xlfn.XLOOKUP(S1920,'Tabla Articulos'!B:B,'Tabla Articulos'!E:E)</f>
        <v>#N/A</v>
      </c>
      <c r="R1920" s="44" t="e">
        <f t="shared" si="58"/>
        <v>#N/A</v>
      </c>
      <c r="S1920" s="45" t="str">
        <f t="shared" si="59"/>
        <v>A1607C25T7</v>
      </c>
    </row>
    <row r="1921" spans="1:19" hidden="1" x14ac:dyDescent="0.35">
      <c r="A1921" s="22">
        <v>5</v>
      </c>
      <c r="B1921" t="s">
        <v>829</v>
      </c>
      <c r="C1921" t="s">
        <v>802</v>
      </c>
      <c r="D1921" t="s">
        <v>2355</v>
      </c>
      <c r="E1921" t="s">
        <v>4214</v>
      </c>
      <c r="F1921">
        <v>4022534</v>
      </c>
      <c r="G1921" t="s">
        <v>4215</v>
      </c>
      <c r="H1921" t="s">
        <v>805</v>
      </c>
      <c r="I1921">
        <v>8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8</v>
      </c>
      <c r="P1921" s="44" t="e">
        <f>_xlfn.XLOOKUP(Tabla5[[#This Row],[EAN CORREGIDO]],'Tabla Articulos'!B:B,'Tabla Articulos'!D:D)</f>
        <v>#N/A</v>
      </c>
      <c r="Q1921" s="44" t="e">
        <f>_xlfn.XLOOKUP(S1921,'Tabla Articulos'!B:B,'Tabla Articulos'!E:E)</f>
        <v>#N/A</v>
      </c>
      <c r="R1921" s="44" t="e">
        <f t="shared" ref="R1921:R1984" si="60">O1921*Q1921</f>
        <v>#N/A</v>
      </c>
      <c r="S1921" s="45" t="str">
        <f t="shared" ref="S1921:S1984" si="61">TRIM(E1921)</f>
        <v>790757899667</v>
      </c>
    </row>
    <row r="1922" spans="1:19" hidden="1" x14ac:dyDescent="0.35">
      <c r="A1922" s="22">
        <v>1</v>
      </c>
      <c r="B1922" t="s">
        <v>812</v>
      </c>
      <c r="C1922" t="s">
        <v>802</v>
      </c>
      <c r="D1922" t="s">
        <v>2355</v>
      </c>
      <c r="E1922" t="s">
        <v>4214</v>
      </c>
      <c r="F1922">
        <v>4022534</v>
      </c>
      <c r="G1922" t="s">
        <v>4215</v>
      </c>
      <c r="H1922" t="s">
        <v>805</v>
      </c>
      <c r="I1922">
        <v>31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31</v>
      </c>
      <c r="P1922" s="44" t="e">
        <f>_xlfn.XLOOKUP(Tabla5[[#This Row],[EAN CORREGIDO]],'Tabla Articulos'!B:B,'Tabla Articulos'!D:D)</f>
        <v>#N/A</v>
      </c>
      <c r="Q1922" s="44" t="e">
        <f>_xlfn.XLOOKUP(S1922,'Tabla Articulos'!B:B,'Tabla Articulos'!E:E)</f>
        <v>#N/A</v>
      </c>
      <c r="R1922" s="44" t="e">
        <f t="shared" si="60"/>
        <v>#N/A</v>
      </c>
      <c r="S1922" s="45" t="str">
        <f t="shared" si="61"/>
        <v>790757899667</v>
      </c>
    </row>
    <row r="1923" spans="1:19" hidden="1" x14ac:dyDescent="0.35">
      <c r="A1923" s="22">
        <v>6</v>
      </c>
      <c r="B1923" t="s">
        <v>801</v>
      </c>
      <c r="C1923" t="s">
        <v>802</v>
      </c>
      <c r="D1923" t="s">
        <v>1484</v>
      </c>
      <c r="E1923" t="s">
        <v>4216</v>
      </c>
      <c r="F1923">
        <v>2006500</v>
      </c>
      <c r="G1923" t="s">
        <v>4217</v>
      </c>
      <c r="H1923" t="s">
        <v>805</v>
      </c>
      <c r="I1923">
        <v>4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4</v>
      </c>
      <c r="P1923" s="44" t="e">
        <f>_xlfn.XLOOKUP(Tabla5[[#This Row],[EAN CORREGIDO]],'Tabla Articulos'!B:B,'Tabla Articulos'!D:D)</f>
        <v>#N/A</v>
      </c>
      <c r="Q1923" s="44" t="e">
        <f>_xlfn.XLOOKUP(S1923,'Tabla Articulos'!B:B,'Tabla Articulos'!E:E)</f>
        <v>#N/A</v>
      </c>
      <c r="R1923" s="44" t="e">
        <f t="shared" si="60"/>
        <v>#N/A</v>
      </c>
      <c r="S1923" s="45" t="str">
        <f t="shared" si="61"/>
        <v>LIM000296</v>
      </c>
    </row>
    <row r="1924" spans="1:19" hidden="1" x14ac:dyDescent="0.35">
      <c r="A1924" s="22">
        <v>6</v>
      </c>
      <c r="B1924" t="s">
        <v>801</v>
      </c>
      <c r="C1924" t="s">
        <v>802</v>
      </c>
      <c r="D1924"/>
      <c r="E1924" t="s">
        <v>4218</v>
      </c>
      <c r="F1924">
        <v>9003239</v>
      </c>
      <c r="G1924" t="s">
        <v>4219</v>
      </c>
      <c r="H1924" t="s">
        <v>805</v>
      </c>
      <c r="I1924">
        <v>25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25</v>
      </c>
      <c r="P1924" s="44" t="e">
        <f>_xlfn.XLOOKUP(Tabla5[[#This Row],[EAN CORREGIDO]],'Tabla Articulos'!B:B,'Tabla Articulos'!D:D)</f>
        <v>#N/A</v>
      </c>
      <c r="Q1924" s="44" t="e">
        <f>_xlfn.XLOOKUP(S1924,'Tabla Articulos'!B:B,'Tabla Articulos'!E:E)</f>
        <v>#N/A</v>
      </c>
      <c r="R1924" s="44" t="e">
        <f t="shared" si="60"/>
        <v>#N/A</v>
      </c>
      <c r="S1924" s="45" t="str">
        <f t="shared" si="61"/>
        <v>UNIF000467</v>
      </c>
    </row>
    <row r="1925" spans="1:19" hidden="1" x14ac:dyDescent="0.35">
      <c r="A1925" s="22">
        <v>6</v>
      </c>
      <c r="B1925" t="s">
        <v>801</v>
      </c>
      <c r="C1925" t="s">
        <v>802</v>
      </c>
      <c r="D1925" s="11" t="s">
        <v>4220</v>
      </c>
      <c r="E1925" t="s">
        <v>4221</v>
      </c>
      <c r="F1925" s="11">
        <v>2006760</v>
      </c>
      <c r="G1925" t="s">
        <v>4222</v>
      </c>
      <c r="H1925" t="s">
        <v>805</v>
      </c>
      <c r="I1925">
        <v>611</v>
      </c>
      <c r="J1925">
        <v>0</v>
      </c>
      <c r="K1925">
        <v>611</v>
      </c>
      <c r="L1925">
        <v>0</v>
      </c>
      <c r="M1925">
        <v>0</v>
      </c>
      <c r="N1925">
        <v>0</v>
      </c>
      <c r="O1925">
        <v>0</v>
      </c>
      <c r="P1925" s="44" t="e">
        <f>_xlfn.XLOOKUP(Tabla5[[#This Row],[EAN CORREGIDO]],'Tabla Articulos'!B:B,'Tabla Articulos'!D:D)</f>
        <v>#N/A</v>
      </c>
      <c r="Q1925" s="44" t="e">
        <f>_xlfn.XLOOKUP(S1925,'Tabla Articulos'!B:B,'Tabla Articulos'!E:E)</f>
        <v>#N/A</v>
      </c>
      <c r="R1925" s="44" t="e">
        <f t="shared" si="60"/>
        <v>#N/A</v>
      </c>
      <c r="S1925" s="45" t="str">
        <f t="shared" si="61"/>
        <v>7790132098459</v>
      </c>
    </row>
    <row r="1926" spans="1:19" hidden="1" x14ac:dyDescent="0.35">
      <c r="A1926" s="22">
        <v>6</v>
      </c>
      <c r="B1926" t="s">
        <v>801</v>
      </c>
      <c r="C1926" t="s">
        <v>802</v>
      </c>
      <c r="E1926" t="s">
        <v>4223</v>
      </c>
      <c r="F1926" s="11">
        <v>9003750</v>
      </c>
      <c r="G1926" t="s">
        <v>4224</v>
      </c>
      <c r="H1926" t="s">
        <v>805</v>
      </c>
      <c r="I1926">
        <v>936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936</v>
      </c>
      <c r="P1926" s="44" t="e">
        <f>_xlfn.XLOOKUP(Tabla5[[#This Row],[EAN CORREGIDO]],'Tabla Articulos'!B:B,'Tabla Articulos'!D:D)</f>
        <v>#N/A</v>
      </c>
      <c r="Q1926" s="44" t="e">
        <f>_xlfn.XLOOKUP(S1926,'Tabla Articulos'!B:B,'Tabla Articulos'!E:E)</f>
        <v>#N/A</v>
      </c>
      <c r="R1926" s="44" t="e">
        <f t="shared" si="60"/>
        <v>#N/A</v>
      </c>
      <c r="S1926" s="45" t="str">
        <f t="shared" si="61"/>
        <v>BAZ001355</v>
      </c>
    </row>
    <row r="1927" spans="1:19" hidden="1" x14ac:dyDescent="0.35">
      <c r="A1927" s="22">
        <v>5</v>
      </c>
      <c r="B1927" t="s">
        <v>829</v>
      </c>
      <c r="C1927" t="s">
        <v>802</v>
      </c>
      <c r="D1927" s="11" t="s">
        <v>4225</v>
      </c>
      <c r="E1927" t="s">
        <v>4226</v>
      </c>
      <c r="F1927" s="11">
        <v>4018001</v>
      </c>
      <c r="G1927" t="s">
        <v>4227</v>
      </c>
      <c r="H1927" t="s">
        <v>816</v>
      </c>
      <c r="I1927">
        <v>0.8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0.8</v>
      </c>
      <c r="P1927" s="44" t="e">
        <f>_xlfn.XLOOKUP(Tabla5[[#This Row],[EAN CORREGIDO]],'Tabla Articulos'!B:B,'Tabla Articulos'!D:D)</f>
        <v>#N/A</v>
      </c>
      <c r="Q1927" s="44" t="e">
        <f>_xlfn.XLOOKUP(S1927,'Tabla Articulos'!B:B,'Tabla Articulos'!E:E)</f>
        <v>#N/A</v>
      </c>
      <c r="R1927" s="44" t="e">
        <f t="shared" si="60"/>
        <v>#N/A</v>
      </c>
      <c r="S1927" s="45" t="str">
        <f t="shared" si="61"/>
        <v>7790216012643</v>
      </c>
    </row>
    <row r="1928" spans="1:19" hidden="1" x14ac:dyDescent="0.35">
      <c r="A1928" s="22">
        <v>5</v>
      </c>
      <c r="B1928" t="s">
        <v>829</v>
      </c>
      <c r="C1928" t="s">
        <v>802</v>
      </c>
      <c r="D1928" s="11" t="s">
        <v>3157</v>
      </c>
      <c r="E1928" t="s">
        <v>4228</v>
      </c>
      <c r="F1928" s="11">
        <v>4022307</v>
      </c>
      <c r="G1928" t="s">
        <v>4229</v>
      </c>
      <c r="H1928" t="s">
        <v>805</v>
      </c>
      <c r="I1928">
        <v>186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186</v>
      </c>
      <c r="P1928" s="44" t="e">
        <f>_xlfn.XLOOKUP(Tabla5[[#This Row],[EAN CORREGIDO]],'Tabla Articulos'!B:B,'Tabla Articulos'!D:D)</f>
        <v>#N/A</v>
      </c>
      <c r="Q1928" s="44" t="e">
        <f>_xlfn.XLOOKUP(S1928,'Tabla Articulos'!B:B,'Tabla Articulos'!E:E)</f>
        <v>#N/A</v>
      </c>
      <c r="R1928" s="44" t="e">
        <f t="shared" si="60"/>
        <v>#N/A</v>
      </c>
      <c r="S1928" s="45" t="str">
        <f t="shared" si="61"/>
        <v>7790971001832</v>
      </c>
    </row>
    <row r="1929" spans="1:19" hidden="1" x14ac:dyDescent="0.35">
      <c r="A1929" s="22">
        <v>6</v>
      </c>
      <c r="B1929" t="s">
        <v>801</v>
      </c>
      <c r="C1929" t="s">
        <v>802</v>
      </c>
      <c r="E1929" t="s">
        <v>4230</v>
      </c>
      <c r="F1929" s="11">
        <v>9003703</v>
      </c>
      <c r="G1929" t="s">
        <v>4231</v>
      </c>
      <c r="H1929" t="s">
        <v>805</v>
      </c>
      <c r="I1929">
        <v>49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49</v>
      </c>
      <c r="P1929" s="44" t="e">
        <f>_xlfn.XLOOKUP(Tabla5[[#This Row],[EAN CORREGIDO]],'Tabla Articulos'!B:B,'Tabla Articulos'!D:D)</f>
        <v>#N/A</v>
      </c>
      <c r="Q1929" s="44" t="e">
        <f>_xlfn.XLOOKUP(S1929,'Tabla Articulos'!B:B,'Tabla Articulos'!E:E)</f>
        <v>#N/A</v>
      </c>
      <c r="R1929" s="44" t="e">
        <f t="shared" si="60"/>
        <v>#N/A</v>
      </c>
      <c r="S1929" s="45" t="str">
        <f t="shared" si="61"/>
        <v>BAZ001328</v>
      </c>
    </row>
    <row r="1930" spans="1:19" hidden="1" x14ac:dyDescent="0.35">
      <c r="A1930" s="22">
        <v>6</v>
      </c>
      <c r="B1930" t="s">
        <v>801</v>
      </c>
      <c r="C1930" t="s">
        <v>802</v>
      </c>
      <c r="E1930" t="s">
        <v>4232</v>
      </c>
      <c r="F1930" s="11">
        <v>9003831</v>
      </c>
      <c r="G1930" t="s">
        <v>4233</v>
      </c>
      <c r="H1930" t="s">
        <v>805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</v>
      </c>
      <c r="P1930" s="44" t="e">
        <f>_xlfn.XLOOKUP(Tabla5[[#This Row],[EAN CORREGIDO]],'Tabla Articulos'!B:B,'Tabla Articulos'!D:D)</f>
        <v>#N/A</v>
      </c>
      <c r="Q1930" s="44" t="e">
        <f>_xlfn.XLOOKUP(S1930,'Tabla Articulos'!B:B,'Tabla Articulos'!E:E)</f>
        <v>#N/A</v>
      </c>
      <c r="R1930" s="44" t="e">
        <f t="shared" si="60"/>
        <v>#N/A</v>
      </c>
      <c r="S1930" s="45" t="str">
        <f t="shared" si="61"/>
        <v>BAZ001155</v>
      </c>
    </row>
    <row r="1931" spans="1:19" hidden="1" x14ac:dyDescent="0.35">
      <c r="A1931" s="22">
        <v>1</v>
      </c>
      <c r="B1931" t="s">
        <v>812</v>
      </c>
      <c r="C1931" t="s">
        <v>802</v>
      </c>
      <c r="D1931" s="11" t="s">
        <v>1366</v>
      </c>
      <c r="E1931" t="s">
        <v>4150</v>
      </c>
      <c r="F1931" s="11">
        <v>4019472</v>
      </c>
      <c r="G1931" t="s">
        <v>4151</v>
      </c>
      <c r="H1931" t="s">
        <v>805</v>
      </c>
      <c r="I1931">
        <v>39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39</v>
      </c>
      <c r="P1931" s="44" t="e">
        <f>_xlfn.XLOOKUP(Tabla5[[#This Row],[EAN CORREGIDO]],'Tabla Articulos'!B:B,'Tabla Articulos'!D:D)</f>
        <v>#N/A</v>
      </c>
      <c r="Q1931" s="44" t="e">
        <f>_xlfn.XLOOKUP(S1931,'Tabla Articulos'!B:B,'Tabla Articulos'!E:E)</f>
        <v>#N/A</v>
      </c>
      <c r="R1931" s="44" t="e">
        <f t="shared" si="60"/>
        <v>#N/A</v>
      </c>
      <c r="S1931" s="45" t="str">
        <f t="shared" si="61"/>
        <v>7790154000485</v>
      </c>
    </row>
    <row r="1932" spans="1:19" hidden="1" x14ac:dyDescent="0.35">
      <c r="A1932" s="22">
        <v>5</v>
      </c>
      <c r="B1932" t="s">
        <v>829</v>
      </c>
      <c r="C1932" t="s">
        <v>802</v>
      </c>
      <c r="D1932" s="11" t="s">
        <v>1366</v>
      </c>
      <c r="E1932" t="s">
        <v>4150</v>
      </c>
      <c r="F1932" s="11">
        <v>4019472</v>
      </c>
      <c r="G1932" t="s">
        <v>4151</v>
      </c>
      <c r="H1932" t="s">
        <v>805</v>
      </c>
      <c r="I1932">
        <v>1078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1078</v>
      </c>
      <c r="P1932" s="44" t="e">
        <f>_xlfn.XLOOKUP(Tabla5[[#This Row],[EAN CORREGIDO]],'Tabla Articulos'!B:B,'Tabla Articulos'!D:D)</f>
        <v>#N/A</v>
      </c>
      <c r="Q1932" s="44" t="e">
        <f>_xlfn.XLOOKUP(S1932,'Tabla Articulos'!B:B,'Tabla Articulos'!E:E)</f>
        <v>#N/A</v>
      </c>
      <c r="R1932" s="44" t="e">
        <f t="shared" si="60"/>
        <v>#N/A</v>
      </c>
      <c r="S1932" s="45" t="str">
        <f t="shared" si="61"/>
        <v>7790154000485</v>
      </c>
    </row>
    <row r="1933" spans="1:19" hidden="1" x14ac:dyDescent="0.35">
      <c r="A1933" s="22">
        <v>5</v>
      </c>
      <c r="B1933" t="s">
        <v>829</v>
      </c>
      <c r="C1933" t="s">
        <v>802</v>
      </c>
      <c r="D1933" s="11" t="s">
        <v>4152</v>
      </c>
      <c r="E1933" t="s">
        <v>4153</v>
      </c>
      <c r="F1933" s="11">
        <v>4023104</v>
      </c>
      <c r="G1933" t="s">
        <v>4154</v>
      </c>
      <c r="H1933" t="s">
        <v>805</v>
      </c>
      <c r="I1933">
        <v>49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49</v>
      </c>
      <c r="P1933" s="44" t="e">
        <f>_xlfn.XLOOKUP(Tabla5[[#This Row],[EAN CORREGIDO]],'Tabla Articulos'!B:B,'Tabla Articulos'!D:D)</f>
        <v>#N/A</v>
      </c>
      <c r="Q1933" s="44" t="e">
        <f>_xlfn.XLOOKUP(S1933,'Tabla Articulos'!B:B,'Tabla Articulos'!E:E)</f>
        <v>#N/A</v>
      </c>
      <c r="R1933" s="44" t="e">
        <f t="shared" si="60"/>
        <v>#N/A</v>
      </c>
      <c r="S1933" s="45" t="str">
        <f t="shared" si="61"/>
        <v>7793275000259</v>
      </c>
    </row>
    <row r="1934" spans="1:19" hidden="1" x14ac:dyDescent="0.35">
      <c r="A1934" s="22">
        <v>1</v>
      </c>
      <c r="B1934" t="s">
        <v>812</v>
      </c>
      <c r="C1934" t="s">
        <v>802</v>
      </c>
      <c r="D1934" s="11" t="s">
        <v>4155</v>
      </c>
      <c r="E1934" t="s">
        <v>4156</v>
      </c>
      <c r="F1934" s="11">
        <v>4017778</v>
      </c>
      <c r="G1934" t="s">
        <v>4157</v>
      </c>
      <c r="H1934" t="s">
        <v>816</v>
      </c>
      <c r="I1934">
        <v>397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397</v>
      </c>
      <c r="P1934" s="44" t="e">
        <f>_xlfn.XLOOKUP(Tabla5[[#This Row],[EAN CORREGIDO]],'Tabla Articulos'!B:B,'Tabla Articulos'!D:D)</f>
        <v>#N/A</v>
      </c>
      <c r="Q1934" s="44" t="e">
        <f>_xlfn.XLOOKUP(S1934,'Tabla Articulos'!B:B,'Tabla Articulos'!E:E)</f>
        <v>#N/A</v>
      </c>
      <c r="R1934" s="44" t="e">
        <f t="shared" si="60"/>
        <v>#N/A</v>
      </c>
      <c r="S1934" s="45" t="str">
        <f t="shared" si="61"/>
        <v>7790212031220</v>
      </c>
    </row>
    <row r="1935" spans="1:19" hidden="1" x14ac:dyDescent="0.35">
      <c r="A1935" s="22">
        <v>1</v>
      </c>
      <c r="B1935" t="s">
        <v>812</v>
      </c>
      <c r="C1935" t="s">
        <v>802</v>
      </c>
      <c r="D1935" s="11" t="s">
        <v>4158</v>
      </c>
      <c r="E1935" t="s">
        <v>4159</v>
      </c>
      <c r="F1935" s="11">
        <v>4077141</v>
      </c>
      <c r="G1935" t="s">
        <v>4160</v>
      </c>
      <c r="H1935" t="s">
        <v>805</v>
      </c>
      <c r="I1935">
        <v>7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7</v>
      </c>
      <c r="P1935" s="44" t="e">
        <f>_xlfn.XLOOKUP(Tabla5[[#This Row],[EAN CORREGIDO]],'Tabla Articulos'!B:B,'Tabla Articulos'!D:D)</f>
        <v>#N/A</v>
      </c>
      <c r="Q1935" s="44" t="e">
        <f>_xlfn.XLOOKUP(S1935,'Tabla Articulos'!B:B,'Tabla Articulos'!E:E)</f>
        <v>#N/A</v>
      </c>
      <c r="R1935" s="44" t="e">
        <f t="shared" si="60"/>
        <v>#N/A</v>
      </c>
      <c r="S1935" s="45" t="str">
        <f t="shared" si="61"/>
        <v>17792180009422</v>
      </c>
    </row>
    <row r="1936" spans="1:19" hidden="1" x14ac:dyDescent="0.35">
      <c r="A1936" s="22">
        <v>6</v>
      </c>
      <c r="B1936" t="s">
        <v>801</v>
      </c>
      <c r="C1936" t="s">
        <v>802</v>
      </c>
      <c r="E1936" t="s">
        <v>4161</v>
      </c>
      <c r="F1936" s="11">
        <v>9003649</v>
      </c>
      <c r="G1936" t="s">
        <v>2848</v>
      </c>
      <c r="H1936" t="s">
        <v>805</v>
      </c>
      <c r="I1936">
        <v>8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8</v>
      </c>
      <c r="P1936" s="44" t="e">
        <f>_xlfn.XLOOKUP(Tabla5[[#This Row],[EAN CORREGIDO]],'Tabla Articulos'!B:B,'Tabla Articulos'!D:D)</f>
        <v>#N/A</v>
      </c>
      <c r="Q1936" s="44" t="e">
        <f>_xlfn.XLOOKUP(S1936,'Tabla Articulos'!B:B,'Tabla Articulos'!E:E)</f>
        <v>#N/A</v>
      </c>
      <c r="R1936" s="44" t="e">
        <f t="shared" si="60"/>
        <v>#N/A</v>
      </c>
      <c r="S1936" s="45" t="str">
        <f t="shared" si="61"/>
        <v>UNIF000526</v>
      </c>
    </row>
    <row r="1937" spans="1:19" hidden="1" x14ac:dyDescent="0.35">
      <c r="A1937" s="22">
        <v>5</v>
      </c>
      <c r="B1937" t="s">
        <v>829</v>
      </c>
      <c r="C1937" t="s">
        <v>802</v>
      </c>
      <c r="D1937" s="11" t="s">
        <v>4162</v>
      </c>
      <c r="E1937" t="s">
        <v>4163</v>
      </c>
      <c r="F1937" s="11">
        <v>4020793</v>
      </c>
      <c r="G1937" t="s">
        <v>4164</v>
      </c>
      <c r="H1937" t="s">
        <v>805</v>
      </c>
      <c r="I1937">
        <v>745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745</v>
      </c>
      <c r="P1937" s="44" t="e">
        <f>_xlfn.XLOOKUP(Tabla5[[#This Row],[EAN CORREGIDO]],'Tabla Articulos'!B:B,'Tabla Articulos'!D:D)</f>
        <v>#N/A</v>
      </c>
      <c r="Q1937" s="44" t="e">
        <f>_xlfn.XLOOKUP(S1937,'Tabla Articulos'!B:B,'Tabla Articulos'!E:E)</f>
        <v>#N/A</v>
      </c>
      <c r="R1937" s="44" t="e">
        <f t="shared" si="60"/>
        <v>#N/A</v>
      </c>
      <c r="S1937" s="45" t="str">
        <f t="shared" si="61"/>
        <v>7798082000188</v>
      </c>
    </row>
    <row r="1938" spans="1:19" hidden="1" x14ac:dyDescent="0.35">
      <c r="A1938" s="22">
        <v>6</v>
      </c>
      <c r="B1938" t="s">
        <v>801</v>
      </c>
      <c r="C1938" t="s">
        <v>802</v>
      </c>
      <c r="D1938" s="11" t="s">
        <v>196</v>
      </c>
      <c r="E1938" t="s">
        <v>4303</v>
      </c>
      <c r="F1938" s="11">
        <v>2007185</v>
      </c>
      <c r="G1938" t="s">
        <v>4304</v>
      </c>
      <c r="H1938" t="s">
        <v>805</v>
      </c>
      <c r="I1938">
        <v>400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400</v>
      </c>
      <c r="P1938" s="44" t="str">
        <f>_xlfn.XLOOKUP(Tabla5[[#This Row],[EAN CORREGIDO]],'Tabla Articulos'!B:B,'Tabla Articulos'!D:D)</f>
        <v>FILM PVC 45</v>
      </c>
      <c r="Q1938" s="44">
        <f>_xlfn.XLOOKUP(S1938,'Tabla Articulos'!B:B,'Tabla Articulos'!E:E)</f>
        <v>1</v>
      </c>
      <c r="R1938" s="44">
        <f t="shared" si="60"/>
        <v>400</v>
      </c>
      <c r="S1938" s="45" t="str">
        <f t="shared" si="61"/>
        <v>7790000000229</v>
      </c>
    </row>
    <row r="1939" spans="1:19" hidden="1" x14ac:dyDescent="0.35">
      <c r="A1939" s="22">
        <v>5</v>
      </c>
      <c r="B1939" t="s">
        <v>829</v>
      </c>
      <c r="C1939" t="s">
        <v>802</v>
      </c>
      <c r="E1939" t="s">
        <v>4305</v>
      </c>
      <c r="F1939" s="11">
        <v>4077083</v>
      </c>
      <c r="G1939" t="s">
        <v>4306</v>
      </c>
      <c r="H1939" t="s">
        <v>805</v>
      </c>
      <c r="I1939">
        <v>3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3</v>
      </c>
      <c r="P1939" s="44" t="e">
        <f>_xlfn.XLOOKUP(Tabla5[[#This Row],[EAN CORREGIDO]],'Tabla Articulos'!B:B,'Tabla Articulos'!D:D)</f>
        <v>#N/A</v>
      </c>
      <c r="Q1939" s="44" t="e">
        <f>_xlfn.XLOOKUP(S1939,'Tabla Articulos'!B:B,'Tabla Articulos'!E:E)</f>
        <v>#N/A</v>
      </c>
      <c r="R1939" s="44" t="e">
        <f t="shared" si="60"/>
        <v>#N/A</v>
      </c>
      <c r="S1939" s="45" t="str">
        <f t="shared" si="61"/>
        <v>MOD21055</v>
      </c>
    </row>
    <row r="1940" spans="1:19" hidden="1" x14ac:dyDescent="0.35">
      <c r="A1940" s="22">
        <v>6</v>
      </c>
      <c r="B1940" t="s">
        <v>801</v>
      </c>
      <c r="C1940" t="s">
        <v>802</v>
      </c>
      <c r="D1940" t="s">
        <v>1069</v>
      </c>
      <c r="E1940" t="s">
        <v>1070</v>
      </c>
      <c r="F1940" s="11">
        <v>2011477</v>
      </c>
      <c r="G1940" t="s">
        <v>1071</v>
      </c>
      <c r="H1940" t="s">
        <v>805</v>
      </c>
      <c r="I1940">
        <v>3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3</v>
      </c>
      <c r="P1940" s="44" t="e">
        <f>_xlfn.XLOOKUP(Tabla5[[#This Row],[EAN CORREGIDO]],'Tabla Articulos'!B:B,'Tabla Articulos'!D:D)</f>
        <v>#N/A</v>
      </c>
      <c r="Q1940" s="44" t="e">
        <f>_xlfn.XLOOKUP(S1940,'Tabla Articulos'!B:B,'Tabla Articulos'!E:E)</f>
        <v>#N/A</v>
      </c>
      <c r="R1940" s="44" t="e">
        <f t="shared" si="60"/>
        <v>#N/A</v>
      </c>
      <c r="S1940" s="45" t="str">
        <f t="shared" si="61"/>
        <v>76625238104</v>
      </c>
    </row>
    <row r="1941" spans="1:19" hidden="1" x14ac:dyDescent="0.35">
      <c r="A1941" s="22">
        <v>6</v>
      </c>
      <c r="B1941" t="s">
        <v>801</v>
      </c>
      <c r="C1941" t="s">
        <v>802</v>
      </c>
      <c r="E1941" t="s">
        <v>1072</v>
      </c>
      <c r="F1941" s="11">
        <v>2011405</v>
      </c>
      <c r="G1941" t="s">
        <v>1073</v>
      </c>
      <c r="H1941" t="s">
        <v>805</v>
      </c>
      <c r="I1941">
        <v>148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148</v>
      </c>
      <c r="P1941" s="44" t="e">
        <f>_xlfn.XLOOKUP(Tabla5[[#This Row],[EAN CORREGIDO]],'Tabla Articulos'!B:B,'Tabla Articulos'!D:D)</f>
        <v>#N/A</v>
      </c>
      <c r="Q1941" s="44" t="e">
        <f>_xlfn.XLOOKUP(S1941,'Tabla Articulos'!B:B,'Tabla Articulos'!E:E)</f>
        <v>#N/A</v>
      </c>
      <c r="R1941" s="44" t="e">
        <f t="shared" si="60"/>
        <v>#N/A</v>
      </c>
      <c r="S1941" s="45" t="str">
        <f t="shared" si="61"/>
        <v>7798188650058</v>
      </c>
    </row>
    <row r="1942" spans="1:19" hidden="1" x14ac:dyDescent="0.35">
      <c r="A1942" s="22">
        <v>1</v>
      </c>
      <c r="B1942" t="s">
        <v>812</v>
      </c>
      <c r="C1942" t="s">
        <v>802</v>
      </c>
      <c r="D1942" s="11" t="s">
        <v>1074</v>
      </c>
      <c r="E1942" t="s">
        <v>1075</v>
      </c>
      <c r="F1942" s="11">
        <v>4020244</v>
      </c>
      <c r="G1942" t="s">
        <v>1076</v>
      </c>
      <c r="H1942" t="s">
        <v>805</v>
      </c>
      <c r="I1942">
        <v>2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2</v>
      </c>
      <c r="P1942" s="44" t="e">
        <f>_xlfn.XLOOKUP(Tabla5[[#This Row],[EAN CORREGIDO]],'Tabla Articulos'!B:B,'Tabla Articulos'!D:D)</f>
        <v>#N/A</v>
      </c>
      <c r="Q1942" s="44" t="e">
        <f>_xlfn.XLOOKUP(S1942,'Tabla Articulos'!B:B,'Tabla Articulos'!E:E)</f>
        <v>#N/A</v>
      </c>
      <c r="R1942" s="44" t="e">
        <f t="shared" si="60"/>
        <v>#N/A</v>
      </c>
      <c r="S1942" s="45" t="str">
        <f t="shared" si="61"/>
        <v>7793875321549</v>
      </c>
    </row>
    <row r="1943" spans="1:19" hidden="1" x14ac:dyDescent="0.35">
      <c r="A1943" s="22">
        <v>6</v>
      </c>
      <c r="B1943" t="s">
        <v>801</v>
      </c>
      <c r="C1943" t="s">
        <v>802</v>
      </c>
      <c r="D1943" s="11" t="s">
        <v>1077</v>
      </c>
      <c r="E1943" t="s">
        <v>1078</v>
      </c>
      <c r="F1943" s="11">
        <v>2006824</v>
      </c>
      <c r="G1943" t="s">
        <v>1079</v>
      </c>
      <c r="H1943" t="s">
        <v>805</v>
      </c>
      <c r="I1943">
        <v>100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100</v>
      </c>
      <c r="P1943" s="44" t="e">
        <f>_xlfn.XLOOKUP(Tabla5[[#This Row],[EAN CORREGIDO]],'Tabla Articulos'!B:B,'Tabla Articulos'!D:D)</f>
        <v>#N/A</v>
      </c>
      <c r="Q1943" s="44" t="e">
        <f>_xlfn.XLOOKUP(S1943,'Tabla Articulos'!B:B,'Tabla Articulos'!E:E)</f>
        <v>#N/A</v>
      </c>
      <c r="R1943" s="44" t="e">
        <f t="shared" si="60"/>
        <v>#N/A</v>
      </c>
      <c r="S1943" s="45" t="str">
        <f t="shared" si="61"/>
        <v>REG000007</v>
      </c>
    </row>
    <row r="1944" spans="1:19" hidden="1" x14ac:dyDescent="0.35">
      <c r="A1944" s="22">
        <v>6</v>
      </c>
      <c r="B1944" t="s">
        <v>801</v>
      </c>
      <c r="C1944" t="s">
        <v>802</v>
      </c>
      <c r="E1944" t="s">
        <v>1080</v>
      </c>
      <c r="F1944" s="11">
        <v>9003206</v>
      </c>
      <c r="G1944" t="s">
        <v>1081</v>
      </c>
      <c r="H1944" t="s">
        <v>805</v>
      </c>
      <c r="I1944">
        <v>27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27</v>
      </c>
      <c r="P1944" s="44" t="e">
        <f>_xlfn.XLOOKUP(Tabla5[[#This Row],[EAN CORREGIDO]],'Tabla Articulos'!B:B,'Tabla Articulos'!D:D)</f>
        <v>#N/A</v>
      </c>
      <c r="Q1944" s="44" t="e">
        <f>_xlfn.XLOOKUP(S1944,'Tabla Articulos'!B:B,'Tabla Articulos'!E:E)</f>
        <v>#N/A</v>
      </c>
      <c r="R1944" s="44" t="e">
        <f t="shared" si="60"/>
        <v>#N/A</v>
      </c>
      <c r="S1944" s="45" t="str">
        <f t="shared" si="61"/>
        <v>UNIF000362</v>
      </c>
    </row>
    <row r="1945" spans="1:19" hidden="1" x14ac:dyDescent="0.35">
      <c r="A1945" s="22">
        <v>6</v>
      </c>
      <c r="B1945" t="s">
        <v>801</v>
      </c>
      <c r="C1945" t="s">
        <v>802</v>
      </c>
      <c r="E1945" t="s">
        <v>1082</v>
      </c>
      <c r="F1945" s="11">
        <v>9003160</v>
      </c>
      <c r="G1945" t="s">
        <v>1083</v>
      </c>
      <c r="H1945" t="s">
        <v>805</v>
      </c>
      <c r="I1945">
        <v>63</v>
      </c>
      <c r="J1945">
        <v>150</v>
      </c>
      <c r="K1945">
        <v>0</v>
      </c>
      <c r="L1945">
        <v>0</v>
      </c>
      <c r="M1945">
        <v>0</v>
      </c>
      <c r="N1945">
        <v>0</v>
      </c>
      <c r="O1945">
        <v>213</v>
      </c>
      <c r="P1945" s="44" t="e">
        <f>_xlfn.XLOOKUP(Tabla5[[#This Row],[EAN CORREGIDO]],'Tabla Articulos'!B:B,'Tabla Articulos'!D:D)</f>
        <v>#N/A</v>
      </c>
      <c r="Q1945" s="44" t="e">
        <f>_xlfn.XLOOKUP(S1945,'Tabla Articulos'!B:B,'Tabla Articulos'!E:E)</f>
        <v>#N/A</v>
      </c>
      <c r="R1945" s="44" t="e">
        <f t="shared" si="60"/>
        <v>#N/A</v>
      </c>
      <c r="S1945" s="45" t="str">
        <f t="shared" si="61"/>
        <v>UNIF000622</v>
      </c>
    </row>
    <row r="1946" spans="1:19" hidden="1" x14ac:dyDescent="0.35">
      <c r="A1946" s="22">
        <v>6</v>
      </c>
      <c r="B1946" t="s">
        <v>801</v>
      </c>
      <c r="C1946" t="s">
        <v>802</v>
      </c>
      <c r="E1946" t="s">
        <v>1084</v>
      </c>
      <c r="F1946" s="11">
        <v>9003155</v>
      </c>
      <c r="G1946" t="s">
        <v>1085</v>
      </c>
      <c r="H1946" t="s">
        <v>805</v>
      </c>
      <c r="I1946">
        <v>37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37</v>
      </c>
      <c r="P1946" s="44" t="e">
        <f>_xlfn.XLOOKUP(Tabla5[[#This Row],[EAN CORREGIDO]],'Tabla Articulos'!B:B,'Tabla Articulos'!D:D)</f>
        <v>#N/A</v>
      </c>
      <c r="Q1946" s="44" t="e">
        <f>_xlfn.XLOOKUP(S1946,'Tabla Articulos'!B:B,'Tabla Articulos'!E:E)</f>
        <v>#N/A</v>
      </c>
      <c r="R1946" s="44" t="e">
        <f t="shared" si="60"/>
        <v>#N/A</v>
      </c>
      <c r="S1946" s="45" t="str">
        <f t="shared" si="61"/>
        <v>UNIF000617</v>
      </c>
    </row>
    <row r="1947" spans="1:19" hidden="1" x14ac:dyDescent="0.35">
      <c r="A1947" s="22">
        <v>1</v>
      </c>
      <c r="B1947" t="s">
        <v>812</v>
      </c>
      <c r="C1947" t="s">
        <v>802</v>
      </c>
      <c r="D1947" s="11" t="s">
        <v>1086</v>
      </c>
      <c r="E1947" t="s">
        <v>1087</v>
      </c>
      <c r="F1947" s="11">
        <v>4017458</v>
      </c>
      <c r="G1947" t="s">
        <v>1088</v>
      </c>
      <c r="H1947" t="s">
        <v>805</v>
      </c>
      <c r="I1947">
        <v>8</v>
      </c>
      <c r="J1947">
        <v>0</v>
      </c>
      <c r="K1947">
        <v>0</v>
      </c>
      <c r="L1947">
        <v>0</v>
      </c>
      <c r="M1947">
        <v>1</v>
      </c>
      <c r="N1947">
        <v>0</v>
      </c>
      <c r="O1947">
        <v>7</v>
      </c>
      <c r="P1947" s="44" t="e">
        <f>_xlfn.XLOOKUP(Tabla5[[#This Row],[EAN CORREGIDO]],'Tabla Articulos'!B:B,'Tabla Articulos'!D:D)</f>
        <v>#N/A</v>
      </c>
      <c r="Q1947" s="44" t="e">
        <f>_xlfn.XLOOKUP(S1947,'Tabla Articulos'!B:B,'Tabla Articulos'!E:E)</f>
        <v>#N/A</v>
      </c>
      <c r="R1947" s="44" t="e">
        <f t="shared" si="60"/>
        <v>#N/A</v>
      </c>
      <c r="S1947" s="45" t="str">
        <f t="shared" si="61"/>
        <v>7798172641284</v>
      </c>
    </row>
    <row r="1948" spans="1:19" hidden="1" x14ac:dyDescent="0.35">
      <c r="A1948" s="22">
        <v>6</v>
      </c>
      <c r="B1948" t="s">
        <v>801</v>
      </c>
      <c r="C1948" t="s">
        <v>802</v>
      </c>
      <c r="E1948" t="s">
        <v>4307</v>
      </c>
      <c r="F1948" s="11">
        <v>5000797</v>
      </c>
      <c r="G1948" t="s">
        <v>4308</v>
      </c>
      <c r="H1948" t="s">
        <v>805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</v>
      </c>
      <c r="P1948" s="44" t="e">
        <f>_xlfn.XLOOKUP(Tabla5[[#This Row],[EAN CORREGIDO]],'Tabla Articulos'!B:B,'Tabla Articulos'!D:D)</f>
        <v>#N/A</v>
      </c>
      <c r="Q1948" s="44" t="e">
        <f>_xlfn.XLOOKUP(S1948,'Tabla Articulos'!B:B,'Tabla Articulos'!E:E)</f>
        <v>#N/A</v>
      </c>
      <c r="R1948" s="44" t="e">
        <f t="shared" si="60"/>
        <v>#N/A</v>
      </c>
      <c r="S1948" s="45" t="str">
        <f t="shared" si="61"/>
        <v>5000797</v>
      </c>
    </row>
    <row r="1949" spans="1:19" hidden="1" x14ac:dyDescent="0.35">
      <c r="A1949" s="22">
        <v>6</v>
      </c>
      <c r="B1949" t="s">
        <v>801</v>
      </c>
      <c r="C1949" t="s">
        <v>802</v>
      </c>
      <c r="E1949" t="s">
        <v>4309</v>
      </c>
      <c r="F1949" s="11">
        <v>9003669</v>
      </c>
      <c r="G1949" t="s">
        <v>4310</v>
      </c>
      <c r="H1949" t="s">
        <v>805</v>
      </c>
      <c r="I1949">
        <v>18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18</v>
      </c>
      <c r="P1949" s="44" t="e">
        <f>_xlfn.XLOOKUP(Tabla5[[#This Row],[EAN CORREGIDO]],'Tabla Articulos'!B:B,'Tabla Articulos'!D:D)</f>
        <v>#N/A</v>
      </c>
      <c r="Q1949" s="44" t="e">
        <f>_xlfn.XLOOKUP(S1949,'Tabla Articulos'!B:B,'Tabla Articulos'!E:E)</f>
        <v>#N/A</v>
      </c>
      <c r="R1949" s="44" t="e">
        <f t="shared" si="60"/>
        <v>#N/A</v>
      </c>
      <c r="S1949" s="45" t="str">
        <f t="shared" si="61"/>
        <v>UNIF000292</v>
      </c>
    </row>
    <row r="1950" spans="1:19" hidden="1" x14ac:dyDescent="0.35">
      <c r="A1950" s="22">
        <v>1</v>
      </c>
      <c r="B1950" t="s">
        <v>812</v>
      </c>
      <c r="C1950" t="s">
        <v>802</v>
      </c>
      <c r="D1950" s="11" t="s">
        <v>3870</v>
      </c>
      <c r="E1950" t="s">
        <v>4311</v>
      </c>
      <c r="F1950" s="11">
        <v>4024017</v>
      </c>
      <c r="G1950" t="s">
        <v>4312</v>
      </c>
      <c r="H1950" t="s">
        <v>805</v>
      </c>
      <c r="I1950">
        <v>5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5</v>
      </c>
      <c r="P1950" s="44" t="e">
        <f>_xlfn.XLOOKUP(Tabla5[[#This Row],[EAN CORREGIDO]],'Tabla Articulos'!B:B,'Tabla Articulos'!D:D)</f>
        <v>#N/A</v>
      </c>
      <c r="Q1950" s="44" t="e">
        <f>_xlfn.XLOOKUP(S1950,'Tabla Articulos'!B:B,'Tabla Articulos'!E:E)</f>
        <v>#N/A</v>
      </c>
      <c r="R1950" s="44" t="e">
        <f t="shared" si="60"/>
        <v>#N/A</v>
      </c>
      <c r="S1950" s="45" t="str">
        <f t="shared" si="61"/>
        <v>7798184270281</v>
      </c>
    </row>
    <row r="1951" spans="1:19" hidden="1" x14ac:dyDescent="0.35">
      <c r="A1951" s="22">
        <v>1</v>
      </c>
      <c r="B1951" t="s">
        <v>812</v>
      </c>
      <c r="C1951" t="s">
        <v>802</v>
      </c>
      <c r="D1951" s="11" t="s">
        <v>4300</v>
      </c>
      <c r="E1951" t="s">
        <v>4313</v>
      </c>
      <c r="F1951" s="11">
        <v>4018276</v>
      </c>
      <c r="G1951" t="s">
        <v>4314</v>
      </c>
      <c r="H1951" t="s">
        <v>805</v>
      </c>
      <c r="I1951">
        <v>414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414</v>
      </c>
      <c r="P1951" s="44" t="e">
        <f>_xlfn.XLOOKUP(Tabla5[[#This Row],[EAN CORREGIDO]],'Tabla Articulos'!B:B,'Tabla Articulos'!D:D)</f>
        <v>#N/A</v>
      </c>
      <c r="Q1951" s="44" t="e">
        <f>_xlfn.XLOOKUP(S1951,'Tabla Articulos'!B:B,'Tabla Articulos'!E:E)</f>
        <v>#N/A</v>
      </c>
      <c r="R1951" s="44" t="e">
        <f t="shared" si="60"/>
        <v>#N/A</v>
      </c>
      <c r="S1951" s="45" t="str">
        <f t="shared" si="61"/>
        <v>8445290180209</v>
      </c>
    </row>
    <row r="1952" spans="1:19" hidden="1" x14ac:dyDescent="0.35">
      <c r="A1952" s="22">
        <v>6</v>
      </c>
      <c r="B1952" t="s">
        <v>801</v>
      </c>
      <c r="C1952" t="s">
        <v>802</v>
      </c>
      <c r="E1952" t="s">
        <v>4315</v>
      </c>
      <c r="F1952" s="11">
        <v>9003028</v>
      </c>
      <c r="G1952" t="s">
        <v>4316</v>
      </c>
      <c r="H1952" t="s">
        <v>805</v>
      </c>
      <c r="I1952">
        <v>25</v>
      </c>
      <c r="J1952">
        <v>100</v>
      </c>
      <c r="K1952">
        <v>50</v>
      </c>
      <c r="L1952">
        <v>0</v>
      </c>
      <c r="M1952">
        <v>1</v>
      </c>
      <c r="N1952">
        <v>0</v>
      </c>
      <c r="O1952">
        <v>74</v>
      </c>
      <c r="P1952" s="44" t="e">
        <f>_xlfn.XLOOKUP(Tabla5[[#This Row],[EAN CORREGIDO]],'Tabla Articulos'!B:B,'Tabla Articulos'!D:D)</f>
        <v>#N/A</v>
      </c>
      <c r="Q1952" s="44" t="e">
        <f>_xlfn.XLOOKUP(S1952,'Tabla Articulos'!B:B,'Tabla Articulos'!E:E)</f>
        <v>#N/A</v>
      </c>
      <c r="R1952" s="44" t="e">
        <f t="shared" si="60"/>
        <v>#N/A</v>
      </c>
      <c r="S1952" s="45" t="str">
        <f t="shared" si="61"/>
        <v>A1607C25T6</v>
      </c>
    </row>
    <row r="1953" spans="1:19" hidden="1" x14ac:dyDescent="0.35">
      <c r="A1953" s="22">
        <v>6</v>
      </c>
      <c r="B1953" t="s">
        <v>801</v>
      </c>
      <c r="C1953" t="s">
        <v>802</v>
      </c>
      <c r="E1953" t="s">
        <v>4317</v>
      </c>
      <c r="F1953" s="11">
        <v>9003096</v>
      </c>
      <c r="G1953" t="s">
        <v>4318</v>
      </c>
      <c r="H1953" t="s">
        <v>805</v>
      </c>
      <c r="I1953">
        <v>13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13</v>
      </c>
      <c r="P1953" s="44" t="e">
        <f>_xlfn.XLOOKUP(Tabla5[[#This Row],[EAN CORREGIDO]],'Tabla Articulos'!B:B,'Tabla Articulos'!D:D)</f>
        <v>#N/A</v>
      </c>
      <c r="Q1953" s="44" t="e">
        <f>_xlfn.XLOOKUP(S1953,'Tabla Articulos'!B:B,'Tabla Articulos'!E:E)</f>
        <v>#N/A</v>
      </c>
      <c r="R1953" s="44" t="e">
        <f t="shared" si="60"/>
        <v>#N/A</v>
      </c>
      <c r="S1953" s="45" t="str">
        <f t="shared" si="61"/>
        <v>UNIF000558</v>
      </c>
    </row>
    <row r="1954" spans="1:19" hidden="1" x14ac:dyDescent="0.35">
      <c r="A1954" s="22">
        <v>6</v>
      </c>
      <c r="B1954" t="s">
        <v>801</v>
      </c>
      <c r="C1954" t="s">
        <v>802</v>
      </c>
      <c r="E1954" t="s">
        <v>3770</v>
      </c>
      <c r="F1954" s="11">
        <v>9003553</v>
      </c>
      <c r="G1954" t="s">
        <v>3771</v>
      </c>
      <c r="H1954" t="s">
        <v>805</v>
      </c>
      <c r="I1954">
        <v>6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6</v>
      </c>
      <c r="P1954" s="44" t="e">
        <f>_xlfn.XLOOKUP(Tabla5[[#This Row],[EAN CORREGIDO]],'Tabla Articulos'!B:B,'Tabla Articulos'!D:D)</f>
        <v>#N/A</v>
      </c>
      <c r="Q1954" s="44" t="e">
        <f>_xlfn.XLOOKUP(S1954,'Tabla Articulos'!B:B,'Tabla Articulos'!E:E)</f>
        <v>#N/A</v>
      </c>
      <c r="R1954" s="44" t="e">
        <f t="shared" si="60"/>
        <v>#N/A</v>
      </c>
      <c r="S1954" s="45" t="str">
        <f t="shared" si="61"/>
        <v>UNIF000092</v>
      </c>
    </row>
    <row r="1955" spans="1:19" hidden="1" x14ac:dyDescent="0.35">
      <c r="A1955" s="22">
        <v>5</v>
      </c>
      <c r="B1955" t="s">
        <v>829</v>
      </c>
      <c r="C1955" t="s">
        <v>802</v>
      </c>
      <c r="D1955" s="11" t="s">
        <v>1606</v>
      </c>
      <c r="E1955" t="s">
        <v>3772</v>
      </c>
      <c r="F1955" s="11">
        <v>4020124</v>
      </c>
      <c r="G1955" t="s">
        <v>3773</v>
      </c>
      <c r="H1955" t="s">
        <v>805</v>
      </c>
      <c r="I1955">
        <v>7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7</v>
      </c>
      <c r="P1955" s="44" t="e">
        <f>_xlfn.XLOOKUP(Tabla5[[#This Row],[EAN CORREGIDO]],'Tabla Articulos'!B:B,'Tabla Articulos'!D:D)</f>
        <v>#N/A</v>
      </c>
      <c r="Q1955" s="44" t="e">
        <f>_xlfn.XLOOKUP(S1955,'Tabla Articulos'!B:B,'Tabla Articulos'!E:E)</f>
        <v>#N/A</v>
      </c>
      <c r="R1955" s="44" t="e">
        <f t="shared" si="60"/>
        <v>#N/A</v>
      </c>
      <c r="S1955" s="45" t="str">
        <f t="shared" si="61"/>
        <v>7792860001817</v>
      </c>
    </row>
    <row r="1956" spans="1:19" hidden="1" x14ac:dyDescent="0.35">
      <c r="A1956" s="22">
        <v>1</v>
      </c>
      <c r="B1956" t="s">
        <v>812</v>
      </c>
      <c r="C1956" t="s">
        <v>802</v>
      </c>
      <c r="D1956" s="11" t="s">
        <v>1606</v>
      </c>
      <c r="E1956" t="s">
        <v>3772</v>
      </c>
      <c r="F1956" s="11">
        <v>4020124</v>
      </c>
      <c r="G1956" t="s">
        <v>3773</v>
      </c>
      <c r="H1956" t="s">
        <v>805</v>
      </c>
      <c r="I1956">
        <v>91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91</v>
      </c>
      <c r="P1956" s="44" t="e">
        <f>_xlfn.XLOOKUP(Tabla5[[#This Row],[EAN CORREGIDO]],'Tabla Articulos'!B:B,'Tabla Articulos'!D:D)</f>
        <v>#N/A</v>
      </c>
      <c r="Q1956" s="44" t="e">
        <f>_xlfn.XLOOKUP(S1956,'Tabla Articulos'!B:B,'Tabla Articulos'!E:E)</f>
        <v>#N/A</v>
      </c>
      <c r="R1956" s="44" t="e">
        <f t="shared" si="60"/>
        <v>#N/A</v>
      </c>
      <c r="S1956" s="45" t="str">
        <f t="shared" si="61"/>
        <v>7792860001817</v>
      </c>
    </row>
    <row r="1957" spans="1:19" hidden="1" x14ac:dyDescent="0.35">
      <c r="A1957" s="22">
        <v>6</v>
      </c>
      <c r="B1957" t="s">
        <v>801</v>
      </c>
      <c r="C1957" t="s">
        <v>802</v>
      </c>
      <c r="E1957" t="s">
        <v>3774</v>
      </c>
      <c r="F1957" s="11">
        <v>9003091</v>
      </c>
      <c r="G1957" t="s">
        <v>3775</v>
      </c>
      <c r="H1957" t="s">
        <v>805</v>
      </c>
      <c r="I1957">
        <v>25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25</v>
      </c>
      <c r="P1957" s="44" t="e">
        <f>_xlfn.XLOOKUP(Tabla5[[#This Row],[EAN CORREGIDO]],'Tabla Articulos'!B:B,'Tabla Articulos'!D:D)</f>
        <v>#N/A</v>
      </c>
      <c r="Q1957" s="44" t="e">
        <f>_xlfn.XLOOKUP(S1957,'Tabla Articulos'!B:B,'Tabla Articulos'!E:E)</f>
        <v>#N/A</v>
      </c>
      <c r="R1957" s="44" t="e">
        <f t="shared" si="60"/>
        <v>#N/A</v>
      </c>
      <c r="S1957" s="45" t="str">
        <f t="shared" si="61"/>
        <v>UNIF000553</v>
      </c>
    </row>
    <row r="1958" spans="1:19" hidden="1" x14ac:dyDescent="0.35">
      <c r="A1958" s="22">
        <v>1</v>
      </c>
      <c r="B1958" t="s">
        <v>812</v>
      </c>
      <c r="C1958" t="s">
        <v>802</v>
      </c>
      <c r="D1958" s="11" t="s">
        <v>4162</v>
      </c>
      <c r="E1958" t="s">
        <v>4163</v>
      </c>
      <c r="F1958" s="11">
        <v>4020793</v>
      </c>
      <c r="G1958" t="s">
        <v>4164</v>
      </c>
      <c r="H1958" t="s">
        <v>805</v>
      </c>
      <c r="I1958">
        <v>9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9</v>
      </c>
      <c r="P1958" s="44" t="e">
        <f>_xlfn.XLOOKUP(Tabla5[[#This Row],[EAN CORREGIDO]],'Tabla Articulos'!B:B,'Tabla Articulos'!D:D)</f>
        <v>#N/A</v>
      </c>
      <c r="Q1958" s="44" t="e">
        <f>_xlfn.XLOOKUP(S1958,'Tabla Articulos'!B:B,'Tabla Articulos'!E:E)</f>
        <v>#N/A</v>
      </c>
      <c r="R1958" s="44" t="e">
        <f t="shared" si="60"/>
        <v>#N/A</v>
      </c>
      <c r="S1958" s="45" t="str">
        <f t="shared" si="61"/>
        <v>7798082000188</v>
      </c>
    </row>
    <row r="1959" spans="1:19" hidden="1" x14ac:dyDescent="0.35">
      <c r="A1959" s="22">
        <v>1</v>
      </c>
      <c r="B1959" t="s">
        <v>812</v>
      </c>
      <c r="C1959" t="s">
        <v>802</v>
      </c>
      <c r="D1959" s="11" t="s">
        <v>2742</v>
      </c>
      <c r="E1959" t="s">
        <v>2743</v>
      </c>
      <c r="F1959" s="11">
        <v>4019020</v>
      </c>
      <c r="G1959" t="s">
        <v>2744</v>
      </c>
      <c r="H1959" t="s">
        <v>805</v>
      </c>
      <c r="I1959">
        <v>628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628</v>
      </c>
      <c r="P1959" s="44" t="e">
        <f>_xlfn.XLOOKUP(Tabla5[[#This Row],[EAN CORREGIDO]],'Tabla Articulos'!B:B,'Tabla Articulos'!D:D)</f>
        <v>#N/A</v>
      </c>
      <c r="Q1959" s="44" t="e">
        <f>_xlfn.XLOOKUP(S1959,'Tabla Articulos'!B:B,'Tabla Articulos'!E:E)</f>
        <v>#N/A</v>
      </c>
      <c r="R1959" s="44" t="e">
        <f t="shared" si="60"/>
        <v>#N/A</v>
      </c>
      <c r="S1959" s="45" t="str">
        <f t="shared" si="61"/>
        <v>7798094220956</v>
      </c>
    </row>
    <row r="1960" spans="1:19" hidden="1" x14ac:dyDescent="0.35">
      <c r="A1960" s="22">
        <v>6</v>
      </c>
      <c r="B1960" t="s">
        <v>801</v>
      </c>
      <c r="C1960" t="s">
        <v>802</v>
      </c>
      <c r="E1960" t="s">
        <v>2745</v>
      </c>
      <c r="F1960" s="11">
        <v>9003324</v>
      </c>
      <c r="G1960" t="s">
        <v>2746</v>
      </c>
      <c r="H1960" t="s">
        <v>805</v>
      </c>
      <c r="I1960">
        <v>49</v>
      </c>
      <c r="J1960">
        <v>60</v>
      </c>
      <c r="K1960">
        <v>0</v>
      </c>
      <c r="L1960">
        <v>0</v>
      </c>
      <c r="M1960">
        <v>0</v>
      </c>
      <c r="N1960">
        <v>0</v>
      </c>
      <c r="O1960">
        <v>109</v>
      </c>
      <c r="P1960" s="44" t="e">
        <f>_xlfn.XLOOKUP(Tabla5[[#This Row],[EAN CORREGIDO]],'Tabla Articulos'!B:B,'Tabla Articulos'!D:D)</f>
        <v>#N/A</v>
      </c>
      <c r="Q1960" s="44" t="e">
        <f>_xlfn.XLOOKUP(S1960,'Tabla Articulos'!B:B,'Tabla Articulos'!E:E)</f>
        <v>#N/A</v>
      </c>
      <c r="R1960" s="44" t="e">
        <f t="shared" si="60"/>
        <v>#N/A</v>
      </c>
      <c r="S1960" s="45" t="str">
        <f t="shared" si="61"/>
        <v>UNIF000132</v>
      </c>
    </row>
    <row r="1961" spans="1:19" hidden="1" x14ac:dyDescent="0.35">
      <c r="A1961" s="22">
        <v>6</v>
      </c>
      <c r="B1961" t="s">
        <v>801</v>
      </c>
      <c r="C1961" t="s">
        <v>802</v>
      </c>
      <c r="E1961" t="s">
        <v>2747</v>
      </c>
      <c r="F1961" s="11">
        <v>9003199</v>
      </c>
      <c r="G1961" t="s">
        <v>2748</v>
      </c>
      <c r="H1961" t="s">
        <v>805</v>
      </c>
      <c r="I1961">
        <v>46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46</v>
      </c>
      <c r="P1961" s="44" t="e">
        <f>_xlfn.XLOOKUP(Tabla5[[#This Row],[EAN CORREGIDO]],'Tabla Articulos'!B:B,'Tabla Articulos'!D:D)</f>
        <v>#N/A</v>
      </c>
      <c r="Q1961" s="44" t="e">
        <f>_xlfn.XLOOKUP(S1961,'Tabla Articulos'!B:B,'Tabla Articulos'!E:E)</f>
        <v>#N/A</v>
      </c>
      <c r="R1961" s="44" t="e">
        <f t="shared" si="60"/>
        <v>#N/A</v>
      </c>
      <c r="S1961" s="45" t="str">
        <f t="shared" si="61"/>
        <v>UNIF000325</v>
      </c>
    </row>
    <row r="1962" spans="1:19" hidden="1" x14ac:dyDescent="0.35">
      <c r="A1962" s="22">
        <v>6</v>
      </c>
      <c r="B1962" t="s">
        <v>801</v>
      </c>
      <c r="C1962" t="s">
        <v>802</v>
      </c>
      <c r="E1962" t="s">
        <v>3461</v>
      </c>
      <c r="F1962" s="11">
        <v>9003818</v>
      </c>
      <c r="G1962" t="s">
        <v>3462</v>
      </c>
      <c r="H1962" t="s">
        <v>805</v>
      </c>
      <c r="I1962">
        <v>113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113</v>
      </c>
      <c r="P1962" s="44" t="e">
        <f>_xlfn.XLOOKUP(Tabla5[[#This Row],[EAN CORREGIDO]],'Tabla Articulos'!B:B,'Tabla Articulos'!D:D)</f>
        <v>#N/A</v>
      </c>
      <c r="Q1962" s="44" t="e">
        <f>_xlfn.XLOOKUP(S1962,'Tabla Articulos'!B:B,'Tabla Articulos'!E:E)</f>
        <v>#N/A</v>
      </c>
      <c r="R1962" s="44" t="e">
        <f t="shared" si="60"/>
        <v>#N/A</v>
      </c>
      <c r="S1962" s="45" t="str">
        <f t="shared" si="61"/>
        <v>BAZ001146</v>
      </c>
    </row>
    <row r="1963" spans="1:19" hidden="1" x14ac:dyDescent="0.35">
      <c r="A1963" s="22">
        <v>6</v>
      </c>
      <c r="B1963" t="s">
        <v>801</v>
      </c>
      <c r="C1963" t="s">
        <v>802</v>
      </c>
      <c r="E1963" t="s">
        <v>2213</v>
      </c>
      <c r="F1963" s="11">
        <v>9003200</v>
      </c>
      <c r="G1963" t="s">
        <v>2214</v>
      </c>
      <c r="H1963" t="s">
        <v>805</v>
      </c>
      <c r="I1963">
        <v>61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61</v>
      </c>
      <c r="P1963" s="44" t="e">
        <f>_xlfn.XLOOKUP(Tabla5[[#This Row],[EAN CORREGIDO]],'Tabla Articulos'!B:B,'Tabla Articulos'!D:D)</f>
        <v>#N/A</v>
      </c>
      <c r="Q1963" s="44" t="e">
        <f>_xlfn.XLOOKUP(S1963,'Tabla Articulos'!B:B,'Tabla Articulos'!E:E)</f>
        <v>#N/A</v>
      </c>
      <c r="R1963" s="44" t="e">
        <f t="shared" si="60"/>
        <v>#N/A</v>
      </c>
      <c r="S1963" s="45" t="str">
        <f t="shared" si="61"/>
        <v>UNIF000326</v>
      </c>
    </row>
    <row r="1964" spans="1:19" hidden="1" x14ac:dyDescent="0.35">
      <c r="A1964" s="22">
        <v>6</v>
      </c>
      <c r="B1964" t="s">
        <v>801</v>
      </c>
      <c r="C1964" t="s">
        <v>802</v>
      </c>
      <c r="D1964"/>
      <c r="E1964" t="s">
        <v>2215</v>
      </c>
      <c r="F1964" s="11">
        <v>9003168</v>
      </c>
      <c r="G1964" t="s">
        <v>2216</v>
      </c>
      <c r="H1964" t="s">
        <v>805</v>
      </c>
      <c r="I1964">
        <v>169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169</v>
      </c>
      <c r="P1964" s="44" t="e">
        <f>_xlfn.XLOOKUP(Tabla5[[#This Row],[EAN CORREGIDO]],'Tabla Articulos'!B:B,'Tabla Articulos'!D:D)</f>
        <v>#N/A</v>
      </c>
      <c r="Q1964" s="44" t="e">
        <f>_xlfn.XLOOKUP(S1964,'Tabla Articulos'!B:B,'Tabla Articulos'!E:E)</f>
        <v>#N/A</v>
      </c>
      <c r="R1964" s="44" t="e">
        <f t="shared" si="60"/>
        <v>#N/A</v>
      </c>
      <c r="S1964" s="45" t="str">
        <f t="shared" si="61"/>
        <v>UNIF000630</v>
      </c>
    </row>
    <row r="1965" spans="1:19" hidden="1" x14ac:dyDescent="0.35">
      <c r="A1965" s="22">
        <v>6</v>
      </c>
      <c r="B1965" t="s">
        <v>801</v>
      </c>
      <c r="C1965" t="s">
        <v>802</v>
      </c>
      <c r="E1965" t="s">
        <v>2217</v>
      </c>
      <c r="F1965" s="11">
        <v>2006584</v>
      </c>
      <c r="G1965" t="s">
        <v>2218</v>
      </c>
      <c r="H1965" t="s">
        <v>805</v>
      </c>
      <c r="I1965">
        <v>155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155</v>
      </c>
      <c r="P1965" s="44" t="e">
        <f>_xlfn.XLOOKUP(Tabla5[[#This Row],[EAN CORREGIDO]],'Tabla Articulos'!B:B,'Tabla Articulos'!D:D)</f>
        <v>#N/A</v>
      </c>
      <c r="Q1965" s="44" t="e">
        <f>_xlfn.XLOOKUP(S1965,'Tabla Articulos'!B:B,'Tabla Articulos'!E:E)</f>
        <v>#N/A</v>
      </c>
      <c r="R1965" s="44" t="e">
        <f t="shared" si="60"/>
        <v>#N/A</v>
      </c>
      <c r="S1965" s="45" t="str">
        <f t="shared" si="61"/>
        <v>LIM000227</v>
      </c>
    </row>
    <row r="1966" spans="1:19" hidden="1" x14ac:dyDescent="0.35">
      <c r="A1966" s="22">
        <v>1</v>
      </c>
      <c r="B1966" t="s">
        <v>812</v>
      </c>
      <c r="C1966" t="s">
        <v>802</v>
      </c>
      <c r="D1966" t="s">
        <v>2291</v>
      </c>
      <c r="E1966" t="s">
        <v>2292</v>
      </c>
      <c r="F1966">
        <v>4018848</v>
      </c>
      <c r="G1966" t="s">
        <v>2293</v>
      </c>
      <c r="H1966" t="s">
        <v>805</v>
      </c>
      <c r="I1966">
        <v>48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48</v>
      </c>
      <c r="P1966" s="44" t="e">
        <f>_xlfn.XLOOKUP(Tabla5[[#This Row],[EAN CORREGIDO]],'Tabla Articulos'!B:B,'Tabla Articulos'!D:D)</f>
        <v>#N/A</v>
      </c>
      <c r="Q1966" s="44" t="e">
        <f>_xlfn.XLOOKUP(S1966,'Tabla Articulos'!B:B,'Tabla Articulos'!E:E)</f>
        <v>#N/A</v>
      </c>
      <c r="R1966" s="44" t="e">
        <f t="shared" si="60"/>
        <v>#N/A</v>
      </c>
      <c r="S1966" s="45" t="str">
        <f t="shared" si="61"/>
        <v>7792860001879</v>
      </c>
    </row>
    <row r="1967" spans="1:19" hidden="1" x14ac:dyDescent="0.35">
      <c r="A1967" s="22">
        <v>6</v>
      </c>
      <c r="B1967" t="s">
        <v>801</v>
      </c>
      <c r="C1967" t="s">
        <v>802</v>
      </c>
      <c r="D1967"/>
      <c r="E1967" t="s">
        <v>2294</v>
      </c>
      <c r="F1967">
        <v>9003889</v>
      </c>
      <c r="G1967" t="s">
        <v>2295</v>
      </c>
      <c r="H1967" t="s">
        <v>805</v>
      </c>
      <c r="I1967">
        <v>19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19</v>
      </c>
      <c r="P1967" s="44" t="e">
        <f>_xlfn.XLOOKUP(Tabla5[[#This Row],[EAN CORREGIDO]],'Tabla Articulos'!B:B,'Tabla Articulos'!D:D)</f>
        <v>#N/A</v>
      </c>
      <c r="Q1967" s="44" t="e">
        <f>_xlfn.XLOOKUP(S1967,'Tabla Articulos'!B:B,'Tabla Articulos'!E:E)</f>
        <v>#N/A</v>
      </c>
      <c r="R1967" s="44" t="e">
        <f t="shared" si="60"/>
        <v>#N/A</v>
      </c>
      <c r="S1967" s="45" t="str">
        <f t="shared" si="61"/>
        <v>BAZ001369</v>
      </c>
    </row>
    <row r="1968" spans="1:19" hidden="1" x14ac:dyDescent="0.35">
      <c r="A1968" s="22">
        <v>1</v>
      </c>
      <c r="B1968" t="s">
        <v>812</v>
      </c>
      <c r="C1968" t="s">
        <v>802</v>
      </c>
      <c r="D1968" t="s">
        <v>2296</v>
      </c>
      <c r="E1968" t="s">
        <v>2297</v>
      </c>
      <c r="F1968">
        <v>4017716</v>
      </c>
      <c r="G1968" t="s">
        <v>2298</v>
      </c>
      <c r="H1968" t="s">
        <v>816</v>
      </c>
      <c r="I1968">
        <v>183.9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183.9</v>
      </c>
      <c r="P1968" s="44" t="e">
        <f>_xlfn.XLOOKUP(Tabla5[[#This Row],[EAN CORREGIDO]],'Tabla Articulos'!B:B,'Tabla Articulos'!D:D)</f>
        <v>#N/A</v>
      </c>
      <c r="Q1968" s="44" t="e">
        <f>_xlfn.XLOOKUP(S1968,'Tabla Articulos'!B:B,'Tabla Articulos'!E:E)</f>
        <v>#N/A</v>
      </c>
      <c r="R1968" s="44" t="e">
        <f t="shared" si="60"/>
        <v>#N/A</v>
      </c>
      <c r="S1968" s="45" t="str">
        <f t="shared" si="61"/>
        <v>7790212050102</v>
      </c>
    </row>
    <row r="1969" spans="1:19" hidden="1" x14ac:dyDescent="0.35">
      <c r="A1969" s="22">
        <v>1</v>
      </c>
      <c r="B1969" t="s">
        <v>812</v>
      </c>
      <c r="C1969" t="s">
        <v>802</v>
      </c>
      <c r="D1969" t="s">
        <v>2299</v>
      </c>
      <c r="E1969" t="s">
        <v>2300</v>
      </c>
      <c r="F1969">
        <v>4022386</v>
      </c>
      <c r="G1969" t="s">
        <v>2301</v>
      </c>
      <c r="H1969" t="s">
        <v>805</v>
      </c>
      <c r="I1969">
        <v>20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20</v>
      </c>
      <c r="P1969" s="44" t="e">
        <f>_xlfn.XLOOKUP(Tabla5[[#This Row],[EAN CORREGIDO]],'Tabla Articulos'!B:B,'Tabla Articulos'!D:D)</f>
        <v>#N/A</v>
      </c>
      <c r="Q1969" s="44" t="e">
        <f>_xlfn.XLOOKUP(S1969,'Tabla Articulos'!B:B,'Tabla Articulos'!E:E)</f>
        <v>#N/A</v>
      </c>
      <c r="R1969" s="44" t="e">
        <f t="shared" si="60"/>
        <v>#N/A</v>
      </c>
      <c r="S1969" s="45" t="str">
        <f t="shared" si="61"/>
        <v>7622201703103</v>
      </c>
    </row>
    <row r="1970" spans="1:19" hidden="1" x14ac:dyDescent="0.35">
      <c r="A1970" s="22">
        <v>6</v>
      </c>
      <c r="B1970" t="s">
        <v>801</v>
      </c>
      <c r="C1970" t="s">
        <v>802</v>
      </c>
      <c r="D1970"/>
      <c r="E1970" t="s">
        <v>2302</v>
      </c>
      <c r="F1970">
        <v>9003064</v>
      </c>
      <c r="G1970" t="s">
        <v>2303</v>
      </c>
      <c r="H1970" t="s">
        <v>805</v>
      </c>
      <c r="I1970">
        <v>8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8</v>
      </c>
      <c r="P1970" s="44" t="e">
        <f>_xlfn.XLOOKUP(Tabla5[[#This Row],[EAN CORREGIDO]],'Tabla Articulos'!B:B,'Tabla Articulos'!D:D)</f>
        <v>#N/A</v>
      </c>
      <c r="Q1970" s="44" t="e">
        <f>_xlfn.XLOOKUP(S1970,'Tabla Articulos'!B:B,'Tabla Articulos'!E:E)</f>
        <v>#N/A</v>
      </c>
      <c r="R1970" s="44" t="e">
        <f t="shared" si="60"/>
        <v>#N/A</v>
      </c>
      <c r="S1970" s="45" t="str">
        <f t="shared" si="61"/>
        <v>UNIF000128</v>
      </c>
    </row>
    <row r="1971" spans="1:19" hidden="1" x14ac:dyDescent="0.35">
      <c r="A1971" s="22">
        <v>6</v>
      </c>
      <c r="B1971" t="s">
        <v>801</v>
      </c>
      <c r="C1971" t="s">
        <v>802</v>
      </c>
      <c r="D1971"/>
      <c r="E1971" t="s">
        <v>2304</v>
      </c>
      <c r="F1971">
        <v>9003400</v>
      </c>
      <c r="G1971" t="s">
        <v>2305</v>
      </c>
      <c r="H1971" t="s">
        <v>805</v>
      </c>
      <c r="I1971">
        <v>119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119</v>
      </c>
      <c r="P1971" s="44" t="e">
        <f>_xlfn.XLOOKUP(Tabla5[[#This Row],[EAN CORREGIDO]],'Tabla Articulos'!B:B,'Tabla Articulos'!D:D)</f>
        <v>#N/A</v>
      </c>
      <c r="Q1971" s="44" t="e">
        <f>_xlfn.XLOOKUP(S1971,'Tabla Articulos'!B:B,'Tabla Articulos'!E:E)</f>
        <v>#N/A</v>
      </c>
      <c r="R1971" s="44" t="e">
        <f t="shared" si="60"/>
        <v>#N/A</v>
      </c>
      <c r="S1971" s="45" t="str">
        <f t="shared" si="61"/>
        <v>UNIF000521</v>
      </c>
    </row>
    <row r="1972" spans="1:19" hidden="1" x14ac:dyDescent="0.35">
      <c r="A1972" s="22">
        <v>1</v>
      </c>
      <c r="B1972" t="s">
        <v>812</v>
      </c>
      <c r="C1972" t="s">
        <v>802</v>
      </c>
      <c r="D1972" t="s">
        <v>1380</v>
      </c>
      <c r="E1972" t="s">
        <v>2306</v>
      </c>
      <c r="F1972">
        <v>4019604</v>
      </c>
      <c r="G1972" t="s">
        <v>2307</v>
      </c>
      <c r="H1972" t="s">
        <v>805</v>
      </c>
      <c r="I1972">
        <v>5608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5608</v>
      </c>
      <c r="P1972" s="44" t="e">
        <f>_xlfn.XLOOKUP(Tabla5[[#This Row],[EAN CORREGIDO]],'Tabla Articulos'!B:B,'Tabla Articulos'!D:D)</f>
        <v>#N/A</v>
      </c>
      <c r="Q1972" s="44" t="e">
        <f>_xlfn.XLOOKUP(S1972,'Tabla Articulos'!B:B,'Tabla Articulos'!E:E)</f>
        <v>#N/A</v>
      </c>
      <c r="R1972" s="44" t="e">
        <f t="shared" si="60"/>
        <v>#N/A</v>
      </c>
      <c r="S1972" s="45" t="str">
        <f t="shared" si="61"/>
        <v>7790971002419</v>
      </c>
    </row>
    <row r="1973" spans="1:19" hidden="1" x14ac:dyDescent="0.35">
      <c r="A1973" s="22">
        <v>1</v>
      </c>
      <c r="B1973" t="s">
        <v>812</v>
      </c>
      <c r="C1973" t="s">
        <v>802</v>
      </c>
      <c r="D1973" s="11" t="s">
        <v>2308</v>
      </c>
      <c r="E1973" t="s">
        <v>2309</v>
      </c>
      <c r="F1973">
        <v>4019677</v>
      </c>
      <c r="G1973" t="s">
        <v>2310</v>
      </c>
      <c r="H1973" t="s">
        <v>805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</v>
      </c>
      <c r="P1973" s="44" t="e">
        <f>_xlfn.XLOOKUP(Tabla5[[#This Row],[EAN CORREGIDO]],'Tabla Articulos'!B:B,'Tabla Articulos'!D:D)</f>
        <v>#N/A</v>
      </c>
      <c r="Q1973" s="44" t="e">
        <f>_xlfn.XLOOKUP(S1973,'Tabla Articulos'!B:B,'Tabla Articulos'!E:E)</f>
        <v>#N/A</v>
      </c>
      <c r="R1973" s="44" t="e">
        <f t="shared" si="60"/>
        <v>#N/A</v>
      </c>
      <c r="S1973" s="45" t="str">
        <f t="shared" si="61"/>
        <v>7791113003417</v>
      </c>
    </row>
    <row r="1974" spans="1:19" hidden="1" x14ac:dyDescent="0.35">
      <c r="A1974" s="22">
        <v>6</v>
      </c>
      <c r="B1974" t="s">
        <v>801</v>
      </c>
      <c r="C1974" t="s">
        <v>802</v>
      </c>
      <c r="D1974"/>
      <c r="E1974" t="s">
        <v>4234</v>
      </c>
      <c r="F1974"/>
      <c r="G1974" t="s">
        <v>4235</v>
      </c>
      <c r="H1974" t="s">
        <v>805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 s="44" t="e">
        <f>_xlfn.XLOOKUP(Tabla5[[#This Row],[EAN CORREGIDO]],'Tabla Articulos'!B:B,'Tabla Articulos'!D:D)</f>
        <v>#N/A</v>
      </c>
      <c r="Q1974" s="44" t="e">
        <f>_xlfn.XLOOKUP(S1974,'Tabla Articulos'!B:B,'Tabla Articulos'!E:E)</f>
        <v>#N/A</v>
      </c>
      <c r="R1974" s="44" t="e">
        <f t="shared" si="60"/>
        <v>#N/A</v>
      </c>
      <c r="S1974" s="45" t="str">
        <f t="shared" si="61"/>
        <v>BUSAT000158</v>
      </c>
    </row>
    <row r="1975" spans="1:19" hidden="1" x14ac:dyDescent="0.35">
      <c r="A1975" s="22">
        <v>6</v>
      </c>
      <c r="B1975" t="s">
        <v>801</v>
      </c>
      <c r="C1975" t="s">
        <v>802</v>
      </c>
      <c r="D1975"/>
      <c r="E1975" t="s">
        <v>4236</v>
      </c>
      <c r="F1975"/>
      <c r="G1975" t="s">
        <v>4237</v>
      </c>
      <c r="H1975" t="s">
        <v>805</v>
      </c>
      <c r="I1975">
        <v>2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2</v>
      </c>
      <c r="P1975" s="44" t="e">
        <f>_xlfn.XLOOKUP(Tabla5[[#This Row],[EAN CORREGIDO]],'Tabla Articulos'!B:B,'Tabla Articulos'!D:D)</f>
        <v>#N/A</v>
      </c>
      <c r="Q1975" s="44" t="e">
        <f>_xlfn.XLOOKUP(S1975,'Tabla Articulos'!B:B,'Tabla Articulos'!E:E)</f>
        <v>#N/A</v>
      </c>
      <c r="R1975" s="44" t="e">
        <f t="shared" si="60"/>
        <v>#N/A</v>
      </c>
      <c r="S1975" s="45" t="str">
        <f t="shared" si="61"/>
        <v>BUSAT000647</v>
      </c>
    </row>
    <row r="1976" spans="1:19" hidden="1" x14ac:dyDescent="0.35">
      <c r="A1976" s="22">
        <v>6</v>
      </c>
      <c r="B1976" t="s">
        <v>801</v>
      </c>
      <c r="C1976" t="s">
        <v>802</v>
      </c>
      <c r="D1976"/>
      <c r="E1976" t="s">
        <v>4238</v>
      </c>
      <c r="F1976"/>
      <c r="G1976" t="s">
        <v>4239</v>
      </c>
      <c r="H1976" t="s">
        <v>805</v>
      </c>
      <c r="I1976">
        <v>3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3</v>
      </c>
      <c r="P1976" s="44" t="e">
        <f>_xlfn.XLOOKUP(Tabla5[[#This Row],[EAN CORREGIDO]],'Tabla Articulos'!B:B,'Tabla Articulos'!D:D)</f>
        <v>#N/A</v>
      </c>
      <c r="Q1976" s="44" t="e">
        <f>_xlfn.XLOOKUP(S1976,'Tabla Articulos'!B:B,'Tabla Articulos'!E:E)</f>
        <v>#N/A</v>
      </c>
      <c r="R1976" s="44" t="e">
        <f t="shared" si="60"/>
        <v>#N/A</v>
      </c>
      <c r="S1976" s="45" t="str">
        <f t="shared" si="61"/>
        <v>BUSAT000618</v>
      </c>
    </row>
    <row r="1977" spans="1:19" hidden="1" x14ac:dyDescent="0.35">
      <c r="A1977" s="22">
        <v>6</v>
      </c>
      <c r="B1977" t="s">
        <v>801</v>
      </c>
      <c r="C1977" t="s">
        <v>802</v>
      </c>
      <c r="D1977"/>
      <c r="E1977" t="s">
        <v>4240</v>
      </c>
      <c r="F1977"/>
      <c r="G1977" t="s">
        <v>4241</v>
      </c>
      <c r="H1977" t="s">
        <v>805</v>
      </c>
      <c r="I1977">
        <v>6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6</v>
      </c>
      <c r="P1977" s="44" t="e">
        <f>_xlfn.XLOOKUP(Tabla5[[#This Row],[EAN CORREGIDO]],'Tabla Articulos'!B:B,'Tabla Articulos'!D:D)</f>
        <v>#N/A</v>
      </c>
      <c r="Q1977" s="44" t="e">
        <f>_xlfn.XLOOKUP(S1977,'Tabla Articulos'!B:B,'Tabla Articulos'!E:E)</f>
        <v>#N/A</v>
      </c>
      <c r="R1977" s="44" t="e">
        <f t="shared" si="60"/>
        <v>#N/A</v>
      </c>
      <c r="S1977" s="45" t="str">
        <f t="shared" si="61"/>
        <v>BUSAT000854</v>
      </c>
    </row>
    <row r="1978" spans="1:19" hidden="1" x14ac:dyDescent="0.35">
      <c r="A1978" s="22">
        <v>6</v>
      </c>
      <c r="B1978" t="s">
        <v>801</v>
      </c>
      <c r="C1978" t="s">
        <v>802</v>
      </c>
      <c r="D1978"/>
      <c r="E1978" t="s">
        <v>4242</v>
      </c>
      <c r="F1978"/>
      <c r="G1978" t="s">
        <v>4243</v>
      </c>
      <c r="H1978" t="s">
        <v>805</v>
      </c>
      <c r="I1978">
        <v>4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4</v>
      </c>
      <c r="P1978" s="44" t="e">
        <f>_xlfn.XLOOKUP(Tabla5[[#This Row],[EAN CORREGIDO]],'Tabla Articulos'!B:B,'Tabla Articulos'!D:D)</f>
        <v>#N/A</v>
      </c>
      <c r="Q1978" s="44" t="e">
        <f>_xlfn.XLOOKUP(S1978,'Tabla Articulos'!B:B,'Tabla Articulos'!E:E)</f>
        <v>#N/A</v>
      </c>
      <c r="R1978" s="44" t="e">
        <f t="shared" si="60"/>
        <v>#N/A</v>
      </c>
      <c r="S1978" s="45" t="str">
        <f t="shared" si="61"/>
        <v>BUSAT001017</v>
      </c>
    </row>
    <row r="1979" spans="1:19" hidden="1" x14ac:dyDescent="0.35">
      <c r="A1979" s="22">
        <v>6</v>
      </c>
      <c r="B1979" t="s">
        <v>801</v>
      </c>
      <c r="C1979" t="s">
        <v>802</v>
      </c>
      <c r="D1979"/>
      <c r="E1979" t="s">
        <v>4244</v>
      </c>
      <c r="F1979"/>
      <c r="G1979" t="s">
        <v>4245</v>
      </c>
      <c r="H1979" t="s">
        <v>805</v>
      </c>
      <c r="I1979">
        <v>11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11</v>
      </c>
      <c r="P1979" s="44" t="e">
        <f>_xlfn.XLOOKUP(Tabla5[[#This Row],[EAN CORREGIDO]],'Tabla Articulos'!B:B,'Tabla Articulos'!D:D)</f>
        <v>#N/A</v>
      </c>
      <c r="Q1979" s="44" t="e">
        <f>_xlfn.XLOOKUP(S1979,'Tabla Articulos'!B:B,'Tabla Articulos'!E:E)</f>
        <v>#N/A</v>
      </c>
      <c r="R1979" s="44" t="e">
        <f t="shared" si="60"/>
        <v>#N/A</v>
      </c>
      <c r="S1979" s="45" t="str">
        <f t="shared" si="61"/>
        <v>BUSAT000082</v>
      </c>
    </row>
    <row r="1980" spans="1:19" hidden="1" x14ac:dyDescent="0.35">
      <c r="A1980" s="22">
        <v>6</v>
      </c>
      <c r="B1980" t="s">
        <v>801</v>
      </c>
      <c r="C1980" t="s">
        <v>802</v>
      </c>
      <c r="D1980"/>
      <c r="E1980" t="s">
        <v>4246</v>
      </c>
      <c r="F1980"/>
      <c r="G1980" t="s">
        <v>4247</v>
      </c>
      <c r="H1980" t="s">
        <v>805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</v>
      </c>
      <c r="P1980" s="44" t="e">
        <f>_xlfn.XLOOKUP(Tabla5[[#This Row],[EAN CORREGIDO]],'Tabla Articulos'!B:B,'Tabla Articulos'!D:D)</f>
        <v>#N/A</v>
      </c>
      <c r="Q1980" s="44" t="e">
        <f>_xlfn.XLOOKUP(S1980,'Tabla Articulos'!B:B,'Tabla Articulos'!E:E)</f>
        <v>#N/A</v>
      </c>
      <c r="R1980" s="44" t="e">
        <f t="shared" si="60"/>
        <v>#N/A</v>
      </c>
      <c r="S1980" s="45" t="str">
        <f t="shared" si="61"/>
        <v>BUSAT000012</v>
      </c>
    </row>
    <row r="1981" spans="1:19" hidden="1" x14ac:dyDescent="0.35">
      <c r="A1981" s="22">
        <v>5</v>
      </c>
      <c r="B1981" t="s">
        <v>829</v>
      </c>
      <c r="C1981" t="s">
        <v>802</v>
      </c>
      <c r="D1981" s="11" t="s">
        <v>1832</v>
      </c>
      <c r="E1981" t="s">
        <v>3776</v>
      </c>
      <c r="F1981">
        <v>4019874</v>
      </c>
      <c r="G1981" t="s">
        <v>3777</v>
      </c>
      <c r="H1981" t="s">
        <v>805</v>
      </c>
      <c r="I1981">
        <v>3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3</v>
      </c>
      <c r="P1981" s="44" t="e">
        <f>_xlfn.XLOOKUP(Tabla5[[#This Row],[EAN CORREGIDO]],'Tabla Articulos'!B:B,'Tabla Articulos'!D:D)</f>
        <v>#N/A</v>
      </c>
      <c r="Q1981" s="44" t="e">
        <f>_xlfn.XLOOKUP(S1981,'Tabla Articulos'!B:B,'Tabla Articulos'!E:E)</f>
        <v>#N/A</v>
      </c>
      <c r="R1981" s="44" t="e">
        <f t="shared" si="60"/>
        <v>#N/A</v>
      </c>
      <c r="S1981" s="45" t="str">
        <f t="shared" si="61"/>
        <v>7790530850031</v>
      </c>
    </row>
    <row r="1982" spans="1:19" hidden="1" x14ac:dyDescent="0.35">
      <c r="A1982" s="22">
        <v>1</v>
      </c>
      <c r="B1982" t="s">
        <v>812</v>
      </c>
      <c r="C1982" t="s">
        <v>802</v>
      </c>
      <c r="D1982" s="11" t="s">
        <v>1832</v>
      </c>
      <c r="E1982" t="s">
        <v>3776</v>
      </c>
      <c r="F1982">
        <v>4019874</v>
      </c>
      <c r="G1982" t="s">
        <v>3777</v>
      </c>
      <c r="H1982" t="s">
        <v>805</v>
      </c>
      <c r="I1982">
        <v>12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12</v>
      </c>
      <c r="P1982" s="44" t="e">
        <f>_xlfn.XLOOKUP(Tabla5[[#This Row],[EAN CORREGIDO]],'Tabla Articulos'!B:B,'Tabla Articulos'!D:D)</f>
        <v>#N/A</v>
      </c>
      <c r="Q1982" s="44" t="e">
        <f>_xlfn.XLOOKUP(S1982,'Tabla Articulos'!B:B,'Tabla Articulos'!E:E)</f>
        <v>#N/A</v>
      </c>
      <c r="R1982" s="44" t="e">
        <f t="shared" si="60"/>
        <v>#N/A</v>
      </c>
      <c r="S1982" s="45" t="str">
        <f t="shared" si="61"/>
        <v>7790530850031</v>
      </c>
    </row>
    <row r="1983" spans="1:19" hidden="1" x14ac:dyDescent="0.35">
      <c r="A1983" s="22">
        <v>6</v>
      </c>
      <c r="B1983" t="s">
        <v>801</v>
      </c>
      <c r="C1983" t="s">
        <v>802</v>
      </c>
      <c r="D1983" s="11" t="s">
        <v>381</v>
      </c>
      <c r="E1983" t="s">
        <v>3778</v>
      </c>
      <c r="F1983">
        <v>2006676</v>
      </c>
      <c r="G1983" t="s">
        <v>3779</v>
      </c>
      <c r="H1983" t="s">
        <v>1034</v>
      </c>
      <c r="I1983">
        <v>60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60</v>
      </c>
      <c r="P1983" s="44" t="str">
        <f>_xlfn.XLOOKUP(Tabla5[[#This Row],[EAN CORREGIDO]],'Tabla Articulos'!B:B,'Tabla Articulos'!D:D)</f>
        <v>BOLSA CUBIERTOS 25X35</v>
      </c>
      <c r="Q1983" s="44">
        <f>_xlfn.XLOOKUP(S1983,'Tabla Articulos'!B:B,'Tabla Articulos'!E:E)</f>
        <v>100</v>
      </c>
      <c r="R1983" s="44">
        <f t="shared" si="60"/>
        <v>6000</v>
      </c>
      <c r="S1983" s="45" t="str">
        <f t="shared" si="61"/>
        <v>7790321020996</v>
      </c>
    </row>
    <row r="1984" spans="1:19" hidden="1" x14ac:dyDescent="0.35">
      <c r="A1984" s="22">
        <v>1</v>
      </c>
      <c r="B1984" t="s">
        <v>812</v>
      </c>
      <c r="C1984" t="s">
        <v>802</v>
      </c>
      <c r="D1984" s="11" t="s">
        <v>846</v>
      </c>
      <c r="E1984" t="s">
        <v>3780</v>
      </c>
      <c r="F1984">
        <v>4018502</v>
      </c>
      <c r="G1984" t="s">
        <v>3781</v>
      </c>
      <c r="H1984" t="s">
        <v>816</v>
      </c>
      <c r="I1984">
        <v>808.7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808.7</v>
      </c>
      <c r="P1984" s="44" t="e">
        <f>_xlfn.XLOOKUP(Tabla5[[#This Row],[EAN CORREGIDO]],'Tabla Articulos'!B:B,'Tabla Articulos'!D:D)</f>
        <v>#N/A</v>
      </c>
      <c r="Q1984" s="44" t="e">
        <f>_xlfn.XLOOKUP(S1984,'Tabla Articulos'!B:B,'Tabla Articulos'!E:E)</f>
        <v>#N/A</v>
      </c>
      <c r="R1984" s="44" t="e">
        <f t="shared" si="60"/>
        <v>#N/A</v>
      </c>
      <c r="S1984" s="45" t="str">
        <f t="shared" si="61"/>
        <v>7790213012220</v>
      </c>
    </row>
    <row r="1985" spans="1:19" hidden="1" x14ac:dyDescent="0.35">
      <c r="A1985" s="22">
        <v>6</v>
      </c>
      <c r="B1985" t="s">
        <v>801</v>
      </c>
      <c r="C1985" t="s">
        <v>802</v>
      </c>
      <c r="E1985" t="s">
        <v>3782</v>
      </c>
      <c r="F1985">
        <v>9003775</v>
      </c>
      <c r="G1985" t="s">
        <v>3783</v>
      </c>
      <c r="H1985" t="s">
        <v>805</v>
      </c>
      <c r="I1985">
        <v>144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144</v>
      </c>
      <c r="P1985" s="44" t="e">
        <f>_xlfn.XLOOKUP(Tabla5[[#This Row],[EAN CORREGIDO]],'Tabla Articulos'!B:B,'Tabla Articulos'!D:D)</f>
        <v>#N/A</v>
      </c>
      <c r="Q1985" s="44" t="e">
        <f>_xlfn.XLOOKUP(S1985,'Tabla Articulos'!B:B,'Tabla Articulos'!E:E)</f>
        <v>#N/A</v>
      </c>
      <c r="R1985" s="44" t="e">
        <f t="shared" ref="R1985:R2048" si="62">O1985*Q1985</f>
        <v>#N/A</v>
      </c>
      <c r="S1985" s="45" t="str">
        <f t="shared" ref="S1985:S2048" si="63">TRIM(E1985)</f>
        <v>BAZ001184</v>
      </c>
    </row>
    <row r="1986" spans="1:19" hidden="1" x14ac:dyDescent="0.35">
      <c r="A1986" s="22">
        <v>1</v>
      </c>
      <c r="B1986" t="s">
        <v>812</v>
      </c>
      <c r="C1986" t="s">
        <v>802</v>
      </c>
      <c r="D1986" t="s">
        <v>2529</v>
      </c>
      <c r="E1986" t="s">
        <v>2530</v>
      </c>
      <c r="F1986">
        <v>4076598</v>
      </c>
      <c r="G1986" t="s">
        <v>2531</v>
      </c>
      <c r="H1986" t="s">
        <v>805</v>
      </c>
      <c r="I1986">
        <v>1611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1611</v>
      </c>
      <c r="P1986" s="44" t="e">
        <f>_xlfn.XLOOKUP(Tabla5[[#This Row],[EAN CORREGIDO]],'Tabla Articulos'!B:B,'Tabla Articulos'!D:D)</f>
        <v>#N/A</v>
      </c>
      <c r="Q1986" s="44" t="e">
        <f>_xlfn.XLOOKUP(S1986,'Tabla Articulos'!B:B,'Tabla Articulos'!E:E)</f>
        <v>#N/A</v>
      </c>
      <c r="R1986" s="44" t="e">
        <f t="shared" si="62"/>
        <v>#N/A</v>
      </c>
      <c r="S1986" s="45" t="str">
        <f t="shared" si="63"/>
        <v>7796624012020</v>
      </c>
    </row>
    <row r="1987" spans="1:19" hidden="1" x14ac:dyDescent="0.35">
      <c r="A1987" s="22">
        <v>6</v>
      </c>
      <c r="B1987" t="s">
        <v>801</v>
      </c>
      <c r="C1987" t="s">
        <v>802</v>
      </c>
      <c r="D1987"/>
      <c r="E1987" t="s">
        <v>2532</v>
      </c>
      <c r="F1987">
        <v>9003302</v>
      </c>
      <c r="G1987" t="s">
        <v>2533</v>
      </c>
      <c r="H1987" t="s">
        <v>805</v>
      </c>
      <c r="I1987">
        <v>310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310</v>
      </c>
      <c r="P1987" s="44" t="e">
        <f>_xlfn.XLOOKUP(Tabla5[[#This Row],[EAN CORREGIDO]],'Tabla Articulos'!B:B,'Tabla Articulos'!D:D)</f>
        <v>#N/A</v>
      </c>
      <c r="Q1987" s="44" t="e">
        <f>_xlfn.XLOOKUP(S1987,'Tabla Articulos'!B:B,'Tabla Articulos'!E:E)</f>
        <v>#N/A</v>
      </c>
      <c r="R1987" s="44" t="e">
        <f t="shared" si="62"/>
        <v>#N/A</v>
      </c>
      <c r="S1987" s="45" t="str">
        <f t="shared" si="63"/>
        <v>UNIF000049</v>
      </c>
    </row>
    <row r="1988" spans="1:19" hidden="1" x14ac:dyDescent="0.35">
      <c r="A1988" s="22">
        <v>6</v>
      </c>
      <c r="B1988" t="s">
        <v>801</v>
      </c>
      <c r="C1988" t="s">
        <v>802</v>
      </c>
      <c r="E1988" t="s">
        <v>2534</v>
      </c>
      <c r="F1988">
        <v>9003305</v>
      </c>
      <c r="G1988" t="s">
        <v>2535</v>
      </c>
      <c r="H1988" t="s">
        <v>805</v>
      </c>
      <c r="I1988">
        <v>132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132</v>
      </c>
      <c r="P1988" s="44" t="e">
        <f>_xlfn.XLOOKUP(Tabla5[[#This Row],[EAN CORREGIDO]],'Tabla Articulos'!B:B,'Tabla Articulos'!D:D)</f>
        <v>#N/A</v>
      </c>
      <c r="Q1988" s="44" t="e">
        <f>_xlfn.XLOOKUP(S1988,'Tabla Articulos'!B:B,'Tabla Articulos'!E:E)</f>
        <v>#N/A</v>
      </c>
      <c r="R1988" s="44" t="e">
        <f t="shared" si="62"/>
        <v>#N/A</v>
      </c>
      <c r="S1988" s="45" t="str">
        <f t="shared" si="63"/>
        <v>UNIF000052</v>
      </c>
    </row>
    <row r="1989" spans="1:19" hidden="1" x14ac:dyDescent="0.35">
      <c r="A1989" s="22">
        <v>6</v>
      </c>
      <c r="B1989" t="s">
        <v>801</v>
      </c>
      <c r="C1989" t="s">
        <v>802</v>
      </c>
      <c r="D1989" t="s">
        <v>1198</v>
      </c>
      <c r="E1989" t="s">
        <v>2536</v>
      </c>
      <c r="F1989">
        <v>2011457</v>
      </c>
      <c r="G1989" t="s">
        <v>2537</v>
      </c>
      <c r="H1989" t="s">
        <v>805</v>
      </c>
      <c r="I1989">
        <v>984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984</v>
      </c>
      <c r="P1989" s="44" t="e">
        <f>_xlfn.XLOOKUP(Tabla5[[#This Row],[EAN CORREGIDO]],'Tabla Articulos'!B:B,'Tabla Articulos'!D:D)</f>
        <v>#N/A</v>
      </c>
      <c r="Q1989" s="44" t="e">
        <f>_xlfn.XLOOKUP(S1989,'Tabla Articulos'!B:B,'Tabla Articulos'!E:E)</f>
        <v>#N/A</v>
      </c>
      <c r="R1989" s="44" t="e">
        <f t="shared" si="62"/>
        <v>#N/A</v>
      </c>
      <c r="S1989" s="45" t="str">
        <f t="shared" si="63"/>
        <v>7798024079494</v>
      </c>
    </row>
    <row r="1990" spans="1:19" hidden="1" x14ac:dyDescent="0.35">
      <c r="A1990" s="22">
        <v>6</v>
      </c>
      <c r="B1990" t="s">
        <v>801</v>
      </c>
      <c r="C1990" t="s">
        <v>802</v>
      </c>
      <c r="D1990"/>
      <c r="E1990" t="s">
        <v>2538</v>
      </c>
      <c r="F1990">
        <v>9003769</v>
      </c>
      <c r="G1990" t="s">
        <v>2539</v>
      </c>
      <c r="H1990" t="s">
        <v>805</v>
      </c>
      <c r="I1990">
        <v>34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34</v>
      </c>
      <c r="P1990" s="44" t="e">
        <f>_xlfn.XLOOKUP(Tabla5[[#This Row],[EAN CORREGIDO]],'Tabla Articulos'!B:B,'Tabla Articulos'!D:D)</f>
        <v>#N/A</v>
      </c>
      <c r="Q1990" s="44" t="e">
        <f>_xlfn.XLOOKUP(S1990,'Tabla Articulos'!B:B,'Tabla Articulos'!E:E)</f>
        <v>#N/A</v>
      </c>
      <c r="R1990" s="44" t="e">
        <f t="shared" si="62"/>
        <v>#N/A</v>
      </c>
      <c r="S1990" s="45" t="str">
        <f t="shared" si="63"/>
        <v>BAZ001190</v>
      </c>
    </row>
    <row r="1991" spans="1:19" hidden="1" x14ac:dyDescent="0.35">
      <c r="A1991" s="22">
        <v>6</v>
      </c>
      <c r="B1991" t="s">
        <v>801</v>
      </c>
      <c r="C1991" t="s">
        <v>802</v>
      </c>
      <c r="D1991"/>
      <c r="E1991" t="s">
        <v>1089</v>
      </c>
      <c r="F1991">
        <v>9003824</v>
      </c>
      <c r="G1991" t="s">
        <v>1090</v>
      </c>
      <c r="H1991" t="s">
        <v>805</v>
      </c>
      <c r="I1991">
        <v>10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10</v>
      </c>
      <c r="P1991" s="44" t="e">
        <f>_xlfn.XLOOKUP(Tabla5[[#This Row],[EAN CORREGIDO]],'Tabla Articulos'!B:B,'Tabla Articulos'!D:D)</f>
        <v>#N/A</v>
      </c>
      <c r="Q1991" s="44" t="e">
        <f>_xlfn.XLOOKUP(S1991,'Tabla Articulos'!B:B,'Tabla Articulos'!E:E)</f>
        <v>#N/A</v>
      </c>
      <c r="R1991" s="44" t="e">
        <f t="shared" si="62"/>
        <v>#N/A</v>
      </c>
      <c r="S1991" s="45" t="str">
        <f t="shared" si="63"/>
        <v>BAZ001149</v>
      </c>
    </row>
    <row r="1992" spans="1:19" hidden="1" x14ac:dyDescent="0.35">
      <c r="A1992" s="22">
        <v>6</v>
      </c>
      <c r="B1992" t="s">
        <v>801</v>
      </c>
      <c r="C1992" t="s">
        <v>802</v>
      </c>
      <c r="D1992" s="11" t="s">
        <v>1091</v>
      </c>
      <c r="E1992" t="s">
        <v>1092</v>
      </c>
      <c r="F1992">
        <v>2016661</v>
      </c>
      <c r="G1992" t="s">
        <v>1093</v>
      </c>
      <c r="H1992" t="s">
        <v>805</v>
      </c>
      <c r="I1992">
        <v>80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80</v>
      </c>
      <c r="P1992" s="44" t="str">
        <f>_xlfn.XLOOKUP(Tabla5[[#This Row],[EAN CORREGIDO]],'Tabla Articulos'!B:B,'Tabla Articulos'!D:D)</f>
        <v>CUCHILLO COMPOSTABLE</v>
      </c>
      <c r="Q1992" s="44">
        <f>_xlfn.XLOOKUP(S1992,'Tabla Articulos'!B:B,'Tabla Articulos'!E:E)</f>
        <v>100</v>
      </c>
      <c r="R1992" s="44">
        <f t="shared" si="62"/>
        <v>8000</v>
      </c>
      <c r="S1992" s="45" t="str">
        <f t="shared" si="63"/>
        <v>7790900031701</v>
      </c>
    </row>
    <row r="1993" spans="1:19" hidden="1" x14ac:dyDescent="0.35">
      <c r="A1993" s="22">
        <v>6</v>
      </c>
      <c r="B1993" t="s">
        <v>801</v>
      </c>
      <c r="C1993" t="s">
        <v>802</v>
      </c>
      <c r="D1993"/>
      <c r="E1993" t="s">
        <v>1094</v>
      </c>
      <c r="F1993">
        <v>2011406</v>
      </c>
      <c r="G1993" t="s">
        <v>1095</v>
      </c>
      <c r="H1993" t="s">
        <v>805</v>
      </c>
      <c r="I1993">
        <v>26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26</v>
      </c>
      <c r="P1993" s="44" t="e">
        <f>_xlfn.XLOOKUP(Tabla5[[#This Row],[EAN CORREGIDO]],'Tabla Articulos'!B:B,'Tabla Articulos'!D:D)</f>
        <v>#N/A</v>
      </c>
      <c r="Q1993" s="44" t="e">
        <f>_xlfn.XLOOKUP(S1993,'Tabla Articulos'!B:B,'Tabla Articulos'!E:E)</f>
        <v>#N/A</v>
      </c>
      <c r="R1993" s="44" t="e">
        <f t="shared" si="62"/>
        <v>#N/A</v>
      </c>
      <c r="S1993" s="45" t="str">
        <f t="shared" si="63"/>
        <v>7798188650201</v>
      </c>
    </row>
    <row r="1994" spans="1:19" hidden="1" x14ac:dyDescent="0.35">
      <c r="A1994" s="22">
        <v>5</v>
      </c>
      <c r="B1994" t="s">
        <v>829</v>
      </c>
      <c r="C1994" t="s">
        <v>802</v>
      </c>
      <c r="D1994" t="s">
        <v>229</v>
      </c>
      <c r="E1994" t="s">
        <v>1096</v>
      </c>
      <c r="F1994">
        <v>2006240</v>
      </c>
      <c r="G1994" t="s">
        <v>1097</v>
      </c>
      <c r="H1994" t="s">
        <v>805</v>
      </c>
      <c r="I1994">
        <v>700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700</v>
      </c>
      <c r="P1994" s="44" t="str">
        <f>_xlfn.XLOOKUP(Tabla5[[#This Row],[EAN CORREGIDO]],'Tabla Articulos'!B:B,'Tabla Articulos'!D:D)</f>
        <v>CAJA MESA GRANDE</v>
      </c>
      <c r="Q1994" s="44">
        <f>_xlfn.XLOOKUP(S1994,'Tabla Articulos'!B:B,'Tabla Articulos'!E:E)</f>
        <v>1</v>
      </c>
      <c r="R1994" s="44">
        <f t="shared" si="62"/>
        <v>700</v>
      </c>
      <c r="S1994" s="45" t="str">
        <f t="shared" si="63"/>
        <v>7790321626935</v>
      </c>
    </row>
    <row r="1995" spans="1:19" hidden="1" x14ac:dyDescent="0.35">
      <c r="A1995" s="22">
        <v>5</v>
      </c>
      <c r="B1995" t="s">
        <v>829</v>
      </c>
      <c r="C1995" t="s">
        <v>802</v>
      </c>
      <c r="D1995" s="11" t="s">
        <v>1606</v>
      </c>
      <c r="E1995" t="s">
        <v>1607</v>
      </c>
      <c r="F1995" s="11">
        <v>4020046</v>
      </c>
      <c r="G1995" t="s">
        <v>1608</v>
      </c>
      <c r="H1995" t="s">
        <v>805</v>
      </c>
      <c r="I1995">
        <v>4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4</v>
      </c>
      <c r="P1995" s="44" t="e">
        <f>_xlfn.XLOOKUP(Tabla5[[#This Row],[EAN CORREGIDO]],'Tabla Articulos'!B:B,'Tabla Articulos'!D:D)</f>
        <v>#N/A</v>
      </c>
      <c r="Q1995" s="44" t="e">
        <f>_xlfn.XLOOKUP(S1995,'Tabla Articulos'!B:B,'Tabla Articulos'!E:E)</f>
        <v>#N/A</v>
      </c>
      <c r="R1995" s="44" t="e">
        <f t="shared" si="62"/>
        <v>#N/A</v>
      </c>
      <c r="S1995" s="45" t="str">
        <f t="shared" si="63"/>
        <v>7792860007666</v>
      </c>
    </row>
    <row r="1996" spans="1:19" hidden="1" x14ac:dyDescent="0.35">
      <c r="A1996" s="22">
        <v>1</v>
      </c>
      <c r="B1996" t="s">
        <v>812</v>
      </c>
      <c r="C1996" t="s">
        <v>802</v>
      </c>
      <c r="D1996" s="11" t="s">
        <v>1606</v>
      </c>
      <c r="E1996" t="s">
        <v>1607</v>
      </c>
      <c r="F1996" s="11">
        <v>4020046</v>
      </c>
      <c r="G1996" t="s">
        <v>1608</v>
      </c>
      <c r="H1996" t="s">
        <v>805</v>
      </c>
      <c r="I1996">
        <v>113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113</v>
      </c>
      <c r="P1996" s="44" t="e">
        <f>_xlfn.XLOOKUP(Tabla5[[#This Row],[EAN CORREGIDO]],'Tabla Articulos'!B:B,'Tabla Articulos'!D:D)</f>
        <v>#N/A</v>
      </c>
      <c r="Q1996" s="44" t="e">
        <f>_xlfn.XLOOKUP(S1996,'Tabla Articulos'!B:B,'Tabla Articulos'!E:E)</f>
        <v>#N/A</v>
      </c>
      <c r="R1996" s="44" t="e">
        <f t="shared" si="62"/>
        <v>#N/A</v>
      </c>
      <c r="S1996" s="45" t="str">
        <f t="shared" si="63"/>
        <v>7792860007666</v>
      </c>
    </row>
    <row r="1997" spans="1:19" hidden="1" x14ac:dyDescent="0.35">
      <c r="A1997" s="22">
        <v>6</v>
      </c>
      <c r="B1997" t="s">
        <v>801</v>
      </c>
      <c r="C1997" t="s">
        <v>802</v>
      </c>
      <c r="D1997" s="11" t="s">
        <v>234</v>
      </c>
      <c r="E1997" t="s">
        <v>1609</v>
      </c>
      <c r="F1997" s="11">
        <v>2016499</v>
      </c>
      <c r="G1997" t="s">
        <v>1610</v>
      </c>
      <c r="H1997" t="s">
        <v>805</v>
      </c>
      <c r="I1997">
        <v>169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169</v>
      </c>
      <c r="P1997" s="44" t="str">
        <f>_xlfn.XLOOKUP(Tabla5[[#This Row],[EAN CORREGIDO]],'Tabla Articulos'!B:B,'Tabla Articulos'!D:D)</f>
        <v>SERVILLETA C/ LOGO BLUE 33X21.5</v>
      </c>
      <c r="Q1997" s="44">
        <f>_xlfn.XLOOKUP(S1997,'Tabla Articulos'!B:B,'Tabla Articulos'!E:E)</f>
        <v>1000</v>
      </c>
      <c r="R1997" s="44">
        <f t="shared" si="62"/>
        <v>169000</v>
      </c>
      <c r="S1997" s="45" t="str">
        <f t="shared" si="63"/>
        <v>7790000000708</v>
      </c>
    </row>
    <row r="1998" spans="1:19" hidden="1" x14ac:dyDescent="0.35">
      <c r="A1998" s="22">
        <v>6</v>
      </c>
      <c r="B1998" t="s">
        <v>801</v>
      </c>
      <c r="C1998" t="s">
        <v>802</v>
      </c>
      <c r="E1998" t="s">
        <v>1611</v>
      </c>
      <c r="F1998" s="11">
        <v>9003194</v>
      </c>
      <c r="G1998" t="s">
        <v>1612</v>
      </c>
      <c r="H1998" t="s">
        <v>805</v>
      </c>
      <c r="I1998">
        <v>3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3</v>
      </c>
      <c r="P1998" s="44" t="e">
        <f>_xlfn.XLOOKUP(Tabla5[[#This Row],[EAN CORREGIDO]],'Tabla Articulos'!B:B,'Tabla Articulos'!D:D)</f>
        <v>#N/A</v>
      </c>
      <c r="Q1998" s="44" t="e">
        <f>_xlfn.XLOOKUP(S1998,'Tabla Articulos'!B:B,'Tabla Articulos'!E:E)</f>
        <v>#N/A</v>
      </c>
      <c r="R1998" s="44" t="e">
        <f t="shared" si="62"/>
        <v>#N/A</v>
      </c>
      <c r="S1998" s="45" t="str">
        <f t="shared" si="63"/>
        <v>UNIF000320</v>
      </c>
    </row>
    <row r="1999" spans="1:19" hidden="1" x14ac:dyDescent="0.35">
      <c r="A1999" s="22">
        <v>6</v>
      </c>
      <c r="B1999" t="s">
        <v>801</v>
      </c>
      <c r="C1999" t="s">
        <v>802</v>
      </c>
      <c r="E1999" t="s">
        <v>4319</v>
      </c>
      <c r="G1999" t="s">
        <v>4320</v>
      </c>
      <c r="H1999" t="s">
        <v>805</v>
      </c>
      <c r="I1999">
        <v>20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20</v>
      </c>
      <c r="P1999" s="44" t="e">
        <f>_xlfn.XLOOKUP(Tabla5[[#This Row],[EAN CORREGIDO]],'Tabla Articulos'!B:B,'Tabla Articulos'!D:D)</f>
        <v>#N/A</v>
      </c>
      <c r="Q1999" s="44" t="e">
        <f>_xlfn.XLOOKUP(S1999,'Tabla Articulos'!B:B,'Tabla Articulos'!E:E)</f>
        <v>#N/A</v>
      </c>
      <c r="R1999" s="44" t="e">
        <f t="shared" si="62"/>
        <v>#N/A</v>
      </c>
      <c r="S1999" s="45" t="str">
        <f t="shared" si="63"/>
        <v>BUSAT000346</v>
      </c>
    </row>
    <row r="2000" spans="1:19" hidden="1" x14ac:dyDescent="0.35">
      <c r="A2000" s="22">
        <v>6</v>
      </c>
      <c r="B2000" t="s">
        <v>801</v>
      </c>
      <c r="C2000" t="s">
        <v>802</v>
      </c>
      <c r="E2000" t="s">
        <v>4248</v>
      </c>
      <c r="G2000" t="s">
        <v>4249</v>
      </c>
      <c r="H2000" t="s">
        <v>805</v>
      </c>
      <c r="I2000">
        <v>16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16</v>
      </c>
      <c r="P2000" s="44" t="e">
        <f>_xlfn.XLOOKUP(Tabla5[[#This Row],[EAN CORREGIDO]],'Tabla Articulos'!B:B,'Tabla Articulos'!D:D)</f>
        <v>#N/A</v>
      </c>
      <c r="Q2000" s="44" t="e">
        <f>_xlfn.XLOOKUP(S2000,'Tabla Articulos'!B:B,'Tabla Articulos'!E:E)</f>
        <v>#N/A</v>
      </c>
      <c r="R2000" s="44" t="e">
        <f t="shared" si="62"/>
        <v>#N/A</v>
      </c>
      <c r="S2000" s="45" t="str">
        <f t="shared" si="63"/>
        <v>BUSAT000344</v>
      </c>
    </row>
    <row r="2001" spans="1:19" hidden="1" x14ac:dyDescent="0.35">
      <c r="A2001" s="22">
        <v>6</v>
      </c>
      <c r="B2001" t="s">
        <v>801</v>
      </c>
      <c r="C2001" t="s">
        <v>802</v>
      </c>
      <c r="E2001" t="s">
        <v>4250</v>
      </c>
      <c r="G2001" t="s">
        <v>4251</v>
      </c>
      <c r="H2001" t="s">
        <v>805</v>
      </c>
      <c r="I2001">
        <v>2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2</v>
      </c>
      <c r="P2001" s="44" t="e">
        <f>_xlfn.XLOOKUP(Tabla5[[#This Row],[EAN CORREGIDO]],'Tabla Articulos'!B:B,'Tabla Articulos'!D:D)</f>
        <v>#N/A</v>
      </c>
      <c r="Q2001" s="44" t="e">
        <f>_xlfn.XLOOKUP(S2001,'Tabla Articulos'!B:B,'Tabla Articulos'!E:E)</f>
        <v>#N/A</v>
      </c>
      <c r="R2001" s="44" t="e">
        <f t="shared" si="62"/>
        <v>#N/A</v>
      </c>
      <c r="S2001" s="45" t="str">
        <f t="shared" si="63"/>
        <v>BUSAT000438</v>
      </c>
    </row>
    <row r="2002" spans="1:19" hidden="1" x14ac:dyDescent="0.35">
      <c r="A2002" s="22">
        <v>6</v>
      </c>
      <c r="B2002" t="s">
        <v>801</v>
      </c>
      <c r="C2002" t="s">
        <v>802</v>
      </c>
      <c r="E2002" t="s">
        <v>4252</v>
      </c>
      <c r="G2002" t="s">
        <v>4253</v>
      </c>
      <c r="H2002" t="s">
        <v>805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 s="44" t="e">
        <f>_xlfn.XLOOKUP(Tabla5[[#This Row],[EAN CORREGIDO]],'Tabla Articulos'!B:B,'Tabla Articulos'!D:D)</f>
        <v>#N/A</v>
      </c>
      <c r="Q2002" s="44" t="e">
        <f>_xlfn.XLOOKUP(S2002,'Tabla Articulos'!B:B,'Tabla Articulos'!E:E)</f>
        <v>#N/A</v>
      </c>
      <c r="R2002" s="44" t="e">
        <f t="shared" si="62"/>
        <v>#N/A</v>
      </c>
      <c r="S2002" s="45" t="str">
        <f t="shared" si="63"/>
        <v>BUSAT000910</v>
      </c>
    </row>
    <row r="2003" spans="1:19" hidden="1" x14ac:dyDescent="0.35">
      <c r="A2003" s="22">
        <v>6</v>
      </c>
      <c r="B2003" t="s">
        <v>801</v>
      </c>
      <c r="C2003" t="s">
        <v>802</v>
      </c>
      <c r="E2003" t="s">
        <v>4254</v>
      </c>
      <c r="G2003" t="s">
        <v>4255</v>
      </c>
      <c r="H2003" t="s">
        <v>805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 s="44" t="e">
        <f>_xlfn.XLOOKUP(Tabla5[[#This Row],[EAN CORREGIDO]],'Tabla Articulos'!B:B,'Tabla Articulos'!D:D)</f>
        <v>#N/A</v>
      </c>
      <c r="Q2003" s="44" t="e">
        <f>_xlfn.XLOOKUP(S2003,'Tabla Articulos'!B:B,'Tabla Articulos'!E:E)</f>
        <v>#N/A</v>
      </c>
      <c r="R2003" s="44" t="e">
        <f t="shared" si="62"/>
        <v>#N/A</v>
      </c>
      <c r="S2003" s="45" t="str">
        <f t="shared" si="63"/>
        <v>BUSAT000713</v>
      </c>
    </row>
    <row r="2004" spans="1:19" hidden="1" x14ac:dyDescent="0.35">
      <c r="A2004" s="22">
        <v>6</v>
      </c>
      <c r="B2004" t="s">
        <v>801</v>
      </c>
      <c r="C2004" t="s">
        <v>802</v>
      </c>
      <c r="D2004"/>
      <c r="E2004" t="s">
        <v>4256</v>
      </c>
      <c r="G2004" t="s">
        <v>4257</v>
      </c>
      <c r="H2004" t="s">
        <v>805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 s="44" t="e">
        <f>_xlfn.XLOOKUP(Tabla5[[#This Row],[EAN CORREGIDO]],'Tabla Articulos'!B:B,'Tabla Articulos'!D:D)</f>
        <v>#N/A</v>
      </c>
      <c r="Q2004" s="44" t="e">
        <f>_xlfn.XLOOKUP(S2004,'Tabla Articulos'!B:B,'Tabla Articulos'!E:E)</f>
        <v>#N/A</v>
      </c>
      <c r="R2004" s="44" t="e">
        <f t="shared" si="62"/>
        <v>#N/A</v>
      </c>
      <c r="S2004" s="45" t="str">
        <f t="shared" si="63"/>
        <v>BUSAT000422</v>
      </c>
    </row>
    <row r="2005" spans="1:19" hidden="1" x14ac:dyDescent="0.35">
      <c r="A2005" s="22">
        <v>6</v>
      </c>
      <c r="B2005" t="s">
        <v>801</v>
      </c>
      <c r="C2005" t="s">
        <v>802</v>
      </c>
      <c r="E2005" t="s">
        <v>4258</v>
      </c>
      <c r="G2005" t="s">
        <v>4259</v>
      </c>
      <c r="H2005" t="s">
        <v>805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 s="44" t="e">
        <f>_xlfn.XLOOKUP(Tabla5[[#This Row],[EAN CORREGIDO]],'Tabla Articulos'!B:B,'Tabla Articulos'!D:D)</f>
        <v>#N/A</v>
      </c>
      <c r="Q2005" s="44" t="e">
        <f>_xlfn.XLOOKUP(S2005,'Tabla Articulos'!B:B,'Tabla Articulos'!E:E)</f>
        <v>#N/A</v>
      </c>
      <c r="R2005" s="44" t="e">
        <f t="shared" si="62"/>
        <v>#N/A</v>
      </c>
      <c r="S2005" s="45" t="str">
        <f t="shared" si="63"/>
        <v>BUSAT000065</v>
      </c>
    </row>
    <row r="2006" spans="1:19" hidden="1" x14ac:dyDescent="0.35">
      <c r="A2006" s="22">
        <v>6</v>
      </c>
      <c r="B2006" t="s">
        <v>801</v>
      </c>
      <c r="C2006" t="s">
        <v>802</v>
      </c>
      <c r="E2006" t="s">
        <v>4260</v>
      </c>
      <c r="G2006" t="s">
        <v>4261</v>
      </c>
      <c r="H2006" t="s">
        <v>805</v>
      </c>
      <c r="I2006">
        <v>19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19</v>
      </c>
      <c r="P2006" s="44" t="e">
        <f>_xlfn.XLOOKUP(Tabla5[[#This Row],[EAN CORREGIDO]],'Tabla Articulos'!B:B,'Tabla Articulos'!D:D)</f>
        <v>#N/A</v>
      </c>
      <c r="Q2006" s="44" t="e">
        <f>_xlfn.XLOOKUP(S2006,'Tabla Articulos'!B:B,'Tabla Articulos'!E:E)</f>
        <v>#N/A</v>
      </c>
      <c r="R2006" s="44" t="e">
        <f t="shared" si="62"/>
        <v>#N/A</v>
      </c>
      <c r="S2006" s="45" t="str">
        <f t="shared" si="63"/>
        <v>BUSAT000881</v>
      </c>
    </row>
    <row r="2007" spans="1:19" hidden="1" x14ac:dyDescent="0.35">
      <c r="A2007" s="22">
        <v>6</v>
      </c>
      <c r="B2007" t="s">
        <v>801</v>
      </c>
      <c r="C2007" t="s">
        <v>802</v>
      </c>
      <c r="E2007" t="s">
        <v>4262</v>
      </c>
      <c r="G2007" t="s">
        <v>4263</v>
      </c>
      <c r="H2007" t="s">
        <v>805</v>
      </c>
      <c r="I2007">
        <v>2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2</v>
      </c>
      <c r="P2007" s="44" t="e">
        <f>_xlfn.XLOOKUP(Tabla5[[#This Row],[EAN CORREGIDO]],'Tabla Articulos'!B:B,'Tabla Articulos'!D:D)</f>
        <v>#N/A</v>
      </c>
      <c r="Q2007" s="44" t="e">
        <f>_xlfn.XLOOKUP(S2007,'Tabla Articulos'!B:B,'Tabla Articulos'!E:E)</f>
        <v>#N/A</v>
      </c>
      <c r="R2007" s="44" t="e">
        <f t="shared" si="62"/>
        <v>#N/A</v>
      </c>
      <c r="S2007" s="45" t="str">
        <f t="shared" si="63"/>
        <v>BUSAT000990</v>
      </c>
    </row>
    <row r="2008" spans="1:19" hidden="1" x14ac:dyDescent="0.35">
      <c r="A2008" s="22">
        <v>6</v>
      </c>
      <c r="B2008" t="s">
        <v>801</v>
      </c>
      <c r="C2008" t="s">
        <v>802</v>
      </c>
      <c r="E2008" t="s">
        <v>4264</v>
      </c>
      <c r="G2008" t="s">
        <v>4265</v>
      </c>
      <c r="H2008" t="s">
        <v>805</v>
      </c>
      <c r="I2008">
        <v>4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4</v>
      </c>
      <c r="P2008" s="44" t="e">
        <f>_xlfn.XLOOKUP(Tabla5[[#This Row],[EAN CORREGIDO]],'Tabla Articulos'!B:B,'Tabla Articulos'!D:D)</f>
        <v>#N/A</v>
      </c>
      <c r="Q2008" s="44" t="e">
        <f>_xlfn.XLOOKUP(S2008,'Tabla Articulos'!B:B,'Tabla Articulos'!E:E)</f>
        <v>#N/A</v>
      </c>
      <c r="R2008" s="44" t="e">
        <f t="shared" si="62"/>
        <v>#N/A</v>
      </c>
      <c r="S2008" s="45" t="str">
        <f t="shared" si="63"/>
        <v>BUSAT000725</v>
      </c>
    </row>
    <row r="2009" spans="1:19" hidden="1" x14ac:dyDescent="0.35">
      <c r="A2009" s="22">
        <v>6</v>
      </c>
      <c r="B2009" t="s">
        <v>801</v>
      </c>
      <c r="C2009" t="s">
        <v>802</v>
      </c>
      <c r="E2009" t="s">
        <v>4266</v>
      </c>
      <c r="G2009" t="s">
        <v>4267</v>
      </c>
      <c r="H2009" t="s">
        <v>805</v>
      </c>
      <c r="I2009">
        <v>2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2</v>
      </c>
      <c r="P2009" s="44" t="e">
        <f>_xlfn.XLOOKUP(Tabla5[[#This Row],[EAN CORREGIDO]],'Tabla Articulos'!B:B,'Tabla Articulos'!D:D)</f>
        <v>#N/A</v>
      </c>
      <c r="Q2009" s="44" t="e">
        <f>_xlfn.XLOOKUP(S2009,'Tabla Articulos'!B:B,'Tabla Articulos'!E:E)</f>
        <v>#N/A</v>
      </c>
      <c r="R2009" s="44" t="e">
        <f t="shared" si="62"/>
        <v>#N/A</v>
      </c>
      <c r="S2009" s="45" t="str">
        <f t="shared" si="63"/>
        <v>BUSAT000085</v>
      </c>
    </row>
    <row r="2010" spans="1:19" hidden="1" x14ac:dyDescent="0.35">
      <c r="A2010" s="22">
        <v>6</v>
      </c>
      <c r="B2010" t="s">
        <v>801</v>
      </c>
      <c r="C2010" t="s">
        <v>802</v>
      </c>
      <c r="E2010" t="s">
        <v>4268</v>
      </c>
      <c r="G2010" t="s">
        <v>4269</v>
      </c>
      <c r="H2010" t="s">
        <v>1034</v>
      </c>
      <c r="I2010">
        <v>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2</v>
      </c>
      <c r="P2010" s="44" t="e">
        <f>_xlfn.XLOOKUP(Tabla5[[#This Row],[EAN CORREGIDO]],'Tabla Articulos'!B:B,'Tabla Articulos'!D:D)</f>
        <v>#N/A</v>
      </c>
      <c r="Q2010" s="44" t="e">
        <f>_xlfn.XLOOKUP(S2010,'Tabla Articulos'!B:B,'Tabla Articulos'!E:E)</f>
        <v>#N/A</v>
      </c>
      <c r="R2010" s="44" t="e">
        <f t="shared" si="62"/>
        <v>#N/A</v>
      </c>
      <c r="S2010" s="45" t="str">
        <f t="shared" si="63"/>
        <v>BUSAT000130</v>
      </c>
    </row>
    <row r="2011" spans="1:19" hidden="1" x14ac:dyDescent="0.35">
      <c r="A2011" s="22">
        <v>6</v>
      </c>
      <c r="B2011" t="s">
        <v>801</v>
      </c>
      <c r="C2011" t="s">
        <v>802</v>
      </c>
      <c r="E2011" t="s">
        <v>4270</v>
      </c>
      <c r="G2011" t="s">
        <v>4271</v>
      </c>
      <c r="H2011" t="s">
        <v>805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</v>
      </c>
      <c r="P2011" s="44" t="e">
        <f>_xlfn.XLOOKUP(Tabla5[[#This Row],[EAN CORREGIDO]],'Tabla Articulos'!B:B,'Tabla Articulos'!D:D)</f>
        <v>#N/A</v>
      </c>
      <c r="Q2011" s="44" t="e">
        <f>_xlfn.XLOOKUP(S2011,'Tabla Articulos'!B:B,'Tabla Articulos'!E:E)</f>
        <v>#N/A</v>
      </c>
      <c r="R2011" s="44" t="e">
        <f t="shared" si="62"/>
        <v>#N/A</v>
      </c>
      <c r="S2011" s="45" t="str">
        <f t="shared" si="63"/>
        <v>BUSAT000119</v>
      </c>
    </row>
    <row r="2012" spans="1:19" hidden="1" x14ac:dyDescent="0.35">
      <c r="A2012" s="22">
        <v>6</v>
      </c>
      <c r="B2012" t="s">
        <v>801</v>
      </c>
      <c r="C2012" t="s">
        <v>802</v>
      </c>
      <c r="E2012" t="s">
        <v>4272</v>
      </c>
      <c r="G2012" t="s">
        <v>4273</v>
      </c>
      <c r="H2012" t="s">
        <v>805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</v>
      </c>
      <c r="P2012" s="44" t="e">
        <f>_xlfn.XLOOKUP(Tabla5[[#This Row],[EAN CORREGIDO]],'Tabla Articulos'!B:B,'Tabla Articulos'!D:D)</f>
        <v>#N/A</v>
      </c>
      <c r="Q2012" s="44" t="e">
        <f>_xlfn.XLOOKUP(S2012,'Tabla Articulos'!B:B,'Tabla Articulos'!E:E)</f>
        <v>#N/A</v>
      </c>
      <c r="R2012" s="44" t="e">
        <f t="shared" si="62"/>
        <v>#N/A</v>
      </c>
      <c r="S2012" s="45" t="str">
        <f t="shared" si="63"/>
        <v>BUSAT000170</v>
      </c>
    </row>
    <row r="2013" spans="1:19" hidden="1" x14ac:dyDescent="0.35">
      <c r="A2013" s="22">
        <v>6</v>
      </c>
      <c r="B2013" t="s">
        <v>801</v>
      </c>
      <c r="C2013" t="s">
        <v>802</v>
      </c>
      <c r="E2013" t="s">
        <v>4853</v>
      </c>
      <c r="G2013" t="s">
        <v>4854</v>
      </c>
      <c r="H2013" t="s">
        <v>805</v>
      </c>
      <c r="I2013">
        <v>3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3</v>
      </c>
      <c r="P2013" s="44" t="e">
        <f>_xlfn.XLOOKUP(Tabla5[[#This Row],[EAN CORREGIDO]],'Tabla Articulos'!B:B,'Tabla Articulos'!D:D)</f>
        <v>#N/A</v>
      </c>
      <c r="Q2013" s="44" t="e">
        <f>_xlfn.XLOOKUP(S2013,'Tabla Articulos'!B:B,'Tabla Articulos'!E:E)</f>
        <v>#N/A</v>
      </c>
      <c r="R2013" s="44" t="e">
        <f t="shared" si="62"/>
        <v>#N/A</v>
      </c>
      <c r="S2013" s="45" t="str">
        <f t="shared" si="63"/>
        <v>BUSAT000074</v>
      </c>
    </row>
    <row r="2014" spans="1:19" hidden="1" x14ac:dyDescent="0.35">
      <c r="A2014" s="22">
        <v>6</v>
      </c>
      <c r="B2014" t="s">
        <v>801</v>
      </c>
      <c r="C2014" t="s">
        <v>802</v>
      </c>
      <c r="E2014" t="s">
        <v>4855</v>
      </c>
      <c r="G2014" t="s">
        <v>4856</v>
      </c>
      <c r="H2014" t="s">
        <v>805</v>
      </c>
      <c r="I2014">
        <v>2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2</v>
      </c>
      <c r="P2014" s="44" t="e">
        <f>_xlfn.XLOOKUP(Tabla5[[#This Row],[EAN CORREGIDO]],'Tabla Articulos'!B:B,'Tabla Articulos'!D:D)</f>
        <v>#N/A</v>
      </c>
      <c r="Q2014" s="44" t="e">
        <f>_xlfn.XLOOKUP(S2014,'Tabla Articulos'!B:B,'Tabla Articulos'!E:E)</f>
        <v>#N/A</v>
      </c>
      <c r="R2014" s="44" t="e">
        <f t="shared" si="62"/>
        <v>#N/A</v>
      </c>
      <c r="S2014" s="45" t="str">
        <f t="shared" si="63"/>
        <v>BUSAT000628</v>
      </c>
    </row>
    <row r="2015" spans="1:19" hidden="1" x14ac:dyDescent="0.35">
      <c r="A2015" s="22">
        <v>6</v>
      </c>
      <c r="B2015" t="s">
        <v>801</v>
      </c>
      <c r="C2015" t="s">
        <v>802</v>
      </c>
      <c r="E2015" t="s">
        <v>4857</v>
      </c>
      <c r="G2015" t="s">
        <v>4858</v>
      </c>
      <c r="H2015" t="s">
        <v>1034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4</v>
      </c>
      <c r="P2015" s="44" t="e">
        <f>_xlfn.XLOOKUP(Tabla5[[#This Row],[EAN CORREGIDO]],'Tabla Articulos'!B:B,'Tabla Articulos'!D:D)</f>
        <v>#N/A</v>
      </c>
      <c r="Q2015" s="44" t="e">
        <f>_xlfn.XLOOKUP(S2015,'Tabla Articulos'!B:B,'Tabla Articulos'!E:E)</f>
        <v>#N/A</v>
      </c>
      <c r="R2015" s="44" t="e">
        <f t="shared" si="62"/>
        <v>#N/A</v>
      </c>
      <c r="S2015" s="45" t="str">
        <f t="shared" si="63"/>
        <v>BUSAT001008</v>
      </c>
    </row>
    <row r="2016" spans="1:19" hidden="1" x14ac:dyDescent="0.35">
      <c r="A2016" s="22">
        <v>6</v>
      </c>
      <c r="B2016" t="s">
        <v>801</v>
      </c>
      <c r="C2016" t="s">
        <v>802</v>
      </c>
      <c r="E2016" t="s">
        <v>4859</v>
      </c>
      <c r="G2016" t="s">
        <v>4860</v>
      </c>
      <c r="H2016" t="s">
        <v>805</v>
      </c>
      <c r="I2016">
        <v>3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3</v>
      </c>
      <c r="P2016" s="44" t="e">
        <f>_xlfn.XLOOKUP(Tabla5[[#This Row],[EAN CORREGIDO]],'Tabla Articulos'!B:B,'Tabla Articulos'!D:D)</f>
        <v>#N/A</v>
      </c>
      <c r="Q2016" s="44" t="e">
        <f>_xlfn.XLOOKUP(S2016,'Tabla Articulos'!B:B,'Tabla Articulos'!E:E)</f>
        <v>#N/A</v>
      </c>
      <c r="R2016" s="44" t="e">
        <f t="shared" si="62"/>
        <v>#N/A</v>
      </c>
      <c r="S2016" s="45" t="str">
        <f t="shared" si="63"/>
        <v>BUSAT000423</v>
      </c>
    </row>
    <row r="2017" spans="1:19" hidden="1" x14ac:dyDescent="0.35">
      <c r="A2017" s="22">
        <v>6</v>
      </c>
      <c r="B2017" t="s">
        <v>801</v>
      </c>
      <c r="C2017" t="s">
        <v>802</v>
      </c>
      <c r="E2017" t="s">
        <v>4861</v>
      </c>
      <c r="G2017" t="s">
        <v>4862</v>
      </c>
      <c r="H2017" t="s">
        <v>1034</v>
      </c>
      <c r="I2017">
        <v>14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14</v>
      </c>
      <c r="P2017" s="44" t="e">
        <f>_xlfn.XLOOKUP(Tabla5[[#This Row],[EAN CORREGIDO]],'Tabla Articulos'!B:B,'Tabla Articulos'!D:D)</f>
        <v>#N/A</v>
      </c>
      <c r="Q2017" s="44" t="e">
        <f>_xlfn.XLOOKUP(S2017,'Tabla Articulos'!B:B,'Tabla Articulos'!E:E)</f>
        <v>#N/A</v>
      </c>
      <c r="R2017" s="44" t="e">
        <f t="shared" si="62"/>
        <v>#N/A</v>
      </c>
      <c r="S2017" s="45" t="str">
        <f t="shared" si="63"/>
        <v>LIM000489</v>
      </c>
    </row>
    <row r="2018" spans="1:19" hidden="1" x14ac:dyDescent="0.35">
      <c r="A2018" s="22">
        <v>6</v>
      </c>
      <c r="B2018" t="s">
        <v>801</v>
      </c>
      <c r="C2018" t="s">
        <v>802</v>
      </c>
      <c r="E2018" t="s">
        <v>4863</v>
      </c>
      <c r="G2018" t="s">
        <v>4864</v>
      </c>
      <c r="H2018" t="s">
        <v>805</v>
      </c>
      <c r="I2018">
        <v>244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244</v>
      </c>
      <c r="P2018" s="44" t="e">
        <f>_xlfn.XLOOKUP(Tabla5[[#This Row],[EAN CORREGIDO]],'Tabla Articulos'!B:B,'Tabla Articulos'!D:D)</f>
        <v>#N/A</v>
      </c>
      <c r="Q2018" s="44" t="e">
        <f>_xlfn.XLOOKUP(S2018,'Tabla Articulos'!B:B,'Tabla Articulos'!E:E)</f>
        <v>#N/A</v>
      </c>
      <c r="R2018" s="44" t="e">
        <f t="shared" si="62"/>
        <v>#N/A</v>
      </c>
      <c r="S2018" s="45" t="str">
        <f t="shared" si="63"/>
        <v>BUSAT000003</v>
      </c>
    </row>
    <row r="2019" spans="1:19" hidden="1" x14ac:dyDescent="0.35">
      <c r="A2019" s="22">
        <v>6</v>
      </c>
      <c r="B2019" t="s">
        <v>801</v>
      </c>
      <c r="C2019" t="s">
        <v>802</v>
      </c>
      <c r="E2019" t="s">
        <v>4865</v>
      </c>
      <c r="G2019" t="s">
        <v>4866</v>
      </c>
      <c r="H2019" t="s">
        <v>805</v>
      </c>
      <c r="I2019">
        <v>7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7</v>
      </c>
      <c r="P2019" s="44" t="e">
        <f>_xlfn.XLOOKUP(Tabla5[[#This Row],[EAN CORREGIDO]],'Tabla Articulos'!B:B,'Tabla Articulos'!D:D)</f>
        <v>#N/A</v>
      </c>
      <c r="Q2019" s="44" t="e">
        <f>_xlfn.XLOOKUP(S2019,'Tabla Articulos'!B:B,'Tabla Articulos'!E:E)</f>
        <v>#N/A</v>
      </c>
      <c r="R2019" s="44" t="e">
        <f t="shared" si="62"/>
        <v>#N/A</v>
      </c>
      <c r="S2019" s="45" t="str">
        <f t="shared" si="63"/>
        <v>BUSAT000570</v>
      </c>
    </row>
    <row r="2020" spans="1:19" hidden="1" x14ac:dyDescent="0.35">
      <c r="A2020" s="22">
        <v>6</v>
      </c>
      <c r="B2020" t="s">
        <v>801</v>
      </c>
      <c r="C2020" t="s">
        <v>802</v>
      </c>
      <c r="E2020" t="s">
        <v>4867</v>
      </c>
      <c r="G2020" t="s">
        <v>4868</v>
      </c>
      <c r="H2020" t="s">
        <v>805</v>
      </c>
      <c r="I2020">
        <v>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</v>
      </c>
      <c r="P2020" s="44" t="e">
        <f>_xlfn.XLOOKUP(Tabla5[[#This Row],[EAN CORREGIDO]],'Tabla Articulos'!B:B,'Tabla Articulos'!D:D)</f>
        <v>#N/A</v>
      </c>
      <c r="Q2020" s="44" t="e">
        <f>_xlfn.XLOOKUP(S2020,'Tabla Articulos'!B:B,'Tabla Articulos'!E:E)</f>
        <v>#N/A</v>
      </c>
      <c r="R2020" s="44" t="e">
        <f t="shared" si="62"/>
        <v>#N/A</v>
      </c>
      <c r="S2020" s="45" t="str">
        <f t="shared" si="63"/>
        <v>BUSAT000030</v>
      </c>
    </row>
    <row r="2021" spans="1:19" hidden="1" x14ac:dyDescent="0.35">
      <c r="A2021" s="22">
        <v>6</v>
      </c>
      <c r="B2021" t="s">
        <v>801</v>
      </c>
      <c r="C2021" t="s">
        <v>802</v>
      </c>
      <c r="E2021" t="s">
        <v>4869</v>
      </c>
      <c r="G2021" t="s">
        <v>4870</v>
      </c>
      <c r="H2021" t="s">
        <v>805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</v>
      </c>
      <c r="P2021" s="44" t="e">
        <f>_xlfn.XLOOKUP(Tabla5[[#This Row],[EAN CORREGIDO]],'Tabla Articulos'!B:B,'Tabla Articulos'!D:D)</f>
        <v>#N/A</v>
      </c>
      <c r="Q2021" s="44" t="e">
        <f>_xlfn.XLOOKUP(S2021,'Tabla Articulos'!B:B,'Tabla Articulos'!E:E)</f>
        <v>#N/A</v>
      </c>
      <c r="R2021" s="44" t="e">
        <f t="shared" si="62"/>
        <v>#N/A</v>
      </c>
      <c r="S2021" s="45" t="str">
        <f t="shared" si="63"/>
        <v>BUSAT000320</v>
      </c>
    </row>
    <row r="2022" spans="1:19" hidden="1" x14ac:dyDescent="0.35">
      <c r="A2022" s="22">
        <v>6</v>
      </c>
      <c r="B2022" t="s">
        <v>801</v>
      </c>
      <c r="C2022" t="s">
        <v>802</v>
      </c>
      <c r="E2022" t="s">
        <v>4871</v>
      </c>
      <c r="G2022" t="s">
        <v>4872</v>
      </c>
      <c r="H2022" t="s">
        <v>805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</v>
      </c>
      <c r="P2022" s="44" t="e">
        <f>_xlfn.XLOOKUP(Tabla5[[#This Row],[EAN CORREGIDO]],'Tabla Articulos'!B:B,'Tabla Articulos'!D:D)</f>
        <v>#N/A</v>
      </c>
      <c r="Q2022" s="44" t="e">
        <f>_xlfn.XLOOKUP(S2022,'Tabla Articulos'!B:B,'Tabla Articulos'!E:E)</f>
        <v>#N/A</v>
      </c>
      <c r="R2022" s="44" t="e">
        <f t="shared" si="62"/>
        <v>#N/A</v>
      </c>
      <c r="S2022" s="45" t="str">
        <f t="shared" si="63"/>
        <v>BUSAT000305</v>
      </c>
    </row>
    <row r="2023" spans="1:19" hidden="1" x14ac:dyDescent="0.35">
      <c r="A2023" s="22">
        <v>6</v>
      </c>
      <c r="B2023" t="s">
        <v>801</v>
      </c>
      <c r="C2023" t="s">
        <v>802</v>
      </c>
      <c r="E2023" t="s">
        <v>4873</v>
      </c>
      <c r="G2023" t="s">
        <v>4874</v>
      </c>
      <c r="H2023" t="s">
        <v>805</v>
      </c>
      <c r="I2023">
        <v>2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2</v>
      </c>
      <c r="P2023" s="44" t="e">
        <f>_xlfn.XLOOKUP(Tabla5[[#This Row],[EAN CORREGIDO]],'Tabla Articulos'!B:B,'Tabla Articulos'!D:D)</f>
        <v>#N/A</v>
      </c>
      <c r="Q2023" s="44" t="e">
        <f>_xlfn.XLOOKUP(S2023,'Tabla Articulos'!B:B,'Tabla Articulos'!E:E)</f>
        <v>#N/A</v>
      </c>
      <c r="R2023" s="44" t="e">
        <f t="shared" si="62"/>
        <v>#N/A</v>
      </c>
      <c r="S2023" s="45" t="str">
        <f t="shared" si="63"/>
        <v>BUSAT000651</v>
      </c>
    </row>
    <row r="2024" spans="1:19" hidden="1" x14ac:dyDescent="0.35">
      <c r="A2024" s="22">
        <v>6</v>
      </c>
      <c r="B2024" t="s">
        <v>801</v>
      </c>
      <c r="C2024" t="s">
        <v>802</v>
      </c>
      <c r="E2024" t="s">
        <v>4875</v>
      </c>
      <c r="F2024"/>
      <c r="G2024" t="s">
        <v>4876</v>
      </c>
      <c r="H2024" t="s">
        <v>805</v>
      </c>
      <c r="I2024">
        <v>4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4</v>
      </c>
      <c r="P2024" s="44" t="e">
        <f>_xlfn.XLOOKUP(Tabla5[[#This Row],[EAN CORREGIDO]],'Tabla Articulos'!B:B,'Tabla Articulos'!D:D)</f>
        <v>#N/A</v>
      </c>
      <c r="Q2024" s="44" t="e">
        <f>_xlfn.XLOOKUP(S2024,'Tabla Articulos'!B:B,'Tabla Articulos'!E:E)</f>
        <v>#N/A</v>
      </c>
      <c r="R2024" s="44" t="e">
        <f t="shared" si="62"/>
        <v>#N/A</v>
      </c>
      <c r="S2024" s="45" t="str">
        <f t="shared" si="63"/>
        <v>BUSAT000370</v>
      </c>
    </row>
    <row r="2025" spans="1:19" hidden="1" x14ac:dyDescent="0.35">
      <c r="A2025" s="22">
        <v>6</v>
      </c>
      <c r="B2025" t="s">
        <v>801</v>
      </c>
      <c r="C2025" t="s">
        <v>802</v>
      </c>
      <c r="D2025"/>
      <c r="E2025" t="s">
        <v>4877</v>
      </c>
      <c r="F2025"/>
      <c r="G2025" t="s">
        <v>4878</v>
      </c>
      <c r="H2025" t="s">
        <v>805</v>
      </c>
      <c r="I2025">
        <v>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2</v>
      </c>
      <c r="P2025" s="44" t="e">
        <f>_xlfn.XLOOKUP(Tabla5[[#This Row],[EAN CORREGIDO]],'Tabla Articulos'!B:B,'Tabla Articulos'!D:D)</f>
        <v>#N/A</v>
      </c>
      <c r="Q2025" s="44" t="e">
        <f>_xlfn.XLOOKUP(S2025,'Tabla Articulos'!B:B,'Tabla Articulos'!E:E)</f>
        <v>#N/A</v>
      </c>
      <c r="R2025" s="44" t="e">
        <f t="shared" si="62"/>
        <v>#N/A</v>
      </c>
      <c r="S2025" s="45" t="str">
        <f t="shared" si="63"/>
        <v>BUM00244</v>
      </c>
    </row>
    <row r="2026" spans="1:19" hidden="1" x14ac:dyDescent="0.35">
      <c r="A2026" s="22">
        <v>6</v>
      </c>
      <c r="B2026" t="s">
        <v>801</v>
      </c>
      <c r="C2026" t="s">
        <v>802</v>
      </c>
      <c r="E2026" t="s">
        <v>4879</v>
      </c>
      <c r="F2026"/>
      <c r="G2026" t="s">
        <v>4880</v>
      </c>
      <c r="H2026" t="s">
        <v>805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</v>
      </c>
      <c r="P2026" s="44" t="e">
        <f>_xlfn.XLOOKUP(Tabla5[[#This Row],[EAN CORREGIDO]],'Tabla Articulos'!B:B,'Tabla Articulos'!D:D)</f>
        <v>#N/A</v>
      </c>
      <c r="Q2026" s="44" t="e">
        <f>_xlfn.XLOOKUP(S2026,'Tabla Articulos'!B:B,'Tabla Articulos'!E:E)</f>
        <v>#N/A</v>
      </c>
      <c r="R2026" s="44" t="e">
        <f t="shared" si="62"/>
        <v>#N/A</v>
      </c>
      <c r="S2026" s="45" t="str">
        <f t="shared" si="63"/>
        <v>BUSAT000311</v>
      </c>
    </row>
    <row r="2027" spans="1:19" hidden="1" x14ac:dyDescent="0.35">
      <c r="A2027" s="22">
        <v>6</v>
      </c>
      <c r="B2027" t="s">
        <v>801</v>
      </c>
      <c r="C2027" t="s">
        <v>802</v>
      </c>
      <c r="E2027" t="s">
        <v>4881</v>
      </c>
      <c r="F2027"/>
      <c r="G2027" t="s">
        <v>4882</v>
      </c>
      <c r="H2027" t="s">
        <v>805</v>
      </c>
      <c r="I2027">
        <v>4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4</v>
      </c>
      <c r="P2027" s="44" t="e">
        <f>_xlfn.XLOOKUP(Tabla5[[#This Row],[EAN CORREGIDO]],'Tabla Articulos'!B:B,'Tabla Articulos'!D:D)</f>
        <v>#N/A</v>
      </c>
      <c r="Q2027" s="44" t="e">
        <f>_xlfn.XLOOKUP(S2027,'Tabla Articulos'!B:B,'Tabla Articulos'!E:E)</f>
        <v>#N/A</v>
      </c>
      <c r="R2027" s="44" t="e">
        <f t="shared" si="62"/>
        <v>#N/A</v>
      </c>
      <c r="S2027" s="45" t="str">
        <f t="shared" si="63"/>
        <v>BUSAT000363</v>
      </c>
    </row>
    <row r="2028" spans="1:19" hidden="1" x14ac:dyDescent="0.35">
      <c r="A2028" s="22">
        <v>6</v>
      </c>
      <c r="B2028" t="s">
        <v>801</v>
      </c>
      <c r="C2028" t="s">
        <v>802</v>
      </c>
      <c r="D2028"/>
      <c r="E2028" t="s">
        <v>4883</v>
      </c>
      <c r="F2028"/>
      <c r="G2028" t="s">
        <v>4884</v>
      </c>
      <c r="H2028" t="s">
        <v>805</v>
      </c>
      <c r="I2028">
        <v>10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10</v>
      </c>
      <c r="P2028" s="44" t="e">
        <f>_xlfn.XLOOKUP(Tabla5[[#This Row],[EAN CORREGIDO]],'Tabla Articulos'!B:B,'Tabla Articulos'!D:D)</f>
        <v>#N/A</v>
      </c>
      <c r="Q2028" s="44" t="e">
        <f>_xlfn.XLOOKUP(S2028,'Tabla Articulos'!B:B,'Tabla Articulos'!E:E)</f>
        <v>#N/A</v>
      </c>
      <c r="R2028" s="44" t="e">
        <f t="shared" si="62"/>
        <v>#N/A</v>
      </c>
      <c r="S2028" s="45" t="str">
        <f t="shared" si="63"/>
        <v>BUSAT000391</v>
      </c>
    </row>
    <row r="2029" spans="1:19" hidden="1" x14ac:dyDescent="0.35">
      <c r="A2029" s="22">
        <v>6</v>
      </c>
      <c r="B2029" t="s">
        <v>801</v>
      </c>
      <c r="C2029" t="s">
        <v>802</v>
      </c>
      <c r="D2029"/>
      <c r="E2029" t="s">
        <v>4885</v>
      </c>
      <c r="F2029"/>
      <c r="G2029" t="s">
        <v>4886</v>
      </c>
      <c r="H2029" t="s">
        <v>805</v>
      </c>
      <c r="I2029">
        <v>28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28</v>
      </c>
      <c r="P2029" s="44" t="e">
        <f>_xlfn.XLOOKUP(Tabla5[[#This Row],[EAN CORREGIDO]],'Tabla Articulos'!B:B,'Tabla Articulos'!D:D)</f>
        <v>#N/A</v>
      </c>
      <c r="Q2029" s="44" t="e">
        <f>_xlfn.XLOOKUP(S2029,'Tabla Articulos'!B:B,'Tabla Articulos'!E:E)</f>
        <v>#N/A</v>
      </c>
      <c r="R2029" s="44" t="e">
        <f t="shared" si="62"/>
        <v>#N/A</v>
      </c>
      <c r="S2029" s="45" t="str">
        <f t="shared" si="63"/>
        <v>BUSAT000099</v>
      </c>
    </row>
    <row r="2030" spans="1:19" hidden="1" x14ac:dyDescent="0.35">
      <c r="A2030" s="22">
        <v>6</v>
      </c>
      <c r="B2030" t="s">
        <v>801</v>
      </c>
      <c r="C2030" t="s">
        <v>802</v>
      </c>
      <c r="E2030" t="s">
        <v>4887</v>
      </c>
      <c r="F2030"/>
      <c r="G2030" t="s">
        <v>4888</v>
      </c>
      <c r="H2030" t="s">
        <v>805</v>
      </c>
      <c r="I2030">
        <v>88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88</v>
      </c>
      <c r="P2030" s="44" t="e">
        <f>_xlfn.XLOOKUP(Tabla5[[#This Row],[EAN CORREGIDO]],'Tabla Articulos'!B:B,'Tabla Articulos'!D:D)</f>
        <v>#N/A</v>
      </c>
      <c r="Q2030" s="44" t="e">
        <f>_xlfn.XLOOKUP(S2030,'Tabla Articulos'!B:B,'Tabla Articulos'!E:E)</f>
        <v>#N/A</v>
      </c>
      <c r="R2030" s="44" t="e">
        <f t="shared" si="62"/>
        <v>#N/A</v>
      </c>
      <c r="S2030" s="45" t="str">
        <f t="shared" si="63"/>
        <v>BUSAT000887</v>
      </c>
    </row>
    <row r="2031" spans="1:19" hidden="1" x14ac:dyDescent="0.35">
      <c r="A2031" s="22">
        <v>6</v>
      </c>
      <c r="B2031" t="s">
        <v>801</v>
      </c>
      <c r="C2031" t="s">
        <v>802</v>
      </c>
      <c r="E2031" t="s">
        <v>4889</v>
      </c>
      <c r="F2031"/>
      <c r="G2031" t="s">
        <v>4890</v>
      </c>
      <c r="H2031" t="s">
        <v>805</v>
      </c>
      <c r="I2031">
        <v>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2</v>
      </c>
      <c r="P2031" s="44" t="e">
        <f>_xlfn.XLOOKUP(Tabla5[[#This Row],[EAN CORREGIDO]],'Tabla Articulos'!B:B,'Tabla Articulos'!D:D)</f>
        <v>#N/A</v>
      </c>
      <c r="Q2031" s="44" t="e">
        <f>_xlfn.XLOOKUP(S2031,'Tabla Articulos'!B:B,'Tabla Articulos'!E:E)</f>
        <v>#N/A</v>
      </c>
      <c r="R2031" s="44" t="e">
        <f t="shared" si="62"/>
        <v>#N/A</v>
      </c>
      <c r="S2031" s="45" t="str">
        <f t="shared" si="63"/>
        <v>BUSAT000546</v>
      </c>
    </row>
    <row r="2032" spans="1:19" hidden="1" x14ac:dyDescent="0.35">
      <c r="A2032" s="22">
        <v>6</v>
      </c>
      <c r="B2032" t="s">
        <v>801</v>
      </c>
      <c r="C2032" t="s">
        <v>802</v>
      </c>
      <c r="D2032"/>
      <c r="E2032" t="s">
        <v>4891</v>
      </c>
      <c r="F2032"/>
      <c r="G2032" t="s">
        <v>4892</v>
      </c>
      <c r="H2032" t="s">
        <v>805</v>
      </c>
      <c r="I2032">
        <v>3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3</v>
      </c>
      <c r="P2032" s="44" t="e">
        <f>_xlfn.XLOOKUP(Tabla5[[#This Row],[EAN CORREGIDO]],'Tabla Articulos'!B:B,'Tabla Articulos'!D:D)</f>
        <v>#N/A</v>
      </c>
      <c r="Q2032" s="44" t="e">
        <f>_xlfn.XLOOKUP(S2032,'Tabla Articulos'!B:B,'Tabla Articulos'!E:E)</f>
        <v>#N/A</v>
      </c>
      <c r="R2032" s="44" t="e">
        <f t="shared" si="62"/>
        <v>#N/A</v>
      </c>
      <c r="S2032" s="45" t="str">
        <f t="shared" si="63"/>
        <v>BUSAT000879</v>
      </c>
    </row>
    <row r="2033" spans="1:19" hidden="1" x14ac:dyDescent="0.35">
      <c r="A2033" s="22">
        <v>6</v>
      </c>
      <c r="B2033" t="s">
        <v>801</v>
      </c>
      <c r="C2033" t="s">
        <v>802</v>
      </c>
      <c r="E2033" t="s">
        <v>4893</v>
      </c>
      <c r="F2033"/>
      <c r="G2033" t="s">
        <v>4894</v>
      </c>
      <c r="H2033" t="s">
        <v>805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 s="44" t="e">
        <f>_xlfn.XLOOKUP(Tabla5[[#This Row],[EAN CORREGIDO]],'Tabla Articulos'!B:B,'Tabla Articulos'!D:D)</f>
        <v>#N/A</v>
      </c>
      <c r="Q2033" s="44" t="e">
        <f>_xlfn.XLOOKUP(S2033,'Tabla Articulos'!B:B,'Tabla Articulos'!E:E)</f>
        <v>#N/A</v>
      </c>
      <c r="R2033" s="44" t="e">
        <f t="shared" si="62"/>
        <v>#N/A</v>
      </c>
      <c r="S2033" s="45" t="str">
        <f t="shared" si="63"/>
        <v>BUSAT001109</v>
      </c>
    </row>
    <row r="2034" spans="1:19" hidden="1" x14ac:dyDescent="0.35">
      <c r="A2034" s="22">
        <v>6</v>
      </c>
      <c r="B2034" t="s">
        <v>801</v>
      </c>
      <c r="C2034" t="s">
        <v>802</v>
      </c>
      <c r="E2034" t="s">
        <v>4895</v>
      </c>
      <c r="F2034"/>
      <c r="G2034" t="s">
        <v>4896</v>
      </c>
      <c r="H2034" t="s">
        <v>805</v>
      </c>
      <c r="I2034">
        <v>18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18</v>
      </c>
      <c r="P2034" s="44" t="e">
        <f>_xlfn.XLOOKUP(Tabla5[[#This Row],[EAN CORREGIDO]],'Tabla Articulos'!B:B,'Tabla Articulos'!D:D)</f>
        <v>#N/A</v>
      </c>
      <c r="Q2034" s="44" t="e">
        <f>_xlfn.XLOOKUP(S2034,'Tabla Articulos'!B:B,'Tabla Articulos'!E:E)</f>
        <v>#N/A</v>
      </c>
      <c r="R2034" s="44" t="e">
        <f t="shared" si="62"/>
        <v>#N/A</v>
      </c>
      <c r="S2034" s="45" t="str">
        <f t="shared" si="63"/>
        <v>BUSAT000046</v>
      </c>
    </row>
    <row r="2035" spans="1:19" hidden="1" x14ac:dyDescent="0.35">
      <c r="A2035" s="22">
        <v>6</v>
      </c>
      <c r="B2035" t="s">
        <v>801</v>
      </c>
      <c r="C2035" t="s">
        <v>802</v>
      </c>
      <c r="D2035"/>
      <c r="E2035" t="s">
        <v>4897</v>
      </c>
      <c r="F2035"/>
      <c r="G2035" t="s">
        <v>4898</v>
      </c>
      <c r="H2035" t="s">
        <v>805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 s="44" t="e">
        <f>_xlfn.XLOOKUP(Tabla5[[#This Row],[EAN CORREGIDO]],'Tabla Articulos'!B:B,'Tabla Articulos'!D:D)</f>
        <v>#N/A</v>
      </c>
      <c r="Q2035" s="44" t="e">
        <f>_xlfn.XLOOKUP(S2035,'Tabla Articulos'!B:B,'Tabla Articulos'!E:E)</f>
        <v>#N/A</v>
      </c>
      <c r="R2035" s="44" t="e">
        <f t="shared" si="62"/>
        <v>#N/A</v>
      </c>
      <c r="S2035" s="45" t="str">
        <f t="shared" si="63"/>
        <v>BUSAT0011013</v>
      </c>
    </row>
    <row r="2036" spans="1:19" hidden="1" x14ac:dyDescent="0.35">
      <c r="A2036" s="22">
        <v>6</v>
      </c>
      <c r="B2036" t="s">
        <v>801</v>
      </c>
      <c r="C2036" t="s">
        <v>802</v>
      </c>
      <c r="D2036" s="11" t="s">
        <v>4899</v>
      </c>
      <c r="E2036" t="s">
        <v>4900</v>
      </c>
      <c r="F2036"/>
      <c r="G2036" t="s">
        <v>4901</v>
      </c>
      <c r="H2036" t="s">
        <v>805</v>
      </c>
      <c r="I2036">
        <v>120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120</v>
      </c>
      <c r="P2036" s="44" t="e">
        <f>_xlfn.XLOOKUP(Tabla5[[#This Row],[EAN CORREGIDO]],'Tabla Articulos'!B:B,'Tabla Articulos'!D:D)</f>
        <v>#N/A</v>
      </c>
      <c r="Q2036" s="44" t="e">
        <f>_xlfn.XLOOKUP(S2036,'Tabla Articulos'!B:B,'Tabla Articulos'!E:E)</f>
        <v>#N/A</v>
      </c>
      <c r="R2036" s="44" t="e">
        <f t="shared" si="62"/>
        <v>#N/A</v>
      </c>
      <c r="S2036" s="45" t="str">
        <f t="shared" si="63"/>
        <v>LIM000076</v>
      </c>
    </row>
    <row r="2037" spans="1:19" hidden="1" x14ac:dyDescent="0.35">
      <c r="A2037" s="22">
        <v>6</v>
      </c>
      <c r="B2037" t="s">
        <v>801</v>
      </c>
      <c r="C2037" t="s">
        <v>802</v>
      </c>
      <c r="D2037"/>
      <c r="E2037" t="s">
        <v>4902</v>
      </c>
      <c r="F2037"/>
      <c r="G2037" t="s">
        <v>4903</v>
      </c>
      <c r="H2037" t="s">
        <v>805</v>
      </c>
      <c r="I2037">
        <v>18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18</v>
      </c>
      <c r="P2037" s="44" t="e">
        <f>_xlfn.XLOOKUP(Tabla5[[#This Row],[EAN CORREGIDO]],'Tabla Articulos'!B:B,'Tabla Articulos'!D:D)</f>
        <v>#N/A</v>
      </c>
      <c r="Q2037" s="44" t="e">
        <f>_xlfn.XLOOKUP(S2037,'Tabla Articulos'!B:B,'Tabla Articulos'!E:E)</f>
        <v>#N/A</v>
      </c>
      <c r="R2037" s="44" t="e">
        <f t="shared" si="62"/>
        <v>#N/A</v>
      </c>
      <c r="S2037" s="45" t="str">
        <f t="shared" si="63"/>
        <v>BUSAT000054</v>
      </c>
    </row>
    <row r="2038" spans="1:19" hidden="1" x14ac:dyDescent="0.35">
      <c r="A2038" s="22">
        <v>6</v>
      </c>
      <c r="B2038" t="s">
        <v>801</v>
      </c>
      <c r="C2038" t="s">
        <v>802</v>
      </c>
      <c r="D2038" s="11" t="s">
        <v>923</v>
      </c>
      <c r="E2038" t="s">
        <v>1274</v>
      </c>
      <c r="F2038">
        <v>2007488</v>
      </c>
      <c r="G2038" t="s">
        <v>1275</v>
      </c>
      <c r="H2038" t="s">
        <v>805</v>
      </c>
      <c r="I2038">
        <v>225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225</v>
      </c>
      <c r="P2038" s="44" t="e">
        <f>_xlfn.XLOOKUP(Tabla5[[#This Row],[EAN CORREGIDO]],'Tabla Articulos'!B:B,'Tabla Articulos'!D:D)</f>
        <v>#N/A</v>
      </c>
      <c r="Q2038" s="44" t="e">
        <f>_xlfn.XLOOKUP(S2038,'Tabla Articulos'!B:B,'Tabla Articulos'!E:E)</f>
        <v>#N/A</v>
      </c>
      <c r="R2038" s="44" t="e">
        <f t="shared" si="62"/>
        <v>#N/A</v>
      </c>
      <c r="S2038" s="45" t="str">
        <f t="shared" si="63"/>
        <v>7790000000462</v>
      </c>
    </row>
    <row r="2039" spans="1:19" hidden="1" x14ac:dyDescent="0.35">
      <c r="A2039" s="22">
        <v>6</v>
      </c>
      <c r="B2039" t="s">
        <v>801</v>
      </c>
      <c r="C2039" t="s">
        <v>802</v>
      </c>
      <c r="D2039" t="s">
        <v>456</v>
      </c>
      <c r="E2039" t="s">
        <v>1276</v>
      </c>
      <c r="F2039">
        <v>2007004</v>
      </c>
      <c r="G2039" t="s">
        <v>1277</v>
      </c>
      <c r="H2039" t="s">
        <v>805</v>
      </c>
      <c r="I2039">
        <v>35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35</v>
      </c>
      <c r="P2039" s="44" t="str">
        <f>_xlfn.XLOOKUP(Tabla5[[#This Row],[EAN CORREGIDO]],'Tabla Articulos'!B:B,'Tabla Articulos'!D:D)</f>
        <v>INDIVIDUAL KRAFT</v>
      </c>
      <c r="Q2039" s="44">
        <f>_xlfn.XLOOKUP(S2039,'Tabla Articulos'!B:B,'Tabla Articulos'!E:E)</f>
        <v>200</v>
      </c>
      <c r="R2039" s="44">
        <f t="shared" si="62"/>
        <v>7000</v>
      </c>
      <c r="S2039" s="45" t="str">
        <f t="shared" si="63"/>
        <v>7790000000043</v>
      </c>
    </row>
    <row r="2040" spans="1:19" hidden="1" x14ac:dyDescent="0.35">
      <c r="A2040" s="22">
        <v>6</v>
      </c>
      <c r="B2040" t="s">
        <v>801</v>
      </c>
      <c r="C2040" t="s">
        <v>802</v>
      </c>
      <c r="D2040"/>
      <c r="E2040" t="s">
        <v>3184</v>
      </c>
      <c r="F2040">
        <v>9003144</v>
      </c>
      <c r="G2040" t="s">
        <v>3185</v>
      </c>
      <c r="H2040" t="s">
        <v>805</v>
      </c>
      <c r="I2040">
        <v>472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472</v>
      </c>
      <c r="P2040" s="44" t="e">
        <f>_xlfn.XLOOKUP(Tabla5[[#This Row],[EAN CORREGIDO]],'Tabla Articulos'!B:B,'Tabla Articulos'!D:D)</f>
        <v>#N/A</v>
      </c>
      <c r="Q2040" s="44" t="e">
        <f>_xlfn.XLOOKUP(S2040,'Tabla Articulos'!B:B,'Tabla Articulos'!E:E)</f>
        <v>#N/A</v>
      </c>
      <c r="R2040" s="44" t="e">
        <f t="shared" si="62"/>
        <v>#N/A</v>
      </c>
      <c r="S2040" s="45" t="str">
        <f t="shared" si="63"/>
        <v>UNIF000606</v>
      </c>
    </row>
    <row r="2041" spans="1:19" hidden="1" x14ac:dyDescent="0.35">
      <c r="A2041" s="22">
        <v>6</v>
      </c>
      <c r="B2041" t="s">
        <v>801</v>
      </c>
      <c r="C2041" t="s">
        <v>802</v>
      </c>
      <c r="D2041"/>
      <c r="E2041" t="s">
        <v>3186</v>
      </c>
      <c r="F2041">
        <v>9003061</v>
      </c>
      <c r="G2041" t="s">
        <v>3187</v>
      </c>
      <c r="H2041" t="s">
        <v>805</v>
      </c>
      <c r="I2041">
        <v>33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33</v>
      </c>
      <c r="P2041" s="44" t="e">
        <f>_xlfn.XLOOKUP(Tabla5[[#This Row],[EAN CORREGIDO]],'Tabla Articulos'!B:B,'Tabla Articulos'!D:D)</f>
        <v>#N/A</v>
      </c>
      <c r="Q2041" s="44" t="e">
        <f>_xlfn.XLOOKUP(S2041,'Tabla Articulos'!B:B,'Tabla Articulos'!E:E)</f>
        <v>#N/A</v>
      </c>
      <c r="R2041" s="44" t="e">
        <f t="shared" si="62"/>
        <v>#N/A</v>
      </c>
      <c r="S2041" s="45" t="str">
        <f t="shared" si="63"/>
        <v>UNIF000030</v>
      </c>
    </row>
    <row r="2042" spans="1:19" hidden="1" x14ac:dyDescent="0.35">
      <c r="A2042" s="22">
        <v>5</v>
      </c>
      <c r="B2042" t="s">
        <v>829</v>
      </c>
      <c r="C2042" t="s">
        <v>802</v>
      </c>
      <c r="D2042" t="s">
        <v>229</v>
      </c>
      <c r="E2042" t="s">
        <v>3188</v>
      </c>
      <c r="F2042">
        <v>2006806</v>
      </c>
      <c r="G2042" t="s">
        <v>708</v>
      </c>
      <c r="H2042" t="s">
        <v>805</v>
      </c>
      <c r="I2042">
        <v>2500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2500</v>
      </c>
      <c r="P2042" s="44" t="str">
        <f>_xlfn.XLOOKUP(Tabla5[[#This Row],[EAN CORREGIDO]],'Tabla Articulos'!B:B,'Tabla Articulos'!D:D)</f>
        <v>CAJA MESA LANUS 2</v>
      </c>
      <c r="Q2042" s="44">
        <f>_xlfn.XLOOKUP(S2042,'Tabla Articulos'!B:B,'Tabla Articulos'!E:E)</f>
        <v>1</v>
      </c>
      <c r="R2042" s="44">
        <f t="shared" si="62"/>
        <v>2500</v>
      </c>
      <c r="S2042" s="45" t="str">
        <f t="shared" si="63"/>
        <v>7798072299620</v>
      </c>
    </row>
    <row r="2043" spans="1:19" hidden="1" x14ac:dyDescent="0.35">
      <c r="A2043" s="22">
        <v>1</v>
      </c>
      <c r="B2043" t="s">
        <v>812</v>
      </c>
      <c r="C2043" t="s">
        <v>802</v>
      </c>
      <c r="D2043" t="s">
        <v>3189</v>
      </c>
      <c r="E2043" t="s">
        <v>3190</v>
      </c>
      <c r="F2043">
        <v>4022358</v>
      </c>
      <c r="G2043" t="s">
        <v>3191</v>
      </c>
      <c r="H2043" t="s">
        <v>805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2</v>
      </c>
      <c r="P2043" s="44" t="e">
        <f>_xlfn.XLOOKUP(Tabla5[[#This Row],[EAN CORREGIDO]],'Tabla Articulos'!B:B,'Tabla Articulos'!D:D)</f>
        <v>#N/A</v>
      </c>
      <c r="Q2043" s="44" t="e">
        <f>_xlfn.XLOOKUP(S2043,'Tabla Articulos'!B:B,'Tabla Articulos'!E:E)</f>
        <v>#N/A</v>
      </c>
      <c r="R2043" s="44" t="e">
        <f t="shared" si="62"/>
        <v>#N/A</v>
      </c>
      <c r="S2043" s="45" t="str">
        <f t="shared" si="63"/>
        <v>7790070231833</v>
      </c>
    </row>
    <row r="2044" spans="1:19" hidden="1" x14ac:dyDescent="0.35">
      <c r="A2044" s="22">
        <v>6</v>
      </c>
      <c r="B2044" t="s">
        <v>801</v>
      </c>
      <c r="C2044" t="s">
        <v>802</v>
      </c>
      <c r="E2044" t="s">
        <v>3192</v>
      </c>
      <c r="F2044">
        <v>9004183</v>
      </c>
      <c r="G2044" t="s">
        <v>3193</v>
      </c>
      <c r="H2044" t="s">
        <v>805</v>
      </c>
      <c r="I2044">
        <v>100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100</v>
      </c>
      <c r="P2044" s="44" t="e">
        <f>_xlfn.XLOOKUP(Tabla5[[#This Row],[EAN CORREGIDO]],'Tabla Articulos'!B:B,'Tabla Articulos'!D:D)</f>
        <v>#N/A</v>
      </c>
      <c r="Q2044" s="44" t="e">
        <f>_xlfn.XLOOKUP(S2044,'Tabla Articulos'!B:B,'Tabla Articulos'!E:E)</f>
        <v>#N/A</v>
      </c>
      <c r="R2044" s="44" t="e">
        <f t="shared" si="62"/>
        <v>#N/A</v>
      </c>
      <c r="S2044" s="45" t="str">
        <f t="shared" si="63"/>
        <v>UNIF000729</v>
      </c>
    </row>
    <row r="2045" spans="1:19" hidden="1" x14ac:dyDescent="0.35">
      <c r="A2045" s="22">
        <v>1</v>
      </c>
      <c r="B2045" t="s">
        <v>812</v>
      </c>
      <c r="C2045" t="s">
        <v>802</v>
      </c>
      <c r="D2045" s="11" t="s">
        <v>3194</v>
      </c>
      <c r="E2045" t="s">
        <v>3195</v>
      </c>
      <c r="F2045">
        <v>4001105</v>
      </c>
      <c r="G2045" t="s">
        <v>3196</v>
      </c>
      <c r="H2045" t="s">
        <v>816</v>
      </c>
      <c r="I2045">
        <v>2950.34</v>
      </c>
      <c r="J2045">
        <v>0</v>
      </c>
      <c r="K2045">
        <v>0</v>
      </c>
      <c r="L2045">
        <v>0</v>
      </c>
      <c r="M2045">
        <v>26</v>
      </c>
      <c r="N2045">
        <v>0</v>
      </c>
      <c r="O2045">
        <v>2924.34</v>
      </c>
      <c r="P2045" s="44" t="e">
        <f>_xlfn.XLOOKUP(Tabla5[[#This Row],[EAN CORREGIDO]],'Tabla Articulos'!B:B,'Tabla Articulos'!D:D)</f>
        <v>#N/A</v>
      </c>
      <c r="Q2045" s="44" t="e">
        <f>_xlfn.XLOOKUP(S2045,'Tabla Articulos'!B:B,'Tabla Articulos'!E:E)</f>
        <v>#N/A</v>
      </c>
      <c r="R2045" s="44" t="e">
        <f t="shared" si="62"/>
        <v>#N/A</v>
      </c>
      <c r="S2045" s="45" t="str">
        <f t="shared" si="63"/>
        <v>7790000000598</v>
      </c>
    </row>
    <row r="2046" spans="1:19" hidden="1" x14ac:dyDescent="0.35">
      <c r="A2046" s="22">
        <v>6</v>
      </c>
      <c r="B2046" t="s">
        <v>801</v>
      </c>
      <c r="C2046" t="s">
        <v>802</v>
      </c>
      <c r="D2046"/>
      <c r="E2046" t="s">
        <v>3197</v>
      </c>
      <c r="F2046">
        <v>5004131</v>
      </c>
      <c r="G2046" t="s">
        <v>3198</v>
      </c>
      <c r="H2046" t="s">
        <v>805</v>
      </c>
      <c r="I2046">
        <v>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6</v>
      </c>
      <c r="P2046" s="44" t="e">
        <f>_xlfn.XLOOKUP(Tabla5[[#This Row],[EAN CORREGIDO]],'Tabla Articulos'!B:B,'Tabla Articulos'!D:D)</f>
        <v>#N/A</v>
      </c>
      <c r="Q2046" s="44" t="e">
        <f>_xlfn.XLOOKUP(S2046,'Tabla Articulos'!B:B,'Tabla Articulos'!E:E)</f>
        <v>#N/A</v>
      </c>
      <c r="R2046" s="44" t="e">
        <f t="shared" si="62"/>
        <v>#N/A</v>
      </c>
      <c r="S2046" s="45" t="str">
        <f t="shared" si="63"/>
        <v>BAZ001134</v>
      </c>
    </row>
    <row r="2047" spans="1:19" hidden="1" x14ac:dyDescent="0.35">
      <c r="A2047" s="22">
        <v>6</v>
      </c>
      <c r="B2047" t="s">
        <v>801</v>
      </c>
      <c r="C2047" t="s">
        <v>802</v>
      </c>
      <c r="E2047" t="s">
        <v>3199</v>
      </c>
      <c r="F2047">
        <v>9003237</v>
      </c>
      <c r="G2047" t="s">
        <v>3200</v>
      </c>
      <c r="H2047" t="s">
        <v>805</v>
      </c>
      <c r="I2047">
        <v>18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18</v>
      </c>
      <c r="P2047" s="44" t="e">
        <f>_xlfn.XLOOKUP(Tabla5[[#This Row],[EAN CORREGIDO]],'Tabla Articulos'!B:B,'Tabla Articulos'!D:D)</f>
        <v>#N/A</v>
      </c>
      <c r="Q2047" s="44" t="e">
        <f>_xlfn.XLOOKUP(S2047,'Tabla Articulos'!B:B,'Tabla Articulos'!E:E)</f>
        <v>#N/A</v>
      </c>
      <c r="R2047" s="44" t="e">
        <f t="shared" si="62"/>
        <v>#N/A</v>
      </c>
      <c r="S2047" s="45" t="str">
        <f t="shared" si="63"/>
        <v>UNIF000465</v>
      </c>
    </row>
    <row r="2048" spans="1:19" hidden="1" x14ac:dyDescent="0.35">
      <c r="A2048" s="22">
        <v>5</v>
      </c>
      <c r="B2048" t="s">
        <v>829</v>
      </c>
      <c r="C2048" t="s">
        <v>802</v>
      </c>
      <c r="D2048" t="s">
        <v>3201</v>
      </c>
      <c r="E2048" t="s">
        <v>3202</v>
      </c>
      <c r="F2048">
        <v>4023342</v>
      </c>
      <c r="G2048" t="s">
        <v>3203</v>
      </c>
      <c r="H2048" t="s">
        <v>805</v>
      </c>
      <c r="I2048">
        <v>82856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82856</v>
      </c>
      <c r="P2048" s="44" t="e">
        <f>_xlfn.XLOOKUP(Tabla5[[#This Row],[EAN CORREGIDO]],'Tabla Articulos'!B:B,'Tabla Articulos'!D:D)</f>
        <v>#N/A</v>
      </c>
      <c r="Q2048" s="44" t="e">
        <f>_xlfn.XLOOKUP(S2048,'Tabla Articulos'!B:B,'Tabla Articulos'!E:E)</f>
        <v>#N/A</v>
      </c>
      <c r="R2048" s="44" t="e">
        <f t="shared" si="62"/>
        <v>#N/A</v>
      </c>
      <c r="S2048" s="45" t="str">
        <f t="shared" si="63"/>
        <v>7798016190060</v>
      </c>
    </row>
    <row r="2049" spans="1:19" hidden="1" x14ac:dyDescent="0.35">
      <c r="A2049" s="22">
        <v>1</v>
      </c>
      <c r="B2049" t="s">
        <v>812</v>
      </c>
      <c r="C2049" t="s">
        <v>802</v>
      </c>
      <c r="D2049" s="11" t="s">
        <v>3204</v>
      </c>
      <c r="E2049" t="s">
        <v>3205</v>
      </c>
      <c r="F2049">
        <v>4019847</v>
      </c>
      <c r="G2049" t="s">
        <v>3206</v>
      </c>
      <c r="H2049" t="s">
        <v>805</v>
      </c>
      <c r="I2049">
        <v>48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48</v>
      </c>
      <c r="P2049" s="44" t="e">
        <f>_xlfn.XLOOKUP(Tabla5[[#This Row],[EAN CORREGIDO]],'Tabla Articulos'!B:B,'Tabla Articulos'!D:D)</f>
        <v>#N/A</v>
      </c>
      <c r="Q2049" s="44" t="e">
        <f>_xlfn.XLOOKUP(S2049,'Tabla Articulos'!B:B,'Tabla Articulos'!E:E)</f>
        <v>#N/A</v>
      </c>
      <c r="R2049" s="44" t="e">
        <f t="shared" ref="R2049:R2112" si="64">O2049*Q2049</f>
        <v>#N/A</v>
      </c>
      <c r="S2049" s="45" t="str">
        <f t="shared" ref="S2049:S2112" si="65">TRIM(E2049)</f>
        <v>7790580123437</v>
      </c>
    </row>
    <row r="2050" spans="1:19" hidden="1" x14ac:dyDescent="0.35">
      <c r="A2050" s="22">
        <v>1</v>
      </c>
      <c r="B2050" t="s">
        <v>812</v>
      </c>
      <c r="C2050" t="s">
        <v>802</v>
      </c>
      <c r="D2050" s="11" t="s">
        <v>3207</v>
      </c>
      <c r="E2050" t="s">
        <v>3208</v>
      </c>
      <c r="F2050">
        <v>4017962</v>
      </c>
      <c r="G2050" t="s">
        <v>3209</v>
      </c>
      <c r="H2050" t="s">
        <v>816</v>
      </c>
      <c r="I2050">
        <v>6.64</v>
      </c>
      <c r="J2050">
        <v>0</v>
      </c>
      <c r="K2050">
        <v>0</v>
      </c>
      <c r="L2050">
        <v>0</v>
      </c>
      <c r="M2050">
        <v>0.60799999999999998</v>
      </c>
      <c r="N2050">
        <v>0</v>
      </c>
      <c r="O2050">
        <v>6.032</v>
      </c>
      <c r="P2050" s="44" t="e">
        <f>_xlfn.XLOOKUP(Tabla5[[#This Row],[EAN CORREGIDO]],'Tabla Articulos'!B:B,'Tabla Articulos'!D:D)</f>
        <v>#N/A</v>
      </c>
      <c r="Q2050" s="44" t="e">
        <f>_xlfn.XLOOKUP(S2050,'Tabla Articulos'!B:B,'Tabla Articulos'!E:E)</f>
        <v>#N/A</v>
      </c>
      <c r="R2050" s="44" t="e">
        <f t="shared" si="64"/>
        <v>#N/A</v>
      </c>
      <c r="S2050" s="45" t="str">
        <f t="shared" si="65"/>
        <v>7790216012613</v>
      </c>
    </row>
    <row r="2051" spans="1:19" hidden="1" x14ac:dyDescent="0.35">
      <c r="A2051" s="22">
        <v>6</v>
      </c>
      <c r="B2051" t="s">
        <v>801</v>
      </c>
      <c r="C2051" t="s">
        <v>802</v>
      </c>
      <c r="E2051" t="s">
        <v>3210</v>
      </c>
      <c r="F2051">
        <v>9003094</v>
      </c>
      <c r="G2051" t="s">
        <v>3211</v>
      </c>
      <c r="H2051" t="s">
        <v>805</v>
      </c>
      <c r="I2051">
        <v>19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19</v>
      </c>
      <c r="P2051" s="44" t="e">
        <f>_xlfn.XLOOKUP(Tabla5[[#This Row],[EAN CORREGIDO]],'Tabla Articulos'!B:B,'Tabla Articulos'!D:D)</f>
        <v>#N/A</v>
      </c>
      <c r="Q2051" s="44" t="e">
        <f>_xlfn.XLOOKUP(S2051,'Tabla Articulos'!B:B,'Tabla Articulos'!E:E)</f>
        <v>#N/A</v>
      </c>
      <c r="R2051" s="44" t="e">
        <f t="shared" si="64"/>
        <v>#N/A</v>
      </c>
      <c r="S2051" s="45" t="str">
        <f t="shared" si="65"/>
        <v>UNIF000556</v>
      </c>
    </row>
    <row r="2052" spans="1:19" hidden="1" x14ac:dyDescent="0.35">
      <c r="A2052" s="22">
        <v>6</v>
      </c>
      <c r="B2052" t="s">
        <v>801</v>
      </c>
      <c r="C2052" t="s">
        <v>802</v>
      </c>
      <c r="D2052" s="11" t="s">
        <v>1917</v>
      </c>
      <c r="E2052" t="s">
        <v>1918</v>
      </c>
      <c r="F2052">
        <v>2006716</v>
      </c>
      <c r="G2052" t="s">
        <v>1919</v>
      </c>
      <c r="H2052" t="s">
        <v>805</v>
      </c>
      <c r="I2052">
        <v>472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472</v>
      </c>
      <c r="P2052" s="44" t="e">
        <f>_xlfn.XLOOKUP(Tabla5[[#This Row],[EAN CORREGIDO]],'Tabla Articulos'!B:B,'Tabla Articulos'!D:D)</f>
        <v>#N/A</v>
      </c>
      <c r="Q2052" s="44" t="e">
        <f>_xlfn.XLOOKUP(S2052,'Tabla Articulos'!B:B,'Tabla Articulos'!E:E)</f>
        <v>#N/A</v>
      </c>
      <c r="R2052" s="44" t="e">
        <f t="shared" si="64"/>
        <v>#N/A</v>
      </c>
      <c r="S2052" s="45" t="str">
        <f t="shared" si="65"/>
        <v>7798188650683</v>
      </c>
    </row>
    <row r="2053" spans="1:19" hidden="1" x14ac:dyDescent="0.35">
      <c r="A2053" s="22">
        <v>6</v>
      </c>
      <c r="B2053" t="s">
        <v>801</v>
      </c>
      <c r="C2053" t="s">
        <v>802</v>
      </c>
      <c r="E2053" t="s">
        <v>1920</v>
      </c>
      <c r="F2053">
        <v>9003425</v>
      </c>
      <c r="G2053" t="s">
        <v>1921</v>
      </c>
      <c r="H2053" t="s">
        <v>805</v>
      </c>
      <c r="I2053">
        <v>8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8</v>
      </c>
      <c r="P2053" s="44" t="e">
        <f>_xlfn.XLOOKUP(Tabla5[[#This Row],[EAN CORREGIDO]],'Tabla Articulos'!B:B,'Tabla Articulos'!D:D)</f>
        <v>#N/A</v>
      </c>
      <c r="Q2053" s="44" t="e">
        <f>_xlfn.XLOOKUP(S2053,'Tabla Articulos'!B:B,'Tabla Articulos'!E:E)</f>
        <v>#N/A</v>
      </c>
      <c r="R2053" s="44" t="e">
        <f t="shared" si="64"/>
        <v>#N/A</v>
      </c>
      <c r="S2053" s="45" t="str">
        <f t="shared" si="65"/>
        <v>UNIF000185</v>
      </c>
    </row>
    <row r="2054" spans="1:19" hidden="1" x14ac:dyDescent="0.35">
      <c r="A2054" s="22">
        <v>5</v>
      </c>
      <c r="B2054" t="s">
        <v>829</v>
      </c>
      <c r="C2054" t="s">
        <v>802</v>
      </c>
      <c r="D2054" t="s">
        <v>1577</v>
      </c>
      <c r="E2054" t="s">
        <v>1922</v>
      </c>
      <c r="F2054">
        <v>4020017</v>
      </c>
      <c r="G2054" t="s">
        <v>1923</v>
      </c>
      <c r="H2054" t="s">
        <v>805</v>
      </c>
      <c r="I2054">
        <v>7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7</v>
      </c>
      <c r="P2054" s="44" t="e">
        <f>_xlfn.XLOOKUP(Tabla5[[#This Row],[EAN CORREGIDO]],'Tabla Articulos'!B:B,'Tabla Articulos'!D:D)</f>
        <v>#N/A</v>
      </c>
      <c r="Q2054" s="44" t="e">
        <f>_xlfn.XLOOKUP(S2054,'Tabla Articulos'!B:B,'Tabla Articulos'!E:E)</f>
        <v>#N/A</v>
      </c>
      <c r="R2054" s="44" t="e">
        <f t="shared" si="64"/>
        <v>#N/A</v>
      </c>
      <c r="S2054" s="45" t="str">
        <f t="shared" si="65"/>
        <v>7791990000059</v>
      </c>
    </row>
    <row r="2055" spans="1:19" hidden="1" x14ac:dyDescent="0.35">
      <c r="A2055" s="22">
        <v>5</v>
      </c>
      <c r="B2055" t="s">
        <v>829</v>
      </c>
      <c r="C2055" t="s">
        <v>802</v>
      </c>
      <c r="D2055" t="s">
        <v>1924</v>
      </c>
      <c r="E2055" t="s">
        <v>1925</v>
      </c>
      <c r="F2055">
        <v>4022176</v>
      </c>
      <c r="G2055" t="s">
        <v>1926</v>
      </c>
      <c r="H2055" t="s">
        <v>805</v>
      </c>
      <c r="I2055">
        <v>20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20</v>
      </c>
      <c r="P2055" s="44" t="e">
        <f>_xlfn.XLOOKUP(Tabla5[[#This Row],[EAN CORREGIDO]],'Tabla Articulos'!B:B,'Tabla Articulos'!D:D)</f>
        <v>#N/A</v>
      </c>
      <c r="Q2055" s="44" t="e">
        <f>_xlfn.XLOOKUP(S2055,'Tabla Articulos'!B:B,'Tabla Articulos'!E:E)</f>
        <v>#N/A</v>
      </c>
      <c r="R2055" s="44" t="e">
        <f t="shared" si="64"/>
        <v>#N/A</v>
      </c>
      <c r="S2055" s="45" t="str">
        <f t="shared" si="65"/>
        <v>7798011977383</v>
      </c>
    </row>
    <row r="2056" spans="1:19" hidden="1" x14ac:dyDescent="0.35">
      <c r="A2056" s="22">
        <v>1</v>
      </c>
      <c r="B2056" t="s">
        <v>812</v>
      </c>
      <c r="C2056" t="s">
        <v>802</v>
      </c>
      <c r="D2056" t="s">
        <v>1924</v>
      </c>
      <c r="E2056" t="s">
        <v>1925</v>
      </c>
      <c r="F2056">
        <v>4022176</v>
      </c>
      <c r="G2056" t="s">
        <v>1926</v>
      </c>
      <c r="H2056" t="s">
        <v>805</v>
      </c>
      <c r="I2056">
        <v>5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5</v>
      </c>
      <c r="P2056" s="44" t="e">
        <f>_xlfn.XLOOKUP(Tabla5[[#This Row],[EAN CORREGIDO]],'Tabla Articulos'!B:B,'Tabla Articulos'!D:D)</f>
        <v>#N/A</v>
      </c>
      <c r="Q2056" s="44" t="e">
        <f>_xlfn.XLOOKUP(S2056,'Tabla Articulos'!B:B,'Tabla Articulos'!E:E)</f>
        <v>#N/A</v>
      </c>
      <c r="R2056" s="44" t="e">
        <f t="shared" si="64"/>
        <v>#N/A</v>
      </c>
      <c r="S2056" s="45" t="str">
        <f t="shared" si="65"/>
        <v>7798011977383</v>
      </c>
    </row>
    <row r="2057" spans="1:19" hidden="1" x14ac:dyDescent="0.35">
      <c r="A2057" s="22">
        <v>6</v>
      </c>
      <c r="B2057" t="s">
        <v>801</v>
      </c>
      <c r="C2057" t="s">
        <v>802</v>
      </c>
      <c r="D2057" t="s">
        <v>1323</v>
      </c>
      <c r="E2057" t="s">
        <v>3146</v>
      </c>
      <c r="F2057">
        <v>2007330</v>
      </c>
      <c r="G2057" t="s">
        <v>3147</v>
      </c>
      <c r="H2057" t="s">
        <v>805</v>
      </c>
      <c r="I2057">
        <v>6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6</v>
      </c>
      <c r="P2057" s="44" t="e">
        <f>_xlfn.XLOOKUP(Tabla5[[#This Row],[EAN CORREGIDO]],'Tabla Articulos'!B:B,'Tabla Articulos'!D:D)</f>
        <v>#N/A</v>
      </c>
      <c r="Q2057" s="44" t="e">
        <f>_xlfn.XLOOKUP(S2057,'Tabla Articulos'!B:B,'Tabla Articulos'!E:E)</f>
        <v>#N/A</v>
      </c>
      <c r="R2057" s="44" t="e">
        <f t="shared" si="64"/>
        <v>#N/A</v>
      </c>
      <c r="S2057" s="45" t="str">
        <f t="shared" si="65"/>
        <v>7790139101039</v>
      </c>
    </row>
    <row r="2058" spans="1:19" hidden="1" x14ac:dyDescent="0.35">
      <c r="A2058" s="22">
        <v>6</v>
      </c>
      <c r="B2058" t="s">
        <v>801</v>
      </c>
      <c r="C2058" t="s">
        <v>802</v>
      </c>
      <c r="D2058" t="s">
        <v>2600</v>
      </c>
      <c r="E2058" t="s">
        <v>3148</v>
      </c>
      <c r="F2058">
        <v>2007495</v>
      </c>
      <c r="G2058" t="s">
        <v>3149</v>
      </c>
      <c r="H2058" t="s">
        <v>805</v>
      </c>
      <c r="I2058">
        <v>155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155</v>
      </c>
      <c r="P2058" s="44" t="e">
        <f>_xlfn.XLOOKUP(Tabla5[[#This Row],[EAN CORREGIDO]],'Tabla Articulos'!B:B,'Tabla Articulos'!D:D)</f>
        <v>#N/A</v>
      </c>
      <c r="Q2058" s="44" t="e">
        <f>_xlfn.XLOOKUP(S2058,'Tabla Articulos'!B:B,'Tabla Articulos'!E:E)</f>
        <v>#N/A</v>
      </c>
      <c r="R2058" s="44" t="e">
        <f t="shared" si="64"/>
        <v>#N/A</v>
      </c>
      <c r="S2058" s="45" t="str">
        <f t="shared" si="65"/>
        <v>7790000000469</v>
      </c>
    </row>
    <row r="2059" spans="1:19" hidden="1" x14ac:dyDescent="0.35">
      <c r="A2059" s="22">
        <v>6</v>
      </c>
      <c r="B2059" t="s">
        <v>801</v>
      </c>
      <c r="C2059" t="s">
        <v>802</v>
      </c>
      <c r="D2059" t="s">
        <v>1388</v>
      </c>
      <c r="E2059" t="s">
        <v>3150</v>
      </c>
      <c r="F2059">
        <v>2006144</v>
      </c>
      <c r="G2059" t="s">
        <v>3151</v>
      </c>
      <c r="H2059" t="s">
        <v>805</v>
      </c>
      <c r="I2059">
        <v>2257</v>
      </c>
      <c r="J2059">
        <v>0</v>
      </c>
      <c r="K2059">
        <v>0</v>
      </c>
      <c r="L2059">
        <v>0</v>
      </c>
      <c r="M2059">
        <v>6</v>
      </c>
      <c r="N2059">
        <v>0</v>
      </c>
      <c r="O2059">
        <v>2251</v>
      </c>
      <c r="P2059" s="44" t="e">
        <f>_xlfn.XLOOKUP(Tabla5[[#This Row],[EAN CORREGIDO]],'Tabla Articulos'!B:B,'Tabla Articulos'!D:D)</f>
        <v>#N/A</v>
      </c>
      <c r="Q2059" s="44" t="e">
        <f>_xlfn.XLOOKUP(S2059,'Tabla Articulos'!B:B,'Tabla Articulos'!E:E)</f>
        <v>#N/A</v>
      </c>
      <c r="R2059" s="44" t="e">
        <f t="shared" si="64"/>
        <v>#N/A</v>
      </c>
      <c r="S2059" s="45" t="str">
        <f t="shared" si="65"/>
        <v>LIM000110</v>
      </c>
    </row>
    <row r="2060" spans="1:19" hidden="1" x14ac:dyDescent="0.35">
      <c r="A2060" s="22">
        <v>6</v>
      </c>
      <c r="B2060" t="s">
        <v>801</v>
      </c>
      <c r="C2060" t="s">
        <v>802</v>
      </c>
      <c r="D2060"/>
      <c r="E2060" t="s">
        <v>1293</v>
      </c>
      <c r="F2060">
        <v>9003158</v>
      </c>
      <c r="G2060" t="s">
        <v>1294</v>
      </c>
      <c r="H2060" t="s">
        <v>805</v>
      </c>
      <c r="I2060">
        <v>28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28</v>
      </c>
      <c r="P2060" s="44" t="e">
        <f>_xlfn.XLOOKUP(Tabla5[[#This Row],[EAN CORREGIDO]],'Tabla Articulos'!B:B,'Tabla Articulos'!D:D)</f>
        <v>#N/A</v>
      </c>
      <c r="Q2060" s="44" t="e">
        <f>_xlfn.XLOOKUP(S2060,'Tabla Articulos'!B:B,'Tabla Articulos'!E:E)</f>
        <v>#N/A</v>
      </c>
      <c r="R2060" s="44" t="e">
        <f t="shared" si="64"/>
        <v>#N/A</v>
      </c>
      <c r="S2060" s="45" t="str">
        <f t="shared" si="65"/>
        <v>UNIF000620</v>
      </c>
    </row>
    <row r="2061" spans="1:19" hidden="1" x14ac:dyDescent="0.35">
      <c r="A2061" s="22">
        <v>6</v>
      </c>
      <c r="B2061" t="s">
        <v>801</v>
      </c>
      <c r="C2061" t="s">
        <v>802</v>
      </c>
      <c r="E2061" t="s">
        <v>1904</v>
      </c>
      <c r="F2061">
        <v>9003531</v>
      </c>
      <c r="G2061" t="s">
        <v>1905</v>
      </c>
      <c r="H2061" t="s">
        <v>805</v>
      </c>
      <c r="I2061">
        <v>3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3</v>
      </c>
      <c r="P2061" s="44" t="e">
        <f>_xlfn.XLOOKUP(Tabla5[[#This Row],[EAN CORREGIDO]],'Tabla Articulos'!B:B,'Tabla Articulos'!D:D)</f>
        <v>#N/A</v>
      </c>
      <c r="Q2061" s="44" t="e">
        <f>_xlfn.XLOOKUP(S2061,'Tabla Articulos'!B:B,'Tabla Articulos'!E:E)</f>
        <v>#N/A</v>
      </c>
      <c r="R2061" s="44" t="e">
        <f t="shared" si="64"/>
        <v>#N/A</v>
      </c>
      <c r="S2061" s="45" t="str">
        <f t="shared" si="65"/>
        <v>UNIF000358</v>
      </c>
    </row>
    <row r="2062" spans="1:19" hidden="1" x14ac:dyDescent="0.35">
      <c r="A2062" s="22">
        <v>5</v>
      </c>
      <c r="B2062" t="s">
        <v>829</v>
      </c>
      <c r="C2062" t="s">
        <v>802</v>
      </c>
      <c r="D2062" t="s">
        <v>1681</v>
      </c>
      <c r="E2062" t="s">
        <v>1906</v>
      </c>
      <c r="F2062">
        <v>4019880</v>
      </c>
      <c r="G2062" t="s">
        <v>1907</v>
      </c>
      <c r="H2062" t="s">
        <v>805</v>
      </c>
      <c r="I2062">
        <v>2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2</v>
      </c>
      <c r="P2062" s="44" t="e">
        <f>_xlfn.XLOOKUP(Tabla5[[#This Row],[EAN CORREGIDO]],'Tabla Articulos'!B:B,'Tabla Articulos'!D:D)</f>
        <v>#N/A</v>
      </c>
      <c r="Q2062" s="44" t="e">
        <f>_xlfn.XLOOKUP(S2062,'Tabla Articulos'!B:B,'Tabla Articulos'!E:E)</f>
        <v>#N/A</v>
      </c>
      <c r="R2062" s="44" t="e">
        <f t="shared" si="64"/>
        <v>#N/A</v>
      </c>
      <c r="S2062" s="45" t="str">
        <f t="shared" si="65"/>
        <v>7790566000264</v>
      </c>
    </row>
    <row r="2063" spans="1:19" hidden="1" x14ac:dyDescent="0.35">
      <c r="A2063" s="22">
        <v>1</v>
      </c>
      <c r="B2063" t="s">
        <v>812</v>
      </c>
      <c r="C2063" t="s">
        <v>802</v>
      </c>
      <c r="D2063" t="s">
        <v>1681</v>
      </c>
      <c r="E2063" t="s">
        <v>1906</v>
      </c>
      <c r="F2063">
        <v>4019880</v>
      </c>
      <c r="G2063" t="s">
        <v>1907</v>
      </c>
      <c r="H2063" t="s">
        <v>805</v>
      </c>
      <c r="I2063">
        <v>38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38</v>
      </c>
      <c r="P2063" s="44" t="e">
        <f>_xlfn.XLOOKUP(Tabla5[[#This Row],[EAN CORREGIDO]],'Tabla Articulos'!B:B,'Tabla Articulos'!D:D)</f>
        <v>#N/A</v>
      </c>
      <c r="Q2063" s="44" t="e">
        <f>_xlfn.XLOOKUP(S2063,'Tabla Articulos'!B:B,'Tabla Articulos'!E:E)</f>
        <v>#N/A</v>
      </c>
      <c r="R2063" s="44" t="e">
        <f t="shared" si="64"/>
        <v>#N/A</v>
      </c>
      <c r="S2063" s="45" t="str">
        <f t="shared" si="65"/>
        <v>7790566000264</v>
      </c>
    </row>
    <row r="2064" spans="1:19" hidden="1" x14ac:dyDescent="0.35">
      <c r="A2064" s="22">
        <v>6</v>
      </c>
      <c r="B2064" t="s">
        <v>801</v>
      </c>
      <c r="C2064" t="s">
        <v>802</v>
      </c>
      <c r="D2064"/>
      <c r="E2064" t="s">
        <v>1908</v>
      </c>
      <c r="F2064">
        <v>9003671</v>
      </c>
      <c r="G2064" t="s">
        <v>1909</v>
      </c>
      <c r="H2064" t="s">
        <v>805</v>
      </c>
      <c r="I2064">
        <v>9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9</v>
      </c>
      <c r="P2064" s="44" t="e">
        <f>_xlfn.XLOOKUP(Tabla5[[#This Row],[EAN CORREGIDO]],'Tabla Articulos'!B:B,'Tabla Articulos'!D:D)</f>
        <v>#N/A</v>
      </c>
      <c r="Q2064" s="44" t="e">
        <f>_xlfn.XLOOKUP(S2064,'Tabla Articulos'!B:B,'Tabla Articulos'!E:E)</f>
        <v>#N/A</v>
      </c>
      <c r="R2064" s="44" t="e">
        <f t="shared" si="64"/>
        <v>#N/A</v>
      </c>
      <c r="S2064" s="45" t="str">
        <f t="shared" si="65"/>
        <v>UNIF000294</v>
      </c>
    </row>
    <row r="2065" spans="1:19" hidden="1" x14ac:dyDescent="0.35">
      <c r="A2065" s="22">
        <v>1</v>
      </c>
      <c r="B2065" t="s">
        <v>812</v>
      </c>
      <c r="C2065" t="s">
        <v>802</v>
      </c>
      <c r="D2065" s="11" t="s">
        <v>1769</v>
      </c>
      <c r="E2065" t="s">
        <v>1910</v>
      </c>
      <c r="F2065" s="11">
        <v>4024267</v>
      </c>
      <c r="G2065" t="s">
        <v>1911</v>
      </c>
      <c r="H2065" t="s">
        <v>805</v>
      </c>
      <c r="I2065">
        <v>57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57</v>
      </c>
      <c r="P2065" s="44" t="e">
        <f>_xlfn.XLOOKUP(Tabla5[[#This Row],[EAN CORREGIDO]],'Tabla Articulos'!B:B,'Tabla Articulos'!D:D)</f>
        <v>#N/A</v>
      </c>
      <c r="Q2065" s="44" t="e">
        <f>_xlfn.XLOOKUP(S2065,'Tabla Articulos'!B:B,'Tabla Articulos'!E:E)</f>
        <v>#N/A</v>
      </c>
      <c r="R2065" s="44" t="e">
        <f t="shared" si="64"/>
        <v>#N/A</v>
      </c>
      <c r="S2065" s="45" t="str">
        <f t="shared" si="65"/>
        <v>7790580132422</v>
      </c>
    </row>
    <row r="2066" spans="1:19" hidden="1" x14ac:dyDescent="0.35">
      <c r="A2066" s="22">
        <v>5</v>
      </c>
      <c r="B2066" t="s">
        <v>829</v>
      </c>
      <c r="C2066" t="s">
        <v>802</v>
      </c>
      <c r="D2066" s="11" t="s">
        <v>1769</v>
      </c>
      <c r="E2066" t="s">
        <v>1910</v>
      </c>
      <c r="F2066" s="11">
        <v>4024267</v>
      </c>
      <c r="G2066" t="s">
        <v>1911</v>
      </c>
      <c r="H2066" t="s">
        <v>805</v>
      </c>
      <c r="I2066">
        <v>16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16</v>
      </c>
      <c r="P2066" s="44" t="e">
        <f>_xlfn.XLOOKUP(Tabla5[[#This Row],[EAN CORREGIDO]],'Tabla Articulos'!B:B,'Tabla Articulos'!D:D)</f>
        <v>#N/A</v>
      </c>
      <c r="Q2066" s="44" t="e">
        <f>_xlfn.XLOOKUP(S2066,'Tabla Articulos'!B:B,'Tabla Articulos'!E:E)</f>
        <v>#N/A</v>
      </c>
      <c r="R2066" s="44" t="e">
        <f t="shared" si="64"/>
        <v>#N/A</v>
      </c>
      <c r="S2066" s="45" t="str">
        <f t="shared" si="65"/>
        <v>7790580132422</v>
      </c>
    </row>
    <row r="2067" spans="1:19" hidden="1" x14ac:dyDescent="0.35">
      <c r="A2067" s="22">
        <v>1</v>
      </c>
      <c r="B2067" t="s">
        <v>812</v>
      </c>
      <c r="C2067" t="s">
        <v>802</v>
      </c>
      <c r="D2067" s="11" t="s">
        <v>1912</v>
      </c>
      <c r="E2067" t="s">
        <v>1913</v>
      </c>
      <c r="F2067" s="11">
        <v>4076622</v>
      </c>
      <c r="G2067" t="s">
        <v>1914</v>
      </c>
      <c r="H2067" t="s">
        <v>805</v>
      </c>
      <c r="I2067">
        <v>20</v>
      </c>
      <c r="J2067">
        <v>12</v>
      </c>
      <c r="K2067">
        <v>12</v>
      </c>
      <c r="L2067">
        <v>0</v>
      </c>
      <c r="M2067">
        <v>0</v>
      </c>
      <c r="N2067">
        <v>0</v>
      </c>
      <c r="O2067">
        <v>20</v>
      </c>
      <c r="P2067" s="44" t="e">
        <f>_xlfn.XLOOKUP(Tabla5[[#This Row],[EAN CORREGIDO]],'Tabla Articulos'!B:B,'Tabla Articulos'!D:D)</f>
        <v>#N/A</v>
      </c>
      <c r="Q2067" s="44" t="e">
        <f>_xlfn.XLOOKUP(S2067,'Tabla Articulos'!B:B,'Tabla Articulos'!E:E)</f>
        <v>#N/A</v>
      </c>
      <c r="R2067" s="44" t="e">
        <f t="shared" si="64"/>
        <v>#N/A</v>
      </c>
      <c r="S2067" s="45" t="str">
        <f t="shared" si="65"/>
        <v>7798094229881</v>
      </c>
    </row>
    <row r="2068" spans="1:19" hidden="1" x14ac:dyDescent="0.35">
      <c r="A2068" s="22">
        <v>6</v>
      </c>
      <c r="B2068" t="s">
        <v>801</v>
      </c>
      <c r="C2068" t="s">
        <v>802</v>
      </c>
      <c r="E2068" t="s">
        <v>1915</v>
      </c>
      <c r="F2068" s="11">
        <v>9003292</v>
      </c>
      <c r="G2068" t="s">
        <v>1916</v>
      </c>
      <c r="H2068" t="s">
        <v>805</v>
      </c>
      <c r="I2068">
        <v>40</v>
      </c>
      <c r="J2068">
        <v>30</v>
      </c>
      <c r="K2068">
        <v>0</v>
      </c>
      <c r="L2068">
        <v>0</v>
      </c>
      <c r="M2068">
        <v>0</v>
      </c>
      <c r="N2068">
        <v>0</v>
      </c>
      <c r="O2068">
        <v>70</v>
      </c>
      <c r="P2068" s="44" t="e">
        <f>_xlfn.XLOOKUP(Tabla5[[#This Row],[EAN CORREGIDO]],'Tabla Articulos'!B:B,'Tabla Articulos'!D:D)</f>
        <v>#N/A</v>
      </c>
      <c r="Q2068" s="44" t="e">
        <f>_xlfn.XLOOKUP(S2068,'Tabla Articulos'!B:B,'Tabla Articulos'!E:E)</f>
        <v>#N/A</v>
      </c>
      <c r="R2068" s="44" t="e">
        <f t="shared" si="64"/>
        <v>#N/A</v>
      </c>
      <c r="S2068" s="45" t="str">
        <f t="shared" si="65"/>
        <v>UNIF000039</v>
      </c>
    </row>
    <row r="2069" spans="1:19" hidden="1" x14ac:dyDescent="0.35">
      <c r="A2069" s="22">
        <v>5</v>
      </c>
      <c r="B2069" t="s">
        <v>829</v>
      </c>
      <c r="C2069" t="s">
        <v>802</v>
      </c>
      <c r="D2069" s="11" t="s">
        <v>3129</v>
      </c>
      <c r="E2069" t="s">
        <v>3130</v>
      </c>
      <c r="F2069" s="11">
        <v>4017305</v>
      </c>
      <c r="G2069" t="s">
        <v>3131</v>
      </c>
      <c r="H2069" t="s">
        <v>805</v>
      </c>
      <c r="I2069">
        <v>79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79</v>
      </c>
      <c r="P2069" s="44" t="e">
        <f>_xlfn.XLOOKUP(Tabla5[[#This Row],[EAN CORREGIDO]],'Tabla Articulos'!B:B,'Tabla Articulos'!D:D)</f>
        <v>#N/A</v>
      </c>
      <c r="Q2069" s="44" t="e">
        <f>_xlfn.XLOOKUP(S2069,'Tabla Articulos'!B:B,'Tabla Articulos'!E:E)</f>
        <v>#N/A</v>
      </c>
      <c r="R2069" s="44" t="e">
        <f t="shared" si="64"/>
        <v>#N/A</v>
      </c>
      <c r="S2069" s="45" t="str">
        <f t="shared" si="65"/>
        <v>7790154000027</v>
      </c>
    </row>
    <row r="2070" spans="1:19" hidden="1" x14ac:dyDescent="0.35">
      <c r="A2070" s="22">
        <v>1</v>
      </c>
      <c r="B2070" t="s">
        <v>812</v>
      </c>
      <c r="C2070" t="s">
        <v>802</v>
      </c>
      <c r="D2070" s="11" t="s">
        <v>3132</v>
      </c>
      <c r="E2070" t="s">
        <v>3133</v>
      </c>
      <c r="F2070" s="11">
        <v>4077191</v>
      </c>
      <c r="G2070" t="s">
        <v>3134</v>
      </c>
      <c r="H2070" t="s">
        <v>805</v>
      </c>
      <c r="I2070">
        <v>1629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1629</v>
      </c>
      <c r="P2070" s="44" t="e">
        <f>_xlfn.XLOOKUP(Tabla5[[#This Row],[EAN CORREGIDO]],'Tabla Articulos'!B:B,'Tabla Articulos'!D:D)</f>
        <v>#N/A</v>
      </c>
      <c r="Q2070" s="44" t="e">
        <f>_xlfn.XLOOKUP(S2070,'Tabla Articulos'!B:B,'Tabla Articulos'!E:E)</f>
        <v>#N/A</v>
      </c>
      <c r="R2070" s="44" t="e">
        <f t="shared" si="64"/>
        <v>#N/A</v>
      </c>
      <c r="S2070" s="45" t="str">
        <f t="shared" si="65"/>
        <v>7795933101186</v>
      </c>
    </row>
    <row r="2071" spans="1:19" hidden="1" x14ac:dyDescent="0.35">
      <c r="A2071" s="22">
        <v>5</v>
      </c>
      <c r="B2071" t="s">
        <v>829</v>
      </c>
      <c r="C2071" t="s">
        <v>802</v>
      </c>
      <c r="D2071" s="11" t="s">
        <v>3132</v>
      </c>
      <c r="E2071" t="s">
        <v>3133</v>
      </c>
      <c r="F2071" s="11">
        <v>4077191</v>
      </c>
      <c r="G2071" t="s">
        <v>3134</v>
      </c>
      <c r="H2071" t="s">
        <v>805</v>
      </c>
      <c r="I2071">
        <v>7127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7127</v>
      </c>
      <c r="P2071" s="44" t="e">
        <f>_xlfn.XLOOKUP(Tabla5[[#This Row],[EAN CORREGIDO]],'Tabla Articulos'!B:B,'Tabla Articulos'!D:D)</f>
        <v>#N/A</v>
      </c>
      <c r="Q2071" s="44" t="e">
        <f>_xlfn.XLOOKUP(S2071,'Tabla Articulos'!B:B,'Tabla Articulos'!E:E)</f>
        <v>#N/A</v>
      </c>
      <c r="R2071" s="44" t="e">
        <f t="shared" si="64"/>
        <v>#N/A</v>
      </c>
      <c r="S2071" s="45" t="str">
        <f t="shared" si="65"/>
        <v>7795933101186</v>
      </c>
    </row>
    <row r="2072" spans="1:19" hidden="1" x14ac:dyDescent="0.35">
      <c r="A2072" s="22">
        <v>1</v>
      </c>
      <c r="B2072" t="s">
        <v>812</v>
      </c>
      <c r="C2072" t="s">
        <v>802</v>
      </c>
      <c r="D2072" s="11" t="s">
        <v>896</v>
      </c>
      <c r="E2072" t="s">
        <v>3135</v>
      </c>
      <c r="F2072" s="11">
        <v>4019939</v>
      </c>
      <c r="G2072" t="s">
        <v>3136</v>
      </c>
      <c r="H2072" t="s">
        <v>805</v>
      </c>
      <c r="I2072">
        <v>5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5</v>
      </c>
      <c r="P2072" s="44" t="e">
        <f>_xlfn.XLOOKUP(Tabla5[[#This Row],[EAN CORREGIDO]],'Tabla Articulos'!B:B,'Tabla Articulos'!D:D)</f>
        <v>#N/A</v>
      </c>
      <c r="Q2072" s="44" t="e">
        <f>_xlfn.XLOOKUP(S2072,'Tabla Articulos'!B:B,'Tabla Articulos'!E:E)</f>
        <v>#N/A</v>
      </c>
      <c r="R2072" s="44" t="e">
        <f t="shared" si="64"/>
        <v>#N/A</v>
      </c>
      <c r="S2072" s="45" t="str">
        <f t="shared" si="65"/>
        <v>7791113001598</v>
      </c>
    </row>
    <row r="2073" spans="1:19" hidden="1" x14ac:dyDescent="0.35">
      <c r="A2073" s="22">
        <v>6</v>
      </c>
      <c r="B2073" t="s">
        <v>801</v>
      </c>
      <c r="C2073" t="s">
        <v>802</v>
      </c>
      <c r="E2073" t="s">
        <v>3137</v>
      </c>
      <c r="F2073" s="11">
        <v>9003735</v>
      </c>
      <c r="G2073" t="s">
        <v>3138</v>
      </c>
      <c r="H2073" t="s">
        <v>805</v>
      </c>
      <c r="I2073">
        <v>5838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5838</v>
      </c>
      <c r="P2073" s="44" t="e">
        <f>_xlfn.XLOOKUP(Tabla5[[#This Row],[EAN CORREGIDO]],'Tabla Articulos'!B:B,'Tabla Articulos'!D:D)</f>
        <v>#N/A</v>
      </c>
      <c r="Q2073" s="44" t="e">
        <f>_xlfn.XLOOKUP(S2073,'Tabla Articulos'!B:B,'Tabla Articulos'!E:E)</f>
        <v>#N/A</v>
      </c>
      <c r="R2073" s="44" t="e">
        <f t="shared" si="64"/>
        <v>#N/A</v>
      </c>
      <c r="S2073" s="45" t="str">
        <f t="shared" si="65"/>
        <v>BAZ001162</v>
      </c>
    </row>
    <row r="2074" spans="1:19" hidden="1" x14ac:dyDescent="0.35">
      <c r="A2074" s="22">
        <v>1</v>
      </c>
      <c r="B2074" t="s">
        <v>812</v>
      </c>
      <c r="C2074" t="s">
        <v>802</v>
      </c>
      <c r="D2074" s="11" t="s">
        <v>3087</v>
      </c>
      <c r="E2074" t="s">
        <v>3139</v>
      </c>
      <c r="F2074" s="11">
        <v>4017743</v>
      </c>
      <c r="G2074" t="s">
        <v>3140</v>
      </c>
      <c r="H2074" t="s">
        <v>816</v>
      </c>
      <c r="I2074">
        <v>10137.57</v>
      </c>
      <c r="J2074">
        <v>5651.82</v>
      </c>
      <c r="K2074">
        <v>5651.82</v>
      </c>
      <c r="L2074">
        <v>0</v>
      </c>
      <c r="M2074">
        <v>647.66999999999996</v>
      </c>
      <c r="N2074">
        <v>0</v>
      </c>
      <c r="O2074">
        <v>9489.9</v>
      </c>
      <c r="P2074" s="44" t="e">
        <f>_xlfn.XLOOKUP(Tabla5[[#This Row],[EAN CORREGIDO]],'Tabla Articulos'!B:B,'Tabla Articulos'!D:D)</f>
        <v>#N/A</v>
      </c>
      <c r="Q2074" s="44" t="e">
        <f>_xlfn.XLOOKUP(S2074,'Tabla Articulos'!B:B,'Tabla Articulos'!E:E)</f>
        <v>#N/A</v>
      </c>
      <c r="R2074" s="44" t="e">
        <f t="shared" si="64"/>
        <v>#N/A</v>
      </c>
      <c r="S2074" s="45" t="str">
        <f t="shared" si="65"/>
        <v>7790212030042</v>
      </c>
    </row>
    <row r="2075" spans="1:19" hidden="1" x14ac:dyDescent="0.35">
      <c r="A2075" s="22">
        <v>6</v>
      </c>
      <c r="B2075" t="s">
        <v>801</v>
      </c>
      <c r="C2075" t="s">
        <v>802</v>
      </c>
      <c r="D2075" t="s">
        <v>2101</v>
      </c>
      <c r="E2075" t="s">
        <v>3141</v>
      </c>
      <c r="F2075">
        <v>2011470</v>
      </c>
      <c r="G2075" t="s">
        <v>3142</v>
      </c>
      <c r="H2075" t="s">
        <v>805</v>
      </c>
      <c r="I2075">
        <v>774</v>
      </c>
      <c r="J2075">
        <v>164</v>
      </c>
      <c r="K2075">
        <v>0</v>
      </c>
      <c r="L2075">
        <v>0</v>
      </c>
      <c r="M2075">
        <v>0</v>
      </c>
      <c r="N2075">
        <v>0</v>
      </c>
      <c r="O2075">
        <v>938</v>
      </c>
      <c r="P2075" s="44" t="e">
        <f>_xlfn.XLOOKUP(Tabla5[[#This Row],[EAN CORREGIDO]],'Tabla Articulos'!B:B,'Tabla Articulos'!D:D)</f>
        <v>#N/A</v>
      </c>
      <c r="Q2075" s="44" t="e">
        <f>_xlfn.XLOOKUP(S2075,'Tabla Articulos'!B:B,'Tabla Articulos'!E:E)</f>
        <v>#N/A</v>
      </c>
      <c r="R2075" s="44" t="e">
        <f t="shared" si="64"/>
        <v>#N/A</v>
      </c>
      <c r="S2075" s="45" t="str">
        <f t="shared" si="65"/>
        <v>7798152430297</v>
      </c>
    </row>
    <row r="2076" spans="1:19" hidden="1" x14ac:dyDescent="0.35">
      <c r="A2076" s="22">
        <v>1</v>
      </c>
      <c r="B2076" t="s">
        <v>812</v>
      </c>
      <c r="C2076" t="s">
        <v>802</v>
      </c>
      <c r="D2076" t="s">
        <v>3143</v>
      </c>
      <c r="E2076" t="s">
        <v>3144</v>
      </c>
      <c r="F2076">
        <v>4017565</v>
      </c>
      <c r="G2076" t="s">
        <v>3145</v>
      </c>
      <c r="H2076" t="s">
        <v>805</v>
      </c>
      <c r="I2076">
        <v>3345</v>
      </c>
      <c r="J2076">
        <v>0</v>
      </c>
      <c r="K2076">
        <v>0</v>
      </c>
      <c r="L2076">
        <v>0</v>
      </c>
      <c r="M2076">
        <v>4</v>
      </c>
      <c r="N2076">
        <v>0</v>
      </c>
      <c r="O2076">
        <v>3341</v>
      </c>
      <c r="P2076" s="44" t="e">
        <f>_xlfn.XLOOKUP(Tabla5[[#This Row],[EAN CORREGIDO]],'Tabla Articulos'!B:B,'Tabla Articulos'!D:D)</f>
        <v>#N/A</v>
      </c>
      <c r="Q2076" s="44" t="e">
        <f>_xlfn.XLOOKUP(S2076,'Tabla Articulos'!B:B,'Tabla Articulos'!E:E)</f>
        <v>#N/A</v>
      </c>
      <c r="R2076" s="44" t="e">
        <f t="shared" si="64"/>
        <v>#N/A</v>
      </c>
      <c r="S2076" s="45" t="str">
        <f t="shared" si="65"/>
        <v>7790212030086</v>
      </c>
    </row>
    <row r="2077" spans="1:19" hidden="1" x14ac:dyDescent="0.35">
      <c r="A2077" s="22">
        <v>6</v>
      </c>
      <c r="B2077" t="s">
        <v>801</v>
      </c>
      <c r="C2077" t="s">
        <v>802</v>
      </c>
      <c r="D2077"/>
      <c r="E2077" t="s">
        <v>1927</v>
      </c>
      <c r="F2077">
        <v>9003666</v>
      </c>
      <c r="G2077" t="s">
        <v>1928</v>
      </c>
      <c r="H2077" t="s">
        <v>805</v>
      </c>
      <c r="I2077">
        <v>19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19</v>
      </c>
      <c r="P2077" s="44" t="e">
        <f>_xlfn.XLOOKUP(Tabla5[[#This Row],[EAN CORREGIDO]],'Tabla Articulos'!B:B,'Tabla Articulos'!D:D)</f>
        <v>#N/A</v>
      </c>
      <c r="Q2077" s="44" t="e">
        <f>_xlfn.XLOOKUP(S2077,'Tabla Articulos'!B:B,'Tabla Articulos'!E:E)</f>
        <v>#N/A</v>
      </c>
      <c r="R2077" s="44" t="e">
        <f t="shared" si="64"/>
        <v>#N/A</v>
      </c>
      <c r="S2077" s="45" t="str">
        <f t="shared" si="65"/>
        <v>UNIF000289</v>
      </c>
    </row>
    <row r="2078" spans="1:19" hidden="1" x14ac:dyDescent="0.35">
      <c r="A2078" s="22">
        <v>6</v>
      </c>
      <c r="B2078" t="s">
        <v>801</v>
      </c>
      <c r="C2078" t="s">
        <v>802</v>
      </c>
      <c r="D2078" s="11" t="s">
        <v>230</v>
      </c>
      <c r="E2078" t="s">
        <v>1929</v>
      </c>
      <c r="F2078">
        <v>2006671</v>
      </c>
      <c r="G2078" t="s">
        <v>1930</v>
      </c>
      <c r="H2078" t="s">
        <v>805</v>
      </c>
      <c r="I2078">
        <v>50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50</v>
      </c>
      <c r="P2078" s="44" t="str">
        <f>_xlfn.XLOOKUP(Tabla5[[#This Row],[EAN CORREGIDO]],'Tabla Articulos'!B:B,'Tabla Articulos'!D:D)</f>
        <v>CAJA PIZZA GRANDE</v>
      </c>
      <c r="Q2078" s="44">
        <f>_xlfn.XLOOKUP(S2078,'Tabla Articulos'!B:B,'Tabla Articulos'!E:E)</f>
        <v>1</v>
      </c>
      <c r="R2078" s="44">
        <f t="shared" si="64"/>
        <v>50</v>
      </c>
      <c r="S2078" s="45" t="str">
        <f t="shared" si="65"/>
        <v>16032005A</v>
      </c>
    </row>
    <row r="2079" spans="1:19" hidden="1" x14ac:dyDescent="0.35">
      <c r="A2079" s="22">
        <v>6</v>
      </c>
      <c r="B2079" t="s">
        <v>801</v>
      </c>
      <c r="C2079" t="s">
        <v>802</v>
      </c>
      <c r="D2079" s="11" t="s">
        <v>1931</v>
      </c>
      <c r="E2079" t="s">
        <v>1932</v>
      </c>
      <c r="F2079">
        <v>2006348</v>
      </c>
      <c r="G2079" t="s">
        <v>1933</v>
      </c>
      <c r="H2079" t="s">
        <v>805</v>
      </c>
      <c r="I2079">
        <v>1536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1536</v>
      </c>
      <c r="P2079" s="44" t="e">
        <f>_xlfn.XLOOKUP(Tabla5[[#This Row],[EAN CORREGIDO]],'Tabla Articulos'!B:B,'Tabla Articulos'!D:D)</f>
        <v>#N/A</v>
      </c>
      <c r="Q2079" s="44" t="e">
        <f>_xlfn.XLOOKUP(S2079,'Tabla Articulos'!B:B,'Tabla Articulos'!E:E)</f>
        <v>#N/A</v>
      </c>
      <c r="R2079" s="44" t="e">
        <f t="shared" si="64"/>
        <v>#N/A</v>
      </c>
      <c r="S2079" s="45" t="str">
        <f t="shared" si="65"/>
        <v>7798270246760</v>
      </c>
    </row>
    <row r="2080" spans="1:19" hidden="1" x14ac:dyDescent="0.35">
      <c r="A2080" s="22">
        <v>6</v>
      </c>
      <c r="B2080" t="s">
        <v>801</v>
      </c>
      <c r="C2080" t="s">
        <v>802</v>
      </c>
      <c r="E2080" t="s">
        <v>1934</v>
      </c>
      <c r="F2080">
        <v>9003601</v>
      </c>
      <c r="G2080" t="s">
        <v>1935</v>
      </c>
      <c r="H2080" t="s">
        <v>805</v>
      </c>
      <c r="I2080">
        <v>32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32</v>
      </c>
      <c r="P2080" s="44" t="e">
        <f>_xlfn.XLOOKUP(Tabla5[[#This Row],[EAN CORREGIDO]],'Tabla Articulos'!B:B,'Tabla Articulos'!D:D)</f>
        <v>#N/A</v>
      </c>
      <c r="Q2080" s="44" t="e">
        <f>_xlfn.XLOOKUP(S2080,'Tabla Articulos'!B:B,'Tabla Articulos'!E:E)</f>
        <v>#N/A</v>
      </c>
      <c r="R2080" s="44" t="e">
        <f t="shared" si="64"/>
        <v>#N/A</v>
      </c>
      <c r="S2080" s="45" t="str">
        <f t="shared" si="65"/>
        <v>UNIF000440</v>
      </c>
    </row>
    <row r="2081" spans="1:19" hidden="1" x14ac:dyDescent="0.35">
      <c r="A2081" s="22">
        <v>6</v>
      </c>
      <c r="B2081" t="s">
        <v>801</v>
      </c>
      <c r="C2081" t="s">
        <v>802</v>
      </c>
      <c r="D2081"/>
      <c r="E2081" t="s">
        <v>1936</v>
      </c>
      <c r="F2081">
        <v>9003470</v>
      </c>
      <c r="G2081" t="s">
        <v>1937</v>
      </c>
      <c r="H2081" t="s">
        <v>805</v>
      </c>
      <c r="I2081">
        <v>18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18</v>
      </c>
      <c r="P2081" s="44" t="e">
        <f>_xlfn.XLOOKUP(Tabla5[[#This Row],[EAN CORREGIDO]],'Tabla Articulos'!B:B,'Tabla Articulos'!D:D)</f>
        <v>#N/A</v>
      </c>
      <c r="Q2081" s="44" t="e">
        <f>_xlfn.XLOOKUP(S2081,'Tabla Articulos'!B:B,'Tabla Articulos'!E:E)</f>
        <v>#N/A</v>
      </c>
      <c r="R2081" s="44" t="e">
        <f t="shared" si="64"/>
        <v>#N/A</v>
      </c>
      <c r="S2081" s="45" t="str">
        <f t="shared" si="65"/>
        <v>UNIF000409</v>
      </c>
    </row>
    <row r="2082" spans="1:19" hidden="1" x14ac:dyDescent="0.35">
      <c r="A2082" s="22">
        <v>1</v>
      </c>
      <c r="B2082" t="s">
        <v>812</v>
      </c>
      <c r="C2082" t="s">
        <v>802</v>
      </c>
      <c r="D2082" s="11" t="s">
        <v>1938</v>
      </c>
      <c r="E2082" t="s">
        <v>1939</v>
      </c>
      <c r="F2082">
        <v>4019656</v>
      </c>
      <c r="G2082" t="s">
        <v>1940</v>
      </c>
      <c r="H2082" t="s">
        <v>805</v>
      </c>
      <c r="I2082">
        <v>623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623</v>
      </c>
      <c r="P2082" s="44" t="e">
        <f>_xlfn.XLOOKUP(Tabla5[[#This Row],[EAN CORREGIDO]],'Tabla Articulos'!B:B,'Tabla Articulos'!D:D)</f>
        <v>#N/A</v>
      </c>
      <c r="Q2082" s="44" t="e">
        <f>_xlfn.XLOOKUP(S2082,'Tabla Articulos'!B:B,'Tabla Articulos'!E:E)</f>
        <v>#N/A</v>
      </c>
      <c r="R2082" s="44" t="e">
        <f t="shared" si="64"/>
        <v>#N/A</v>
      </c>
      <c r="S2082" s="45" t="str">
        <f t="shared" si="65"/>
        <v>7790748235149</v>
      </c>
    </row>
    <row r="2083" spans="1:19" hidden="1" x14ac:dyDescent="0.35">
      <c r="A2083" s="22">
        <v>6</v>
      </c>
      <c r="B2083" t="s">
        <v>801</v>
      </c>
      <c r="C2083" t="s">
        <v>802</v>
      </c>
      <c r="D2083"/>
      <c r="E2083" t="s">
        <v>1941</v>
      </c>
      <c r="F2083">
        <v>9003518</v>
      </c>
      <c r="G2083" t="s">
        <v>1942</v>
      </c>
      <c r="H2083" t="s">
        <v>805</v>
      </c>
      <c r="I2083">
        <v>4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4</v>
      </c>
      <c r="P2083" s="44" t="e">
        <f>_xlfn.XLOOKUP(Tabla5[[#This Row],[EAN CORREGIDO]],'Tabla Articulos'!B:B,'Tabla Articulos'!D:D)</f>
        <v>#N/A</v>
      </c>
      <c r="Q2083" s="44" t="e">
        <f>_xlfn.XLOOKUP(S2083,'Tabla Articulos'!B:B,'Tabla Articulos'!E:E)</f>
        <v>#N/A</v>
      </c>
      <c r="R2083" s="44" t="e">
        <f t="shared" si="64"/>
        <v>#N/A</v>
      </c>
      <c r="S2083" s="45" t="str">
        <f t="shared" si="65"/>
        <v>UNIF000345</v>
      </c>
    </row>
    <row r="2084" spans="1:19" hidden="1" x14ac:dyDescent="0.35">
      <c r="A2084" s="22">
        <v>5</v>
      </c>
      <c r="B2084" t="s">
        <v>829</v>
      </c>
      <c r="C2084" t="s">
        <v>802</v>
      </c>
      <c r="D2084" t="s">
        <v>1943</v>
      </c>
      <c r="E2084" t="s">
        <v>1944</v>
      </c>
      <c r="F2084">
        <v>4024051</v>
      </c>
      <c r="G2084" t="s">
        <v>1945</v>
      </c>
      <c r="H2084" t="s">
        <v>805</v>
      </c>
      <c r="I2084">
        <v>46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46</v>
      </c>
      <c r="P2084" s="44" t="e">
        <f>_xlfn.XLOOKUP(Tabla5[[#This Row],[EAN CORREGIDO]],'Tabla Articulos'!B:B,'Tabla Articulos'!D:D)</f>
        <v>#N/A</v>
      </c>
      <c r="Q2084" s="44" t="e">
        <f>_xlfn.XLOOKUP(S2084,'Tabla Articulos'!B:B,'Tabla Articulos'!E:E)</f>
        <v>#N/A</v>
      </c>
      <c r="R2084" s="44" t="e">
        <f t="shared" si="64"/>
        <v>#N/A</v>
      </c>
      <c r="S2084" s="45" t="str">
        <f t="shared" si="65"/>
        <v>7798188380184</v>
      </c>
    </row>
    <row r="2085" spans="1:19" hidden="1" x14ac:dyDescent="0.35">
      <c r="A2085" s="22">
        <v>1</v>
      </c>
      <c r="B2085" t="s">
        <v>812</v>
      </c>
      <c r="C2085" t="s">
        <v>802</v>
      </c>
      <c r="D2085" s="11" t="s">
        <v>1943</v>
      </c>
      <c r="E2085" t="s">
        <v>1944</v>
      </c>
      <c r="F2085">
        <v>4024051</v>
      </c>
      <c r="G2085" t="s">
        <v>1945</v>
      </c>
      <c r="H2085" t="s">
        <v>805</v>
      </c>
      <c r="I2085">
        <v>14223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14223</v>
      </c>
      <c r="P2085" s="44" t="e">
        <f>_xlfn.XLOOKUP(Tabla5[[#This Row],[EAN CORREGIDO]],'Tabla Articulos'!B:B,'Tabla Articulos'!D:D)</f>
        <v>#N/A</v>
      </c>
      <c r="Q2085" s="44" t="e">
        <f>_xlfn.XLOOKUP(S2085,'Tabla Articulos'!B:B,'Tabla Articulos'!E:E)</f>
        <v>#N/A</v>
      </c>
      <c r="R2085" s="44" t="e">
        <f t="shared" si="64"/>
        <v>#N/A</v>
      </c>
      <c r="S2085" s="45" t="str">
        <f t="shared" si="65"/>
        <v>7798188380184</v>
      </c>
    </row>
    <row r="2086" spans="1:19" hidden="1" x14ac:dyDescent="0.35">
      <c r="A2086" s="22">
        <v>6</v>
      </c>
      <c r="B2086" t="s">
        <v>801</v>
      </c>
      <c r="C2086" t="s">
        <v>802</v>
      </c>
      <c r="E2086" t="s">
        <v>3039</v>
      </c>
      <c r="F2086">
        <v>9003165</v>
      </c>
      <c r="G2086" t="s">
        <v>3040</v>
      </c>
      <c r="H2086" t="s">
        <v>805</v>
      </c>
      <c r="I2086">
        <v>70</v>
      </c>
      <c r="J2086">
        <v>150</v>
      </c>
      <c r="K2086">
        <v>0</v>
      </c>
      <c r="L2086">
        <v>0</v>
      </c>
      <c r="M2086">
        <v>0</v>
      </c>
      <c r="N2086">
        <v>0</v>
      </c>
      <c r="O2086">
        <v>220</v>
      </c>
      <c r="P2086" s="44" t="e">
        <f>_xlfn.XLOOKUP(Tabla5[[#This Row],[EAN CORREGIDO]],'Tabla Articulos'!B:B,'Tabla Articulos'!D:D)</f>
        <v>#N/A</v>
      </c>
      <c r="Q2086" s="44" t="e">
        <f>_xlfn.XLOOKUP(S2086,'Tabla Articulos'!B:B,'Tabla Articulos'!E:E)</f>
        <v>#N/A</v>
      </c>
      <c r="R2086" s="44" t="e">
        <f t="shared" si="64"/>
        <v>#N/A</v>
      </c>
      <c r="S2086" s="45" t="str">
        <f t="shared" si="65"/>
        <v>UNIF000627</v>
      </c>
    </row>
    <row r="2087" spans="1:19" hidden="1" x14ac:dyDescent="0.35">
      <c r="A2087" s="22">
        <v>5</v>
      </c>
      <c r="B2087" t="s">
        <v>829</v>
      </c>
      <c r="C2087" t="s">
        <v>802</v>
      </c>
      <c r="D2087" t="s">
        <v>229</v>
      </c>
      <c r="E2087" t="s">
        <v>3041</v>
      </c>
      <c r="F2087">
        <v>2006167</v>
      </c>
      <c r="G2087" t="s">
        <v>3042</v>
      </c>
      <c r="H2087" t="s">
        <v>805</v>
      </c>
      <c r="I2087">
        <v>34938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34938</v>
      </c>
      <c r="P2087" s="44" t="str">
        <f>_xlfn.XLOOKUP(Tabla5[[#This Row],[EAN CORREGIDO]],'Tabla Articulos'!B:B,'Tabla Articulos'!D:D)</f>
        <v>CAJA MESA M.PAZ</v>
      </c>
      <c r="Q2087" s="44">
        <f>_xlfn.XLOOKUP(S2087,'Tabla Articulos'!B:B,'Tabla Articulos'!E:E)</f>
        <v>1</v>
      </c>
      <c r="R2087" s="44">
        <f t="shared" si="64"/>
        <v>34938</v>
      </c>
      <c r="S2087" s="45" t="str">
        <f t="shared" si="65"/>
        <v>7797474512684</v>
      </c>
    </row>
    <row r="2088" spans="1:19" hidden="1" x14ac:dyDescent="0.35">
      <c r="A2088" s="22">
        <v>6</v>
      </c>
      <c r="B2088" t="s">
        <v>801</v>
      </c>
      <c r="C2088" t="s">
        <v>802</v>
      </c>
      <c r="D2088"/>
      <c r="E2088" t="s">
        <v>3043</v>
      </c>
      <c r="F2088">
        <v>9003494</v>
      </c>
      <c r="G2088" t="s">
        <v>3044</v>
      </c>
      <c r="H2088" t="s">
        <v>805</v>
      </c>
      <c r="I2088">
        <v>7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7</v>
      </c>
      <c r="P2088" s="44" t="e">
        <f>_xlfn.XLOOKUP(Tabla5[[#This Row],[EAN CORREGIDO]],'Tabla Articulos'!B:B,'Tabla Articulos'!D:D)</f>
        <v>#N/A</v>
      </c>
      <c r="Q2088" s="44" t="e">
        <f>_xlfn.XLOOKUP(S2088,'Tabla Articulos'!B:B,'Tabla Articulos'!E:E)</f>
        <v>#N/A</v>
      </c>
      <c r="R2088" s="44" t="e">
        <f t="shared" si="64"/>
        <v>#N/A</v>
      </c>
      <c r="S2088" s="45" t="str">
        <f t="shared" si="65"/>
        <v>UNIF000226</v>
      </c>
    </row>
    <row r="2089" spans="1:19" hidden="1" x14ac:dyDescent="0.35">
      <c r="A2089" s="22">
        <v>5</v>
      </c>
      <c r="B2089" t="s">
        <v>829</v>
      </c>
      <c r="C2089" t="s">
        <v>802</v>
      </c>
      <c r="D2089" t="s">
        <v>1151</v>
      </c>
      <c r="E2089" t="s">
        <v>3045</v>
      </c>
      <c r="F2089">
        <v>4019980</v>
      </c>
      <c r="G2089" t="s">
        <v>3046</v>
      </c>
      <c r="H2089" t="s">
        <v>805</v>
      </c>
      <c r="I2089">
        <v>80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80</v>
      </c>
      <c r="P2089" s="44" t="e">
        <f>_xlfn.XLOOKUP(Tabla5[[#This Row],[EAN CORREGIDO]],'Tabla Articulos'!B:B,'Tabla Articulos'!D:D)</f>
        <v>#N/A</v>
      </c>
      <c r="Q2089" s="44" t="e">
        <f>_xlfn.XLOOKUP(S2089,'Tabla Articulos'!B:B,'Tabla Articulos'!E:E)</f>
        <v>#N/A</v>
      </c>
      <c r="R2089" s="44" t="e">
        <f t="shared" si="64"/>
        <v>#N/A</v>
      </c>
      <c r="S2089" s="45" t="str">
        <f t="shared" si="65"/>
        <v>7792378001415</v>
      </c>
    </row>
    <row r="2090" spans="1:19" hidden="1" x14ac:dyDescent="0.35">
      <c r="A2090" s="22">
        <v>6</v>
      </c>
      <c r="B2090" t="s">
        <v>801</v>
      </c>
      <c r="C2090" t="s">
        <v>802</v>
      </c>
      <c r="D2090" t="s">
        <v>2495</v>
      </c>
      <c r="E2090" t="s">
        <v>3232</v>
      </c>
      <c r="F2090">
        <v>2016710</v>
      </c>
      <c r="G2090" t="s">
        <v>3233</v>
      </c>
      <c r="H2090" t="s">
        <v>805</v>
      </c>
      <c r="I2090">
        <v>1340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1340</v>
      </c>
      <c r="P2090" s="44" t="e">
        <f>_xlfn.XLOOKUP(Tabla5[[#This Row],[EAN CORREGIDO]],'Tabla Articulos'!B:B,'Tabla Articulos'!D:D)</f>
        <v>#N/A</v>
      </c>
      <c r="Q2090" s="44" t="e">
        <f>_xlfn.XLOOKUP(S2090,'Tabla Articulos'!B:B,'Tabla Articulos'!E:E)</f>
        <v>#N/A</v>
      </c>
      <c r="R2090" s="44" t="e">
        <f t="shared" si="64"/>
        <v>#N/A</v>
      </c>
      <c r="S2090" s="45" t="str">
        <f t="shared" si="65"/>
        <v>7798113400475</v>
      </c>
    </row>
    <row r="2091" spans="1:19" hidden="1" x14ac:dyDescent="0.35">
      <c r="A2091" s="22">
        <v>6</v>
      </c>
      <c r="B2091" t="s">
        <v>801</v>
      </c>
      <c r="C2091" t="s">
        <v>802</v>
      </c>
      <c r="E2091" t="s">
        <v>3234</v>
      </c>
      <c r="F2091">
        <v>9003781</v>
      </c>
      <c r="G2091" t="s">
        <v>3235</v>
      </c>
      <c r="H2091" t="s">
        <v>805</v>
      </c>
      <c r="I2091">
        <v>17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17</v>
      </c>
      <c r="P2091" s="44" t="e">
        <f>_xlfn.XLOOKUP(Tabla5[[#This Row],[EAN CORREGIDO]],'Tabla Articulos'!B:B,'Tabla Articulos'!D:D)</f>
        <v>#N/A</v>
      </c>
      <c r="Q2091" s="44" t="e">
        <f>_xlfn.XLOOKUP(S2091,'Tabla Articulos'!B:B,'Tabla Articulos'!E:E)</f>
        <v>#N/A</v>
      </c>
      <c r="R2091" s="44" t="e">
        <f t="shared" si="64"/>
        <v>#N/A</v>
      </c>
      <c r="S2091" s="45" t="str">
        <f t="shared" si="65"/>
        <v>BAZ001200</v>
      </c>
    </row>
    <row r="2092" spans="1:19" hidden="1" x14ac:dyDescent="0.35">
      <c r="A2092" s="22">
        <v>6</v>
      </c>
      <c r="B2092" t="s">
        <v>801</v>
      </c>
      <c r="C2092" t="s">
        <v>802</v>
      </c>
      <c r="D2092" t="s">
        <v>39</v>
      </c>
      <c r="E2092" t="s">
        <v>3236</v>
      </c>
      <c r="F2092">
        <v>2006644</v>
      </c>
      <c r="G2092" t="s">
        <v>3237</v>
      </c>
      <c r="H2092" t="s">
        <v>805</v>
      </c>
      <c r="I2092">
        <v>230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230</v>
      </c>
      <c r="P2092" s="44" t="str">
        <f>_xlfn.XLOOKUP(Tabla5[[#This Row],[EAN CORREGIDO]],'Tabla Articulos'!B:B,'Tabla Articulos'!D:D)</f>
        <v>BOLSA PAPEL MADERA</v>
      </c>
      <c r="Q2092" s="44">
        <f>_xlfn.XLOOKUP(S2092,'Tabla Articulos'!B:B,'Tabla Articulos'!E:E)</f>
        <v>100</v>
      </c>
      <c r="R2092" s="44">
        <f t="shared" si="64"/>
        <v>23000</v>
      </c>
      <c r="S2092" s="45" t="str">
        <f t="shared" si="65"/>
        <v>EMB000042</v>
      </c>
    </row>
    <row r="2093" spans="1:19" hidden="1" x14ac:dyDescent="0.35">
      <c r="A2093" s="22">
        <v>6</v>
      </c>
      <c r="B2093" t="s">
        <v>801</v>
      </c>
      <c r="C2093" t="s">
        <v>802</v>
      </c>
      <c r="E2093" t="s">
        <v>3238</v>
      </c>
      <c r="F2093">
        <v>9003132</v>
      </c>
      <c r="G2093" t="s">
        <v>3239</v>
      </c>
      <c r="H2093" t="s">
        <v>805</v>
      </c>
      <c r="I2093">
        <v>78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78</v>
      </c>
      <c r="P2093" s="44" t="e">
        <f>_xlfn.XLOOKUP(Tabla5[[#This Row],[EAN CORREGIDO]],'Tabla Articulos'!B:B,'Tabla Articulos'!D:D)</f>
        <v>#N/A</v>
      </c>
      <c r="Q2093" s="44" t="e">
        <f>_xlfn.XLOOKUP(S2093,'Tabla Articulos'!B:B,'Tabla Articulos'!E:E)</f>
        <v>#N/A</v>
      </c>
      <c r="R2093" s="44" t="e">
        <f t="shared" si="64"/>
        <v>#N/A</v>
      </c>
      <c r="S2093" s="45" t="str">
        <f t="shared" si="65"/>
        <v>UNIF000594</v>
      </c>
    </row>
    <row r="2094" spans="1:19" hidden="1" x14ac:dyDescent="0.35">
      <c r="A2094" s="22">
        <v>5</v>
      </c>
      <c r="B2094" t="s">
        <v>829</v>
      </c>
      <c r="C2094" t="s">
        <v>802</v>
      </c>
      <c r="E2094" t="s">
        <v>3240</v>
      </c>
      <c r="F2094">
        <v>4077397</v>
      </c>
      <c r="G2094" t="s">
        <v>3241</v>
      </c>
      <c r="H2094" t="s">
        <v>805</v>
      </c>
      <c r="I2094">
        <v>3500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3500</v>
      </c>
      <c r="P2094" s="44" t="e">
        <f>_xlfn.XLOOKUP(Tabla5[[#This Row],[EAN CORREGIDO]],'Tabla Articulos'!B:B,'Tabla Articulos'!D:D)</f>
        <v>#N/A</v>
      </c>
      <c r="Q2094" s="44" t="e">
        <f>_xlfn.XLOOKUP(S2094,'Tabla Articulos'!B:B,'Tabla Articulos'!E:E)</f>
        <v>#N/A</v>
      </c>
      <c r="R2094" s="44" t="e">
        <f t="shared" si="64"/>
        <v>#N/A</v>
      </c>
      <c r="S2094" s="45" t="str">
        <f t="shared" si="65"/>
        <v>MOD21154</v>
      </c>
    </row>
    <row r="2095" spans="1:19" hidden="1" x14ac:dyDescent="0.35">
      <c r="A2095" s="22">
        <v>6</v>
      </c>
      <c r="B2095" t="s">
        <v>801</v>
      </c>
      <c r="C2095" t="s">
        <v>802</v>
      </c>
      <c r="D2095"/>
      <c r="E2095" t="s">
        <v>3242</v>
      </c>
      <c r="F2095">
        <v>9003112</v>
      </c>
      <c r="G2095" t="s">
        <v>3243</v>
      </c>
      <c r="H2095" t="s">
        <v>805</v>
      </c>
      <c r="I2095">
        <v>16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16</v>
      </c>
      <c r="P2095" s="44" t="e">
        <f>_xlfn.XLOOKUP(Tabla5[[#This Row],[EAN CORREGIDO]],'Tabla Articulos'!B:B,'Tabla Articulos'!D:D)</f>
        <v>#N/A</v>
      </c>
      <c r="Q2095" s="44" t="e">
        <f>_xlfn.XLOOKUP(S2095,'Tabla Articulos'!B:B,'Tabla Articulos'!E:E)</f>
        <v>#N/A</v>
      </c>
      <c r="R2095" s="44" t="e">
        <f t="shared" si="64"/>
        <v>#N/A</v>
      </c>
      <c r="S2095" s="45" t="str">
        <f t="shared" si="65"/>
        <v>UNIF000574</v>
      </c>
    </row>
    <row r="2096" spans="1:19" hidden="1" x14ac:dyDescent="0.35">
      <c r="A2096" s="22">
        <v>1</v>
      </c>
      <c r="B2096" t="s">
        <v>812</v>
      </c>
      <c r="C2096" t="s">
        <v>802</v>
      </c>
      <c r="D2096" t="s">
        <v>838</v>
      </c>
      <c r="E2096" t="s">
        <v>3244</v>
      </c>
      <c r="F2096">
        <v>4018198</v>
      </c>
      <c r="G2096" t="s">
        <v>3245</v>
      </c>
      <c r="H2096" t="s">
        <v>805</v>
      </c>
      <c r="I2096">
        <v>21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21</v>
      </c>
      <c r="P2096" s="44" t="e">
        <f>_xlfn.XLOOKUP(Tabla5[[#This Row],[EAN CORREGIDO]],'Tabla Articulos'!B:B,'Tabla Articulos'!D:D)</f>
        <v>#N/A</v>
      </c>
      <c r="Q2096" s="44" t="e">
        <f>_xlfn.XLOOKUP(S2096,'Tabla Articulos'!B:B,'Tabla Articulos'!E:E)</f>
        <v>#N/A</v>
      </c>
      <c r="R2096" s="44" t="e">
        <f t="shared" si="64"/>
        <v>#N/A</v>
      </c>
      <c r="S2096" s="45" t="str">
        <f t="shared" si="65"/>
        <v>7794820903100</v>
      </c>
    </row>
    <row r="2097" spans="1:19" hidden="1" x14ac:dyDescent="0.35">
      <c r="A2097" s="22">
        <v>5</v>
      </c>
      <c r="B2097" t="s">
        <v>829</v>
      </c>
      <c r="C2097" t="s">
        <v>802</v>
      </c>
      <c r="D2097" t="s">
        <v>218</v>
      </c>
      <c r="E2097" t="s">
        <v>3246</v>
      </c>
      <c r="F2097">
        <v>2007114</v>
      </c>
      <c r="G2097" t="s">
        <v>3247</v>
      </c>
      <c r="H2097" t="s">
        <v>805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</v>
      </c>
      <c r="P2097" s="44" t="str">
        <f>_xlfn.XLOOKUP(Tabla5[[#This Row],[EAN CORREGIDO]],'Tabla Articulos'!B:B,'Tabla Articulos'!D:D)</f>
        <v>SERVILLETA 30X30 S/LOGO</v>
      </c>
      <c r="Q2097" s="44">
        <f>_xlfn.XLOOKUP(S2097,'Tabla Articulos'!B:B,'Tabla Articulos'!E:E)</f>
        <v>2000</v>
      </c>
      <c r="R2097" s="44">
        <f t="shared" si="64"/>
        <v>2000</v>
      </c>
      <c r="S2097" s="45" t="str">
        <f t="shared" si="65"/>
        <v>9992016801782</v>
      </c>
    </row>
    <row r="2098" spans="1:19" hidden="1" x14ac:dyDescent="0.35">
      <c r="A2098" s="22">
        <v>6</v>
      </c>
      <c r="B2098" t="s">
        <v>801</v>
      </c>
      <c r="C2098" t="s">
        <v>802</v>
      </c>
      <c r="D2098"/>
      <c r="E2098" t="s">
        <v>3248</v>
      </c>
      <c r="F2098">
        <v>9003418</v>
      </c>
      <c r="G2098" t="s">
        <v>3249</v>
      </c>
      <c r="H2098" t="s">
        <v>805</v>
      </c>
      <c r="I2098">
        <v>7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7</v>
      </c>
      <c r="P2098" s="44" t="e">
        <f>_xlfn.XLOOKUP(Tabla5[[#This Row],[EAN CORREGIDO]],'Tabla Articulos'!B:B,'Tabla Articulos'!D:D)</f>
        <v>#N/A</v>
      </c>
      <c r="Q2098" s="44" t="e">
        <f>_xlfn.XLOOKUP(S2098,'Tabla Articulos'!B:B,'Tabla Articulos'!E:E)</f>
        <v>#N/A</v>
      </c>
      <c r="R2098" s="44" t="e">
        <f t="shared" si="64"/>
        <v>#N/A</v>
      </c>
      <c r="S2098" s="45" t="str">
        <f t="shared" si="65"/>
        <v>UNIF000105</v>
      </c>
    </row>
    <row r="2099" spans="1:19" hidden="1" x14ac:dyDescent="0.35">
      <c r="A2099" s="22">
        <v>6</v>
      </c>
      <c r="B2099" t="s">
        <v>801</v>
      </c>
      <c r="C2099" t="s">
        <v>802</v>
      </c>
      <c r="E2099" t="s">
        <v>3250</v>
      </c>
      <c r="F2099">
        <v>9003613</v>
      </c>
      <c r="G2099" t="s">
        <v>3251</v>
      </c>
      <c r="H2099" t="s">
        <v>805</v>
      </c>
      <c r="I2099">
        <v>35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35</v>
      </c>
      <c r="P2099" s="44" t="e">
        <f>_xlfn.XLOOKUP(Tabla5[[#This Row],[EAN CORREGIDO]],'Tabla Articulos'!B:B,'Tabla Articulos'!D:D)</f>
        <v>#N/A</v>
      </c>
      <c r="Q2099" s="44" t="e">
        <f>_xlfn.XLOOKUP(S2099,'Tabla Articulos'!B:B,'Tabla Articulos'!E:E)</f>
        <v>#N/A</v>
      </c>
      <c r="R2099" s="44" t="e">
        <f t="shared" si="64"/>
        <v>#N/A</v>
      </c>
      <c r="S2099" s="45" t="str">
        <f t="shared" si="65"/>
        <v>UNIF000452</v>
      </c>
    </row>
    <row r="2100" spans="1:19" hidden="1" x14ac:dyDescent="0.35">
      <c r="A2100" s="22">
        <v>6</v>
      </c>
      <c r="B2100" t="s">
        <v>801</v>
      </c>
      <c r="C2100" t="s">
        <v>802</v>
      </c>
      <c r="D2100" s="11" t="s">
        <v>3252</v>
      </c>
      <c r="E2100" t="s">
        <v>3253</v>
      </c>
      <c r="F2100">
        <v>2016582</v>
      </c>
      <c r="G2100" t="s">
        <v>3254</v>
      </c>
      <c r="H2100" t="s">
        <v>805</v>
      </c>
      <c r="I2100">
        <v>500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500</v>
      </c>
      <c r="P2100" s="44" t="e">
        <f>_xlfn.XLOOKUP(Tabla5[[#This Row],[EAN CORREGIDO]],'Tabla Articulos'!B:B,'Tabla Articulos'!D:D)</f>
        <v>#N/A</v>
      </c>
      <c r="Q2100" s="44" t="e">
        <f>_xlfn.XLOOKUP(S2100,'Tabla Articulos'!B:B,'Tabla Articulos'!E:E)</f>
        <v>#N/A</v>
      </c>
      <c r="R2100" s="44" t="e">
        <f t="shared" si="64"/>
        <v>#N/A</v>
      </c>
      <c r="S2100" s="45" t="str">
        <f t="shared" si="65"/>
        <v>7790000000742</v>
      </c>
    </row>
    <row r="2101" spans="1:19" hidden="1" x14ac:dyDescent="0.35">
      <c r="A2101" s="22">
        <v>6</v>
      </c>
      <c r="B2101" t="s">
        <v>801</v>
      </c>
      <c r="C2101" t="s">
        <v>802</v>
      </c>
      <c r="E2101" t="s">
        <v>1278</v>
      </c>
      <c r="F2101">
        <v>9003692</v>
      </c>
      <c r="G2101" t="s">
        <v>1279</v>
      </c>
      <c r="H2101" t="s">
        <v>805</v>
      </c>
      <c r="I2101">
        <v>216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216</v>
      </c>
      <c r="P2101" s="44" t="e">
        <f>_xlfn.XLOOKUP(Tabla5[[#This Row],[EAN CORREGIDO]],'Tabla Articulos'!B:B,'Tabla Articulos'!D:D)</f>
        <v>#N/A</v>
      </c>
      <c r="Q2101" s="44" t="e">
        <f>_xlfn.XLOOKUP(S2101,'Tabla Articulos'!B:B,'Tabla Articulos'!E:E)</f>
        <v>#N/A</v>
      </c>
      <c r="R2101" s="44" t="e">
        <f t="shared" si="64"/>
        <v>#N/A</v>
      </c>
      <c r="S2101" s="45" t="str">
        <f t="shared" si="65"/>
        <v>BAZ001168</v>
      </c>
    </row>
    <row r="2102" spans="1:19" hidden="1" x14ac:dyDescent="0.35">
      <c r="A2102" s="22">
        <v>6</v>
      </c>
      <c r="B2102" t="s">
        <v>801</v>
      </c>
      <c r="C2102" t="s">
        <v>802</v>
      </c>
      <c r="E2102" t="s">
        <v>1280</v>
      </c>
      <c r="F2102">
        <v>2011493</v>
      </c>
      <c r="G2102" t="s">
        <v>1281</v>
      </c>
      <c r="H2102" t="s">
        <v>805</v>
      </c>
      <c r="I2102">
        <v>2881</v>
      </c>
      <c r="J2102">
        <v>0</v>
      </c>
      <c r="K2102">
        <v>-332</v>
      </c>
      <c r="L2102">
        <v>0</v>
      </c>
      <c r="M2102">
        <v>0</v>
      </c>
      <c r="N2102">
        <v>0</v>
      </c>
      <c r="O2102">
        <v>3213</v>
      </c>
      <c r="P2102" s="44" t="e">
        <f>_xlfn.XLOOKUP(Tabla5[[#This Row],[EAN CORREGIDO]],'Tabla Articulos'!B:B,'Tabla Articulos'!D:D)</f>
        <v>#N/A</v>
      </c>
      <c r="Q2102" s="44" t="e">
        <f>_xlfn.XLOOKUP(S2102,'Tabla Articulos'!B:B,'Tabla Articulos'!E:E)</f>
        <v>#N/A</v>
      </c>
      <c r="R2102" s="44" t="e">
        <f t="shared" si="64"/>
        <v>#N/A</v>
      </c>
      <c r="S2102" s="45" t="str">
        <f t="shared" si="65"/>
        <v>7790000000687</v>
      </c>
    </row>
    <row r="2103" spans="1:19" hidden="1" x14ac:dyDescent="0.35">
      <c r="A2103" s="22">
        <v>6</v>
      </c>
      <c r="B2103" t="s">
        <v>801</v>
      </c>
      <c r="C2103" t="s">
        <v>802</v>
      </c>
      <c r="D2103"/>
      <c r="E2103" t="s">
        <v>1282</v>
      </c>
      <c r="F2103">
        <v>5000755</v>
      </c>
      <c r="G2103" t="s">
        <v>1283</v>
      </c>
      <c r="H2103" t="s">
        <v>805</v>
      </c>
      <c r="I2103">
        <v>108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108</v>
      </c>
      <c r="P2103" s="44" t="e">
        <f>_xlfn.XLOOKUP(Tabla5[[#This Row],[EAN CORREGIDO]],'Tabla Articulos'!B:B,'Tabla Articulos'!D:D)</f>
        <v>#N/A</v>
      </c>
      <c r="Q2103" s="44" t="e">
        <f>_xlfn.XLOOKUP(S2103,'Tabla Articulos'!B:B,'Tabla Articulos'!E:E)</f>
        <v>#N/A</v>
      </c>
      <c r="R2103" s="44" t="e">
        <f t="shared" si="64"/>
        <v>#N/A</v>
      </c>
      <c r="S2103" s="45" t="str">
        <f t="shared" si="65"/>
        <v>5000755</v>
      </c>
    </row>
    <row r="2104" spans="1:19" hidden="1" x14ac:dyDescent="0.35">
      <c r="A2104" s="22">
        <v>6</v>
      </c>
      <c r="B2104" t="s">
        <v>801</v>
      </c>
      <c r="C2104" t="s">
        <v>802</v>
      </c>
      <c r="D2104" s="11" t="s">
        <v>1060</v>
      </c>
      <c r="E2104" t="s">
        <v>3255</v>
      </c>
      <c r="F2104">
        <v>2007620</v>
      </c>
      <c r="G2104" t="s">
        <v>3256</v>
      </c>
      <c r="H2104" t="s">
        <v>805</v>
      </c>
      <c r="I2104">
        <v>43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43</v>
      </c>
      <c r="P2104" s="44" t="e">
        <f>_xlfn.XLOOKUP(Tabla5[[#This Row],[EAN CORREGIDO]],'Tabla Articulos'!B:B,'Tabla Articulos'!D:D)</f>
        <v>#N/A</v>
      </c>
      <c r="Q2104" s="44" t="e">
        <f>_xlfn.XLOOKUP(S2104,'Tabla Articulos'!B:B,'Tabla Articulos'!E:E)</f>
        <v>#N/A</v>
      </c>
      <c r="R2104" s="44" t="e">
        <f t="shared" si="64"/>
        <v>#N/A</v>
      </c>
      <c r="S2104" s="45" t="str">
        <f t="shared" si="65"/>
        <v>7798160835022</v>
      </c>
    </row>
    <row r="2105" spans="1:19" hidden="1" x14ac:dyDescent="0.35">
      <c r="A2105" s="22">
        <v>6</v>
      </c>
      <c r="B2105" t="s">
        <v>801</v>
      </c>
      <c r="C2105" t="s">
        <v>802</v>
      </c>
      <c r="E2105" t="s">
        <v>3257</v>
      </c>
      <c r="F2105">
        <v>9003743</v>
      </c>
      <c r="G2105" t="s">
        <v>3258</v>
      </c>
      <c r="H2105" t="s">
        <v>805</v>
      </c>
      <c r="I2105">
        <v>78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78</v>
      </c>
      <c r="P2105" s="44" t="e">
        <f>_xlfn.XLOOKUP(Tabla5[[#This Row],[EAN CORREGIDO]],'Tabla Articulos'!B:B,'Tabla Articulos'!D:D)</f>
        <v>#N/A</v>
      </c>
      <c r="Q2105" s="44" t="e">
        <f>_xlfn.XLOOKUP(S2105,'Tabla Articulos'!B:B,'Tabla Articulos'!E:E)</f>
        <v>#N/A</v>
      </c>
      <c r="R2105" s="44" t="e">
        <f t="shared" si="64"/>
        <v>#N/A</v>
      </c>
      <c r="S2105" s="45" t="str">
        <f t="shared" si="65"/>
        <v>BAZ001214</v>
      </c>
    </row>
    <row r="2106" spans="1:19" hidden="1" x14ac:dyDescent="0.35">
      <c r="A2106" s="22">
        <v>5</v>
      </c>
      <c r="B2106" t="s">
        <v>829</v>
      </c>
      <c r="C2106" t="s">
        <v>802</v>
      </c>
      <c r="D2106" t="s">
        <v>3259</v>
      </c>
      <c r="E2106" t="s">
        <v>3260</v>
      </c>
      <c r="F2106">
        <v>4021346</v>
      </c>
      <c r="G2106" t="s">
        <v>3261</v>
      </c>
      <c r="H2106" t="s">
        <v>816</v>
      </c>
      <c r="I2106">
        <v>1.31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1.31</v>
      </c>
      <c r="P2106" s="44" t="e">
        <f>_xlfn.XLOOKUP(Tabla5[[#This Row],[EAN CORREGIDO]],'Tabla Articulos'!B:B,'Tabla Articulos'!D:D)</f>
        <v>#N/A</v>
      </c>
      <c r="Q2106" s="44" t="e">
        <f>_xlfn.XLOOKUP(S2106,'Tabla Articulos'!B:B,'Tabla Articulos'!E:E)</f>
        <v>#N/A</v>
      </c>
      <c r="R2106" s="44" t="e">
        <f t="shared" si="64"/>
        <v>#N/A</v>
      </c>
      <c r="S2106" s="45" t="str">
        <f t="shared" si="65"/>
        <v>7790216020092</v>
      </c>
    </row>
    <row r="2107" spans="1:19" hidden="1" x14ac:dyDescent="0.35">
      <c r="A2107" s="22">
        <v>6</v>
      </c>
      <c r="B2107" t="s">
        <v>801</v>
      </c>
      <c r="C2107" t="s">
        <v>802</v>
      </c>
      <c r="E2107" t="s">
        <v>3262</v>
      </c>
      <c r="F2107">
        <v>9003807</v>
      </c>
      <c r="G2107" t="s">
        <v>3263</v>
      </c>
      <c r="H2107" t="s">
        <v>805</v>
      </c>
      <c r="I2107">
        <v>72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72</v>
      </c>
      <c r="P2107" s="44" t="str">
        <f>_xlfn.XLOOKUP(Tabla5[[#This Row],[EAN CORREGIDO]],'Tabla Articulos'!B:B,'Tabla Articulos'!D:D)</f>
        <v>MANGAS DESCARTABLES</v>
      </c>
      <c r="Q2107" s="44">
        <f>_xlfn.XLOOKUP(S2107,'Tabla Articulos'!B:B,'Tabla Articulos'!E:E)</f>
        <v>50</v>
      </c>
      <c r="R2107" s="44">
        <f t="shared" si="64"/>
        <v>3600</v>
      </c>
      <c r="S2107" s="45" t="str">
        <f t="shared" si="65"/>
        <v>BAZ001209</v>
      </c>
    </row>
    <row r="2108" spans="1:19" hidden="1" x14ac:dyDescent="0.35">
      <c r="A2108" s="22">
        <v>6</v>
      </c>
      <c r="B2108" t="s">
        <v>801</v>
      </c>
      <c r="C2108" t="s">
        <v>802</v>
      </c>
      <c r="D2108"/>
      <c r="E2108" t="s">
        <v>3264</v>
      </c>
      <c r="F2108">
        <v>2006877</v>
      </c>
      <c r="G2108" t="s">
        <v>3265</v>
      </c>
      <c r="H2108" t="s">
        <v>805</v>
      </c>
      <c r="I2108">
        <v>67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67</v>
      </c>
      <c r="P2108" s="44" t="e">
        <f>_xlfn.XLOOKUP(Tabla5[[#This Row],[EAN CORREGIDO]],'Tabla Articulos'!B:B,'Tabla Articulos'!D:D)</f>
        <v>#N/A</v>
      </c>
      <c r="Q2108" s="44" t="e">
        <f>_xlfn.XLOOKUP(S2108,'Tabla Articulos'!B:B,'Tabla Articulos'!E:E)</f>
        <v>#N/A</v>
      </c>
      <c r="R2108" s="44" t="e">
        <f t="shared" si="64"/>
        <v>#N/A</v>
      </c>
      <c r="S2108" s="45" t="str">
        <f t="shared" si="65"/>
        <v>LIM000129</v>
      </c>
    </row>
    <row r="2109" spans="1:19" hidden="1" x14ac:dyDescent="0.35">
      <c r="A2109" s="22">
        <v>6</v>
      </c>
      <c r="B2109" t="s">
        <v>801</v>
      </c>
      <c r="C2109" t="s">
        <v>802</v>
      </c>
      <c r="E2109" t="s">
        <v>3266</v>
      </c>
      <c r="F2109">
        <v>9003710</v>
      </c>
      <c r="G2109" t="s">
        <v>3267</v>
      </c>
      <c r="H2109" t="s">
        <v>805</v>
      </c>
      <c r="I2109">
        <v>240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240</v>
      </c>
      <c r="P2109" s="44" t="e">
        <f>_xlfn.XLOOKUP(Tabla5[[#This Row],[EAN CORREGIDO]],'Tabla Articulos'!B:B,'Tabla Articulos'!D:D)</f>
        <v>#N/A</v>
      </c>
      <c r="Q2109" s="44" t="e">
        <f>_xlfn.XLOOKUP(S2109,'Tabla Articulos'!B:B,'Tabla Articulos'!E:E)</f>
        <v>#N/A</v>
      </c>
      <c r="R2109" s="44" t="e">
        <f t="shared" si="64"/>
        <v>#N/A</v>
      </c>
      <c r="S2109" s="45" t="str">
        <f t="shared" si="65"/>
        <v>BAZ001382</v>
      </c>
    </row>
    <row r="2110" spans="1:19" hidden="1" x14ac:dyDescent="0.35">
      <c r="A2110" s="22">
        <v>6</v>
      </c>
      <c r="B2110" t="s">
        <v>801</v>
      </c>
      <c r="C2110" t="s">
        <v>802</v>
      </c>
      <c r="D2110"/>
      <c r="E2110" t="s">
        <v>3268</v>
      </c>
      <c r="F2110">
        <v>9003084</v>
      </c>
      <c r="G2110" t="s">
        <v>3269</v>
      </c>
      <c r="H2110" t="s">
        <v>805</v>
      </c>
      <c r="I2110">
        <v>27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27</v>
      </c>
      <c r="P2110" s="44" t="e">
        <f>_xlfn.XLOOKUP(Tabla5[[#This Row],[EAN CORREGIDO]],'Tabla Articulos'!B:B,'Tabla Articulos'!D:D)</f>
        <v>#N/A</v>
      </c>
      <c r="Q2110" s="44" t="e">
        <f>_xlfn.XLOOKUP(S2110,'Tabla Articulos'!B:B,'Tabla Articulos'!E:E)</f>
        <v>#N/A</v>
      </c>
      <c r="R2110" s="44" t="e">
        <f t="shared" si="64"/>
        <v>#N/A</v>
      </c>
      <c r="S2110" s="45" t="str">
        <f t="shared" si="65"/>
        <v>UNIF000546</v>
      </c>
    </row>
    <row r="2111" spans="1:19" hidden="1" x14ac:dyDescent="0.35">
      <c r="A2111" s="22">
        <v>5</v>
      </c>
      <c r="B2111" t="s">
        <v>829</v>
      </c>
      <c r="C2111" t="s">
        <v>802</v>
      </c>
      <c r="D2111" t="s">
        <v>3270</v>
      </c>
      <c r="E2111" t="s">
        <v>3271</v>
      </c>
      <c r="F2111">
        <v>4018130</v>
      </c>
      <c r="G2111" t="s">
        <v>3272</v>
      </c>
      <c r="H2111" t="s">
        <v>805</v>
      </c>
      <c r="I2111">
        <v>168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168</v>
      </c>
      <c r="P2111" s="44" t="e">
        <f>_xlfn.XLOOKUP(Tabla5[[#This Row],[EAN CORREGIDO]],'Tabla Articulos'!B:B,'Tabla Articulos'!D:D)</f>
        <v>#N/A</v>
      </c>
      <c r="Q2111" s="44" t="e">
        <f>_xlfn.XLOOKUP(S2111,'Tabla Articulos'!B:B,'Tabla Articulos'!E:E)</f>
        <v>#N/A</v>
      </c>
      <c r="R2111" s="44" t="e">
        <f t="shared" si="64"/>
        <v>#N/A</v>
      </c>
      <c r="S2111" s="45" t="str">
        <f t="shared" si="65"/>
        <v>7790742333605</v>
      </c>
    </row>
    <row r="2112" spans="1:19" hidden="1" x14ac:dyDescent="0.35">
      <c r="A2112" s="22">
        <v>1</v>
      </c>
      <c r="B2112" t="s">
        <v>812</v>
      </c>
      <c r="C2112" t="s">
        <v>802</v>
      </c>
      <c r="D2112" t="s">
        <v>3270</v>
      </c>
      <c r="E2112" t="s">
        <v>3271</v>
      </c>
      <c r="F2112">
        <v>4018130</v>
      </c>
      <c r="G2112" t="s">
        <v>3272</v>
      </c>
      <c r="H2112" t="s">
        <v>805</v>
      </c>
      <c r="I2112">
        <v>249</v>
      </c>
      <c r="J2112">
        <v>240</v>
      </c>
      <c r="K2112">
        <v>0</v>
      </c>
      <c r="L2112">
        <v>0</v>
      </c>
      <c r="M2112">
        <v>0</v>
      </c>
      <c r="N2112">
        <v>0</v>
      </c>
      <c r="O2112">
        <v>489</v>
      </c>
      <c r="P2112" s="44" t="e">
        <f>_xlfn.XLOOKUP(Tabla5[[#This Row],[EAN CORREGIDO]],'Tabla Articulos'!B:B,'Tabla Articulos'!D:D)</f>
        <v>#N/A</v>
      </c>
      <c r="Q2112" s="44" t="e">
        <f>_xlfn.XLOOKUP(S2112,'Tabla Articulos'!B:B,'Tabla Articulos'!E:E)</f>
        <v>#N/A</v>
      </c>
      <c r="R2112" s="44" t="e">
        <f t="shared" si="64"/>
        <v>#N/A</v>
      </c>
      <c r="S2112" s="45" t="str">
        <f t="shared" si="65"/>
        <v>7790742333605</v>
      </c>
    </row>
    <row r="2113" spans="1:19" hidden="1" x14ac:dyDescent="0.35">
      <c r="A2113" s="22">
        <v>6</v>
      </c>
      <c r="B2113" t="s">
        <v>801</v>
      </c>
      <c r="C2113" t="s">
        <v>802</v>
      </c>
      <c r="D2113"/>
      <c r="E2113" t="s">
        <v>3273</v>
      </c>
      <c r="F2113">
        <v>9003104</v>
      </c>
      <c r="G2113" t="s">
        <v>3274</v>
      </c>
      <c r="H2113" t="s">
        <v>805</v>
      </c>
      <c r="I2113">
        <v>10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10</v>
      </c>
      <c r="P2113" s="44" t="e">
        <f>_xlfn.XLOOKUP(Tabla5[[#This Row],[EAN CORREGIDO]],'Tabla Articulos'!B:B,'Tabla Articulos'!D:D)</f>
        <v>#N/A</v>
      </c>
      <c r="Q2113" s="44" t="e">
        <f>_xlfn.XLOOKUP(S2113,'Tabla Articulos'!B:B,'Tabla Articulos'!E:E)</f>
        <v>#N/A</v>
      </c>
      <c r="R2113" s="44" t="e">
        <f t="shared" ref="R2113:R2176" si="66">O2113*Q2113</f>
        <v>#N/A</v>
      </c>
      <c r="S2113" s="45" t="str">
        <f t="shared" ref="S2113:S2176" si="67">TRIM(E2113)</f>
        <v>UNIF000566</v>
      </c>
    </row>
    <row r="2114" spans="1:19" hidden="1" x14ac:dyDescent="0.35">
      <c r="A2114" s="22">
        <v>6</v>
      </c>
      <c r="B2114" t="s">
        <v>801</v>
      </c>
      <c r="C2114" t="s">
        <v>802</v>
      </c>
      <c r="D2114"/>
      <c r="E2114" t="s">
        <v>3212</v>
      </c>
      <c r="F2114">
        <v>9003455</v>
      </c>
      <c r="G2114" t="s">
        <v>3213</v>
      </c>
      <c r="H2114" t="s">
        <v>805</v>
      </c>
      <c r="I2114">
        <v>4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4</v>
      </c>
      <c r="P2114" s="44" t="e">
        <f>_xlfn.XLOOKUP(Tabla5[[#This Row],[EAN CORREGIDO]],'Tabla Articulos'!B:B,'Tabla Articulos'!D:D)</f>
        <v>#N/A</v>
      </c>
      <c r="Q2114" s="44" t="e">
        <f>_xlfn.XLOOKUP(S2114,'Tabla Articulos'!B:B,'Tabla Articulos'!E:E)</f>
        <v>#N/A</v>
      </c>
      <c r="R2114" s="44" t="e">
        <f t="shared" si="66"/>
        <v>#N/A</v>
      </c>
      <c r="S2114" s="45" t="str">
        <f t="shared" si="67"/>
        <v>UNIF000388</v>
      </c>
    </row>
    <row r="2115" spans="1:19" hidden="1" x14ac:dyDescent="0.35">
      <c r="A2115" s="22">
        <v>6</v>
      </c>
      <c r="B2115" t="s">
        <v>801</v>
      </c>
      <c r="C2115" t="s">
        <v>802</v>
      </c>
      <c r="D2115"/>
      <c r="E2115" t="s">
        <v>3214</v>
      </c>
      <c r="F2115">
        <v>2011451</v>
      </c>
      <c r="G2115" t="s">
        <v>3215</v>
      </c>
      <c r="H2115" t="s">
        <v>805</v>
      </c>
      <c r="I2115">
        <v>48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48</v>
      </c>
      <c r="P2115" s="44" t="e">
        <f>_xlfn.XLOOKUP(Tabla5[[#This Row],[EAN CORREGIDO]],'Tabla Articulos'!B:B,'Tabla Articulos'!D:D)</f>
        <v>#N/A</v>
      </c>
      <c r="Q2115" s="44" t="e">
        <f>_xlfn.XLOOKUP(S2115,'Tabla Articulos'!B:B,'Tabla Articulos'!E:E)</f>
        <v>#N/A</v>
      </c>
      <c r="R2115" s="44" t="e">
        <f t="shared" si="66"/>
        <v>#N/A</v>
      </c>
      <c r="S2115" s="45" t="str">
        <f t="shared" si="67"/>
        <v>7793253004316</v>
      </c>
    </row>
    <row r="2116" spans="1:19" hidden="1" x14ac:dyDescent="0.35">
      <c r="A2116" s="22">
        <v>1</v>
      </c>
      <c r="B2116" t="s">
        <v>812</v>
      </c>
      <c r="C2116" t="s">
        <v>802</v>
      </c>
      <c r="D2116" t="s">
        <v>3216</v>
      </c>
      <c r="E2116" t="s">
        <v>3217</v>
      </c>
      <c r="F2116">
        <v>4019552</v>
      </c>
      <c r="G2116" t="s">
        <v>3218</v>
      </c>
      <c r="H2116" t="s">
        <v>805</v>
      </c>
      <c r="I2116">
        <v>15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15</v>
      </c>
      <c r="P2116" s="44" t="e">
        <f>_xlfn.XLOOKUP(Tabla5[[#This Row],[EAN CORREGIDO]],'Tabla Articulos'!B:B,'Tabla Articulos'!D:D)</f>
        <v>#N/A</v>
      </c>
      <c r="Q2116" s="44" t="e">
        <f>_xlfn.XLOOKUP(S2116,'Tabla Articulos'!B:B,'Tabla Articulos'!E:E)</f>
        <v>#N/A</v>
      </c>
      <c r="R2116" s="44" t="e">
        <f t="shared" si="66"/>
        <v>#N/A</v>
      </c>
      <c r="S2116" s="45" t="str">
        <f t="shared" si="67"/>
        <v>7790070933638</v>
      </c>
    </row>
    <row r="2117" spans="1:19" hidden="1" x14ac:dyDescent="0.35">
      <c r="A2117" s="22">
        <v>6</v>
      </c>
      <c r="B2117" t="s">
        <v>801</v>
      </c>
      <c r="C2117" t="s">
        <v>802</v>
      </c>
      <c r="D2117" s="11" t="s">
        <v>328</v>
      </c>
      <c r="E2117" t="s">
        <v>3219</v>
      </c>
      <c r="F2117">
        <v>2007252</v>
      </c>
      <c r="G2117" t="s">
        <v>3220</v>
      </c>
      <c r="H2117" t="s">
        <v>805</v>
      </c>
      <c r="I2117">
        <v>147</v>
      </c>
      <c r="J2117">
        <v>0</v>
      </c>
      <c r="K2117">
        <v>0</v>
      </c>
      <c r="L2117">
        <v>50</v>
      </c>
      <c r="M2117">
        <v>50</v>
      </c>
      <c r="N2117">
        <v>0</v>
      </c>
      <c r="O2117">
        <v>47</v>
      </c>
      <c r="P2117" s="44" t="str">
        <f>_xlfn.XLOOKUP(Tabla5[[#This Row],[EAN CORREGIDO]],'Tabla Articulos'!B:B,'Tabla Articulos'!D:D)</f>
        <v>TAPA R5</v>
      </c>
      <c r="Q2117" s="44">
        <f>_xlfn.XLOOKUP(S2117,'Tabla Articulos'!B:B,'Tabla Articulos'!E:E)</f>
        <v>600</v>
      </c>
      <c r="R2117" s="44">
        <f t="shared" si="66"/>
        <v>28200</v>
      </c>
      <c r="S2117" s="45" t="str">
        <f t="shared" si="67"/>
        <v>640000108778</v>
      </c>
    </row>
    <row r="2118" spans="1:19" hidden="1" x14ac:dyDescent="0.35">
      <c r="A2118" s="22">
        <v>6</v>
      </c>
      <c r="B2118" t="s">
        <v>801</v>
      </c>
      <c r="C2118" t="s">
        <v>802</v>
      </c>
      <c r="D2118"/>
      <c r="E2118" t="s">
        <v>3221</v>
      </c>
      <c r="F2118">
        <v>9004204</v>
      </c>
      <c r="G2118" t="s">
        <v>3222</v>
      </c>
      <c r="H2118" t="s">
        <v>805</v>
      </c>
      <c r="I2118">
        <v>20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20</v>
      </c>
      <c r="P2118" s="44" t="e">
        <f>_xlfn.XLOOKUP(Tabla5[[#This Row],[EAN CORREGIDO]],'Tabla Articulos'!B:B,'Tabla Articulos'!D:D)</f>
        <v>#N/A</v>
      </c>
      <c r="Q2118" s="44" t="e">
        <f>_xlfn.XLOOKUP(S2118,'Tabla Articulos'!B:B,'Tabla Articulos'!E:E)</f>
        <v>#N/A</v>
      </c>
      <c r="R2118" s="44" t="e">
        <f t="shared" si="66"/>
        <v>#N/A</v>
      </c>
      <c r="S2118" s="45" t="str">
        <f t="shared" si="67"/>
        <v>UNIF000750</v>
      </c>
    </row>
    <row r="2119" spans="1:19" hidden="1" x14ac:dyDescent="0.35">
      <c r="A2119" s="22">
        <v>6</v>
      </c>
      <c r="B2119" t="s">
        <v>801</v>
      </c>
      <c r="C2119" t="s">
        <v>802</v>
      </c>
      <c r="D2119"/>
      <c r="E2119" t="s">
        <v>3223</v>
      </c>
      <c r="F2119">
        <v>9003568</v>
      </c>
      <c r="G2119" t="s">
        <v>3224</v>
      </c>
      <c r="H2119" t="s">
        <v>805</v>
      </c>
      <c r="I2119">
        <v>22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22</v>
      </c>
      <c r="P2119" s="44" t="e">
        <f>_xlfn.XLOOKUP(Tabla5[[#This Row],[EAN CORREGIDO]],'Tabla Articulos'!B:B,'Tabla Articulos'!D:D)</f>
        <v>#N/A</v>
      </c>
      <c r="Q2119" s="44" t="e">
        <f>_xlfn.XLOOKUP(S2119,'Tabla Articulos'!B:B,'Tabla Articulos'!E:E)</f>
        <v>#N/A</v>
      </c>
      <c r="R2119" s="44" t="e">
        <f t="shared" si="66"/>
        <v>#N/A</v>
      </c>
      <c r="S2119" s="45" t="str">
        <f t="shared" si="67"/>
        <v>UNIF000151</v>
      </c>
    </row>
    <row r="2120" spans="1:19" hidden="1" x14ac:dyDescent="0.35">
      <c r="A2120" s="22">
        <v>5</v>
      </c>
      <c r="B2120" t="s">
        <v>829</v>
      </c>
      <c r="C2120" t="s">
        <v>802</v>
      </c>
      <c r="D2120" t="s">
        <v>229</v>
      </c>
      <c r="E2120" t="s">
        <v>3225</v>
      </c>
      <c r="F2120">
        <v>2007069</v>
      </c>
      <c r="G2120" t="s">
        <v>3226</v>
      </c>
      <c r="H2120" t="s">
        <v>805</v>
      </c>
      <c r="I2120">
        <v>23127</v>
      </c>
      <c r="J2120">
        <v>0</v>
      </c>
      <c r="K2120">
        <v>0</v>
      </c>
      <c r="L2120">
        <v>0</v>
      </c>
      <c r="M2120">
        <v>300</v>
      </c>
      <c r="N2120">
        <v>0</v>
      </c>
      <c r="O2120">
        <v>22827</v>
      </c>
      <c r="P2120" s="44" t="str">
        <f>_xlfn.XLOOKUP(Tabla5[[#This Row],[EAN CORREGIDO]],'Tabla Articulos'!B:B,'Tabla Articulos'!D:D)</f>
        <v>CAJA MESA CHICA</v>
      </c>
      <c r="Q2120" s="44">
        <f>_xlfn.XLOOKUP(S2120,'Tabla Articulos'!B:B,'Tabla Articulos'!E:E)</f>
        <v>1</v>
      </c>
      <c r="R2120" s="44">
        <f t="shared" si="66"/>
        <v>22827</v>
      </c>
      <c r="S2120" s="45" t="str">
        <f t="shared" si="67"/>
        <v>7790000000150</v>
      </c>
    </row>
    <row r="2121" spans="1:19" hidden="1" x14ac:dyDescent="0.35">
      <c r="A2121" s="22">
        <v>5</v>
      </c>
      <c r="B2121" t="s">
        <v>829</v>
      </c>
      <c r="C2121" t="s">
        <v>802</v>
      </c>
      <c r="D2121" t="s">
        <v>3227</v>
      </c>
      <c r="E2121" t="s">
        <v>3228</v>
      </c>
      <c r="F2121">
        <v>4019510</v>
      </c>
      <c r="G2121" t="s">
        <v>3229</v>
      </c>
      <c r="H2121" t="s">
        <v>805</v>
      </c>
      <c r="I2121">
        <v>289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289</v>
      </c>
      <c r="P2121" s="44" t="e">
        <f>_xlfn.XLOOKUP(Tabla5[[#This Row],[EAN CORREGIDO]],'Tabla Articulos'!B:B,'Tabla Articulos'!D:D)</f>
        <v>#N/A</v>
      </c>
      <c r="Q2121" s="44" t="e">
        <f>_xlfn.XLOOKUP(S2121,'Tabla Articulos'!B:B,'Tabla Articulos'!E:E)</f>
        <v>#N/A</v>
      </c>
      <c r="R2121" s="44" t="e">
        <f t="shared" si="66"/>
        <v>#N/A</v>
      </c>
      <c r="S2121" s="45" t="str">
        <f t="shared" si="67"/>
        <v>7790070335975</v>
      </c>
    </row>
    <row r="2122" spans="1:19" hidden="1" x14ac:dyDescent="0.35">
      <c r="A2122" s="22">
        <v>1</v>
      </c>
      <c r="B2122" t="s">
        <v>812</v>
      </c>
      <c r="C2122" t="s">
        <v>802</v>
      </c>
      <c r="D2122" s="11" t="s">
        <v>3227</v>
      </c>
      <c r="E2122" t="s">
        <v>3228</v>
      </c>
      <c r="F2122">
        <v>4019510</v>
      </c>
      <c r="G2122" t="s">
        <v>3229</v>
      </c>
      <c r="H2122" t="s">
        <v>805</v>
      </c>
      <c r="I2122">
        <v>100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100</v>
      </c>
      <c r="P2122" s="44" t="e">
        <f>_xlfn.XLOOKUP(Tabla5[[#This Row],[EAN CORREGIDO]],'Tabla Articulos'!B:B,'Tabla Articulos'!D:D)</f>
        <v>#N/A</v>
      </c>
      <c r="Q2122" s="44" t="e">
        <f>_xlfn.XLOOKUP(S2122,'Tabla Articulos'!B:B,'Tabla Articulos'!E:E)</f>
        <v>#N/A</v>
      </c>
      <c r="R2122" s="44" t="e">
        <f t="shared" si="66"/>
        <v>#N/A</v>
      </c>
      <c r="S2122" s="45" t="str">
        <f t="shared" si="67"/>
        <v>7790070335975</v>
      </c>
    </row>
    <row r="2123" spans="1:19" hidden="1" x14ac:dyDescent="0.35">
      <c r="A2123" s="22">
        <v>6</v>
      </c>
      <c r="B2123" t="s">
        <v>801</v>
      </c>
      <c r="C2123" t="s">
        <v>802</v>
      </c>
      <c r="D2123"/>
      <c r="E2123" t="s">
        <v>3230</v>
      </c>
      <c r="F2123">
        <v>9004072</v>
      </c>
      <c r="G2123" t="s">
        <v>3231</v>
      </c>
      <c r="H2123" t="s">
        <v>805</v>
      </c>
      <c r="I2123">
        <v>53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53</v>
      </c>
      <c r="P2123" s="44" t="e">
        <f>_xlfn.XLOOKUP(Tabla5[[#This Row],[EAN CORREGIDO]],'Tabla Articulos'!B:B,'Tabla Articulos'!D:D)</f>
        <v>#N/A</v>
      </c>
      <c r="Q2123" s="44" t="e">
        <f>_xlfn.XLOOKUP(S2123,'Tabla Articulos'!B:B,'Tabla Articulos'!E:E)</f>
        <v>#N/A</v>
      </c>
      <c r="R2123" s="44" t="e">
        <f t="shared" si="66"/>
        <v>#N/A</v>
      </c>
      <c r="S2123" s="45" t="str">
        <f t="shared" si="67"/>
        <v>UNIF000713</v>
      </c>
    </row>
    <row r="2124" spans="1:19" hidden="1" x14ac:dyDescent="0.35">
      <c r="A2124" s="22">
        <v>6</v>
      </c>
      <c r="B2124" t="s">
        <v>801</v>
      </c>
      <c r="C2124" t="s">
        <v>802</v>
      </c>
      <c r="D2124"/>
      <c r="E2124" t="s">
        <v>3068</v>
      </c>
      <c r="F2124">
        <v>9003547</v>
      </c>
      <c r="G2124" t="s">
        <v>3069</v>
      </c>
      <c r="H2124" t="s">
        <v>805</v>
      </c>
      <c r="I2124">
        <v>23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23</v>
      </c>
      <c r="P2124" s="44" t="e">
        <f>_xlfn.XLOOKUP(Tabla5[[#This Row],[EAN CORREGIDO]],'Tabla Articulos'!B:B,'Tabla Articulos'!D:D)</f>
        <v>#N/A</v>
      </c>
      <c r="Q2124" s="44" t="e">
        <f>_xlfn.XLOOKUP(S2124,'Tabla Articulos'!B:B,'Tabla Articulos'!E:E)</f>
        <v>#N/A</v>
      </c>
      <c r="R2124" s="44" t="e">
        <f t="shared" si="66"/>
        <v>#N/A</v>
      </c>
      <c r="S2124" s="45" t="str">
        <f t="shared" si="67"/>
        <v>UNIF000086</v>
      </c>
    </row>
    <row r="2125" spans="1:19" hidden="1" x14ac:dyDescent="0.35">
      <c r="A2125" s="22">
        <v>6</v>
      </c>
      <c r="B2125" t="s">
        <v>801</v>
      </c>
      <c r="C2125" t="s">
        <v>802</v>
      </c>
      <c r="D2125"/>
      <c r="E2125" t="s">
        <v>3070</v>
      </c>
      <c r="F2125">
        <v>9003223</v>
      </c>
      <c r="G2125" t="s">
        <v>3071</v>
      </c>
      <c r="H2125" t="s">
        <v>805</v>
      </c>
      <c r="I2125">
        <v>0</v>
      </c>
      <c r="J2125">
        <v>273</v>
      </c>
      <c r="K2125">
        <v>0</v>
      </c>
      <c r="L2125">
        <v>0</v>
      </c>
      <c r="M2125">
        <v>0</v>
      </c>
      <c r="N2125">
        <v>0</v>
      </c>
      <c r="O2125">
        <v>273</v>
      </c>
      <c r="P2125" s="44" t="e">
        <f>_xlfn.XLOOKUP(Tabla5[[#This Row],[EAN CORREGIDO]],'Tabla Articulos'!B:B,'Tabla Articulos'!D:D)</f>
        <v>#N/A</v>
      </c>
      <c r="Q2125" s="44" t="e">
        <f>_xlfn.XLOOKUP(S2125,'Tabla Articulos'!B:B,'Tabla Articulos'!E:E)</f>
        <v>#N/A</v>
      </c>
      <c r="R2125" s="44" t="e">
        <f t="shared" si="66"/>
        <v>#N/A</v>
      </c>
      <c r="S2125" s="45" t="str">
        <f t="shared" si="67"/>
        <v>UNIF000123</v>
      </c>
    </row>
    <row r="2126" spans="1:19" hidden="1" x14ac:dyDescent="0.35">
      <c r="A2126" s="22">
        <v>5</v>
      </c>
      <c r="B2126" t="s">
        <v>829</v>
      </c>
      <c r="C2126" t="s">
        <v>802</v>
      </c>
      <c r="D2126" s="11" t="s">
        <v>1066</v>
      </c>
      <c r="E2126" t="s">
        <v>3072</v>
      </c>
      <c r="F2126">
        <v>4022661</v>
      </c>
      <c r="G2126" t="s">
        <v>3073</v>
      </c>
      <c r="H2126" t="s">
        <v>805</v>
      </c>
      <c r="I2126">
        <v>6657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6657</v>
      </c>
      <c r="P2126" s="44" t="e">
        <f>_xlfn.XLOOKUP(Tabla5[[#This Row],[EAN CORREGIDO]],'Tabla Articulos'!B:B,'Tabla Articulos'!D:D)</f>
        <v>#N/A</v>
      </c>
      <c r="Q2126" s="44" t="e">
        <f>_xlfn.XLOOKUP(S2126,'Tabla Articulos'!B:B,'Tabla Articulos'!E:E)</f>
        <v>#N/A</v>
      </c>
      <c r="R2126" s="44" t="e">
        <f t="shared" si="66"/>
        <v>#N/A</v>
      </c>
      <c r="S2126" s="45" t="str">
        <f t="shared" si="67"/>
        <v>7798132920398</v>
      </c>
    </row>
    <row r="2127" spans="1:19" hidden="1" x14ac:dyDescent="0.35">
      <c r="A2127" s="22">
        <v>6</v>
      </c>
      <c r="B2127" t="s">
        <v>801</v>
      </c>
      <c r="C2127" t="s">
        <v>802</v>
      </c>
      <c r="E2127" t="s">
        <v>3120</v>
      </c>
      <c r="F2127">
        <v>2016643</v>
      </c>
      <c r="G2127" t="s">
        <v>3121</v>
      </c>
      <c r="H2127" t="s">
        <v>805</v>
      </c>
      <c r="I2127">
        <v>133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133</v>
      </c>
      <c r="P2127" s="44" t="e">
        <f>_xlfn.XLOOKUP(Tabla5[[#This Row],[EAN CORREGIDO]],'Tabla Articulos'!B:B,'Tabla Articulos'!D:D)</f>
        <v>#N/A</v>
      </c>
      <c r="Q2127" s="44" t="e">
        <f>_xlfn.XLOOKUP(S2127,'Tabla Articulos'!B:B,'Tabla Articulos'!E:E)</f>
        <v>#N/A</v>
      </c>
      <c r="R2127" s="44" t="e">
        <f t="shared" si="66"/>
        <v>#N/A</v>
      </c>
      <c r="S2127" s="45" t="str">
        <f t="shared" si="67"/>
        <v>7798287511038</v>
      </c>
    </row>
    <row r="2128" spans="1:19" hidden="1" x14ac:dyDescent="0.35">
      <c r="A2128" s="22">
        <v>6</v>
      </c>
      <c r="B2128" t="s">
        <v>801</v>
      </c>
      <c r="C2128" t="s">
        <v>802</v>
      </c>
      <c r="E2128" t="s">
        <v>3122</v>
      </c>
      <c r="F2128">
        <v>9003148</v>
      </c>
      <c r="G2128" t="s">
        <v>3123</v>
      </c>
      <c r="H2128" t="s">
        <v>805</v>
      </c>
      <c r="I2128">
        <v>17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17</v>
      </c>
      <c r="P2128" s="44" t="e">
        <f>_xlfn.XLOOKUP(Tabla5[[#This Row],[EAN CORREGIDO]],'Tabla Articulos'!B:B,'Tabla Articulos'!D:D)</f>
        <v>#N/A</v>
      </c>
      <c r="Q2128" s="44" t="e">
        <f>_xlfn.XLOOKUP(S2128,'Tabla Articulos'!B:B,'Tabla Articulos'!E:E)</f>
        <v>#N/A</v>
      </c>
      <c r="R2128" s="44" t="e">
        <f t="shared" si="66"/>
        <v>#N/A</v>
      </c>
      <c r="S2128" s="45" t="str">
        <f t="shared" si="67"/>
        <v>UNIF000610</v>
      </c>
    </row>
    <row r="2129" spans="1:19" hidden="1" x14ac:dyDescent="0.35">
      <c r="A2129" s="22">
        <v>5</v>
      </c>
      <c r="B2129" t="s">
        <v>829</v>
      </c>
      <c r="C2129" t="s">
        <v>802</v>
      </c>
      <c r="D2129" t="s">
        <v>2751</v>
      </c>
      <c r="E2129" t="s">
        <v>3124</v>
      </c>
      <c r="F2129">
        <v>4019844</v>
      </c>
      <c r="G2129" t="s">
        <v>3125</v>
      </c>
      <c r="H2129" t="s">
        <v>805</v>
      </c>
      <c r="I2129">
        <v>4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4</v>
      </c>
      <c r="P2129" s="44" t="e">
        <f>_xlfn.XLOOKUP(Tabla5[[#This Row],[EAN CORREGIDO]],'Tabla Articulos'!B:B,'Tabla Articulos'!D:D)</f>
        <v>#N/A</v>
      </c>
      <c r="Q2129" s="44" t="e">
        <f>_xlfn.XLOOKUP(S2129,'Tabla Articulos'!B:B,'Tabla Articulos'!E:E)</f>
        <v>#N/A</v>
      </c>
      <c r="R2129" s="44" t="e">
        <f t="shared" si="66"/>
        <v>#N/A</v>
      </c>
      <c r="S2129" s="45" t="str">
        <f t="shared" si="67"/>
        <v>7790530850215</v>
      </c>
    </row>
    <row r="2130" spans="1:19" hidden="1" x14ac:dyDescent="0.35">
      <c r="A2130" s="22">
        <v>1</v>
      </c>
      <c r="B2130" t="s">
        <v>812</v>
      </c>
      <c r="C2130" t="s">
        <v>802</v>
      </c>
      <c r="D2130" s="11" t="s">
        <v>2751</v>
      </c>
      <c r="E2130" t="s">
        <v>3124</v>
      </c>
      <c r="F2130">
        <v>4019844</v>
      </c>
      <c r="G2130" t="s">
        <v>3125</v>
      </c>
      <c r="H2130" t="s">
        <v>805</v>
      </c>
      <c r="I2130">
        <v>127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127</v>
      </c>
      <c r="P2130" s="44" t="e">
        <f>_xlfn.XLOOKUP(Tabla5[[#This Row],[EAN CORREGIDO]],'Tabla Articulos'!B:B,'Tabla Articulos'!D:D)</f>
        <v>#N/A</v>
      </c>
      <c r="Q2130" s="44" t="e">
        <f>_xlfn.XLOOKUP(S2130,'Tabla Articulos'!B:B,'Tabla Articulos'!E:E)</f>
        <v>#N/A</v>
      </c>
      <c r="R2130" s="44" t="e">
        <f t="shared" si="66"/>
        <v>#N/A</v>
      </c>
      <c r="S2130" s="45" t="str">
        <f t="shared" si="67"/>
        <v>7790530850215</v>
      </c>
    </row>
    <row r="2131" spans="1:19" hidden="1" x14ac:dyDescent="0.35">
      <c r="A2131" s="22">
        <v>1</v>
      </c>
      <c r="B2131" t="s">
        <v>812</v>
      </c>
      <c r="C2131" t="s">
        <v>802</v>
      </c>
      <c r="D2131" s="11" t="s">
        <v>3126</v>
      </c>
      <c r="E2131" t="s">
        <v>3127</v>
      </c>
      <c r="F2131">
        <v>4049108</v>
      </c>
      <c r="G2131" t="s">
        <v>3128</v>
      </c>
      <c r="H2131" t="s">
        <v>805</v>
      </c>
      <c r="I2131">
        <v>21</v>
      </c>
      <c r="J2131">
        <v>512</v>
      </c>
      <c r="K2131">
        <v>0</v>
      </c>
      <c r="L2131">
        <v>0</v>
      </c>
      <c r="M2131">
        <v>0</v>
      </c>
      <c r="N2131">
        <v>0</v>
      </c>
      <c r="O2131">
        <v>533</v>
      </c>
      <c r="P2131" s="44" t="e">
        <f>_xlfn.XLOOKUP(Tabla5[[#This Row],[EAN CORREGIDO]],'Tabla Articulos'!B:B,'Tabla Articulos'!D:D)</f>
        <v>#N/A</v>
      </c>
      <c r="Q2131" s="44" t="e">
        <f>_xlfn.XLOOKUP(S2131,'Tabla Articulos'!B:B,'Tabla Articulos'!E:E)</f>
        <v>#N/A</v>
      </c>
      <c r="R2131" s="44" t="e">
        <f t="shared" si="66"/>
        <v>#N/A</v>
      </c>
      <c r="S2131" s="45" t="str">
        <f t="shared" si="67"/>
        <v>7790726119829</v>
      </c>
    </row>
    <row r="2132" spans="1:19" hidden="1" x14ac:dyDescent="0.35">
      <c r="A2132" s="22">
        <v>5</v>
      </c>
      <c r="B2132" t="s">
        <v>829</v>
      </c>
      <c r="C2132" t="s">
        <v>802</v>
      </c>
      <c r="D2132" s="11" t="s">
        <v>3126</v>
      </c>
      <c r="E2132" t="s">
        <v>3127</v>
      </c>
      <c r="F2132" s="11">
        <v>4049108</v>
      </c>
      <c r="G2132" t="s">
        <v>3128</v>
      </c>
      <c r="H2132" t="s">
        <v>805</v>
      </c>
      <c r="I2132">
        <v>14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14</v>
      </c>
      <c r="P2132" s="44" t="e">
        <f>_xlfn.XLOOKUP(Tabla5[[#This Row],[EAN CORREGIDO]],'Tabla Articulos'!B:B,'Tabla Articulos'!D:D)</f>
        <v>#N/A</v>
      </c>
      <c r="Q2132" s="44" t="e">
        <f>_xlfn.XLOOKUP(S2132,'Tabla Articulos'!B:B,'Tabla Articulos'!E:E)</f>
        <v>#N/A</v>
      </c>
      <c r="R2132" s="44" t="e">
        <f t="shared" si="66"/>
        <v>#N/A</v>
      </c>
      <c r="S2132" s="45" t="str">
        <f t="shared" si="67"/>
        <v>7790726119829</v>
      </c>
    </row>
    <row r="2133" spans="1:19" hidden="1" x14ac:dyDescent="0.35">
      <c r="A2133" s="22">
        <v>6</v>
      </c>
      <c r="B2133" t="s">
        <v>801</v>
      </c>
      <c r="C2133" t="s">
        <v>802</v>
      </c>
      <c r="E2133" t="s">
        <v>1284</v>
      </c>
      <c r="F2133" s="11">
        <v>9003257</v>
      </c>
      <c r="G2133" t="s">
        <v>1285</v>
      </c>
      <c r="H2133" t="s">
        <v>805</v>
      </c>
      <c r="I2133">
        <v>59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59</v>
      </c>
      <c r="P2133" s="44" t="e">
        <f>_xlfn.XLOOKUP(Tabla5[[#This Row],[EAN CORREGIDO]],'Tabla Articulos'!B:B,'Tabla Articulos'!D:D)</f>
        <v>#N/A</v>
      </c>
      <c r="Q2133" s="44" t="e">
        <f>_xlfn.XLOOKUP(S2133,'Tabla Articulos'!B:B,'Tabla Articulos'!E:E)</f>
        <v>#N/A</v>
      </c>
      <c r="R2133" s="44" t="e">
        <f t="shared" si="66"/>
        <v>#N/A</v>
      </c>
      <c r="S2133" s="45" t="str">
        <f t="shared" si="67"/>
        <v>UNIF000485</v>
      </c>
    </row>
    <row r="2134" spans="1:19" hidden="1" x14ac:dyDescent="0.35">
      <c r="A2134" s="22">
        <v>6</v>
      </c>
      <c r="B2134" t="s">
        <v>801</v>
      </c>
      <c r="C2134" t="s">
        <v>802</v>
      </c>
      <c r="D2134" s="11" t="s">
        <v>841</v>
      </c>
      <c r="E2134" t="s">
        <v>1286</v>
      </c>
      <c r="F2134" s="11">
        <v>2006658</v>
      </c>
      <c r="G2134" t="s">
        <v>1287</v>
      </c>
      <c r="H2134" t="s">
        <v>805</v>
      </c>
      <c r="I2134">
        <v>6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6</v>
      </c>
      <c r="P2134" s="44" t="e">
        <f>_xlfn.XLOOKUP(Tabla5[[#This Row],[EAN CORREGIDO]],'Tabla Articulos'!B:B,'Tabla Articulos'!D:D)</f>
        <v>#N/A</v>
      </c>
      <c r="Q2134" s="44" t="e">
        <f>_xlfn.XLOOKUP(S2134,'Tabla Articulos'!B:B,'Tabla Articulos'!E:E)</f>
        <v>#N/A</v>
      </c>
      <c r="R2134" s="44" t="e">
        <f t="shared" si="66"/>
        <v>#N/A</v>
      </c>
      <c r="S2134" s="45" t="str">
        <f t="shared" si="67"/>
        <v>7793253004444</v>
      </c>
    </row>
    <row r="2135" spans="1:19" hidden="1" x14ac:dyDescent="0.35">
      <c r="A2135" s="22">
        <v>5</v>
      </c>
      <c r="B2135" t="s">
        <v>829</v>
      </c>
      <c r="C2135" t="s">
        <v>802</v>
      </c>
      <c r="D2135" s="11" t="s">
        <v>1288</v>
      </c>
      <c r="E2135" t="s">
        <v>1289</v>
      </c>
      <c r="F2135" s="11">
        <v>4020044</v>
      </c>
      <c r="G2135" t="s">
        <v>1290</v>
      </c>
      <c r="H2135" t="s">
        <v>805</v>
      </c>
      <c r="I2135">
        <v>982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982</v>
      </c>
      <c r="P2135" s="44" t="e">
        <f>_xlfn.XLOOKUP(Tabla5[[#This Row],[EAN CORREGIDO]],'Tabla Articulos'!B:B,'Tabla Articulos'!D:D)</f>
        <v>#N/A</v>
      </c>
      <c r="Q2135" s="44" t="e">
        <f>_xlfn.XLOOKUP(S2135,'Tabla Articulos'!B:B,'Tabla Articulos'!E:E)</f>
        <v>#N/A</v>
      </c>
      <c r="R2135" s="44" t="e">
        <f t="shared" si="66"/>
        <v>#N/A</v>
      </c>
      <c r="S2135" s="45" t="str">
        <f t="shared" si="67"/>
        <v>7792350067071</v>
      </c>
    </row>
    <row r="2136" spans="1:19" hidden="1" x14ac:dyDescent="0.35">
      <c r="A2136" s="22">
        <v>1</v>
      </c>
      <c r="B2136" t="s">
        <v>812</v>
      </c>
      <c r="C2136" t="s">
        <v>802</v>
      </c>
      <c r="D2136" s="11" t="s">
        <v>1288</v>
      </c>
      <c r="E2136" t="s">
        <v>1289</v>
      </c>
      <c r="F2136" s="11">
        <v>4020044</v>
      </c>
      <c r="G2136" t="s">
        <v>1290</v>
      </c>
      <c r="H2136" t="s">
        <v>805</v>
      </c>
      <c r="I2136">
        <v>366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366</v>
      </c>
      <c r="P2136" s="44" t="e">
        <f>_xlfn.XLOOKUP(Tabla5[[#This Row],[EAN CORREGIDO]],'Tabla Articulos'!B:B,'Tabla Articulos'!D:D)</f>
        <v>#N/A</v>
      </c>
      <c r="Q2136" s="44" t="e">
        <f>_xlfn.XLOOKUP(S2136,'Tabla Articulos'!B:B,'Tabla Articulos'!E:E)</f>
        <v>#N/A</v>
      </c>
      <c r="R2136" s="44" t="e">
        <f t="shared" si="66"/>
        <v>#N/A</v>
      </c>
      <c r="S2136" s="45" t="str">
        <f t="shared" si="67"/>
        <v>7792350067071</v>
      </c>
    </row>
    <row r="2137" spans="1:19" hidden="1" x14ac:dyDescent="0.35">
      <c r="A2137" s="22">
        <v>6</v>
      </c>
      <c r="B2137" t="s">
        <v>801</v>
      </c>
      <c r="C2137" t="s">
        <v>802</v>
      </c>
      <c r="E2137" t="s">
        <v>1291</v>
      </c>
      <c r="F2137" s="11">
        <v>9003129</v>
      </c>
      <c r="G2137" t="s">
        <v>1292</v>
      </c>
      <c r="H2137" t="s">
        <v>805</v>
      </c>
      <c r="I2137">
        <v>123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123</v>
      </c>
      <c r="P2137" s="44" t="e">
        <f>_xlfn.XLOOKUP(Tabla5[[#This Row],[EAN CORREGIDO]],'Tabla Articulos'!B:B,'Tabla Articulos'!D:D)</f>
        <v>#N/A</v>
      </c>
      <c r="Q2137" s="44" t="e">
        <f>_xlfn.XLOOKUP(S2137,'Tabla Articulos'!B:B,'Tabla Articulos'!E:E)</f>
        <v>#N/A</v>
      </c>
      <c r="R2137" s="44" t="e">
        <f t="shared" si="66"/>
        <v>#N/A</v>
      </c>
      <c r="S2137" s="45" t="str">
        <f t="shared" si="67"/>
        <v>UNIF000591</v>
      </c>
    </row>
    <row r="2138" spans="1:19" hidden="1" x14ac:dyDescent="0.35">
      <c r="A2138" s="22">
        <v>6</v>
      </c>
      <c r="B2138" t="s">
        <v>801</v>
      </c>
      <c r="C2138" t="s">
        <v>802</v>
      </c>
      <c r="E2138" t="s">
        <v>3275</v>
      </c>
      <c r="G2138" t="s">
        <v>3276</v>
      </c>
      <c r="H2138" t="s">
        <v>805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2</v>
      </c>
      <c r="P2138" s="44" t="e">
        <f>_xlfn.XLOOKUP(Tabla5[[#This Row],[EAN CORREGIDO]],'Tabla Articulos'!B:B,'Tabla Articulos'!D:D)</f>
        <v>#N/A</v>
      </c>
      <c r="Q2138" s="44" t="e">
        <f>_xlfn.XLOOKUP(S2138,'Tabla Articulos'!B:B,'Tabla Articulos'!E:E)</f>
        <v>#N/A</v>
      </c>
      <c r="R2138" s="44" t="e">
        <f t="shared" si="66"/>
        <v>#N/A</v>
      </c>
      <c r="S2138" s="45" t="str">
        <f t="shared" si="67"/>
        <v>BUSAT000619</v>
      </c>
    </row>
    <row r="2139" spans="1:19" hidden="1" x14ac:dyDescent="0.35">
      <c r="A2139" s="22">
        <v>6</v>
      </c>
      <c r="B2139" t="s">
        <v>801</v>
      </c>
      <c r="C2139" t="s">
        <v>802</v>
      </c>
      <c r="E2139" t="s">
        <v>3277</v>
      </c>
      <c r="G2139" t="s">
        <v>3278</v>
      </c>
      <c r="H2139" t="s">
        <v>805</v>
      </c>
      <c r="I2139">
        <v>24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24</v>
      </c>
      <c r="P2139" s="44" t="e">
        <f>_xlfn.XLOOKUP(Tabla5[[#This Row],[EAN CORREGIDO]],'Tabla Articulos'!B:B,'Tabla Articulos'!D:D)</f>
        <v>#N/A</v>
      </c>
      <c r="Q2139" s="44" t="e">
        <f>_xlfn.XLOOKUP(S2139,'Tabla Articulos'!B:B,'Tabla Articulos'!E:E)</f>
        <v>#N/A</v>
      </c>
      <c r="R2139" s="44" t="e">
        <f t="shared" si="66"/>
        <v>#N/A</v>
      </c>
      <c r="S2139" s="45" t="str">
        <f t="shared" si="67"/>
        <v>BUSAT000044</v>
      </c>
    </row>
    <row r="2140" spans="1:19" hidden="1" x14ac:dyDescent="0.35">
      <c r="A2140" s="22">
        <v>6</v>
      </c>
      <c r="B2140" t="s">
        <v>801</v>
      </c>
      <c r="C2140" t="s">
        <v>802</v>
      </c>
      <c r="E2140" t="s">
        <v>3279</v>
      </c>
      <c r="G2140" t="s">
        <v>3280</v>
      </c>
      <c r="H2140" t="s">
        <v>805</v>
      </c>
      <c r="I2140">
        <v>2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2</v>
      </c>
      <c r="P2140" s="44" t="e">
        <f>_xlfn.XLOOKUP(Tabla5[[#This Row],[EAN CORREGIDO]],'Tabla Articulos'!B:B,'Tabla Articulos'!D:D)</f>
        <v>#N/A</v>
      </c>
      <c r="Q2140" s="44" t="e">
        <f>_xlfn.XLOOKUP(S2140,'Tabla Articulos'!B:B,'Tabla Articulos'!E:E)</f>
        <v>#N/A</v>
      </c>
      <c r="R2140" s="44" t="e">
        <f t="shared" si="66"/>
        <v>#N/A</v>
      </c>
      <c r="S2140" s="45" t="str">
        <f t="shared" si="67"/>
        <v>BUSAT000160</v>
      </c>
    </row>
    <row r="2141" spans="1:19" hidden="1" x14ac:dyDescent="0.35">
      <c r="A2141" s="22">
        <v>6</v>
      </c>
      <c r="B2141" t="s">
        <v>801</v>
      </c>
      <c r="C2141" t="s">
        <v>802</v>
      </c>
      <c r="E2141" t="s">
        <v>3281</v>
      </c>
      <c r="G2141" t="s">
        <v>3282</v>
      </c>
      <c r="H2141" t="s">
        <v>805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</v>
      </c>
      <c r="P2141" s="44" t="e">
        <f>_xlfn.XLOOKUP(Tabla5[[#This Row],[EAN CORREGIDO]],'Tabla Articulos'!B:B,'Tabla Articulos'!D:D)</f>
        <v>#N/A</v>
      </c>
      <c r="Q2141" s="44" t="e">
        <f>_xlfn.XLOOKUP(S2141,'Tabla Articulos'!B:B,'Tabla Articulos'!E:E)</f>
        <v>#N/A</v>
      </c>
      <c r="R2141" s="44" t="e">
        <f t="shared" si="66"/>
        <v>#N/A</v>
      </c>
      <c r="S2141" s="45" t="str">
        <f t="shared" si="67"/>
        <v>BUSAT000308</v>
      </c>
    </row>
    <row r="2142" spans="1:19" hidden="1" x14ac:dyDescent="0.35">
      <c r="A2142" s="22">
        <v>6</v>
      </c>
      <c r="B2142" t="s">
        <v>801</v>
      </c>
      <c r="C2142" t="s">
        <v>802</v>
      </c>
      <c r="E2142" t="s">
        <v>3283</v>
      </c>
      <c r="G2142" t="s">
        <v>3284</v>
      </c>
      <c r="H2142" t="s">
        <v>805</v>
      </c>
      <c r="I2142">
        <v>0</v>
      </c>
      <c r="J2142">
        <v>1</v>
      </c>
      <c r="K2142">
        <v>0</v>
      </c>
      <c r="L2142">
        <v>0</v>
      </c>
      <c r="M2142">
        <v>0</v>
      </c>
      <c r="N2142">
        <v>0</v>
      </c>
      <c r="O2142">
        <v>1</v>
      </c>
      <c r="P2142" s="44" t="e">
        <f>_xlfn.XLOOKUP(Tabla5[[#This Row],[EAN CORREGIDO]],'Tabla Articulos'!B:B,'Tabla Articulos'!D:D)</f>
        <v>#N/A</v>
      </c>
      <c r="Q2142" s="44" t="e">
        <f>_xlfn.XLOOKUP(S2142,'Tabla Articulos'!B:B,'Tabla Articulos'!E:E)</f>
        <v>#N/A</v>
      </c>
      <c r="R2142" s="44" t="e">
        <f t="shared" si="66"/>
        <v>#N/A</v>
      </c>
      <c r="S2142" s="45" t="str">
        <f t="shared" si="67"/>
        <v>BUSAT000196</v>
      </c>
    </row>
    <row r="2143" spans="1:19" hidden="1" x14ac:dyDescent="0.35">
      <c r="A2143" s="22">
        <v>6</v>
      </c>
      <c r="B2143" t="s">
        <v>801</v>
      </c>
      <c r="C2143" t="s">
        <v>802</v>
      </c>
      <c r="E2143" t="s">
        <v>3285</v>
      </c>
      <c r="G2143" t="s">
        <v>3286</v>
      </c>
      <c r="H2143" t="s">
        <v>805</v>
      </c>
      <c r="I2143">
        <v>5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5</v>
      </c>
      <c r="P2143" s="44" t="e">
        <f>_xlfn.XLOOKUP(Tabla5[[#This Row],[EAN CORREGIDO]],'Tabla Articulos'!B:B,'Tabla Articulos'!D:D)</f>
        <v>#N/A</v>
      </c>
      <c r="Q2143" s="44" t="e">
        <f>_xlfn.XLOOKUP(S2143,'Tabla Articulos'!B:B,'Tabla Articulos'!E:E)</f>
        <v>#N/A</v>
      </c>
      <c r="R2143" s="44" t="e">
        <f t="shared" si="66"/>
        <v>#N/A</v>
      </c>
      <c r="S2143" s="45" t="str">
        <f t="shared" si="67"/>
        <v>BUSAT000892</v>
      </c>
    </row>
    <row r="2144" spans="1:19" hidden="1" x14ac:dyDescent="0.35">
      <c r="A2144" s="22">
        <v>6</v>
      </c>
      <c r="B2144" t="s">
        <v>801</v>
      </c>
      <c r="C2144" t="s">
        <v>802</v>
      </c>
      <c r="E2144" t="s">
        <v>3287</v>
      </c>
      <c r="G2144" t="s">
        <v>3288</v>
      </c>
      <c r="H2144" t="s">
        <v>805</v>
      </c>
      <c r="I2144">
        <v>17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17</v>
      </c>
      <c r="P2144" s="44" t="e">
        <f>_xlfn.XLOOKUP(Tabla5[[#This Row],[EAN CORREGIDO]],'Tabla Articulos'!B:B,'Tabla Articulos'!D:D)</f>
        <v>#N/A</v>
      </c>
      <c r="Q2144" s="44" t="e">
        <f>_xlfn.XLOOKUP(S2144,'Tabla Articulos'!B:B,'Tabla Articulos'!E:E)</f>
        <v>#N/A</v>
      </c>
      <c r="R2144" s="44" t="e">
        <f t="shared" si="66"/>
        <v>#N/A</v>
      </c>
      <c r="S2144" s="45" t="str">
        <f t="shared" si="67"/>
        <v>BUSAT000090</v>
      </c>
    </row>
    <row r="2145" spans="1:19" hidden="1" x14ac:dyDescent="0.35">
      <c r="A2145" s="22">
        <v>6</v>
      </c>
      <c r="B2145" t="s">
        <v>801</v>
      </c>
      <c r="C2145" t="s">
        <v>802</v>
      </c>
      <c r="E2145" t="s">
        <v>3289</v>
      </c>
      <c r="G2145" t="s">
        <v>3290</v>
      </c>
      <c r="H2145" t="s">
        <v>805</v>
      </c>
      <c r="I2145">
        <v>75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75</v>
      </c>
      <c r="P2145" s="44" t="e">
        <f>_xlfn.XLOOKUP(Tabla5[[#This Row],[EAN CORREGIDO]],'Tabla Articulos'!B:B,'Tabla Articulos'!D:D)</f>
        <v>#N/A</v>
      </c>
      <c r="Q2145" s="44" t="e">
        <f>_xlfn.XLOOKUP(S2145,'Tabla Articulos'!B:B,'Tabla Articulos'!E:E)</f>
        <v>#N/A</v>
      </c>
      <c r="R2145" s="44" t="e">
        <f t="shared" si="66"/>
        <v>#N/A</v>
      </c>
      <c r="S2145" s="45" t="str">
        <f t="shared" si="67"/>
        <v>BUM312</v>
      </c>
    </row>
    <row r="2146" spans="1:19" hidden="1" x14ac:dyDescent="0.35">
      <c r="A2146" s="22">
        <v>6</v>
      </c>
      <c r="B2146" t="s">
        <v>801</v>
      </c>
      <c r="C2146" t="s">
        <v>802</v>
      </c>
      <c r="E2146" t="s">
        <v>3291</v>
      </c>
      <c r="G2146" t="s">
        <v>3292</v>
      </c>
      <c r="H2146" t="s">
        <v>805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</v>
      </c>
      <c r="P2146" s="44" t="e">
        <f>_xlfn.XLOOKUP(Tabla5[[#This Row],[EAN CORREGIDO]],'Tabla Articulos'!B:B,'Tabla Articulos'!D:D)</f>
        <v>#N/A</v>
      </c>
      <c r="Q2146" s="44" t="e">
        <f>_xlfn.XLOOKUP(S2146,'Tabla Articulos'!B:B,'Tabla Articulos'!E:E)</f>
        <v>#N/A</v>
      </c>
      <c r="R2146" s="44" t="e">
        <f t="shared" si="66"/>
        <v>#N/A</v>
      </c>
      <c r="S2146" s="45" t="str">
        <f t="shared" si="67"/>
        <v>BUSAT000293</v>
      </c>
    </row>
    <row r="2147" spans="1:19" hidden="1" x14ac:dyDescent="0.35">
      <c r="A2147" s="22">
        <v>6</v>
      </c>
      <c r="B2147" t="s">
        <v>801</v>
      </c>
      <c r="C2147" t="s">
        <v>802</v>
      </c>
      <c r="E2147" t="s">
        <v>3293</v>
      </c>
      <c r="G2147" t="s">
        <v>3294</v>
      </c>
      <c r="H2147" t="s">
        <v>805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2</v>
      </c>
      <c r="P2147" s="44" t="e">
        <f>_xlfn.XLOOKUP(Tabla5[[#This Row],[EAN CORREGIDO]],'Tabla Articulos'!B:B,'Tabla Articulos'!D:D)</f>
        <v>#N/A</v>
      </c>
      <c r="Q2147" s="44" t="e">
        <f>_xlfn.XLOOKUP(S2147,'Tabla Articulos'!B:B,'Tabla Articulos'!E:E)</f>
        <v>#N/A</v>
      </c>
      <c r="R2147" s="44" t="e">
        <f t="shared" si="66"/>
        <v>#N/A</v>
      </c>
      <c r="S2147" s="45" t="str">
        <f t="shared" si="67"/>
        <v>BUSAT000572</v>
      </c>
    </row>
    <row r="2148" spans="1:19" hidden="1" x14ac:dyDescent="0.35">
      <c r="A2148" s="22">
        <v>6</v>
      </c>
      <c r="B2148" t="s">
        <v>801</v>
      </c>
      <c r="C2148" t="s">
        <v>802</v>
      </c>
      <c r="E2148" t="s">
        <v>3295</v>
      </c>
      <c r="G2148" t="s">
        <v>3296</v>
      </c>
      <c r="H2148" t="s">
        <v>805</v>
      </c>
      <c r="I2148">
        <v>12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12</v>
      </c>
      <c r="P2148" s="44" t="e">
        <f>_xlfn.XLOOKUP(Tabla5[[#This Row],[EAN CORREGIDO]],'Tabla Articulos'!B:B,'Tabla Articulos'!D:D)</f>
        <v>#N/A</v>
      </c>
      <c r="Q2148" s="44" t="e">
        <f>_xlfn.XLOOKUP(S2148,'Tabla Articulos'!B:B,'Tabla Articulos'!E:E)</f>
        <v>#N/A</v>
      </c>
      <c r="R2148" s="44" t="e">
        <f t="shared" si="66"/>
        <v>#N/A</v>
      </c>
      <c r="S2148" s="45" t="str">
        <f t="shared" si="67"/>
        <v>BUSAT000925</v>
      </c>
    </row>
    <row r="2149" spans="1:19" hidden="1" x14ac:dyDescent="0.35">
      <c r="A2149" s="22">
        <v>6</v>
      </c>
      <c r="B2149" t="s">
        <v>801</v>
      </c>
      <c r="C2149" t="s">
        <v>802</v>
      </c>
      <c r="D2149"/>
      <c r="E2149" t="s">
        <v>3297</v>
      </c>
      <c r="F2149"/>
      <c r="G2149" t="s">
        <v>3298</v>
      </c>
      <c r="H2149" t="s">
        <v>805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2</v>
      </c>
      <c r="P2149" s="44" t="e">
        <f>_xlfn.XLOOKUP(Tabla5[[#This Row],[EAN CORREGIDO]],'Tabla Articulos'!B:B,'Tabla Articulos'!D:D)</f>
        <v>#N/A</v>
      </c>
      <c r="Q2149" s="44" t="e">
        <f>_xlfn.XLOOKUP(S2149,'Tabla Articulos'!B:B,'Tabla Articulos'!E:E)</f>
        <v>#N/A</v>
      </c>
      <c r="R2149" s="44" t="e">
        <f t="shared" si="66"/>
        <v>#N/A</v>
      </c>
      <c r="S2149" s="45" t="str">
        <f t="shared" si="67"/>
        <v>BUSAT000585</v>
      </c>
    </row>
    <row r="2150" spans="1:19" hidden="1" x14ac:dyDescent="0.35">
      <c r="A2150" s="22">
        <v>6</v>
      </c>
      <c r="B2150" t="s">
        <v>801</v>
      </c>
      <c r="C2150" t="s">
        <v>802</v>
      </c>
      <c r="E2150" t="s">
        <v>3299</v>
      </c>
      <c r="F2150"/>
      <c r="G2150" t="s">
        <v>3300</v>
      </c>
      <c r="H2150" t="s">
        <v>805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</v>
      </c>
      <c r="P2150" s="44" t="e">
        <f>_xlfn.XLOOKUP(Tabla5[[#This Row],[EAN CORREGIDO]],'Tabla Articulos'!B:B,'Tabla Articulos'!D:D)</f>
        <v>#N/A</v>
      </c>
      <c r="Q2150" s="44" t="e">
        <f>_xlfn.XLOOKUP(S2150,'Tabla Articulos'!B:B,'Tabla Articulos'!E:E)</f>
        <v>#N/A</v>
      </c>
      <c r="R2150" s="44" t="e">
        <f t="shared" si="66"/>
        <v>#N/A</v>
      </c>
      <c r="S2150" s="45" t="str">
        <f t="shared" si="67"/>
        <v>BUSAT000621</v>
      </c>
    </row>
    <row r="2151" spans="1:19" hidden="1" x14ac:dyDescent="0.35">
      <c r="A2151" s="22">
        <v>6</v>
      </c>
      <c r="B2151" t="s">
        <v>801</v>
      </c>
      <c r="C2151" t="s">
        <v>802</v>
      </c>
      <c r="D2151"/>
      <c r="E2151" t="s">
        <v>3301</v>
      </c>
      <c r="F2151"/>
      <c r="G2151" t="s">
        <v>3302</v>
      </c>
      <c r="H2151" t="s">
        <v>805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</v>
      </c>
      <c r="P2151" s="44" t="e">
        <f>_xlfn.XLOOKUP(Tabla5[[#This Row],[EAN CORREGIDO]],'Tabla Articulos'!B:B,'Tabla Articulos'!D:D)</f>
        <v>#N/A</v>
      </c>
      <c r="Q2151" s="44" t="e">
        <f>_xlfn.XLOOKUP(S2151,'Tabla Articulos'!B:B,'Tabla Articulos'!E:E)</f>
        <v>#N/A</v>
      </c>
      <c r="R2151" s="44" t="e">
        <f t="shared" si="66"/>
        <v>#N/A</v>
      </c>
      <c r="S2151" s="45" t="str">
        <f t="shared" si="67"/>
        <v>BUSAT000131</v>
      </c>
    </row>
    <row r="2152" spans="1:19" hidden="1" x14ac:dyDescent="0.35">
      <c r="A2152" s="22">
        <v>6</v>
      </c>
      <c r="B2152" t="s">
        <v>801</v>
      </c>
      <c r="C2152" t="s">
        <v>802</v>
      </c>
      <c r="D2152"/>
      <c r="E2152" t="s">
        <v>3303</v>
      </c>
      <c r="F2152"/>
      <c r="G2152" t="s">
        <v>3304</v>
      </c>
      <c r="H2152" t="s">
        <v>805</v>
      </c>
      <c r="I2152">
        <v>32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32</v>
      </c>
      <c r="P2152" s="44" t="e">
        <f>_xlfn.XLOOKUP(Tabla5[[#This Row],[EAN CORREGIDO]],'Tabla Articulos'!B:B,'Tabla Articulos'!D:D)</f>
        <v>#N/A</v>
      </c>
      <c r="Q2152" s="44" t="e">
        <f>_xlfn.XLOOKUP(S2152,'Tabla Articulos'!B:B,'Tabla Articulos'!E:E)</f>
        <v>#N/A</v>
      </c>
      <c r="R2152" s="44" t="e">
        <f t="shared" si="66"/>
        <v>#N/A</v>
      </c>
      <c r="S2152" s="45" t="str">
        <f t="shared" si="67"/>
        <v>BUSAT000274</v>
      </c>
    </row>
    <row r="2153" spans="1:19" hidden="1" x14ac:dyDescent="0.35">
      <c r="A2153" s="22">
        <v>6</v>
      </c>
      <c r="B2153" t="s">
        <v>801</v>
      </c>
      <c r="C2153" t="s">
        <v>802</v>
      </c>
      <c r="E2153" t="s">
        <v>3307</v>
      </c>
      <c r="F2153"/>
      <c r="G2153" t="s">
        <v>3308</v>
      </c>
      <c r="H2153" t="s">
        <v>837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1</v>
      </c>
      <c r="P2153" s="44" t="e">
        <f>_xlfn.XLOOKUP(Tabla5[[#This Row],[EAN CORREGIDO]],'Tabla Articulos'!B:B,'Tabla Articulos'!D:D)</f>
        <v>#N/A</v>
      </c>
      <c r="Q2153" s="44" t="e">
        <f>_xlfn.XLOOKUP(S2153,'Tabla Articulos'!B:B,'Tabla Articulos'!E:E)</f>
        <v>#N/A</v>
      </c>
      <c r="R2153" s="44" t="e">
        <f t="shared" si="66"/>
        <v>#N/A</v>
      </c>
      <c r="S2153" s="45" t="str">
        <f t="shared" si="67"/>
        <v>BUSAT000284</v>
      </c>
    </row>
    <row r="2154" spans="1:19" hidden="1" x14ac:dyDescent="0.35">
      <c r="A2154" s="22">
        <v>6</v>
      </c>
      <c r="B2154" t="s">
        <v>801</v>
      </c>
      <c r="C2154" t="s">
        <v>802</v>
      </c>
      <c r="D2154"/>
      <c r="E2154" t="s">
        <v>3305</v>
      </c>
      <c r="F2154"/>
      <c r="G2154" t="s">
        <v>3306</v>
      </c>
      <c r="H2154" t="s">
        <v>805</v>
      </c>
      <c r="I2154">
        <v>457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457</v>
      </c>
      <c r="P2154" s="44" t="e">
        <f>_xlfn.XLOOKUP(Tabla5[[#This Row],[EAN CORREGIDO]],'Tabla Articulos'!B:B,'Tabla Articulos'!D:D)</f>
        <v>#N/A</v>
      </c>
      <c r="Q2154" s="44" t="e">
        <f>_xlfn.XLOOKUP(S2154,'Tabla Articulos'!B:B,'Tabla Articulos'!E:E)</f>
        <v>#N/A</v>
      </c>
      <c r="R2154" s="44" t="e">
        <f t="shared" si="66"/>
        <v>#N/A</v>
      </c>
      <c r="S2154" s="45" t="str">
        <f t="shared" si="67"/>
        <v>BUSAT000206</v>
      </c>
    </row>
    <row r="2155" spans="1:19" hidden="1" x14ac:dyDescent="0.35">
      <c r="A2155" s="22">
        <v>6</v>
      </c>
      <c r="B2155" t="s">
        <v>801</v>
      </c>
      <c r="C2155" t="s">
        <v>802</v>
      </c>
      <c r="E2155" t="s">
        <v>3309</v>
      </c>
      <c r="G2155" t="s">
        <v>3310</v>
      </c>
      <c r="H2155" t="s">
        <v>805</v>
      </c>
      <c r="I2155">
        <v>4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4</v>
      </c>
      <c r="P2155" s="44" t="e">
        <f>_xlfn.XLOOKUP(Tabla5[[#This Row],[EAN CORREGIDO]],'Tabla Articulos'!B:B,'Tabla Articulos'!D:D)</f>
        <v>#N/A</v>
      </c>
      <c r="Q2155" s="44" t="e">
        <f>_xlfn.XLOOKUP(S2155,'Tabla Articulos'!B:B,'Tabla Articulos'!E:E)</f>
        <v>#N/A</v>
      </c>
      <c r="R2155" s="44" t="e">
        <f t="shared" si="66"/>
        <v>#N/A</v>
      </c>
      <c r="S2155" s="45" t="str">
        <f t="shared" si="67"/>
        <v>BUSAT000365</v>
      </c>
    </row>
    <row r="2156" spans="1:19" hidden="1" x14ac:dyDescent="0.35">
      <c r="A2156" s="22">
        <v>6</v>
      </c>
      <c r="B2156" t="s">
        <v>801</v>
      </c>
      <c r="C2156" t="s">
        <v>802</v>
      </c>
      <c r="E2156" t="s">
        <v>3311</v>
      </c>
      <c r="G2156" t="s">
        <v>3312</v>
      </c>
      <c r="H2156" t="s">
        <v>805</v>
      </c>
      <c r="I2156">
        <v>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6</v>
      </c>
      <c r="P2156" s="44" t="e">
        <f>_xlfn.XLOOKUP(Tabla5[[#This Row],[EAN CORREGIDO]],'Tabla Articulos'!B:B,'Tabla Articulos'!D:D)</f>
        <v>#N/A</v>
      </c>
      <c r="Q2156" s="44" t="e">
        <f>_xlfn.XLOOKUP(S2156,'Tabla Articulos'!B:B,'Tabla Articulos'!E:E)</f>
        <v>#N/A</v>
      </c>
      <c r="R2156" s="44" t="e">
        <f t="shared" si="66"/>
        <v>#N/A</v>
      </c>
      <c r="S2156" s="45" t="str">
        <f t="shared" si="67"/>
        <v>OBR000114</v>
      </c>
    </row>
    <row r="2157" spans="1:19" hidden="1" x14ac:dyDescent="0.35">
      <c r="A2157" s="22">
        <v>5</v>
      </c>
      <c r="B2157" t="s">
        <v>829</v>
      </c>
      <c r="C2157" t="s">
        <v>802</v>
      </c>
      <c r="D2157" s="11" t="s">
        <v>229</v>
      </c>
      <c r="E2157" t="s">
        <v>2849</v>
      </c>
      <c r="F2157" s="11">
        <v>2006278</v>
      </c>
      <c r="G2157" t="s">
        <v>2850</v>
      </c>
      <c r="H2157" t="s">
        <v>805</v>
      </c>
      <c r="I2157">
        <v>36332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36332</v>
      </c>
      <c r="P2157" s="44" t="str">
        <f>_xlfn.XLOOKUP(Tabla5[[#This Row],[EAN CORREGIDO]],'Tabla Articulos'!B:B,'Tabla Articulos'!D:D)</f>
        <v>CAJA HERRERA</v>
      </c>
      <c r="Q2157" s="44">
        <f>_xlfn.XLOOKUP(S2157,'Tabla Articulos'!B:B,'Tabla Articulos'!E:E)</f>
        <v>1</v>
      </c>
      <c r="R2157" s="44">
        <f t="shared" si="66"/>
        <v>36332</v>
      </c>
      <c r="S2157" s="45" t="str">
        <f t="shared" si="67"/>
        <v>7790321626929</v>
      </c>
    </row>
    <row r="2158" spans="1:19" hidden="1" x14ac:dyDescent="0.35">
      <c r="A2158" s="22">
        <v>6</v>
      </c>
      <c r="B2158" t="s">
        <v>801</v>
      </c>
      <c r="C2158" t="s">
        <v>802</v>
      </c>
      <c r="E2158" t="s">
        <v>2851</v>
      </c>
      <c r="F2158" s="11">
        <v>9003042</v>
      </c>
      <c r="G2158" t="s">
        <v>2852</v>
      </c>
      <c r="H2158" t="s">
        <v>805</v>
      </c>
      <c r="I2158">
        <v>58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58</v>
      </c>
      <c r="P2158" s="44" t="e">
        <f>_xlfn.XLOOKUP(Tabla5[[#This Row],[EAN CORREGIDO]],'Tabla Articulos'!B:B,'Tabla Articulos'!D:D)</f>
        <v>#N/A</v>
      </c>
      <c r="Q2158" s="44" t="e">
        <f>_xlfn.XLOOKUP(S2158,'Tabla Articulos'!B:B,'Tabla Articulos'!E:E)</f>
        <v>#N/A</v>
      </c>
      <c r="R2158" s="44" t="e">
        <f t="shared" si="66"/>
        <v>#N/A</v>
      </c>
      <c r="S2158" s="45" t="str">
        <f t="shared" si="67"/>
        <v>UNIF000011</v>
      </c>
    </row>
    <row r="2159" spans="1:19" hidden="1" x14ac:dyDescent="0.35">
      <c r="A2159" s="22">
        <v>5</v>
      </c>
      <c r="B2159" t="s">
        <v>829</v>
      </c>
      <c r="C2159" t="s">
        <v>802</v>
      </c>
      <c r="D2159" s="11" t="s">
        <v>1066</v>
      </c>
      <c r="E2159" t="s">
        <v>2999</v>
      </c>
      <c r="F2159" s="11">
        <v>4019838</v>
      </c>
      <c r="G2159" t="s">
        <v>3000</v>
      </c>
      <c r="H2159" t="s">
        <v>805</v>
      </c>
      <c r="I2159">
        <v>27413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27413</v>
      </c>
      <c r="P2159" s="44" t="e">
        <f>_xlfn.XLOOKUP(Tabla5[[#This Row],[EAN CORREGIDO]],'Tabla Articulos'!B:B,'Tabla Articulos'!D:D)</f>
        <v>#N/A</v>
      </c>
      <c r="Q2159" s="44" t="e">
        <f>_xlfn.XLOOKUP(S2159,'Tabla Articulos'!B:B,'Tabla Articulos'!E:E)</f>
        <v>#N/A</v>
      </c>
      <c r="R2159" s="44" t="e">
        <f t="shared" si="66"/>
        <v>#N/A</v>
      </c>
      <c r="S2159" s="45" t="str">
        <f t="shared" si="67"/>
        <v>7790500005065</v>
      </c>
    </row>
    <row r="2160" spans="1:19" hidden="1" x14ac:dyDescent="0.35">
      <c r="A2160" s="22">
        <v>6</v>
      </c>
      <c r="B2160" t="s">
        <v>801</v>
      </c>
      <c r="C2160" t="s">
        <v>802</v>
      </c>
      <c r="E2160" t="s">
        <v>3001</v>
      </c>
      <c r="F2160" s="11">
        <v>9003652</v>
      </c>
      <c r="G2160" t="s">
        <v>3002</v>
      </c>
      <c r="H2160" t="s">
        <v>805</v>
      </c>
      <c r="I2160">
        <v>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6</v>
      </c>
      <c r="P2160" s="44" t="e">
        <f>_xlfn.XLOOKUP(Tabla5[[#This Row],[EAN CORREGIDO]],'Tabla Articulos'!B:B,'Tabla Articulos'!D:D)</f>
        <v>#N/A</v>
      </c>
      <c r="Q2160" s="44" t="e">
        <f>_xlfn.XLOOKUP(S2160,'Tabla Articulos'!B:B,'Tabla Articulos'!E:E)</f>
        <v>#N/A</v>
      </c>
      <c r="R2160" s="44" t="e">
        <f t="shared" si="66"/>
        <v>#N/A</v>
      </c>
      <c r="S2160" s="45" t="str">
        <f t="shared" si="67"/>
        <v>UNIF000529</v>
      </c>
    </row>
    <row r="2161" spans="1:19" hidden="1" x14ac:dyDescent="0.35">
      <c r="A2161" s="22">
        <v>5</v>
      </c>
      <c r="B2161" t="s">
        <v>829</v>
      </c>
      <c r="C2161" t="s">
        <v>802</v>
      </c>
      <c r="D2161" s="11" t="s">
        <v>1966</v>
      </c>
      <c r="E2161" t="s">
        <v>1967</v>
      </c>
      <c r="F2161" s="11">
        <v>4019842</v>
      </c>
      <c r="G2161" t="s">
        <v>1968</v>
      </c>
      <c r="H2161" t="s">
        <v>805</v>
      </c>
      <c r="I2161">
        <v>0</v>
      </c>
      <c r="J2161">
        <v>45</v>
      </c>
      <c r="K2161">
        <v>0</v>
      </c>
      <c r="L2161">
        <v>0</v>
      </c>
      <c r="M2161">
        <v>0</v>
      </c>
      <c r="N2161">
        <v>0</v>
      </c>
      <c r="O2161">
        <v>45</v>
      </c>
      <c r="P2161" s="44" t="e">
        <f>_xlfn.XLOOKUP(Tabla5[[#This Row],[EAN CORREGIDO]],'Tabla Articulos'!B:B,'Tabla Articulos'!D:D)</f>
        <v>#N/A</v>
      </c>
      <c r="Q2161" s="44" t="e">
        <f>_xlfn.XLOOKUP(S2161,'Tabla Articulos'!B:B,'Tabla Articulos'!E:E)</f>
        <v>#N/A</v>
      </c>
      <c r="R2161" s="44" t="e">
        <f t="shared" si="66"/>
        <v>#N/A</v>
      </c>
      <c r="S2161" s="45" t="str">
        <f t="shared" si="67"/>
        <v>7790530850130</v>
      </c>
    </row>
    <row r="2162" spans="1:19" hidden="1" x14ac:dyDescent="0.35">
      <c r="A2162" s="22">
        <v>1</v>
      </c>
      <c r="B2162" t="s">
        <v>812</v>
      </c>
      <c r="C2162" t="s">
        <v>802</v>
      </c>
      <c r="D2162" s="11" t="s">
        <v>1966</v>
      </c>
      <c r="E2162" t="s">
        <v>1967</v>
      </c>
      <c r="F2162" s="11">
        <v>4019842</v>
      </c>
      <c r="G2162" t="s">
        <v>1968</v>
      </c>
      <c r="H2162" t="s">
        <v>805</v>
      </c>
      <c r="I2162">
        <v>48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48</v>
      </c>
      <c r="P2162" s="44" t="e">
        <f>_xlfn.XLOOKUP(Tabla5[[#This Row],[EAN CORREGIDO]],'Tabla Articulos'!B:B,'Tabla Articulos'!D:D)</f>
        <v>#N/A</v>
      </c>
      <c r="Q2162" s="44" t="e">
        <f>_xlfn.XLOOKUP(S2162,'Tabla Articulos'!B:B,'Tabla Articulos'!E:E)</f>
        <v>#N/A</v>
      </c>
      <c r="R2162" s="44" t="e">
        <f t="shared" si="66"/>
        <v>#N/A</v>
      </c>
      <c r="S2162" s="45" t="str">
        <f t="shared" si="67"/>
        <v>7790530850130</v>
      </c>
    </row>
    <row r="2163" spans="1:19" hidden="1" x14ac:dyDescent="0.35">
      <c r="A2163" s="22">
        <v>1</v>
      </c>
      <c r="B2163" t="s">
        <v>812</v>
      </c>
      <c r="C2163" t="s">
        <v>802</v>
      </c>
      <c r="D2163" s="11" t="s">
        <v>1969</v>
      </c>
      <c r="E2163" t="s">
        <v>1970</v>
      </c>
      <c r="F2163" s="11">
        <v>4018014</v>
      </c>
      <c r="G2163" t="s">
        <v>1971</v>
      </c>
      <c r="H2163" t="s">
        <v>816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</v>
      </c>
      <c r="P2163" s="44" t="e">
        <f>_xlfn.XLOOKUP(Tabla5[[#This Row],[EAN CORREGIDO]],'Tabla Articulos'!B:B,'Tabla Articulos'!D:D)</f>
        <v>#N/A</v>
      </c>
      <c r="Q2163" s="44" t="e">
        <f>_xlfn.XLOOKUP(S2163,'Tabla Articulos'!B:B,'Tabla Articulos'!E:E)</f>
        <v>#N/A</v>
      </c>
      <c r="R2163" s="44" t="e">
        <f t="shared" si="66"/>
        <v>#N/A</v>
      </c>
      <c r="S2163" s="45" t="str">
        <f t="shared" si="67"/>
        <v>7790216012637</v>
      </c>
    </row>
    <row r="2164" spans="1:19" hidden="1" x14ac:dyDescent="0.35">
      <c r="A2164" s="22">
        <v>5</v>
      </c>
      <c r="B2164" t="s">
        <v>829</v>
      </c>
      <c r="C2164" t="s">
        <v>802</v>
      </c>
      <c r="D2164" s="11" t="s">
        <v>1969</v>
      </c>
      <c r="E2164" t="s">
        <v>1970</v>
      </c>
      <c r="F2164" s="11">
        <v>4018014</v>
      </c>
      <c r="G2164" t="s">
        <v>1971</v>
      </c>
      <c r="H2164" t="s">
        <v>816</v>
      </c>
      <c r="I2164">
        <v>50</v>
      </c>
      <c r="J2164">
        <v>0</v>
      </c>
      <c r="K2164">
        <v>0</v>
      </c>
      <c r="L2164">
        <v>0</v>
      </c>
      <c r="M2164">
        <v>50</v>
      </c>
      <c r="N2164">
        <v>60</v>
      </c>
      <c r="O2164">
        <v>-60</v>
      </c>
      <c r="P2164" s="44" t="e">
        <f>_xlfn.XLOOKUP(Tabla5[[#This Row],[EAN CORREGIDO]],'Tabla Articulos'!B:B,'Tabla Articulos'!D:D)</f>
        <v>#N/A</v>
      </c>
      <c r="Q2164" s="44" t="e">
        <f>_xlfn.XLOOKUP(S2164,'Tabla Articulos'!B:B,'Tabla Articulos'!E:E)</f>
        <v>#N/A</v>
      </c>
      <c r="R2164" s="44" t="e">
        <f t="shared" si="66"/>
        <v>#N/A</v>
      </c>
      <c r="S2164" s="45" t="str">
        <f t="shared" si="67"/>
        <v>7790216012637</v>
      </c>
    </row>
    <row r="2165" spans="1:19" hidden="1" x14ac:dyDescent="0.35">
      <c r="A2165" s="22">
        <v>6</v>
      </c>
      <c r="B2165" t="s">
        <v>801</v>
      </c>
      <c r="C2165" t="s">
        <v>802</v>
      </c>
      <c r="D2165" s="11" t="s">
        <v>1972</v>
      </c>
      <c r="E2165" t="s">
        <v>1973</v>
      </c>
      <c r="F2165" s="11">
        <v>2007536</v>
      </c>
      <c r="G2165" t="s">
        <v>1974</v>
      </c>
      <c r="H2165" t="s">
        <v>805</v>
      </c>
      <c r="I2165">
        <v>154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154</v>
      </c>
      <c r="P2165" s="44" t="e">
        <f>_xlfn.XLOOKUP(Tabla5[[#This Row],[EAN CORREGIDO]],'Tabla Articulos'!B:B,'Tabla Articulos'!D:D)</f>
        <v>#N/A</v>
      </c>
      <c r="Q2165" s="44" t="e">
        <f>_xlfn.XLOOKUP(S2165,'Tabla Articulos'!B:B,'Tabla Articulos'!E:E)</f>
        <v>#N/A</v>
      </c>
      <c r="R2165" s="44" t="e">
        <f t="shared" si="66"/>
        <v>#N/A</v>
      </c>
      <c r="S2165" s="45" t="str">
        <f t="shared" si="67"/>
        <v>7790000000503</v>
      </c>
    </row>
    <row r="2166" spans="1:19" hidden="1" x14ac:dyDescent="0.35">
      <c r="A2166" s="22">
        <v>1</v>
      </c>
      <c r="B2166" t="s">
        <v>812</v>
      </c>
      <c r="C2166" t="s">
        <v>802</v>
      </c>
      <c r="D2166" s="11" t="s">
        <v>1975</v>
      </c>
      <c r="E2166" t="s">
        <v>1976</v>
      </c>
      <c r="F2166" s="11">
        <v>4019768</v>
      </c>
      <c r="G2166" t="s">
        <v>1977</v>
      </c>
      <c r="H2166" t="s">
        <v>805</v>
      </c>
      <c r="I2166">
        <v>8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8</v>
      </c>
      <c r="P2166" s="44" t="e">
        <f>_xlfn.XLOOKUP(Tabla5[[#This Row],[EAN CORREGIDO]],'Tabla Articulos'!B:B,'Tabla Articulos'!D:D)</f>
        <v>#N/A</v>
      </c>
      <c r="Q2166" s="44" t="e">
        <f>_xlfn.XLOOKUP(S2166,'Tabla Articulos'!B:B,'Tabla Articulos'!E:E)</f>
        <v>#N/A</v>
      </c>
      <c r="R2166" s="44" t="e">
        <f t="shared" si="66"/>
        <v>#N/A</v>
      </c>
      <c r="S2166" s="45" t="str">
        <f t="shared" si="67"/>
        <v>7790530900019</v>
      </c>
    </row>
    <row r="2167" spans="1:19" hidden="1" x14ac:dyDescent="0.35">
      <c r="A2167" s="22">
        <v>6</v>
      </c>
      <c r="B2167" t="s">
        <v>801</v>
      </c>
      <c r="C2167" t="s">
        <v>802</v>
      </c>
      <c r="D2167" s="11" t="s">
        <v>1374</v>
      </c>
      <c r="E2167" t="s">
        <v>1978</v>
      </c>
      <c r="F2167" s="11">
        <v>2006543</v>
      </c>
      <c r="G2167" t="s">
        <v>1979</v>
      </c>
      <c r="H2167" t="s">
        <v>805</v>
      </c>
      <c r="I2167">
        <v>10642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10642</v>
      </c>
      <c r="P2167" s="44" t="e">
        <f>_xlfn.XLOOKUP(Tabla5[[#This Row],[EAN CORREGIDO]],'Tabla Articulos'!B:B,'Tabla Articulos'!D:D)</f>
        <v>#N/A</v>
      </c>
      <c r="Q2167" s="44" t="e">
        <f>_xlfn.XLOOKUP(S2167,'Tabla Articulos'!B:B,'Tabla Articulos'!E:E)</f>
        <v>#N/A</v>
      </c>
      <c r="R2167" s="44" t="e">
        <f t="shared" si="66"/>
        <v>#N/A</v>
      </c>
      <c r="S2167" s="45" t="str">
        <f t="shared" si="67"/>
        <v>7798024450118</v>
      </c>
    </row>
    <row r="2168" spans="1:19" hidden="1" x14ac:dyDescent="0.35">
      <c r="A2168" s="22">
        <v>6</v>
      </c>
      <c r="B2168" t="s">
        <v>801</v>
      </c>
      <c r="C2168" t="s">
        <v>802</v>
      </c>
      <c r="E2168" t="s">
        <v>1980</v>
      </c>
      <c r="F2168" s="11">
        <v>9003573</v>
      </c>
      <c r="G2168" t="s">
        <v>1981</v>
      </c>
      <c r="H2168" t="s">
        <v>805</v>
      </c>
      <c r="I2168">
        <v>28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28</v>
      </c>
      <c r="P2168" s="44" t="e">
        <f>_xlfn.XLOOKUP(Tabla5[[#This Row],[EAN CORREGIDO]],'Tabla Articulos'!B:B,'Tabla Articulos'!D:D)</f>
        <v>#N/A</v>
      </c>
      <c r="Q2168" s="44" t="e">
        <f>_xlfn.XLOOKUP(S2168,'Tabla Articulos'!B:B,'Tabla Articulos'!E:E)</f>
        <v>#N/A</v>
      </c>
      <c r="R2168" s="44" t="e">
        <f t="shared" si="66"/>
        <v>#N/A</v>
      </c>
      <c r="S2168" s="45" t="str">
        <f t="shared" si="67"/>
        <v>UNIF000156</v>
      </c>
    </row>
    <row r="2169" spans="1:19" hidden="1" x14ac:dyDescent="0.35">
      <c r="A2169" s="22">
        <v>6</v>
      </c>
      <c r="B2169" t="s">
        <v>801</v>
      </c>
      <c r="C2169" t="s">
        <v>802</v>
      </c>
      <c r="E2169" t="s">
        <v>1982</v>
      </c>
      <c r="F2169" s="11">
        <v>9003780</v>
      </c>
      <c r="G2169" t="s">
        <v>1983</v>
      </c>
      <c r="H2169" t="s">
        <v>805</v>
      </c>
      <c r="I2169">
        <v>153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153</v>
      </c>
      <c r="P2169" s="44" t="e">
        <f>_xlfn.XLOOKUP(Tabla5[[#This Row],[EAN CORREGIDO]],'Tabla Articulos'!B:B,'Tabla Articulos'!D:D)</f>
        <v>#N/A</v>
      </c>
      <c r="Q2169" s="44" t="e">
        <f>_xlfn.XLOOKUP(S2169,'Tabla Articulos'!B:B,'Tabla Articulos'!E:E)</f>
        <v>#N/A</v>
      </c>
      <c r="R2169" s="44" t="e">
        <f t="shared" si="66"/>
        <v>#N/A</v>
      </c>
      <c r="S2169" s="45" t="str">
        <f t="shared" si="67"/>
        <v>BAZ001248</v>
      </c>
    </row>
    <row r="2170" spans="1:19" hidden="1" x14ac:dyDescent="0.35">
      <c r="A2170" s="22">
        <v>6</v>
      </c>
      <c r="B2170" t="s">
        <v>801</v>
      </c>
      <c r="C2170" t="s">
        <v>802</v>
      </c>
      <c r="E2170" t="s">
        <v>1984</v>
      </c>
      <c r="F2170" s="11">
        <v>9003387</v>
      </c>
      <c r="G2170" t="s">
        <v>1985</v>
      </c>
      <c r="H2170" t="s">
        <v>805</v>
      </c>
      <c r="I2170">
        <v>15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15</v>
      </c>
      <c r="P2170" s="44" t="e">
        <f>_xlfn.XLOOKUP(Tabla5[[#This Row],[EAN CORREGIDO]],'Tabla Articulos'!B:B,'Tabla Articulos'!D:D)</f>
        <v>#N/A</v>
      </c>
      <c r="Q2170" s="44" t="e">
        <f>_xlfn.XLOOKUP(S2170,'Tabla Articulos'!B:B,'Tabla Articulos'!E:E)</f>
        <v>#N/A</v>
      </c>
      <c r="R2170" s="44" t="e">
        <f t="shared" si="66"/>
        <v>#N/A</v>
      </c>
      <c r="S2170" s="45" t="str">
        <f t="shared" si="67"/>
        <v>UNIF000504</v>
      </c>
    </row>
    <row r="2171" spans="1:19" hidden="1" x14ac:dyDescent="0.35">
      <c r="A2171" s="22">
        <v>1</v>
      </c>
      <c r="B2171" t="s">
        <v>812</v>
      </c>
      <c r="C2171" t="s">
        <v>802</v>
      </c>
      <c r="D2171" t="s">
        <v>1066</v>
      </c>
      <c r="E2171" t="s">
        <v>2836</v>
      </c>
      <c r="F2171">
        <v>4076481</v>
      </c>
      <c r="G2171" t="s">
        <v>2837</v>
      </c>
      <c r="H2171" t="s">
        <v>805</v>
      </c>
      <c r="I2171">
        <v>185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185</v>
      </c>
      <c r="P2171" s="44" t="e">
        <f>_xlfn.XLOOKUP(Tabla5[[#This Row],[EAN CORREGIDO]],'Tabla Articulos'!B:B,'Tabla Articulos'!D:D)</f>
        <v>#N/A</v>
      </c>
      <c r="Q2171" s="44" t="e">
        <f>_xlfn.XLOOKUP(S2171,'Tabla Articulos'!B:B,'Tabla Articulos'!E:E)</f>
        <v>#N/A</v>
      </c>
      <c r="R2171" s="44" t="e">
        <f t="shared" si="66"/>
        <v>#N/A</v>
      </c>
      <c r="S2171" s="45" t="str">
        <f t="shared" si="67"/>
        <v>7790500006673</v>
      </c>
    </row>
    <row r="2172" spans="1:19" hidden="1" x14ac:dyDescent="0.35">
      <c r="A2172" s="22">
        <v>1</v>
      </c>
      <c r="B2172" t="s">
        <v>812</v>
      </c>
      <c r="C2172" t="s">
        <v>802</v>
      </c>
      <c r="D2172" s="11" t="s">
        <v>1966</v>
      </c>
      <c r="E2172" t="s">
        <v>2838</v>
      </c>
      <c r="F2172">
        <v>4022252</v>
      </c>
      <c r="G2172" t="s">
        <v>2839</v>
      </c>
      <c r="H2172" t="s">
        <v>805</v>
      </c>
      <c r="I2172">
        <v>96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96</v>
      </c>
      <c r="P2172" s="44" t="e">
        <f>_xlfn.XLOOKUP(Tabla5[[#This Row],[EAN CORREGIDO]],'Tabla Articulos'!B:B,'Tabla Articulos'!D:D)</f>
        <v>#N/A</v>
      </c>
      <c r="Q2172" s="44" t="e">
        <f>_xlfn.XLOOKUP(S2172,'Tabla Articulos'!B:B,'Tabla Articulos'!E:E)</f>
        <v>#N/A</v>
      </c>
      <c r="R2172" s="44" t="e">
        <f t="shared" si="66"/>
        <v>#N/A</v>
      </c>
      <c r="S2172" s="45" t="str">
        <f t="shared" si="67"/>
        <v>7790971002396</v>
      </c>
    </row>
    <row r="2173" spans="1:19" hidden="1" x14ac:dyDescent="0.35">
      <c r="A2173" s="22">
        <v>1</v>
      </c>
      <c r="B2173" t="s">
        <v>812</v>
      </c>
      <c r="C2173" t="s">
        <v>802</v>
      </c>
      <c r="D2173" s="11" t="s">
        <v>2149</v>
      </c>
      <c r="E2173" t="s">
        <v>2840</v>
      </c>
      <c r="F2173">
        <v>4049313</v>
      </c>
      <c r="G2173" t="s">
        <v>2841</v>
      </c>
      <c r="H2173" t="s">
        <v>805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</v>
      </c>
      <c r="P2173" s="44" t="e">
        <f>_xlfn.XLOOKUP(Tabla5[[#This Row],[EAN CORREGIDO]],'Tabla Articulos'!B:B,'Tabla Articulos'!D:D)</f>
        <v>#N/A</v>
      </c>
      <c r="Q2173" s="44" t="e">
        <f>_xlfn.XLOOKUP(S2173,'Tabla Articulos'!B:B,'Tabla Articulos'!E:E)</f>
        <v>#N/A</v>
      </c>
      <c r="R2173" s="44" t="e">
        <f t="shared" si="66"/>
        <v>#N/A</v>
      </c>
      <c r="S2173" s="45" t="str">
        <f t="shared" si="67"/>
        <v>7798375280341</v>
      </c>
    </row>
    <row r="2174" spans="1:19" hidden="1" x14ac:dyDescent="0.35">
      <c r="A2174" s="22">
        <v>5</v>
      </c>
      <c r="B2174" t="s">
        <v>829</v>
      </c>
      <c r="C2174" t="s">
        <v>802</v>
      </c>
      <c r="E2174" t="s">
        <v>2842</v>
      </c>
      <c r="F2174">
        <v>4077080</v>
      </c>
      <c r="G2174" t="s">
        <v>2843</v>
      </c>
      <c r="H2174" t="s">
        <v>805</v>
      </c>
      <c r="I2174">
        <v>2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2</v>
      </c>
      <c r="P2174" s="44" t="e">
        <f>_xlfn.XLOOKUP(Tabla5[[#This Row],[EAN CORREGIDO]],'Tabla Articulos'!B:B,'Tabla Articulos'!D:D)</f>
        <v>#N/A</v>
      </c>
      <c r="Q2174" s="44" t="e">
        <f>_xlfn.XLOOKUP(S2174,'Tabla Articulos'!B:B,'Tabla Articulos'!E:E)</f>
        <v>#N/A</v>
      </c>
      <c r="R2174" s="44" t="e">
        <f t="shared" si="66"/>
        <v>#N/A</v>
      </c>
      <c r="S2174" s="45" t="str">
        <f t="shared" si="67"/>
        <v>MOD21052</v>
      </c>
    </row>
    <row r="2175" spans="1:19" hidden="1" x14ac:dyDescent="0.35">
      <c r="A2175" s="22">
        <v>1</v>
      </c>
      <c r="B2175" t="s">
        <v>812</v>
      </c>
      <c r="C2175" t="s">
        <v>802</v>
      </c>
      <c r="D2175" t="s">
        <v>2844</v>
      </c>
      <c r="E2175" t="s">
        <v>2845</v>
      </c>
      <c r="F2175">
        <v>4022715</v>
      </c>
      <c r="G2175" t="s">
        <v>2846</v>
      </c>
      <c r="H2175" t="s">
        <v>805</v>
      </c>
      <c r="I2175">
        <v>23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23</v>
      </c>
      <c r="P2175" s="44" t="e">
        <f>_xlfn.XLOOKUP(Tabla5[[#This Row],[EAN CORREGIDO]],'Tabla Articulos'!B:B,'Tabla Articulos'!D:D)</f>
        <v>#N/A</v>
      </c>
      <c r="Q2175" s="44" t="e">
        <f>_xlfn.XLOOKUP(S2175,'Tabla Articulos'!B:B,'Tabla Articulos'!E:E)</f>
        <v>#N/A</v>
      </c>
      <c r="R2175" s="44" t="e">
        <f t="shared" si="66"/>
        <v>#N/A</v>
      </c>
      <c r="S2175" s="45" t="str">
        <f t="shared" si="67"/>
        <v>7790503199105</v>
      </c>
    </row>
    <row r="2176" spans="1:19" hidden="1" x14ac:dyDescent="0.35">
      <c r="A2176" s="22">
        <v>5</v>
      </c>
      <c r="B2176" t="s">
        <v>829</v>
      </c>
      <c r="C2176" t="s">
        <v>802</v>
      </c>
      <c r="D2176" s="11" t="s">
        <v>2844</v>
      </c>
      <c r="E2176" t="s">
        <v>2845</v>
      </c>
      <c r="F2176">
        <v>4022715</v>
      </c>
      <c r="G2176" t="s">
        <v>2846</v>
      </c>
      <c r="H2176" t="s">
        <v>805</v>
      </c>
      <c r="I2176">
        <v>8</v>
      </c>
      <c r="J2176">
        <v>0</v>
      </c>
      <c r="K2176">
        <v>0</v>
      </c>
      <c r="L2176">
        <v>0</v>
      </c>
      <c r="M2176">
        <v>2</v>
      </c>
      <c r="N2176">
        <v>0</v>
      </c>
      <c r="O2176">
        <v>6</v>
      </c>
      <c r="P2176" s="44" t="e">
        <f>_xlfn.XLOOKUP(Tabla5[[#This Row],[EAN CORREGIDO]],'Tabla Articulos'!B:B,'Tabla Articulos'!D:D)</f>
        <v>#N/A</v>
      </c>
      <c r="Q2176" s="44" t="e">
        <f>_xlfn.XLOOKUP(S2176,'Tabla Articulos'!B:B,'Tabla Articulos'!E:E)</f>
        <v>#N/A</v>
      </c>
      <c r="R2176" s="44" t="e">
        <f t="shared" si="66"/>
        <v>#N/A</v>
      </c>
      <c r="S2176" s="45" t="str">
        <f t="shared" si="67"/>
        <v>7790503199105</v>
      </c>
    </row>
    <row r="2177" spans="1:19" hidden="1" x14ac:dyDescent="0.35">
      <c r="A2177" s="22">
        <v>6</v>
      </c>
      <c r="B2177" t="s">
        <v>801</v>
      </c>
      <c r="C2177" t="s">
        <v>802</v>
      </c>
      <c r="D2177"/>
      <c r="E2177" t="s">
        <v>2847</v>
      </c>
      <c r="F2177">
        <v>9003633</v>
      </c>
      <c r="G2177" t="s">
        <v>2848</v>
      </c>
      <c r="H2177" t="s">
        <v>805</v>
      </c>
      <c r="I2177">
        <v>34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34</v>
      </c>
      <c r="P2177" s="44" t="e">
        <f>_xlfn.XLOOKUP(Tabla5[[#This Row],[EAN CORREGIDO]],'Tabla Articulos'!B:B,'Tabla Articulos'!D:D)</f>
        <v>#N/A</v>
      </c>
      <c r="Q2177" s="44" t="e">
        <f>_xlfn.XLOOKUP(S2177,'Tabla Articulos'!B:B,'Tabla Articulos'!E:E)</f>
        <v>#N/A</v>
      </c>
      <c r="R2177" s="44" t="e">
        <f t="shared" ref="R2177:R2240" si="68">O2177*Q2177</f>
        <v>#N/A</v>
      </c>
      <c r="S2177" s="45" t="str">
        <f t="shared" ref="S2177:S2240" si="69">TRIM(E2177)</f>
        <v>UNIF000369</v>
      </c>
    </row>
    <row r="2178" spans="1:19" hidden="1" x14ac:dyDescent="0.35">
      <c r="A2178" s="22">
        <v>6</v>
      </c>
      <c r="B2178" t="s">
        <v>801</v>
      </c>
      <c r="C2178" t="s">
        <v>802</v>
      </c>
      <c r="E2178" t="s">
        <v>2493</v>
      </c>
      <c r="F2178">
        <v>2007384</v>
      </c>
      <c r="G2178" t="s">
        <v>2494</v>
      </c>
      <c r="H2178" t="s">
        <v>805</v>
      </c>
      <c r="I2178">
        <v>4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4</v>
      </c>
      <c r="P2178" s="44" t="e">
        <f>_xlfn.XLOOKUP(Tabla5[[#This Row],[EAN CORREGIDO]],'Tabla Articulos'!B:B,'Tabla Articulos'!D:D)</f>
        <v>#N/A</v>
      </c>
      <c r="Q2178" s="44" t="e">
        <f>_xlfn.XLOOKUP(S2178,'Tabla Articulos'!B:B,'Tabla Articulos'!E:E)</f>
        <v>#N/A</v>
      </c>
      <c r="R2178" s="44" t="e">
        <f t="shared" si="68"/>
        <v>#N/A</v>
      </c>
      <c r="S2178" s="45" t="str">
        <f t="shared" si="69"/>
        <v>7790520028839</v>
      </c>
    </row>
    <row r="2179" spans="1:19" hidden="1" x14ac:dyDescent="0.35">
      <c r="A2179" s="22">
        <v>6</v>
      </c>
      <c r="B2179" t="s">
        <v>801</v>
      </c>
      <c r="C2179" t="s">
        <v>802</v>
      </c>
      <c r="D2179" s="11" t="s">
        <v>2495</v>
      </c>
      <c r="E2179" t="s">
        <v>2496</v>
      </c>
      <c r="F2179">
        <v>2006765</v>
      </c>
      <c r="G2179" t="s">
        <v>2497</v>
      </c>
      <c r="H2179" t="s">
        <v>805</v>
      </c>
      <c r="I2179">
        <v>10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10</v>
      </c>
      <c r="P2179" s="44" t="e">
        <f>_xlfn.XLOOKUP(Tabla5[[#This Row],[EAN CORREGIDO]],'Tabla Articulos'!B:B,'Tabla Articulos'!D:D)</f>
        <v>#N/A</v>
      </c>
      <c r="Q2179" s="44" t="e">
        <f>_xlfn.XLOOKUP(S2179,'Tabla Articulos'!B:B,'Tabla Articulos'!E:E)</f>
        <v>#N/A</v>
      </c>
      <c r="R2179" s="44" t="e">
        <f t="shared" si="68"/>
        <v>#N/A</v>
      </c>
      <c r="S2179" s="45" t="str">
        <f t="shared" si="69"/>
        <v>7798188650478</v>
      </c>
    </row>
    <row r="2180" spans="1:19" hidden="1" x14ac:dyDescent="0.35">
      <c r="A2180" s="22">
        <v>6</v>
      </c>
      <c r="B2180" t="s">
        <v>801</v>
      </c>
      <c r="C2180" t="s">
        <v>802</v>
      </c>
      <c r="D2180" t="s">
        <v>947</v>
      </c>
      <c r="E2180" t="s">
        <v>2498</v>
      </c>
      <c r="F2180">
        <v>2006968</v>
      </c>
      <c r="G2180" t="s">
        <v>2499</v>
      </c>
      <c r="H2180" t="s">
        <v>805</v>
      </c>
      <c r="I2180">
        <v>21810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21810</v>
      </c>
      <c r="P2180" s="44" t="e">
        <f>_xlfn.XLOOKUP(Tabla5[[#This Row],[EAN CORREGIDO]],'Tabla Articulos'!B:B,'Tabla Articulos'!D:D)</f>
        <v>#N/A</v>
      </c>
      <c r="Q2180" s="44" t="e">
        <f>_xlfn.XLOOKUP(S2180,'Tabla Articulos'!B:B,'Tabla Articulos'!E:E)</f>
        <v>#N/A</v>
      </c>
      <c r="R2180" s="44" t="e">
        <f t="shared" si="68"/>
        <v>#N/A</v>
      </c>
      <c r="S2180" s="45" t="str">
        <f t="shared" si="69"/>
        <v>LIM00267</v>
      </c>
    </row>
    <row r="2181" spans="1:19" hidden="1" x14ac:dyDescent="0.35">
      <c r="A2181" s="22">
        <v>6</v>
      </c>
      <c r="B2181" t="s">
        <v>801</v>
      </c>
      <c r="C2181" t="s">
        <v>802</v>
      </c>
      <c r="E2181" t="s">
        <v>2500</v>
      </c>
      <c r="F2181">
        <v>9003033</v>
      </c>
      <c r="G2181" t="s">
        <v>2501</v>
      </c>
      <c r="H2181" t="s">
        <v>805</v>
      </c>
      <c r="I2181">
        <v>166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166</v>
      </c>
      <c r="P2181" s="44" t="e">
        <f>_xlfn.XLOOKUP(Tabla5[[#This Row],[EAN CORREGIDO]],'Tabla Articulos'!B:B,'Tabla Articulos'!D:D)</f>
        <v>#N/A</v>
      </c>
      <c r="Q2181" s="44" t="e">
        <f>_xlfn.XLOOKUP(S2181,'Tabla Articulos'!B:B,'Tabla Articulos'!E:E)</f>
        <v>#N/A</v>
      </c>
      <c r="R2181" s="44" t="e">
        <f t="shared" si="68"/>
        <v>#N/A</v>
      </c>
      <c r="S2181" s="45" t="str">
        <f t="shared" si="69"/>
        <v>A1607C25T12</v>
      </c>
    </row>
    <row r="2182" spans="1:19" hidden="1" x14ac:dyDescent="0.35">
      <c r="A2182" s="22">
        <v>5</v>
      </c>
      <c r="B2182" t="s">
        <v>829</v>
      </c>
      <c r="C2182" t="s">
        <v>802</v>
      </c>
      <c r="D2182" s="11" t="s">
        <v>2136</v>
      </c>
      <c r="E2182" t="s">
        <v>2502</v>
      </c>
      <c r="F2182">
        <v>4021273</v>
      </c>
      <c r="G2182" t="s">
        <v>2503</v>
      </c>
      <c r="H2182" t="s">
        <v>805</v>
      </c>
      <c r="I2182">
        <v>100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100</v>
      </c>
      <c r="P2182" s="44" t="e">
        <f>_xlfn.XLOOKUP(Tabla5[[#This Row],[EAN CORREGIDO]],'Tabla Articulos'!B:B,'Tabla Articulos'!D:D)</f>
        <v>#N/A</v>
      </c>
      <c r="Q2182" s="44" t="e">
        <f>_xlfn.XLOOKUP(S2182,'Tabla Articulos'!B:B,'Tabla Articulos'!E:E)</f>
        <v>#N/A</v>
      </c>
      <c r="R2182" s="44" t="e">
        <f t="shared" si="68"/>
        <v>#N/A</v>
      </c>
      <c r="S2182" s="45" t="str">
        <f t="shared" si="69"/>
        <v>7790580143237</v>
      </c>
    </row>
    <row r="2183" spans="1:19" hidden="1" x14ac:dyDescent="0.35">
      <c r="A2183" s="22">
        <v>1</v>
      </c>
      <c r="B2183" t="s">
        <v>812</v>
      </c>
      <c r="C2183" t="s">
        <v>802</v>
      </c>
      <c r="D2183" t="s">
        <v>2136</v>
      </c>
      <c r="E2183" t="s">
        <v>2502</v>
      </c>
      <c r="F2183">
        <v>4021273</v>
      </c>
      <c r="G2183" t="s">
        <v>2503</v>
      </c>
      <c r="H2183" t="s">
        <v>805</v>
      </c>
      <c r="I2183">
        <v>692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692</v>
      </c>
      <c r="P2183" s="44" t="e">
        <f>_xlfn.XLOOKUP(Tabla5[[#This Row],[EAN CORREGIDO]],'Tabla Articulos'!B:B,'Tabla Articulos'!D:D)</f>
        <v>#N/A</v>
      </c>
      <c r="Q2183" s="44" t="e">
        <f>_xlfn.XLOOKUP(S2183,'Tabla Articulos'!B:B,'Tabla Articulos'!E:E)</f>
        <v>#N/A</v>
      </c>
      <c r="R2183" s="44" t="e">
        <f t="shared" si="68"/>
        <v>#N/A</v>
      </c>
      <c r="S2183" s="45" t="str">
        <f t="shared" si="69"/>
        <v>7790580143237</v>
      </c>
    </row>
    <row r="2184" spans="1:19" hidden="1" x14ac:dyDescent="0.35">
      <c r="A2184" s="22">
        <v>6</v>
      </c>
      <c r="B2184" t="s">
        <v>801</v>
      </c>
      <c r="C2184" t="s">
        <v>802</v>
      </c>
      <c r="D2184"/>
      <c r="E2184" t="s">
        <v>2504</v>
      </c>
      <c r="F2184">
        <v>9003461</v>
      </c>
      <c r="G2184" t="s">
        <v>2505</v>
      </c>
      <c r="H2184" t="s">
        <v>805</v>
      </c>
      <c r="I2184">
        <v>14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14</v>
      </c>
      <c r="P2184" s="44" t="e">
        <f>_xlfn.XLOOKUP(Tabla5[[#This Row],[EAN CORREGIDO]],'Tabla Articulos'!B:B,'Tabla Articulos'!D:D)</f>
        <v>#N/A</v>
      </c>
      <c r="Q2184" s="44" t="e">
        <f>_xlfn.XLOOKUP(S2184,'Tabla Articulos'!B:B,'Tabla Articulos'!E:E)</f>
        <v>#N/A</v>
      </c>
      <c r="R2184" s="44" t="e">
        <f t="shared" si="68"/>
        <v>#N/A</v>
      </c>
      <c r="S2184" s="45" t="str">
        <f t="shared" si="69"/>
        <v>UNIF000181</v>
      </c>
    </row>
    <row r="2185" spans="1:19" hidden="1" x14ac:dyDescent="0.35">
      <c r="A2185" s="22">
        <v>5</v>
      </c>
      <c r="B2185" t="s">
        <v>829</v>
      </c>
      <c r="C2185" t="s">
        <v>802</v>
      </c>
      <c r="D2185" t="s">
        <v>1615</v>
      </c>
      <c r="E2185" t="s">
        <v>2506</v>
      </c>
      <c r="F2185">
        <v>4020372</v>
      </c>
      <c r="G2185" t="s">
        <v>2507</v>
      </c>
      <c r="H2185" t="s">
        <v>805</v>
      </c>
      <c r="I2185">
        <v>4670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4670</v>
      </c>
      <c r="P2185" s="44" t="e">
        <f>_xlfn.XLOOKUP(Tabla5[[#This Row],[EAN CORREGIDO]],'Tabla Articulos'!B:B,'Tabla Articulos'!D:D)</f>
        <v>#N/A</v>
      </c>
      <c r="Q2185" s="44" t="e">
        <f>_xlfn.XLOOKUP(S2185,'Tabla Articulos'!B:B,'Tabla Articulos'!E:E)</f>
        <v>#N/A</v>
      </c>
      <c r="R2185" s="44" t="e">
        <f t="shared" si="68"/>
        <v>#N/A</v>
      </c>
      <c r="S2185" s="45" t="str">
        <f t="shared" si="69"/>
        <v>7797470004821</v>
      </c>
    </row>
    <row r="2186" spans="1:19" hidden="1" x14ac:dyDescent="0.35">
      <c r="A2186" s="22">
        <v>6</v>
      </c>
      <c r="B2186" t="s">
        <v>801</v>
      </c>
      <c r="C2186" t="s">
        <v>802</v>
      </c>
      <c r="D2186"/>
      <c r="E2186" t="s">
        <v>2508</v>
      </c>
      <c r="F2186">
        <v>5003025</v>
      </c>
      <c r="G2186" t="s">
        <v>2509</v>
      </c>
      <c r="H2186" t="s">
        <v>805</v>
      </c>
      <c r="I2186">
        <v>24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24</v>
      </c>
      <c r="P2186" s="44" t="e">
        <f>_xlfn.XLOOKUP(Tabla5[[#This Row],[EAN CORREGIDO]],'Tabla Articulos'!B:B,'Tabla Articulos'!D:D)</f>
        <v>#N/A</v>
      </c>
      <c r="Q2186" s="44" t="e">
        <f>_xlfn.XLOOKUP(S2186,'Tabla Articulos'!B:B,'Tabla Articulos'!E:E)</f>
        <v>#N/A</v>
      </c>
      <c r="R2186" s="44" t="e">
        <f t="shared" si="68"/>
        <v>#N/A</v>
      </c>
      <c r="S2186" s="45" t="str">
        <f t="shared" si="69"/>
        <v>BAZ000962</v>
      </c>
    </row>
    <row r="2187" spans="1:19" hidden="1" x14ac:dyDescent="0.35">
      <c r="A2187" s="22">
        <v>5</v>
      </c>
      <c r="B2187" t="s">
        <v>829</v>
      </c>
      <c r="C2187" t="s">
        <v>802</v>
      </c>
      <c r="D2187" t="s">
        <v>1717</v>
      </c>
      <c r="E2187" t="s">
        <v>3080</v>
      </c>
      <c r="F2187">
        <v>4018777</v>
      </c>
      <c r="G2187" t="s">
        <v>3081</v>
      </c>
      <c r="H2187" t="s">
        <v>805</v>
      </c>
      <c r="I2187">
        <v>32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32</v>
      </c>
      <c r="P2187" s="44" t="e">
        <f>_xlfn.XLOOKUP(Tabla5[[#This Row],[EAN CORREGIDO]],'Tabla Articulos'!B:B,'Tabla Articulos'!D:D)</f>
        <v>#N/A</v>
      </c>
      <c r="Q2187" s="44" t="e">
        <f>_xlfn.XLOOKUP(S2187,'Tabla Articulos'!B:B,'Tabla Articulos'!E:E)</f>
        <v>#N/A</v>
      </c>
      <c r="R2187" s="44" t="e">
        <f t="shared" si="68"/>
        <v>#N/A</v>
      </c>
      <c r="S2187" s="45" t="str">
        <f t="shared" si="69"/>
        <v>7790040143227</v>
      </c>
    </row>
    <row r="2188" spans="1:19" hidden="1" x14ac:dyDescent="0.35">
      <c r="A2188" s="22">
        <v>6</v>
      </c>
      <c r="B2188" t="s">
        <v>801</v>
      </c>
      <c r="C2188" t="s">
        <v>802</v>
      </c>
      <c r="D2188"/>
      <c r="E2188" t="s">
        <v>3082</v>
      </c>
      <c r="F2188">
        <v>9003997</v>
      </c>
      <c r="G2188" t="s">
        <v>3083</v>
      </c>
      <c r="H2188" t="s">
        <v>805</v>
      </c>
      <c r="I2188">
        <v>48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48</v>
      </c>
      <c r="P2188" s="44" t="e">
        <f>_xlfn.XLOOKUP(Tabla5[[#This Row],[EAN CORREGIDO]],'Tabla Articulos'!B:B,'Tabla Articulos'!D:D)</f>
        <v>#N/A</v>
      </c>
      <c r="Q2188" s="44" t="e">
        <f>_xlfn.XLOOKUP(S2188,'Tabla Articulos'!B:B,'Tabla Articulos'!E:E)</f>
        <v>#N/A</v>
      </c>
      <c r="R2188" s="44" t="e">
        <f t="shared" si="68"/>
        <v>#N/A</v>
      </c>
      <c r="S2188" s="45" t="str">
        <f t="shared" si="69"/>
        <v>UNIF000661</v>
      </c>
    </row>
    <row r="2189" spans="1:19" hidden="1" x14ac:dyDescent="0.35">
      <c r="A2189" s="22">
        <v>1</v>
      </c>
      <c r="B2189" t="s">
        <v>812</v>
      </c>
      <c r="C2189" t="s">
        <v>802</v>
      </c>
      <c r="D2189" t="s">
        <v>3084</v>
      </c>
      <c r="E2189" t="s">
        <v>3085</v>
      </c>
      <c r="F2189">
        <v>4018231</v>
      </c>
      <c r="G2189" t="s">
        <v>3086</v>
      </c>
      <c r="H2189" t="s">
        <v>805</v>
      </c>
      <c r="I2189">
        <v>27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27</v>
      </c>
      <c r="P2189" s="44" t="e">
        <f>_xlfn.XLOOKUP(Tabla5[[#This Row],[EAN CORREGIDO]],'Tabla Articulos'!B:B,'Tabla Articulos'!D:D)</f>
        <v>#N/A</v>
      </c>
      <c r="Q2189" s="44" t="e">
        <f>_xlfn.XLOOKUP(S2189,'Tabla Articulos'!B:B,'Tabla Articulos'!E:E)</f>
        <v>#N/A</v>
      </c>
      <c r="R2189" s="44" t="e">
        <f t="shared" si="68"/>
        <v>#N/A</v>
      </c>
      <c r="S2189" s="45" t="str">
        <f t="shared" si="69"/>
        <v>7798011976300</v>
      </c>
    </row>
    <row r="2190" spans="1:19" hidden="1" x14ac:dyDescent="0.35">
      <c r="A2190" s="22">
        <v>1</v>
      </c>
      <c r="B2190" t="s">
        <v>812</v>
      </c>
      <c r="C2190" t="s">
        <v>802</v>
      </c>
      <c r="D2190" t="s">
        <v>3087</v>
      </c>
      <c r="E2190" t="s">
        <v>3088</v>
      </c>
      <c r="F2190">
        <v>4017776</v>
      </c>
      <c r="G2190" t="s">
        <v>3089</v>
      </c>
      <c r="H2190" t="s">
        <v>816</v>
      </c>
      <c r="I2190">
        <v>7838.03</v>
      </c>
      <c r="J2190">
        <v>-168.05</v>
      </c>
      <c r="K2190">
        <v>-9</v>
      </c>
      <c r="L2190">
        <v>0</v>
      </c>
      <c r="M2190">
        <v>-65.099999999999994</v>
      </c>
      <c r="N2190">
        <v>0</v>
      </c>
      <c r="O2190">
        <v>7744.08</v>
      </c>
      <c r="P2190" s="44" t="e">
        <f>_xlfn.XLOOKUP(Tabla5[[#This Row],[EAN CORREGIDO]],'Tabla Articulos'!B:B,'Tabla Articulos'!D:D)</f>
        <v>#N/A</v>
      </c>
      <c r="Q2190" s="44" t="e">
        <f>_xlfn.XLOOKUP(S2190,'Tabla Articulos'!B:B,'Tabla Articulos'!E:E)</f>
        <v>#N/A</v>
      </c>
      <c r="R2190" s="44" t="e">
        <f t="shared" si="68"/>
        <v>#N/A</v>
      </c>
      <c r="S2190" s="45" t="str">
        <f t="shared" si="69"/>
        <v>7790212030032</v>
      </c>
    </row>
    <row r="2191" spans="1:19" hidden="1" x14ac:dyDescent="0.35">
      <c r="A2191" s="22">
        <v>6</v>
      </c>
      <c r="B2191" t="s">
        <v>801</v>
      </c>
      <c r="C2191" t="s">
        <v>802</v>
      </c>
      <c r="D2191"/>
      <c r="E2191" t="s">
        <v>3090</v>
      </c>
      <c r="F2191">
        <v>9003745</v>
      </c>
      <c r="G2191" t="s">
        <v>3091</v>
      </c>
      <c r="H2191" t="s">
        <v>805</v>
      </c>
      <c r="I2191">
        <v>588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588</v>
      </c>
      <c r="P2191" s="44" t="e">
        <f>_xlfn.XLOOKUP(Tabla5[[#This Row],[EAN CORREGIDO]],'Tabla Articulos'!B:B,'Tabla Articulos'!D:D)</f>
        <v>#N/A</v>
      </c>
      <c r="Q2191" s="44" t="e">
        <f>_xlfn.XLOOKUP(S2191,'Tabla Articulos'!B:B,'Tabla Articulos'!E:E)</f>
        <v>#N/A</v>
      </c>
      <c r="R2191" s="44" t="e">
        <f t="shared" si="68"/>
        <v>#N/A</v>
      </c>
      <c r="S2191" s="45" t="str">
        <f t="shared" si="69"/>
        <v>BAZ001178</v>
      </c>
    </row>
    <row r="2192" spans="1:19" hidden="1" x14ac:dyDescent="0.35">
      <c r="A2192" s="22">
        <v>1</v>
      </c>
      <c r="B2192" t="s">
        <v>812</v>
      </c>
      <c r="C2192" t="s">
        <v>802</v>
      </c>
      <c r="D2192" t="s">
        <v>3092</v>
      </c>
      <c r="E2192" t="s">
        <v>3093</v>
      </c>
      <c r="F2192">
        <v>4024242</v>
      </c>
      <c r="G2192" t="s">
        <v>3094</v>
      </c>
      <c r="H2192" t="s">
        <v>805</v>
      </c>
      <c r="I2192">
        <v>34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34</v>
      </c>
      <c r="P2192" s="44" t="e">
        <f>_xlfn.XLOOKUP(Tabla5[[#This Row],[EAN CORREGIDO]],'Tabla Articulos'!B:B,'Tabla Articulos'!D:D)</f>
        <v>#N/A</v>
      </c>
      <c r="Q2192" s="44" t="e">
        <f>_xlfn.XLOOKUP(S2192,'Tabla Articulos'!B:B,'Tabla Articulos'!E:E)</f>
        <v>#N/A</v>
      </c>
      <c r="R2192" s="44" t="e">
        <f t="shared" si="68"/>
        <v>#N/A</v>
      </c>
      <c r="S2192" s="45" t="str">
        <f t="shared" si="69"/>
        <v>7790499000850</v>
      </c>
    </row>
    <row r="2193" spans="1:19" hidden="1" x14ac:dyDescent="0.35">
      <c r="A2193" s="22">
        <v>1</v>
      </c>
      <c r="B2193" t="s">
        <v>812</v>
      </c>
      <c r="C2193" t="s">
        <v>802</v>
      </c>
      <c r="D2193" t="s">
        <v>3095</v>
      </c>
      <c r="E2193" t="s">
        <v>3096</v>
      </c>
      <c r="F2193">
        <v>4024271</v>
      </c>
      <c r="G2193" t="s">
        <v>3097</v>
      </c>
      <c r="H2193" t="s">
        <v>805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</v>
      </c>
      <c r="P2193" s="44" t="e">
        <f>_xlfn.XLOOKUP(Tabla5[[#This Row],[EAN CORREGIDO]],'Tabla Articulos'!B:B,'Tabla Articulos'!D:D)</f>
        <v>#N/A</v>
      </c>
      <c r="Q2193" s="44" t="e">
        <f>_xlfn.XLOOKUP(S2193,'Tabla Articulos'!B:B,'Tabla Articulos'!E:E)</f>
        <v>#N/A</v>
      </c>
      <c r="R2193" s="44" t="e">
        <f t="shared" si="68"/>
        <v>#N/A</v>
      </c>
      <c r="S2193" s="45" t="str">
        <f t="shared" si="69"/>
        <v>7798142740160</v>
      </c>
    </row>
    <row r="2194" spans="1:19" hidden="1" x14ac:dyDescent="0.35">
      <c r="A2194" s="22">
        <v>6</v>
      </c>
      <c r="B2194" t="s">
        <v>801</v>
      </c>
      <c r="C2194" t="s">
        <v>802</v>
      </c>
      <c r="D2194"/>
      <c r="E2194" t="s">
        <v>3098</v>
      </c>
      <c r="F2194">
        <v>9003608</v>
      </c>
      <c r="G2194" t="s">
        <v>3099</v>
      </c>
      <c r="H2194" t="s">
        <v>805</v>
      </c>
      <c r="I2194">
        <v>42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42</v>
      </c>
      <c r="P2194" s="44" t="e">
        <f>_xlfn.XLOOKUP(Tabla5[[#This Row],[EAN CORREGIDO]],'Tabla Articulos'!B:B,'Tabla Articulos'!D:D)</f>
        <v>#N/A</v>
      </c>
      <c r="Q2194" s="44" t="e">
        <f>_xlfn.XLOOKUP(S2194,'Tabla Articulos'!B:B,'Tabla Articulos'!E:E)</f>
        <v>#N/A</v>
      </c>
      <c r="R2194" s="44" t="e">
        <f t="shared" si="68"/>
        <v>#N/A</v>
      </c>
      <c r="S2194" s="45" t="str">
        <f t="shared" si="69"/>
        <v>UNIF000447</v>
      </c>
    </row>
    <row r="2195" spans="1:19" hidden="1" x14ac:dyDescent="0.35">
      <c r="A2195" s="22">
        <v>1</v>
      </c>
      <c r="B2195" t="s">
        <v>812</v>
      </c>
      <c r="C2195" t="s">
        <v>802</v>
      </c>
      <c r="D2195" t="s">
        <v>3100</v>
      </c>
      <c r="E2195" t="s">
        <v>3101</v>
      </c>
      <c r="F2195">
        <v>4018028</v>
      </c>
      <c r="G2195" t="s">
        <v>3102</v>
      </c>
      <c r="H2195" t="s">
        <v>816</v>
      </c>
      <c r="I2195">
        <v>40.020000000000003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39.020000000000003</v>
      </c>
      <c r="P2195" s="44" t="e">
        <f>_xlfn.XLOOKUP(Tabla5[[#This Row],[EAN CORREGIDO]],'Tabla Articulos'!B:B,'Tabla Articulos'!D:D)</f>
        <v>#N/A</v>
      </c>
      <c r="Q2195" s="44" t="e">
        <f>_xlfn.XLOOKUP(S2195,'Tabla Articulos'!B:B,'Tabla Articulos'!E:E)</f>
        <v>#N/A</v>
      </c>
      <c r="R2195" s="44" t="e">
        <f t="shared" si="68"/>
        <v>#N/A</v>
      </c>
      <c r="S2195" s="45" t="str">
        <f t="shared" si="69"/>
        <v>7790216010092</v>
      </c>
    </row>
    <row r="2196" spans="1:19" hidden="1" x14ac:dyDescent="0.35">
      <c r="A2196" s="22">
        <v>5</v>
      </c>
      <c r="B2196" t="s">
        <v>829</v>
      </c>
      <c r="C2196" t="s">
        <v>802</v>
      </c>
      <c r="D2196" s="11" t="s">
        <v>3103</v>
      </c>
      <c r="E2196" t="s">
        <v>3104</v>
      </c>
      <c r="F2196">
        <v>4020182</v>
      </c>
      <c r="G2196" t="s">
        <v>3105</v>
      </c>
      <c r="H2196" t="s">
        <v>805</v>
      </c>
      <c r="I2196">
        <v>30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30</v>
      </c>
      <c r="P2196" s="44" t="e">
        <f>_xlfn.XLOOKUP(Tabla5[[#This Row],[EAN CORREGIDO]],'Tabla Articulos'!B:B,'Tabla Articulos'!D:D)</f>
        <v>#N/A</v>
      </c>
      <c r="Q2196" s="44" t="e">
        <f>_xlfn.XLOOKUP(S2196,'Tabla Articulos'!B:B,'Tabla Articulos'!E:E)</f>
        <v>#N/A</v>
      </c>
      <c r="R2196" s="44" t="e">
        <f t="shared" si="68"/>
        <v>#N/A</v>
      </c>
      <c r="S2196" s="45" t="str">
        <f t="shared" si="69"/>
        <v>7793323004789</v>
      </c>
    </row>
    <row r="2197" spans="1:19" hidden="1" x14ac:dyDescent="0.35">
      <c r="A2197" s="22">
        <v>6</v>
      </c>
      <c r="B2197" t="s">
        <v>801</v>
      </c>
      <c r="C2197" t="s">
        <v>802</v>
      </c>
      <c r="E2197" t="s">
        <v>3106</v>
      </c>
      <c r="F2197">
        <v>9003970</v>
      </c>
      <c r="G2197" t="s">
        <v>3107</v>
      </c>
      <c r="H2197" t="s">
        <v>805</v>
      </c>
      <c r="I2197">
        <v>10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10</v>
      </c>
      <c r="P2197" s="44" t="e">
        <f>_xlfn.XLOOKUP(Tabla5[[#This Row],[EAN CORREGIDO]],'Tabla Articulos'!B:B,'Tabla Articulos'!D:D)</f>
        <v>#N/A</v>
      </c>
      <c r="Q2197" s="44" t="e">
        <f>_xlfn.XLOOKUP(S2197,'Tabla Articulos'!B:B,'Tabla Articulos'!E:E)</f>
        <v>#N/A</v>
      </c>
      <c r="R2197" s="44" t="e">
        <f t="shared" si="68"/>
        <v>#N/A</v>
      </c>
      <c r="S2197" s="45" t="str">
        <f t="shared" si="69"/>
        <v>UNIF000640</v>
      </c>
    </row>
    <row r="2198" spans="1:19" hidden="1" x14ac:dyDescent="0.35">
      <c r="A2198" s="22">
        <v>1</v>
      </c>
      <c r="B2198" t="s">
        <v>812</v>
      </c>
      <c r="C2198" t="s">
        <v>802</v>
      </c>
      <c r="D2198" t="s">
        <v>3108</v>
      </c>
      <c r="E2198" t="s">
        <v>3109</v>
      </c>
      <c r="F2198">
        <v>4019385</v>
      </c>
      <c r="G2198" t="s">
        <v>3110</v>
      </c>
      <c r="H2198" t="s">
        <v>805</v>
      </c>
      <c r="I2198">
        <v>51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51</v>
      </c>
      <c r="P2198" s="44" t="e">
        <f>_xlfn.XLOOKUP(Tabla5[[#This Row],[EAN CORREGIDO]],'Tabla Articulos'!B:B,'Tabla Articulos'!D:D)</f>
        <v>#N/A</v>
      </c>
      <c r="Q2198" s="44" t="e">
        <f>_xlfn.XLOOKUP(S2198,'Tabla Articulos'!B:B,'Tabla Articulos'!E:E)</f>
        <v>#N/A</v>
      </c>
      <c r="R2198" s="44" t="e">
        <f t="shared" si="68"/>
        <v>#N/A</v>
      </c>
      <c r="S2198" s="45" t="str">
        <f t="shared" si="69"/>
        <v>7790530280449</v>
      </c>
    </row>
    <row r="2199" spans="1:19" hidden="1" x14ac:dyDescent="0.35">
      <c r="A2199" s="22">
        <v>1</v>
      </c>
      <c r="B2199" t="s">
        <v>812</v>
      </c>
      <c r="C2199" t="s">
        <v>802</v>
      </c>
      <c r="D2199" t="s">
        <v>3111</v>
      </c>
      <c r="E2199" t="s">
        <v>3112</v>
      </c>
      <c r="F2199">
        <v>4017993</v>
      </c>
      <c r="G2199" t="s">
        <v>3113</v>
      </c>
      <c r="H2199" t="s">
        <v>805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</v>
      </c>
      <c r="P2199" s="44" t="e">
        <f>_xlfn.XLOOKUP(Tabla5[[#This Row],[EAN CORREGIDO]],'Tabla Articulos'!B:B,'Tabla Articulos'!D:D)</f>
        <v>#N/A</v>
      </c>
      <c r="Q2199" s="44" t="e">
        <f>_xlfn.XLOOKUP(S2199,'Tabla Articulos'!B:B,'Tabla Articulos'!E:E)</f>
        <v>#N/A</v>
      </c>
      <c r="R2199" s="44" t="e">
        <f t="shared" si="68"/>
        <v>#N/A</v>
      </c>
      <c r="S2199" s="45" t="str">
        <f t="shared" si="69"/>
        <v>7790216020066</v>
      </c>
    </row>
    <row r="2200" spans="1:19" hidden="1" x14ac:dyDescent="0.35">
      <c r="A2200" s="22">
        <v>6</v>
      </c>
      <c r="B2200" t="s">
        <v>801</v>
      </c>
      <c r="C2200" t="s">
        <v>802</v>
      </c>
      <c r="D2200"/>
      <c r="E2200" t="s">
        <v>3114</v>
      </c>
      <c r="F2200">
        <v>9003612</v>
      </c>
      <c r="G2200" t="s">
        <v>3115</v>
      </c>
      <c r="H2200" t="s">
        <v>805</v>
      </c>
      <c r="I2200">
        <v>30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30</v>
      </c>
      <c r="P2200" s="44" t="e">
        <f>_xlfn.XLOOKUP(Tabla5[[#This Row],[EAN CORREGIDO]],'Tabla Articulos'!B:B,'Tabla Articulos'!D:D)</f>
        <v>#N/A</v>
      </c>
      <c r="Q2200" s="44" t="e">
        <f>_xlfn.XLOOKUP(S2200,'Tabla Articulos'!B:B,'Tabla Articulos'!E:E)</f>
        <v>#N/A</v>
      </c>
      <c r="R2200" s="44" t="e">
        <f t="shared" si="68"/>
        <v>#N/A</v>
      </c>
      <c r="S2200" s="45" t="str">
        <f t="shared" si="69"/>
        <v>UNIF000451</v>
      </c>
    </row>
    <row r="2201" spans="1:19" hidden="1" x14ac:dyDescent="0.35">
      <c r="A2201" s="22">
        <v>6</v>
      </c>
      <c r="B2201" t="s">
        <v>801</v>
      </c>
      <c r="C2201" t="s">
        <v>802</v>
      </c>
      <c r="E2201" t="s">
        <v>3116</v>
      </c>
      <c r="F2201">
        <v>9003641</v>
      </c>
      <c r="G2201" t="s">
        <v>3117</v>
      </c>
      <c r="H2201" t="s">
        <v>805</v>
      </c>
      <c r="I2201">
        <v>14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14</v>
      </c>
      <c r="P2201" s="44" t="e">
        <f>_xlfn.XLOOKUP(Tabla5[[#This Row],[EAN CORREGIDO]],'Tabla Articulos'!B:B,'Tabla Articulos'!D:D)</f>
        <v>#N/A</v>
      </c>
      <c r="Q2201" s="44" t="e">
        <f>_xlfn.XLOOKUP(S2201,'Tabla Articulos'!B:B,'Tabla Articulos'!E:E)</f>
        <v>#N/A</v>
      </c>
      <c r="R2201" s="44" t="e">
        <f t="shared" si="68"/>
        <v>#N/A</v>
      </c>
      <c r="S2201" s="45" t="str">
        <f t="shared" si="69"/>
        <v>UNIF000377</v>
      </c>
    </row>
    <row r="2202" spans="1:19" hidden="1" x14ac:dyDescent="0.35">
      <c r="A2202" s="22">
        <v>6</v>
      </c>
      <c r="B2202" t="s">
        <v>801</v>
      </c>
      <c r="C2202" t="s">
        <v>802</v>
      </c>
      <c r="E2202" t="s">
        <v>3118</v>
      </c>
      <c r="F2202">
        <v>9003413</v>
      </c>
      <c r="G2202" t="s">
        <v>3119</v>
      </c>
      <c r="H2202" t="s">
        <v>805</v>
      </c>
      <c r="I2202">
        <v>18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18</v>
      </c>
      <c r="P2202" s="44" t="e">
        <f>_xlfn.XLOOKUP(Tabla5[[#This Row],[EAN CORREGIDO]],'Tabla Articulos'!B:B,'Tabla Articulos'!D:D)</f>
        <v>#N/A</v>
      </c>
      <c r="Q2202" s="44" t="e">
        <f>_xlfn.XLOOKUP(S2202,'Tabla Articulos'!B:B,'Tabla Articulos'!E:E)</f>
        <v>#N/A</v>
      </c>
      <c r="R2202" s="44" t="e">
        <f t="shared" si="68"/>
        <v>#N/A</v>
      </c>
      <c r="S2202" s="45" t="str">
        <f t="shared" si="69"/>
        <v>UNIF000100</v>
      </c>
    </row>
    <row r="2203" spans="1:19" hidden="1" x14ac:dyDescent="0.35">
      <c r="A2203" s="22">
        <v>1</v>
      </c>
      <c r="B2203" t="s">
        <v>812</v>
      </c>
      <c r="C2203" t="s">
        <v>802</v>
      </c>
      <c r="D2203" t="s">
        <v>3095</v>
      </c>
      <c r="E2203" t="s">
        <v>3995</v>
      </c>
      <c r="F2203">
        <v>4021571</v>
      </c>
      <c r="G2203" t="s">
        <v>3996</v>
      </c>
      <c r="H2203" t="s">
        <v>805</v>
      </c>
      <c r="I2203">
        <v>147</v>
      </c>
      <c r="J2203">
        <v>100</v>
      </c>
      <c r="K2203">
        <v>100</v>
      </c>
      <c r="L2203">
        <v>0</v>
      </c>
      <c r="M2203">
        <v>0</v>
      </c>
      <c r="N2203">
        <v>0</v>
      </c>
      <c r="O2203">
        <v>147</v>
      </c>
      <c r="P2203" s="44" t="e">
        <f>_xlfn.XLOOKUP(Tabla5[[#This Row],[EAN CORREGIDO]],'Tabla Articulos'!B:B,'Tabla Articulos'!D:D)</f>
        <v>#N/A</v>
      </c>
      <c r="Q2203" s="44" t="e">
        <f>_xlfn.XLOOKUP(S2203,'Tabla Articulos'!B:B,'Tabla Articulos'!E:E)</f>
        <v>#N/A</v>
      </c>
      <c r="R2203" s="44" t="e">
        <f t="shared" si="68"/>
        <v>#N/A</v>
      </c>
      <c r="S2203" s="45" t="str">
        <f t="shared" si="69"/>
        <v>7798071200483</v>
      </c>
    </row>
    <row r="2204" spans="1:19" hidden="1" x14ac:dyDescent="0.35">
      <c r="A2204" s="22">
        <v>5</v>
      </c>
      <c r="B2204" t="s">
        <v>829</v>
      </c>
      <c r="C2204" t="s">
        <v>802</v>
      </c>
      <c r="D2204" t="s">
        <v>3095</v>
      </c>
      <c r="E2204" t="s">
        <v>3995</v>
      </c>
      <c r="F2204">
        <v>4021571</v>
      </c>
      <c r="G2204" t="s">
        <v>3996</v>
      </c>
      <c r="H2204" t="s">
        <v>805</v>
      </c>
      <c r="I2204">
        <v>71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71</v>
      </c>
      <c r="P2204" s="44" t="e">
        <f>_xlfn.XLOOKUP(Tabla5[[#This Row],[EAN CORREGIDO]],'Tabla Articulos'!B:B,'Tabla Articulos'!D:D)</f>
        <v>#N/A</v>
      </c>
      <c r="Q2204" s="44" t="e">
        <f>_xlfn.XLOOKUP(S2204,'Tabla Articulos'!B:B,'Tabla Articulos'!E:E)</f>
        <v>#N/A</v>
      </c>
      <c r="R2204" s="44" t="e">
        <f t="shared" si="68"/>
        <v>#N/A</v>
      </c>
      <c r="S2204" s="45" t="str">
        <f t="shared" si="69"/>
        <v>7798071200483</v>
      </c>
    </row>
    <row r="2205" spans="1:19" hidden="1" x14ac:dyDescent="0.35">
      <c r="A2205" s="22">
        <v>1</v>
      </c>
      <c r="B2205" t="s">
        <v>812</v>
      </c>
      <c r="C2205" t="s">
        <v>802</v>
      </c>
      <c r="D2205" t="s">
        <v>3609</v>
      </c>
      <c r="E2205" t="s">
        <v>3997</v>
      </c>
      <c r="F2205">
        <v>4018327</v>
      </c>
      <c r="G2205" t="s">
        <v>3998</v>
      </c>
      <c r="H2205" t="s">
        <v>805</v>
      </c>
      <c r="I2205">
        <v>93</v>
      </c>
      <c r="J2205">
        <v>0</v>
      </c>
      <c r="K2205">
        <v>0</v>
      </c>
      <c r="L2205">
        <v>0</v>
      </c>
      <c r="M2205">
        <v>3</v>
      </c>
      <c r="N2205">
        <v>0</v>
      </c>
      <c r="O2205">
        <v>90</v>
      </c>
      <c r="P2205" s="44" t="e">
        <f>_xlfn.XLOOKUP(Tabla5[[#This Row],[EAN CORREGIDO]],'Tabla Articulos'!B:B,'Tabla Articulos'!D:D)</f>
        <v>#N/A</v>
      </c>
      <c r="Q2205" s="44" t="e">
        <f>_xlfn.XLOOKUP(S2205,'Tabla Articulos'!B:B,'Tabla Articulos'!E:E)</f>
        <v>#N/A</v>
      </c>
      <c r="R2205" s="44" t="e">
        <f t="shared" si="68"/>
        <v>#N/A</v>
      </c>
      <c r="S2205" s="45" t="str">
        <f t="shared" si="69"/>
        <v>7794990879656</v>
      </c>
    </row>
    <row r="2206" spans="1:19" hidden="1" x14ac:dyDescent="0.35">
      <c r="A2206" s="22">
        <v>6</v>
      </c>
      <c r="B2206" t="s">
        <v>801</v>
      </c>
      <c r="C2206" t="s">
        <v>802</v>
      </c>
      <c r="D2206"/>
      <c r="E2206" t="s">
        <v>3999</v>
      </c>
      <c r="F2206">
        <v>9003193</v>
      </c>
      <c r="G2206" t="s">
        <v>3695</v>
      </c>
      <c r="H2206" t="s">
        <v>805</v>
      </c>
      <c r="I2206">
        <v>17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17</v>
      </c>
      <c r="P2206" s="44" t="e">
        <f>_xlfn.XLOOKUP(Tabla5[[#This Row],[EAN CORREGIDO]],'Tabla Articulos'!B:B,'Tabla Articulos'!D:D)</f>
        <v>#N/A</v>
      </c>
      <c r="Q2206" s="44" t="e">
        <f>_xlfn.XLOOKUP(S2206,'Tabla Articulos'!B:B,'Tabla Articulos'!E:E)</f>
        <v>#N/A</v>
      </c>
      <c r="R2206" s="44" t="e">
        <f t="shared" si="68"/>
        <v>#N/A</v>
      </c>
      <c r="S2206" s="45" t="str">
        <f t="shared" si="69"/>
        <v>UNIF000319</v>
      </c>
    </row>
    <row r="2207" spans="1:19" hidden="1" x14ac:dyDescent="0.35">
      <c r="A2207" s="22">
        <v>6</v>
      </c>
      <c r="B2207" t="s">
        <v>801</v>
      </c>
      <c r="C2207" t="s">
        <v>802</v>
      </c>
      <c r="D2207"/>
      <c r="E2207" t="s">
        <v>4000</v>
      </c>
      <c r="F2207">
        <v>9003621</v>
      </c>
      <c r="G2207" t="s">
        <v>2025</v>
      </c>
      <c r="H2207" t="s">
        <v>805</v>
      </c>
      <c r="I2207">
        <v>35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35</v>
      </c>
      <c r="P2207" s="44" t="e">
        <f>_xlfn.XLOOKUP(Tabla5[[#This Row],[EAN CORREGIDO]],'Tabla Articulos'!B:B,'Tabla Articulos'!D:D)</f>
        <v>#N/A</v>
      </c>
      <c r="Q2207" s="44" t="e">
        <f>_xlfn.XLOOKUP(S2207,'Tabla Articulos'!B:B,'Tabla Articulos'!E:E)</f>
        <v>#N/A</v>
      </c>
      <c r="R2207" s="44" t="e">
        <f t="shared" si="68"/>
        <v>#N/A</v>
      </c>
      <c r="S2207" s="45" t="str">
        <f t="shared" si="69"/>
        <v>UNIF000460</v>
      </c>
    </row>
    <row r="2208" spans="1:19" hidden="1" x14ac:dyDescent="0.35">
      <c r="A2208" s="22">
        <v>1</v>
      </c>
      <c r="B2208" t="s">
        <v>812</v>
      </c>
      <c r="C2208" t="s">
        <v>802</v>
      </c>
      <c r="D2208" s="11" t="s">
        <v>4001</v>
      </c>
      <c r="E2208" t="s">
        <v>4002</v>
      </c>
      <c r="F2208">
        <v>4019863</v>
      </c>
      <c r="G2208" t="s">
        <v>4003</v>
      </c>
      <c r="H2208" t="s">
        <v>805</v>
      </c>
      <c r="I2208">
        <v>45153</v>
      </c>
      <c r="J2208">
        <v>0</v>
      </c>
      <c r="K2208">
        <v>0</v>
      </c>
      <c r="L2208">
        <v>400</v>
      </c>
      <c r="M2208">
        <v>401</v>
      </c>
      <c r="N2208">
        <v>0</v>
      </c>
      <c r="O2208">
        <v>44352</v>
      </c>
      <c r="P2208" s="44" t="e">
        <f>_xlfn.XLOOKUP(Tabla5[[#This Row],[EAN CORREGIDO]],'Tabla Articulos'!B:B,'Tabla Articulos'!D:D)</f>
        <v>#N/A</v>
      </c>
      <c r="Q2208" s="44" t="e">
        <f>_xlfn.XLOOKUP(S2208,'Tabla Articulos'!B:B,'Tabla Articulos'!E:E)</f>
        <v>#N/A</v>
      </c>
      <c r="R2208" s="44" t="e">
        <f t="shared" si="68"/>
        <v>#N/A</v>
      </c>
      <c r="S2208" s="45" t="str">
        <f t="shared" si="69"/>
        <v>7790989004306</v>
      </c>
    </row>
    <row r="2209" spans="1:19" hidden="1" x14ac:dyDescent="0.35">
      <c r="A2209" s="22">
        <v>5</v>
      </c>
      <c r="B2209" t="s">
        <v>829</v>
      </c>
      <c r="C2209" t="s">
        <v>802</v>
      </c>
      <c r="D2209" t="s">
        <v>2355</v>
      </c>
      <c r="E2209" t="s">
        <v>4004</v>
      </c>
      <c r="F2209" s="11">
        <v>4020647</v>
      </c>
      <c r="G2209" t="s">
        <v>4005</v>
      </c>
      <c r="H2209" t="s">
        <v>805</v>
      </c>
      <c r="I2209">
        <v>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2</v>
      </c>
      <c r="P2209" s="44" t="e">
        <f>_xlfn.XLOOKUP(Tabla5[[#This Row],[EAN CORREGIDO]],'Tabla Articulos'!B:B,'Tabla Articulos'!D:D)</f>
        <v>#N/A</v>
      </c>
      <c r="Q2209" s="44" t="e">
        <f>_xlfn.XLOOKUP(S2209,'Tabla Articulos'!B:B,'Tabla Articulos'!E:E)</f>
        <v>#N/A</v>
      </c>
      <c r="R2209" s="44" t="e">
        <f t="shared" si="68"/>
        <v>#N/A</v>
      </c>
      <c r="S2209" s="45" t="str">
        <f t="shared" si="69"/>
        <v>7790971000378</v>
      </c>
    </row>
    <row r="2210" spans="1:19" hidden="1" x14ac:dyDescent="0.35">
      <c r="A2210" s="22">
        <v>1</v>
      </c>
      <c r="B2210" t="s">
        <v>812</v>
      </c>
      <c r="C2210" t="s">
        <v>802</v>
      </c>
      <c r="D2210" s="11" t="s">
        <v>2355</v>
      </c>
      <c r="E2210" t="s">
        <v>4004</v>
      </c>
      <c r="F2210" s="11">
        <v>4020647</v>
      </c>
      <c r="G2210" t="s">
        <v>4005</v>
      </c>
      <c r="H2210" t="s">
        <v>805</v>
      </c>
      <c r="I2210">
        <v>24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24</v>
      </c>
      <c r="P2210" s="44" t="e">
        <f>_xlfn.XLOOKUP(Tabla5[[#This Row],[EAN CORREGIDO]],'Tabla Articulos'!B:B,'Tabla Articulos'!D:D)</f>
        <v>#N/A</v>
      </c>
      <c r="Q2210" s="44" t="e">
        <f>_xlfn.XLOOKUP(S2210,'Tabla Articulos'!B:B,'Tabla Articulos'!E:E)</f>
        <v>#N/A</v>
      </c>
      <c r="R2210" s="44" t="e">
        <f t="shared" si="68"/>
        <v>#N/A</v>
      </c>
      <c r="S2210" s="45" t="str">
        <f t="shared" si="69"/>
        <v>7790971000378</v>
      </c>
    </row>
    <row r="2211" spans="1:19" hidden="1" x14ac:dyDescent="0.35">
      <c r="A2211" s="22">
        <v>1</v>
      </c>
      <c r="B2211" t="s">
        <v>812</v>
      </c>
      <c r="C2211" t="s">
        <v>802</v>
      </c>
      <c r="D2211" s="11" t="s">
        <v>1380</v>
      </c>
      <c r="E2211" t="s">
        <v>1381</v>
      </c>
      <c r="F2211" s="11">
        <v>4019808</v>
      </c>
      <c r="G2211" t="s">
        <v>1382</v>
      </c>
      <c r="H2211" t="s">
        <v>805</v>
      </c>
      <c r="I2211">
        <v>59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59</v>
      </c>
      <c r="P2211" s="44" t="e">
        <f>_xlfn.XLOOKUP(Tabla5[[#This Row],[EAN CORREGIDO]],'Tabla Articulos'!B:B,'Tabla Articulos'!D:D)</f>
        <v>#N/A</v>
      </c>
      <c r="Q2211" s="44" t="e">
        <f>_xlfn.XLOOKUP(S2211,'Tabla Articulos'!B:B,'Tabla Articulos'!E:E)</f>
        <v>#N/A</v>
      </c>
      <c r="R2211" s="44" t="e">
        <f t="shared" si="68"/>
        <v>#N/A</v>
      </c>
      <c r="S2211" s="45" t="str">
        <f t="shared" si="69"/>
        <v>7791113001611</v>
      </c>
    </row>
    <row r="2212" spans="1:19" hidden="1" x14ac:dyDescent="0.35">
      <c r="A2212" s="22">
        <v>6</v>
      </c>
      <c r="B2212" t="s">
        <v>801</v>
      </c>
      <c r="C2212" t="s">
        <v>802</v>
      </c>
      <c r="E2212" t="s">
        <v>1383</v>
      </c>
      <c r="F2212" s="11">
        <v>9003563</v>
      </c>
      <c r="G2212" t="s">
        <v>1384</v>
      </c>
      <c r="H2212" t="s">
        <v>805</v>
      </c>
      <c r="I2212">
        <v>26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26</v>
      </c>
      <c r="P2212" s="44" t="e">
        <f>_xlfn.XLOOKUP(Tabla5[[#This Row],[EAN CORREGIDO]],'Tabla Articulos'!B:B,'Tabla Articulos'!D:D)</f>
        <v>#N/A</v>
      </c>
      <c r="Q2212" s="44" t="e">
        <f>_xlfn.XLOOKUP(S2212,'Tabla Articulos'!B:B,'Tabla Articulos'!E:E)</f>
        <v>#N/A</v>
      </c>
      <c r="R2212" s="44" t="e">
        <f t="shared" si="68"/>
        <v>#N/A</v>
      </c>
      <c r="S2212" s="45" t="str">
        <f t="shared" si="69"/>
        <v>UNIF000146</v>
      </c>
    </row>
    <row r="2213" spans="1:19" hidden="1" x14ac:dyDescent="0.35">
      <c r="A2213" s="22">
        <v>1</v>
      </c>
      <c r="B2213" t="s">
        <v>812</v>
      </c>
      <c r="C2213" t="s">
        <v>802</v>
      </c>
      <c r="D2213" s="11" t="s">
        <v>1385</v>
      </c>
      <c r="E2213" t="s">
        <v>1386</v>
      </c>
      <c r="F2213" s="11">
        <v>4018840</v>
      </c>
      <c r="G2213" t="s">
        <v>1387</v>
      </c>
      <c r="H2213" t="s">
        <v>805</v>
      </c>
      <c r="I2213">
        <v>0</v>
      </c>
      <c r="J2213">
        <v>900</v>
      </c>
      <c r="K2213">
        <v>900</v>
      </c>
      <c r="L2213">
        <v>0</v>
      </c>
      <c r="M2213">
        <v>0</v>
      </c>
      <c r="N2213">
        <v>0</v>
      </c>
      <c r="O2213">
        <v>0</v>
      </c>
      <c r="P2213" s="44" t="e">
        <f>_xlfn.XLOOKUP(Tabla5[[#This Row],[EAN CORREGIDO]],'Tabla Articulos'!B:B,'Tabla Articulos'!D:D)</f>
        <v>#N/A</v>
      </c>
      <c r="Q2213" s="44" t="e">
        <f>_xlfn.XLOOKUP(S2213,'Tabla Articulos'!B:B,'Tabla Articulos'!E:E)</f>
        <v>#N/A</v>
      </c>
      <c r="R2213" s="44" t="e">
        <f t="shared" si="68"/>
        <v>#N/A</v>
      </c>
      <c r="S2213" s="45" t="str">
        <f t="shared" si="69"/>
        <v>7792683000370</v>
      </c>
    </row>
    <row r="2214" spans="1:19" hidden="1" x14ac:dyDescent="0.35">
      <c r="A2214" s="22">
        <v>6</v>
      </c>
      <c r="B2214" t="s">
        <v>801</v>
      </c>
      <c r="C2214" t="s">
        <v>802</v>
      </c>
      <c r="D2214" t="s">
        <v>1388</v>
      </c>
      <c r="E2214" t="s">
        <v>1389</v>
      </c>
      <c r="F2214">
        <v>2006161</v>
      </c>
      <c r="G2214" t="s">
        <v>1390</v>
      </c>
      <c r="H2214" t="s">
        <v>1034</v>
      </c>
      <c r="I2214">
        <v>21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21</v>
      </c>
      <c r="P2214" s="44" t="e">
        <f>_xlfn.XLOOKUP(Tabla5[[#This Row],[EAN CORREGIDO]],'Tabla Articulos'!B:B,'Tabla Articulos'!D:D)</f>
        <v>#N/A</v>
      </c>
      <c r="Q2214" s="44" t="e">
        <f>_xlfn.XLOOKUP(S2214,'Tabla Articulos'!B:B,'Tabla Articulos'!E:E)</f>
        <v>#N/A</v>
      </c>
      <c r="R2214" s="44" t="e">
        <f t="shared" si="68"/>
        <v>#N/A</v>
      </c>
      <c r="S2214" s="45" t="str">
        <f t="shared" si="69"/>
        <v>7790321000062</v>
      </c>
    </row>
    <row r="2215" spans="1:19" hidden="1" x14ac:dyDescent="0.35">
      <c r="A2215" s="22">
        <v>6</v>
      </c>
      <c r="B2215" t="s">
        <v>801</v>
      </c>
      <c r="C2215" t="s">
        <v>802</v>
      </c>
      <c r="D2215"/>
      <c r="E2215" t="s">
        <v>1391</v>
      </c>
      <c r="F2215">
        <v>9003696</v>
      </c>
      <c r="G2215" t="s">
        <v>1392</v>
      </c>
      <c r="H2215" t="s">
        <v>805</v>
      </c>
      <c r="I2215">
        <v>1664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1664</v>
      </c>
      <c r="P2215" s="44" t="e">
        <f>_xlfn.XLOOKUP(Tabla5[[#This Row],[EAN CORREGIDO]],'Tabla Articulos'!B:B,'Tabla Articulos'!D:D)</f>
        <v>#N/A</v>
      </c>
      <c r="Q2215" s="44" t="e">
        <f>_xlfn.XLOOKUP(S2215,'Tabla Articulos'!B:B,'Tabla Articulos'!E:E)</f>
        <v>#N/A</v>
      </c>
      <c r="R2215" s="44" t="e">
        <f t="shared" si="68"/>
        <v>#N/A</v>
      </c>
      <c r="S2215" s="45" t="str">
        <f t="shared" si="69"/>
        <v>BAZ001297</v>
      </c>
    </row>
    <row r="2216" spans="1:19" hidden="1" x14ac:dyDescent="0.35">
      <c r="A2216" s="22">
        <v>5</v>
      </c>
      <c r="B2216" t="s">
        <v>829</v>
      </c>
      <c r="C2216" t="s">
        <v>802</v>
      </c>
      <c r="D2216" t="s">
        <v>1393</v>
      </c>
      <c r="E2216" t="s">
        <v>1394</v>
      </c>
      <c r="F2216">
        <v>4023173</v>
      </c>
      <c r="G2216" t="s">
        <v>1395</v>
      </c>
      <c r="H2216" t="s">
        <v>805</v>
      </c>
      <c r="I2216">
        <v>55313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55313</v>
      </c>
      <c r="P2216" s="44" t="e">
        <f>_xlfn.XLOOKUP(Tabla5[[#This Row],[EAN CORREGIDO]],'Tabla Articulos'!B:B,'Tabla Articulos'!D:D)</f>
        <v>#N/A</v>
      </c>
      <c r="Q2216" s="44" t="e">
        <f>_xlfn.XLOOKUP(S2216,'Tabla Articulos'!B:B,'Tabla Articulos'!E:E)</f>
        <v>#N/A</v>
      </c>
      <c r="R2216" s="44" t="e">
        <f t="shared" si="68"/>
        <v>#N/A</v>
      </c>
      <c r="S2216" s="45" t="str">
        <f t="shared" si="69"/>
        <v>7790199604792</v>
      </c>
    </row>
    <row r="2217" spans="1:19" hidden="1" x14ac:dyDescent="0.35">
      <c r="A2217" s="22">
        <v>6</v>
      </c>
      <c r="B2217" t="s">
        <v>801</v>
      </c>
      <c r="C2217" t="s">
        <v>802</v>
      </c>
      <c r="D2217" s="11" t="s">
        <v>1396</v>
      </c>
      <c r="E2217" t="s">
        <v>1397</v>
      </c>
      <c r="F2217">
        <v>5003000</v>
      </c>
      <c r="G2217" t="s">
        <v>1398</v>
      </c>
      <c r="H2217" t="s">
        <v>805</v>
      </c>
      <c r="I2217">
        <v>26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26</v>
      </c>
      <c r="P2217" s="44" t="e">
        <f>_xlfn.XLOOKUP(Tabla5[[#This Row],[EAN CORREGIDO]],'Tabla Articulos'!B:B,'Tabla Articulos'!D:D)</f>
        <v>#N/A</v>
      </c>
      <c r="Q2217" s="44" t="e">
        <f>_xlfn.XLOOKUP(S2217,'Tabla Articulos'!B:B,'Tabla Articulos'!E:E)</f>
        <v>#N/A</v>
      </c>
      <c r="R2217" s="44" t="e">
        <f t="shared" si="68"/>
        <v>#N/A</v>
      </c>
      <c r="S2217" s="45" t="str">
        <f t="shared" si="69"/>
        <v>BAZ000374</v>
      </c>
    </row>
    <row r="2218" spans="1:19" hidden="1" x14ac:dyDescent="0.35">
      <c r="A2218" s="22">
        <v>5</v>
      </c>
      <c r="B2218" t="s">
        <v>829</v>
      </c>
      <c r="C2218" t="s">
        <v>802</v>
      </c>
      <c r="D2218" t="s">
        <v>229</v>
      </c>
      <c r="E2218" t="s">
        <v>1399</v>
      </c>
      <c r="F2218">
        <v>2006241</v>
      </c>
      <c r="G2218" t="s">
        <v>1400</v>
      </c>
      <c r="H2218" t="s">
        <v>805</v>
      </c>
      <c r="I2218">
        <v>10161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10161</v>
      </c>
      <c r="P2218" s="44" t="e">
        <f>_xlfn.XLOOKUP(Tabla5[[#This Row],[EAN CORREGIDO]],'Tabla Articulos'!B:B,'Tabla Articulos'!D:D)</f>
        <v>#N/A</v>
      </c>
      <c r="Q2218" s="44" t="e">
        <f>_xlfn.XLOOKUP(S2218,'Tabla Articulos'!B:B,'Tabla Articulos'!E:E)</f>
        <v>#N/A</v>
      </c>
      <c r="R2218" s="44" t="e">
        <f t="shared" si="68"/>
        <v>#N/A</v>
      </c>
      <c r="S2218" s="45" t="str">
        <f t="shared" si="69"/>
        <v>7790321626936</v>
      </c>
    </row>
    <row r="2219" spans="1:19" hidden="1" x14ac:dyDescent="0.35">
      <c r="A2219" s="22">
        <v>1</v>
      </c>
      <c r="B2219" t="s">
        <v>812</v>
      </c>
      <c r="C2219" t="s">
        <v>802</v>
      </c>
      <c r="D2219" t="s">
        <v>1173</v>
      </c>
      <c r="E2219" t="s">
        <v>1401</v>
      </c>
      <c r="F2219">
        <v>4018243</v>
      </c>
      <c r="G2219" t="s">
        <v>1402</v>
      </c>
      <c r="H2219" t="s">
        <v>816</v>
      </c>
      <c r="I2219">
        <v>4.45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4.45</v>
      </c>
      <c r="P2219" s="44" t="e">
        <f>_xlfn.XLOOKUP(Tabla5[[#This Row],[EAN CORREGIDO]],'Tabla Articulos'!B:B,'Tabla Articulos'!D:D)</f>
        <v>#N/A</v>
      </c>
      <c r="Q2219" s="44" t="e">
        <f>_xlfn.XLOOKUP(S2219,'Tabla Articulos'!B:B,'Tabla Articulos'!E:E)</f>
        <v>#N/A</v>
      </c>
      <c r="R2219" s="44" t="e">
        <f t="shared" si="68"/>
        <v>#N/A</v>
      </c>
      <c r="S2219" s="45" t="str">
        <f t="shared" si="69"/>
        <v>7790212060868</v>
      </c>
    </row>
    <row r="2220" spans="1:19" hidden="1" x14ac:dyDescent="0.35">
      <c r="A2220" s="22">
        <v>5</v>
      </c>
      <c r="B2220" t="s">
        <v>829</v>
      </c>
      <c r="C2220" t="s">
        <v>802</v>
      </c>
      <c r="D2220"/>
      <c r="E2220" t="s">
        <v>1946</v>
      </c>
      <c r="F2220">
        <v>2007210</v>
      </c>
      <c r="G2220" t="s">
        <v>1947</v>
      </c>
      <c r="H2220" t="s">
        <v>1034</v>
      </c>
      <c r="I2220">
        <v>30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30</v>
      </c>
      <c r="P2220" s="44" t="str">
        <f>_xlfn.XLOOKUP(Tabla5[[#This Row],[EAN CORREGIDO]],'Tabla Articulos'!B:B,'Tabla Articulos'!D:D)</f>
        <v>ARRANQUE 15X20</v>
      </c>
      <c r="Q2220" s="44">
        <f>_xlfn.XLOOKUP(S2220,'Tabla Articulos'!B:B,'Tabla Articulos'!E:E)</f>
        <v>1</v>
      </c>
      <c r="R2220" s="44">
        <f t="shared" si="68"/>
        <v>30</v>
      </c>
      <c r="S2220" s="45" t="str">
        <f t="shared" si="69"/>
        <v>7795618000094</v>
      </c>
    </row>
    <row r="2221" spans="1:19" hidden="1" x14ac:dyDescent="0.35">
      <c r="A2221" s="22">
        <v>1</v>
      </c>
      <c r="B2221" t="s">
        <v>812</v>
      </c>
      <c r="C2221" t="s">
        <v>802</v>
      </c>
      <c r="D2221" s="11" t="s">
        <v>1948</v>
      </c>
      <c r="E2221" t="s">
        <v>1949</v>
      </c>
      <c r="F2221">
        <v>4020761</v>
      </c>
      <c r="G2221" t="s">
        <v>1950</v>
      </c>
      <c r="H2221" t="s">
        <v>805</v>
      </c>
      <c r="I2221">
        <v>6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6</v>
      </c>
      <c r="P2221" s="44" t="e">
        <f>_xlfn.XLOOKUP(Tabla5[[#This Row],[EAN CORREGIDO]],'Tabla Articulos'!B:B,'Tabla Articulos'!D:D)</f>
        <v>#N/A</v>
      </c>
      <c r="Q2221" s="44" t="e">
        <f>_xlfn.XLOOKUP(S2221,'Tabla Articulos'!B:B,'Tabla Articulos'!E:E)</f>
        <v>#N/A</v>
      </c>
      <c r="R2221" s="44" t="e">
        <f t="shared" si="68"/>
        <v>#N/A</v>
      </c>
      <c r="S2221" s="45" t="str">
        <f t="shared" si="69"/>
        <v>7794000004030</v>
      </c>
    </row>
    <row r="2222" spans="1:19" hidden="1" x14ac:dyDescent="0.35">
      <c r="A2222" s="22">
        <v>6</v>
      </c>
      <c r="B2222" t="s">
        <v>801</v>
      </c>
      <c r="C2222" t="s">
        <v>802</v>
      </c>
      <c r="D2222" t="s">
        <v>4006</v>
      </c>
      <c r="E2222" t="s">
        <v>4007</v>
      </c>
      <c r="F2222">
        <v>2016540</v>
      </c>
      <c r="G2222" t="s">
        <v>4008</v>
      </c>
      <c r="H2222" t="s">
        <v>805</v>
      </c>
      <c r="I2222">
        <v>370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370</v>
      </c>
      <c r="P2222" s="44" t="e">
        <f>_xlfn.XLOOKUP(Tabla5[[#This Row],[EAN CORREGIDO]],'Tabla Articulos'!B:B,'Tabla Articulos'!D:D)</f>
        <v>#N/A</v>
      </c>
      <c r="Q2222" s="44" t="e">
        <f>_xlfn.XLOOKUP(S2222,'Tabla Articulos'!B:B,'Tabla Articulos'!E:E)</f>
        <v>#N/A</v>
      </c>
      <c r="R2222" s="44" t="e">
        <f t="shared" si="68"/>
        <v>#N/A</v>
      </c>
      <c r="S2222" s="45" t="str">
        <f t="shared" si="69"/>
        <v>BUSAT001050</v>
      </c>
    </row>
    <row r="2223" spans="1:19" hidden="1" x14ac:dyDescent="0.35">
      <c r="A2223" s="22">
        <v>6</v>
      </c>
      <c r="B2223" t="s">
        <v>801</v>
      </c>
      <c r="C2223" t="s">
        <v>802</v>
      </c>
      <c r="D2223" t="s">
        <v>1210</v>
      </c>
      <c r="E2223" t="s">
        <v>4009</v>
      </c>
      <c r="F2223">
        <v>2006862</v>
      </c>
      <c r="G2223" t="s">
        <v>4010</v>
      </c>
      <c r="H2223" t="s">
        <v>805</v>
      </c>
      <c r="I2223">
        <v>53733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53733</v>
      </c>
      <c r="P2223" s="44" t="e">
        <f>_xlfn.XLOOKUP(Tabla5[[#This Row],[EAN CORREGIDO]],'Tabla Articulos'!B:B,'Tabla Articulos'!D:D)</f>
        <v>#N/A</v>
      </c>
      <c r="Q2223" s="44" t="e">
        <f>_xlfn.XLOOKUP(S2223,'Tabla Articulos'!B:B,'Tabla Articulos'!E:E)</f>
        <v>#N/A</v>
      </c>
      <c r="R2223" s="44" t="e">
        <f t="shared" si="68"/>
        <v>#N/A</v>
      </c>
      <c r="S2223" s="45" t="str">
        <f t="shared" si="69"/>
        <v>7790321000038</v>
      </c>
    </row>
    <row r="2224" spans="1:19" hidden="1" x14ac:dyDescent="0.35">
      <c r="A2224" s="22">
        <v>6</v>
      </c>
      <c r="B2224" t="s">
        <v>801</v>
      </c>
      <c r="C2224" t="s">
        <v>802</v>
      </c>
      <c r="D2224"/>
      <c r="E2224" t="s">
        <v>4011</v>
      </c>
      <c r="F2224">
        <v>9003469</v>
      </c>
      <c r="G2224" t="s">
        <v>4012</v>
      </c>
      <c r="H2224" t="s">
        <v>805</v>
      </c>
      <c r="I2224">
        <v>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5</v>
      </c>
      <c r="P2224" s="44" t="e">
        <f>_xlfn.XLOOKUP(Tabla5[[#This Row],[EAN CORREGIDO]],'Tabla Articulos'!B:B,'Tabla Articulos'!D:D)</f>
        <v>#N/A</v>
      </c>
      <c r="Q2224" s="44" t="e">
        <f>_xlfn.XLOOKUP(S2224,'Tabla Articulos'!B:B,'Tabla Articulos'!E:E)</f>
        <v>#N/A</v>
      </c>
      <c r="R2224" s="44" t="e">
        <f t="shared" si="68"/>
        <v>#N/A</v>
      </c>
      <c r="S2224" s="45" t="str">
        <f t="shared" si="69"/>
        <v>UNIF000408</v>
      </c>
    </row>
    <row r="2225" spans="1:19" hidden="1" x14ac:dyDescent="0.35">
      <c r="A2225" s="22">
        <v>6</v>
      </c>
      <c r="B2225" t="s">
        <v>801</v>
      </c>
      <c r="C2225" t="s">
        <v>802</v>
      </c>
      <c r="E2225" t="s">
        <v>4013</v>
      </c>
      <c r="F2225">
        <v>9003327</v>
      </c>
      <c r="G2225" t="s">
        <v>4014</v>
      </c>
      <c r="H2225" t="s">
        <v>805</v>
      </c>
      <c r="I2225">
        <v>198</v>
      </c>
      <c r="J2225">
        <v>30</v>
      </c>
      <c r="K2225">
        <v>0</v>
      </c>
      <c r="L2225">
        <v>0</v>
      </c>
      <c r="M2225">
        <v>0</v>
      </c>
      <c r="N2225">
        <v>0</v>
      </c>
      <c r="O2225">
        <v>228</v>
      </c>
      <c r="P2225" s="44" t="e">
        <f>_xlfn.XLOOKUP(Tabla5[[#This Row],[EAN CORREGIDO]],'Tabla Articulos'!B:B,'Tabla Articulos'!D:D)</f>
        <v>#N/A</v>
      </c>
      <c r="Q2225" s="44" t="e">
        <f>_xlfn.XLOOKUP(S2225,'Tabla Articulos'!B:B,'Tabla Articulos'!E:E)</f>
        <v>#N/A</v>
      </c>
      <c r="R2225" s="44" t="e">
        <f t="shared" si="68"/>
        <v>#N/A</v>
      </c>
      <c r="S2225" s="45" t="str">
        <f t="shared" si="69"/>
        <v>UNIF000135</v>
      </c>
    </row>
    <row r="2226" spans="1:19" hidden="1" x14ac:dyDescent="0.35">
      <c r="A2226" s="22">
        <v>6</v>
      </c>
      <c r="B2226" t="s">
        <v>801</v>
      </c>
      <c r="C2226" t="s">
        <v>802</v>
      </c>
      <c r="D2226"/>
      <c r="E2226" t="s">
        <v>4015</v>
      </c>
      <c r="F2226">
        <v>9003039</v>
      </c>
      <c r="G2226" t="s">
        <v>4016</v>
      </c>
      <c r="H2226" t="s">
        <v>805</v>
      </c>
      <c r="I2226">
        <v>3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3</v>
      </c>
      <c r="P2226" s="44" t="e">
        <f>_xlfn.XLOOKUP(Tabla5[[#This Row],[EAN CORREGIDO]],'Tabla Articulos'!B:B,'Tabla Articulos'!D:D)</f>
        <v>#N/A</v>
      </c>
      <c r="Q2226" s="44" t="e">
        <f>_xlfn.XLOOKUP(S2226,'Tabla Articulos'!B:B,'Tabla Articulos'!E:E)</f>
        <v>#N/A</v>
      </c>
      <c r="R2226" s="44" t="e">
        <f t="shared" si="68"/>
        <v>#N/A</v>
      </c>
      <c r="S2226" s="45" t="str">
        <f t="shared" si="69"/>
        <v>UNIF000008</v>
      </c>
    </row>
    <row r="2227" spans="1:19" hidden="1" x14ac:dyDescent="0.35">
      <c r="A2227" s="22">
        <v>5</v>
      </c>
      <c r="B2227" t="s">
        <v>829</v>
      </c>
      <c r="C2227" t="s">
        <v>802</v>
      </c>
      <c r="D2227" s="11" t="s">
        <v>4017</v>
      </c>
      <c r="E2227" t="s">
        <v>4018</v>
      </c>
      <c r="F2227">
        <v>4077152</v>
      </c>
      <c r="G2227" t="s">
        <v>4019</v>
      </c>
      <c r="H2227" t="s">
        <v>805</v>
      </c>
      <c r="I2227">
        <v>498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498</v>
      </c>
      <c r="P2227" s="44" t="e">
        <f>_xlfn.XLOOKUP(Tabla5[[#This Row],[EAN CORREGIDO]],'Tabla Articulos'!B:B,'Tabla Articulos'!D:D)</f>
        <v>#N/A</v>
      </c>
      <c r="Q2227" s="44" t="e">
        <f>_xlfn.XLOOKUP(S2227,'Tabla Articulos'!B:B,'Tabla Articulos'!E:E)</f>
        <v>#N/A</v>
      </c>
      <c r="R2227" s="44" t="e">
        <f t="shared" si="68"/>
        <v>#N/A</v>
      </c>
      <c r="S2227" s="45" t="str">
        <f t="shared" si="69"/>
        <v>77922106</v>
      </c>
    </row>
    <row r="2228" spans="1:19" hidden="1" x14ac:dyDescent="0.35">
      <c r="A2228" s="22">
        <v>6</v>
      </c>
      <c r="B2228" t="s">
        <v>801</v>
      </c>
      <c r="C2228" t="s">
        <v>802</v>
      </c>
      <c r="D2228" t="s">
        <v>3950</v>
      </c>
      <c r="E2228" t="s">
        <v>4020</v>
      </c>
      <c r="F2228">
        <v>2016614</v>
      </c>
      <c r="G2228" t="s">
        <v>4021</v>
      </c>
      <c r="H2228" t="s">
        <v>805</v>
      </c>
      <c r="I2228">
        <v>3818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3818</v>
      </c>
      <c r="P2228" s="44" t="e">
        <f>_xlfn.XLOOKUP(Tabla5[[#This Row],[EAN CORREGIDO]],'Tabla Articulos'!B:B,'Tabla Articulos'!D:D)</f>
        <v>#N/A</v>
      </c>
      <c r="Q2228" s="44" t="e">
        <f>_xlfn.XLOOKUP(S2228,'Tabla Articulos'!B:B,'Tabla Articulos'!E:E)</f>
        <v>#N/A</v>
      </c>
      <c r="R2228" s="44" t="e">
        <f t="shared" si="68"/>
        <v>#N/A</v>
      </c>
      <c r="S2228" s="45" t="str">
        <f t="shared" si="69"/>
        <v>7798349550128</v>
      </c>
    </row>
    <row r="2229" spans="1:19" hidden="1" x14ac:dyDescent="0.35">
      <c r="A2229" s="22">
        <v>5</v>
      </c>
      <c r="B2229" t="s">
        <v>829</v>
      </c>
      <c r="C2229" t="s">
        <v>802</v>
      </c>
      <c r="D2229" s="11" t="s">
        <v>2637</v>
      </c>
      <c r="E2229" t="s">
        <v>4022</v>
      </c>
      <c r="F2229">
        <v>4018267</v>
      </c>
      <c r="G2229" t="s">
        <v>4023</v>
      </c>
      <c r="H2229" t="s">
        <v>805</v>
      </c>
      <c r="I2229">
        <v>447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447</v>
      </c>
      <c r="P2229" s="44" t="e">
        <f>_xlfn.XLOOKUP(Tabla5[[#This Row],[EAN CORREGIDO]],'Tabla Articulos'!B:B,'Tabla Articulos'!D:D)</f>
        <v>#N/A</v>
      </c>
      <c r="Q2229" s="44" t="e">
        <f>_xlfn.XLOOKUP(S2229,'Tabla Articulos'!B:B,'Tabla Articulos'!E:E)</f>
        <v>#N/A</v>
      </c>
      <c r="R2229" s="44" t="e">
        <f t="shared" si="68"/>
        <v>#N/A</v>
      </c>
      <c r="S2229" s="45" t="str">
        <f t="shared" si="69"/>
        <v>7798001562292</v>
      </c>
    </row>
    <row r="2230" spans="1:19" hidden="1" x14ac:dyDescent="0.35">
      <c r="A2230" s="22">
        <v>1</v>
      </c>
      <c r="B2230" t="s">
        <v>812</v>
      </c>
      <c r="C2230" t="s">
        <v>802</v>
      </c>
      <c r="D2230" t="s">
        <v>2637</v>
      </c>
      <c r="E2230" t="s">
        <v>4022</v>
      </c>
      <c r="F2230">
        <v>4018267</v>
      </c>
      <c r="G2230" t="s">
        <v>4023</v>
      </c>
      <c r="H2230" t="s">
        <v>805</v>
      </c>
      <c r="I2230">
        <v>20106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20106</v>
      </c>
      <c r="P2230" s="44" t="e">
        <f>_xlfn.XLOOKUP(Tabla5[[#This Row],[EAN CORREGIDO]],'Tabla Articulos'!B:B,'Tabla Articulos'!D:D)</f>
        <v>#N/A</v>
      </c>
      <c r="Q2230" s="44" t="e">
        <f>_xlfn.XLOOKUP(S2230,'Tabla Articulos'!B:B,'Tabla Articulos'!E:E)</f>
        <v>#N/A</v>
      </c>
      <c r="R2230" s="44" t="e">
        <f t="shared" si="68"/>
        <v>#N/A</v>
      </c>
      <c r="S2230" s="45" t="str">
        <f t="shared" si="69"/>
        <v>7798001562292</v>
      </c>
    </row>
    <row r="2231" spans="1:19" hidden="1" x14ac:dyDescent="0.35">
      <c r="A2231" s="22">
        <v>5</v>
      </c>
      <c r="B2231" t="s">
        <v>829</v>
      </c>
      <c r="C2231" t="s">
        <v>802</v>
      </c>
      <c r="D2231" s="11" t="s">
        <v>2992</v>
      </c>
      <c r="E2231" t="s">
        <v>4024</v>
      </c>
      <c r="F2231">
        <v>4019639</v>
      </c>
      <c r="G2231" t="s">
        <v>4025</v>
      </c>
      <c r="H2231" t="s">
        <v>805</v>
      </c>
      <c r="I2231">
        <v>45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45</v>
      </c>
      <c r="P2231" s="44" t="e">
        <f>_xlfn.XLOOKUP(Tabla5[[#This Row],[EAN CORREGIDO]],'Tabla Articulos'!B:B,'Tabla Articulos'!D:D)</f>
        <v>#N/A</v>
      </c>
      <c r="Q2231" s="44" t="e">
        <f>_xlfn.XLOOKUP(S2231,'Tabla Articulos'!B:B,'Tabla Articulos'!E:E)</f>
        <v>#N/A</v>
      </c>
      <c r="R2231" s="44" t="e">
        <f t="shared" si="68"/>
        <v>#N/A</v>
      </c>
      <c r="S2231" s="45" t="str">
        <f t="shared" si="69"/>
        <v>7790490998231</v>
      </c>
    </row>
    <row r="2232" spans="1:19" hidden="1" x14ac:dyDescent="0.35">
      <c r="A2232" s="22">
        <v>6</v>
      </c>
      <c r="B2232" t="s">
        <v>801</v>
      </c>
      <c r="C2232" t="s">
        <v>802</v>
      </c>
      <c r="D2232"/>
      <c r="E2232" t="s">
        <v>4026</v>
      </c>
      <c r="F2232">
        <v>9003270</v>
      </c>
      <c r="G2232" t="s">
        <v>4027</v>
      </c>
      <c r="H2232" t="s">
        <v>805</v>
      </c>
      <c r="I2232">
        <v>60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60</v>
      </c>
      <c r="P2232" s="44" t="e">
        <f>_xlfn.XLOOKUP(Tabla5[[#This Row],[EAN CORREGIDO]],'Tabla Articulos'!B:B,'Tabla Articulos'!D:D)</f>
        <v>#N/A</v>
      </c>
      <c r="Q2232" s="44" t="e">
        <f>_xlfn.XLOOKUP(S2232,'Tabla Articulos'!B:B,'Tabla Articulos'!E:E)</f>
        <v>#N/A</v>
      </c>
      <c r="R2232" s="44" t="e">
        <f t="shared" si="68"/>
        <v>#N/A</v>
      </c>
      <c r="S2232" s="45" t="str">
        <f t="shared" si="69"/>
        <v>UNIF000427</v>
      </c>
    </row>
    <row r="2233" spans="1:19" hidden="1" x14ac:dyDescent="0.35">
      <c r="A2233" s="22">
        <v>5</v>
      </c>
      <c r="B2233" t="s">
        <v>829</v>
      </c>
      <c r="C2233" t="s">
        <v>802</v>
      </c>
      <c r="D2233" t="s">
        <v>3027</v>
      </c>
      <c r="E2233" t="s">
        <v>3028</v>
      </c>
      <c r="F2233">
        <v>4019860</v>
      </c>
      <c r="G2233" t="s">
        <v>3029</v>
      </c>
      <c r="H2233" t="s">
        <v>805</v>
      </c>
      <c r="I2233">
        <v>24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24</v>
      </c>
      <c r="P2233" s="44" t="e">
        <f>_xlfn.XLOOKUP(Tabla5[[#This Row],[EAN CORREGIDO]],'Tabla Articulos'!B:B,'Tabla Articulos'!D:D)</f>
        <v>#N/A</v>
      </c>
      <c r="Q2233" s="44" t="e">
        <f>_xlfn.XLOOKUP(S2233,'Tabla Articulos'!B:B,'Tabla Articulos'!E:E)</f>
        <v>#N/A</v>
      </c>
      <c r="R2233" s="44" t="e">
        <f t="shared" si="68"/>
        <v>#N/A</v>
      </c>
      <c r="S2233" s="45" t="str">
        <f t="shared" si="69"/>
        <v>7790971000651</v>
      </c>
    </row>
    <row r="2234" spans="1:19" hidden="1" x14ac:dyDescent="0.35">
      <c r="A2234" s="22">
        <v>6</v>
      </c>
      <c r="B2234" t="s">
        <v>801</v>
      </c>
      <c r="C2234" t="s">
        <v>802</v>
      </c>
      <c r="D2234"/>
      <c r="E2234" t="s">
        <v>3030</v>
      </c>
      <c r="F2234">
        <v>9003635</v>
      </c>
      <c r="G2234" t="s">
        <v>3031</v>
      </c>
      <c r="H2234" t="s">
        <v>805</v>
      </c>
      <c r="I2234">
        <v>11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11</v>
      </c>
      <c r="P2234" s="44" t="e">
        <f>_xlfn.XLOOKUP(Tabla5[[#This Row],[EAN CORREGIDO]],'Tabla Articulos'!B:B,'Tabla Articulos'!D:D)</f>
        <v>#N/A</v>
      </c>
      <c r="Q2234" s="44" t="e">
        <f>_xlfn.XLOOKUP(S2234,'Tabla Articulos'!B:B,'Tabla Articulos'!E:E)</f>
        <v>#N/A</v>
      </c>
      <c r="R2234" s="44" t="e">
        <f t="shared" si="68"/>
        <v>#N/A</v>
      </c>
      <c r="S2234" s="45" t="str">
        <f t="shared" si="69"/>
        <v>UNIF000371</v>
      </c>
    </row>
    <row r="2235" spans="1:19" hidden="1" x14ac:dyDescent="0.35">
      <c r="A2235" s="22">
        <v>6</v>
      </c>
      <c r="B2235" t="s">
        <v>801</v>
      </c>
      <c r="C2235" t="s">
        <v>802</v>
      </c>
      <c r="E2235" t="s">
        <v>3032</v>
      </c>
      <c r="F2235">
        <v>9003993</v>
      </c>
      <c r="G2235" t="s">
        <v>3033</v>
      </c>
      <c r="H2235" t="s">
        <v>805</v>
      </c>
      <c r="I2235">
        <v>24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24</v>
      </c>
      <c r="P2235" s="44" t="e">
        <f>_xlfn.XLOOKUP(Tabla5[[#This Row],[EAN CORREGIDO]],'Tabla Articulos'!B:B,'Tabla Articulos'!D:D)</f>
        <v>#N/A</v>
      </c>
      <c r="Q2235" s="44" t="e">
        <f>_xlfn.XLOOKUP(S2235,'Tabla Articulos'!B:B,'Tabla Articulos'!E:E)</f>
        <v>#N/A</v>
      </c>
      <c r="R2235" s="44" t="e">
        <f t="shared" si="68"/>
        <v>#N/A</v>
      </c>
      <c r="S2235" s="45" t="str">
        <f t="shared" si="69"/>
        <v>UNIF000657</v>
      </c>
    </row>
    <row r="2236" spans="1:19" hidden="1" x14ac:dyDescent="0.35">
      <c r="A2236" s="22">
        <v>6</v>
      </c>
      <c r="B2236" t="s">
        <v>801</v>
      </c>
      <c r="C2236" t="s">
        <v>802</v>
      </c>
      <c r="D2236"/>
      <c r="E2236" t="s">
        <v>3034</v>
      </c>
      <c r="F2236">
        <v>9003765</v>
      </c>
      <c r="G2236" t="s">
        <v>3035</v>
      </c>
      <c r="H2236" t="s">
        <v>805</v>
      </c>
      <c r="I2236">
        <v>13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13</v>
      </c>
      <c r="P2236" s="44" t="e">
        <f>_xlfn.XLOOKUP(Tabla5[[#This Row],[EAN CORREGIDO]],'Tabla Articulos'!B:B,'Tabla Articulos'!D:D)</f>
        <v>#N/A</v>
      </c>
      <c r="Q2236" s="44" t="e">
        <f>_xlfn.XLOOKUP(S2236,'Tabla Articulos'!B:B,'Tabla Articulos'!E:E)</f>
        <v>#N/A</v>
      </c>
      <c r="R2236" s="44" t="e">
        <f t="shared" si="68"/>
        <v>#N/A</v>
      </c>
      <c r="S2236" s="45" t="str">
        <f t="shared" si="69"/>
        <v>BAZ001194</v>
      </c>
    </row>
    <row r="2237" spans="1:19" hidden="1" x14ac:dyDescent="0.35">
      <c r="A2237" s="22">
        <v>1</v>
      </c>
      <c r="B2237" t="s">
        <v>812</v>
      </c>
      <c r="C2237" t="s">
        <v>802</v>
      </c>
      <c r="D2237" t="s">
        <v>3036</v>
      </c>
      <c r="E2237" t="s">
        <v>3037</v>
      </c>
      <c r="F2237">
        <v>4019841</v>
      </c>
      <c r="G2237" t="s">
        <v>3038</v>
      </c>
      <c r="H2237" t="s">
        <v>805</v>
      </c>
      <c r="I2237">
        <v>31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31</v>
      </c>
      <c r="P2237" s="44" t="e">
        <f>_xlfn.XLOOKUP(Tabla5[[#This Row],[EAN CORREGIDO]],'Tabla Articulos'!B:B,'Tabla Articulos'!D:D)</f>
        <v>#N/A</v>
      </c>
      <c r="Q2237" s="44" t="e">
        <f>_xlfn.XLOOKUP(S2237,'Tabla Articulos'!B:B,'Tabla Articulos'!E:E)</f>
        <v>#N/A</v>
      </c>
      <c r="R2237" s="44" t="e">
        <f t="shared" si="68"/>
        <v>#N/A</v>
      </c>
      <c r="S2237" s="45" t="str">
        <f t="shared" si="69"/>
        <v>7790530370904</v>
      </c>
    </row>
    <row r="2238" spans="1:19" hidden="1" x14ac:dyDescent="0.35">
      <c r="A2238" s="22">
        <v>5</v>
      </c>
      <c r="B2238" t="s">
        <v>829</v>
      </c>
      <c r="C2238" t="s">
        <v>802</v>
      </c>
      <c r="D2238" t="s">
        <v>3036</v>
      </c>
      <c r="E2238" t="s">
        <v>3037</v>
      </c>
      <c r="F2238">
        <v>4019841</v>
      </c>
      <c r="G2238" t="s">
        <v>3038</v>
      </c>
      <c r="H2238" t="s">
        <v>805</v>
      </c>
      <c r="I2238">
        <v>19</v>
      </c>
      <c r="J2238">
        <v>9</v>
      </c>
      <c r="K2238">
        <v>0</v>
      </c>
      <c r="L2238">
        <v>0</v>
      </c>
      <c r="M2238">
        <v>0</v>
      </c>
      <c r="N2238">
        <v>0</v>
      </c>
      <c r="O2238">
        <v>28</v>
      </c>
      <c r="P2238" s="44" t="e">
        <f>_xlfn.XLOOKUP(Tabla5[[#This Row],[EAN CORREGIDO]],'Tabla Articulos'!B:B,'Tabla Articulos'!D:D)</f>
        <v>#N/A</v>
      </c>
      <c r="Q2238" s="44" t="e">
        <f>_xlfn.XLOOKUP(S2238,'Tabla Articulos'!B:B,'Tabla Articulos'!E:E)</f>
        <v>#N/A</v>
      </c>
      <c r="R2238" s="44" t="e">
        <f t="shared" si="68"/>
        <v>#N/A</v>
      </c>
      <c r="S2238" s="45" t="str">
        <f t="shared" si="69"/>
        <v>7790530370904</v>
      </c>
    </row>
    <row r="2239" spans="1:19" hidden="1" x14ac:dyDescent="0.35">
      <c r="A2239" s="22">
        <v>1</v>
      </c>
      <c r="B2239" t="s">
        <v>812</v>
      </c>
      <c r="C2239" t="s">
        <v>802</v>
      </c>
      <c r="D2239" s="11" t="s">
        <v>3074</v>
      </c>
      <c r="E2239" t="s">
        <v>3075</v>
      </c>
      <c r="F2239">
        <v>4018841</v>
      </c>
      <c r="G2239" t="s">
        <v>3076</v>
      </c>
      <c r="H2239" t="s">
        <v>805</v>
      </c>
      <c r="I2239">
        <v>80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80</v>
      </c>
      <c r="P2239" s="44" t="e">
        <f>_xlfn.XLOOKUP(Tabla5[[#This Row],[EAN CORREGIDO]],'Tabla Articulos'!B:B,'Tabla Articulos'!D:D)</f>
        <v>#N/A</v>
      </c>
      <c r="Q2239" s="44" t="e">
        <f>_xlfn.XLOOKUP(S2239,'Tabla Articulos'!B:B,'Tabla Articulos'!E:E)</f>
        <v>#N/A</v>
      </c>
      <c r="R2239" s="44" t="e">
        <f t="shared" si="68"/>
        <v>#N/A</v>
      </c>
      <c r="S2239" s="45" t="str">
        <f t="shared" si="69"/>
        <v>7792860005860</v>
      </c>
    </row>
    <row r="2240" spans="1:19" hidden="1" x14ac:dyDescent="0.35">
      <c r="A2240" s="22">
        <v>5</v>
      </c>
      <c r="B2240" t="s">
        <v>829</v>
      </c>
      <c r="C2240" t="s">
        <v>802</v>
      </c>
      <c r="D2240" s="11" t="s">
        <v>3077</v>
      </c>
      <c r="E2240" t="s">
        <v>3078</v>
      </c>
      <c r="F2240">
        <v>4017963</v>
      </c>
      <c r="G2240" t="s">
        <v>3079</v>
      </c>
      <c r="H2240" t="s">
        <v>816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</v>
      </c>
      <c r="P2240" s="44" t="e">
        <f>_xlfn.XLOOKUP(Tabla5[[#This Row],[EAN CORREGIDO]],'Tabla Articulos'!B:B,'Tabla Articulos'!D:D)</f>
        <v>#N/A</v>
      </c>
      <c r="Q2240" s="44" t="e">
        <f>_xlfn.XLOOKUP(S2240,'Tabla Articulos'!B:B,'Tabla Articulos'!E:E)</f>
        <v>#N/A</v>
      </c>
      <c r="R2240" s="44" t="e">
        <f t="shared" si="68"/>
        <v>#N/A</v>
      </c>
      <c r="S2240" s="45" t="str">
        <f t="shared" si="69"/>
        <v>7790216012624</v>
      </c>
    </row>
    <row r="2241" spans="1:19" hidden="1" x14ac:dyDescent="0.35">
      <c r="A2241" s="22">
        <v>6</v>
      </c>
      <c r="B2241" t="s">
        <v>801</v>
      </c>
      <c r="C2241" t="s">
        <v>802</v>
      </c>
      <c r="D2241"/>
      <c r="E2241" t="s">
        <v>2827</v>
      </c>
      <c r="F2241">
        <v>5000752</v>
      </c>
      <c r="G2241" t="s">
        <v>2828</v>
      </c>
      <c r="H2241" t="s">
        <v>805</v>
      </c>
      <c r="I2241">
        <v>45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45</v>
      </c>
      <c r="P2241" s="44" t="e">
        <f>_xlfn.XLOOKUP(Tabla5[[#This Row],[EAN CORREGIDO]],'Tabla Articulos'!B:B,'Tabla Articulos'!D:D)</f>
        <v>#N/A</v>
      </c>
      <c r="Q2241" s="44" t="e">
        <f>_xlfn.XLOOKUP(S2241,'Tabla Articulos'!B:B,'Tabla Articulos'!E:E)</f>
        <v>#N/A</v>
      </c>
      <c r="R2241" s="44" t="e">
        <f t="shared" ref="R2241:R2304" si="70">O2241*Q2241</f>
        <v>#N/A</v>
      </c>
      <c r="S2241" s="45" t="str">
        <f t="shared" ref="S2241:S2304" si="71">TRIM(E2241)</f>
        <v>5000752</v>
      </c>
    </row>
    <row r="2242" spans="1:19" hidden="1" x14ac:dyDescent="0.35">
      <c r="A2242" s="22">
        <v>5</v>
      </c>
      <c r="B2242" t="s">
        <v>829</v>
      </c>
      <c r="C2242" t="s">
        <v>802</v>
      </c>
      <c r="D2242" s="11" t="s">
        <v>2582</v>
      </c>
      <c r="E2242" t="s">
        <v>2829</v>
      </c>
      <c r="F2242">
        <v>4019789</v>
      </c>
      <c r="G2242" t="s">
        <v>2830</v>
      </c>
      <c r="H2242" t="s">
        <v>805</v>
      </c>
      <c r="I2242">
        <v>3</v>
      </c>
      <c r="J2242">
        <v>0</v>
      </c>
      <c r="K2242">
        <v>0</v>
      </c>
      <c r="L2242">
        <v>0</v>
      </c>
      <c r="M2242">
        <v>1</v>
      </c>
      <c r="N2242">
        <v>0</v>
      </c>
      <c r="O2242">
        <v>2</v>
      </c>
      <c r="P2242" s="44" t="e">
        <f>_xlfn.XLOOKUP(Tabla5[[#This Row],[EAN CORREGIDO]],'Tabla Articulos'!B:B,'Tabla Articulos'!D:D)</f>
        <v>#N/A</v>
      </c>
      <c r="Q2242" s="44" t="e">
        <f>_xlfn.XLOOKUP(S2242,'Tabla Articulos'!B:B,'Tabla Articulos'!E:E)</f>
        <v>#N/A</v>
      </c>
      <c r="R2242" s="44" t="e">
        <f t="shared" si="70"/>
        <v>#N/A</v>
      </c>
      <c r="S2242" s="45" t="str">
        <f t="shared" si="71"/>
        <v>7790971002082</v>
      </c>
    </row>
    <row r="2243" spans="1:19" hidden="1" x14ac:dyDescent="0.35">
      <c r="A2243" s="22">
        <v>1</v>
      </c>
      <c r="B2243" t="s">
        <v>812</v>
      </c>
      <c r="C2243" t="s">
        <v>802</v>
      </c>
      <c r="D2243" t="s">
        <v>2582</v>
      </c>
      <c r="E2243" t="s">
        <v>2829</v>
      </c>
      <c r="F2243">
        <v>4019789</v>
      </c>
      <c r="G2243" t="s">
        <v>2830</v>
      </c>
      <c r="H2243" t="s">
        <v>805</v>
      </c>
      <c r="I2243">
        <v>80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80</v>
      </c>
      <c r="P2243" s="44" t="e">
        <f>_xlfn.XLOOKUP(Tabla5[[#This Row],[EAN CORREGIDO]],'Tabla Articulos'!B:B,'Tabla Articulos'!D:D)</f>
        <v>#N/A</v>
      </c>
      <c r="Q2243" s="44" t="e">
        <f>_xlfn.XLOOKUP(S2243,'Tabla Articulos'!B:B,'Tabla Articulos'!E:E)</f>
        <v>#N/A</v>
      </c>
      <c r="R2243" s="44" t="e">
        <f t="shared" si="70"/>
        <v>#N/A</v>
      </c>
      <c r="S2243" s="45" t="str">
        <f t="shared" si="71"/>
        <v>7790971002082</v>
      </c>
    </row>
    <row r="2244" spans="1:19" hidden="1" x14ac:dyDescent="0.35">
      <c r="A2244" s="22">
        <v>5</v>
      </c>
      <c r="B2244" t="s">
        <v>829</v>
      </c>
      <c r="C2244" t="s">
        <v>802</v>
      </c>
      <c r="D2244" t="s">
        <v>2831</v>
      </c>
      <c r="E2244" t="s">
        <v>2832</v>
      </c>
      <c r="F2244">
        <v>4021170</v>
      </c>
      <c r="G2244" t="s">
        <v>2833</v>
      </c>
      <c r="H2244" t="s">
        <v>805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</v>
      </c>
      <c r="P2244" s="44" t="e">
        <f>_xlfn.XLOOKUP(Tabla5[[#This Row],[EAN CORREGIDO]],'Tabla Articulos'!B:B,'Tabla Articulos'!D:D)</f>
        <v>#N/A</v>
      </c>
      <c r="Q2244" s="44" t="e">
        <f>_xlfn.XLOOKUP(S2244,'Tabla Articulos'!B:B,'Tabla Articulos'!E:E)</f>
        <v>#N/A</v>
      </c>
      <c r="R2244" s="44" t="e">
        <f t="shared" si="70"/>
        <v>#N/A</v>
      </c>
      <c r="S2244" s="45" t="str">
        <f t="shared" si="71"/>
        <v>7792100016281</v>
      </c>
    </row>
    <row r="2245" spans="1:19" hidden="1" x14ac:dyDescent="0.35">
      <c r="A2245" s="22">
        <v>1</v>
      </c>
      <c r="B2245" t="s">
        <v>812</v>
      </c>
      <c r="C2245" t="s">
        <v>802</v>
      </c>
      <c r="D2245" t="s">
        <v>2831</v>
      </c>
      <c r="E2245" t="s">
        <v>2832</v>
      </c>
      <c r="F2245">
        <v>4021170</v>
      </c>
      <c r="G2245" t="s">
        <v>2833</v>
      </c>
      <c r="H2245" t="s">
        <v>805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</v>
      </c>
      <c r="P2245" s="44" t="e">
        <f>_xlfn.XLOOKUP(Tabla5[[#This Row],[EAN CORREGIDO]],'Tabla Articulos'!B:B,'Tabla Articulos'!D:D)</f>
        <v>#N/A</v>
      </c>
      <c r="Q2245" s="44" t="e">
        <f>_xlfn.XLOOKUP(S2245,'Tabla Articulos'!B:B,'Tabla Articulos'!E:E)</f>
        <v>#N/A</v>
      </c>
      <c r="R2245" s="44" t="e">
        <f t="shared" si="70"/>
        <v>#N/A</v>
      </c>
      <c r="S2245" s="45" t="str">
        <f t="shared" si="71"/>
        <v>7792100016281</v>
      </c>
    </row>
    <row r="2246" spans="1:19" hidden="1" x14ac:dyDescent="0.35">
      <c r="A2246" s="22">
        <v>6</v>
      </c>
      <c r="B2246" t="s">
        <v>801</v>
      </c>
      <c r="C2246" t="s">
        <v>802</v>
      </c>
      <c r="D2246" t="s">
        <v>230</v>
      </c>
      <c r="E2246" t="s">
        <v>2834</v>
      </c>
      <c r="F2246">
        <v>2006280</v>
      </c>
      <c r="G2246" t="s">
        <v>2835</v>
      </c>
      <c r="H2246" t="s">
        <v>805</v>
      </c>
      <c r="I2246">
        <v>10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10</v>
      </c>
      <c r="P2246" s="44" t="str">
        <f>_xlfn.XLOOKUP(Tabla5[[#This Row],[EAN CORREGIDO]],'Tabla Articulos'!B:B,'Tabla Articulos'!D:D)</f>
        <v>CAJA PIZZA CHICA</v>
      </c>
      <c r="Q2246" s="44">
        <f>_xlfn.XLOOKUP(S2246,'Tabla Articulos'!B:B,'Tabla Articulos'!E:E)</f>
        <v>100</v>
      </c>
      <c r="R2246" s="44">
        <f t="shared" si="70"/>
        <v>1000</v>
      </c>
      <c r="S2246" s="45" t="str">
        <f t="shared" si="71"/>
        <v>EMB000130</v>
      </c>
    </row>
    <row r="2247" spans="1:19" hidden="1" x14ac:dyDescent="0.35">
      <c r="A2247" s="22">
        <v>6</v>
      </c>
      <c r="B2247" t="s">
        <v>801</v>
      </c>
      <c r="C2247" t="s">
        <v>802</v>
      </c>
      <c r="E2247" t="s">
        <v>1951</v>
      </c>
      <c r="F2247" s="11">
        <v>9003581</v>
      </c>
      <c r="G2247" t="s">
        <v>1952</v>
      </c>
      <c r="H2247" t="s">
        <v>805</v>
      </c>
      <c r="I2247">
        <v>21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21</v>
      </c>
      <c r="P2247" s="44" t="e">
        <f>_xlfn.XLOOKUP(Tabla5[[#This Row],[EAN CORREGIDO]],'Tabla Articulos'!B:B,'Tabla Articulos'!D:D)</f>
        <v>#N/A</v>
      </c>
      <c r="Q2247" s="44" t="e">
        <f>_xlfn.XLOOKUP(S2247,'Tabla Articulos'!B:B,'Tabla Articulos'!E:E)</f>
        <v>#N/A</v>
      </c>
      <c r="R2247" s="44" t="e">
        <f t="shared" si="70"/>
        <v>#N/A</v>
      </c>
      <c r="S2247" s="45" t="str">
        <f t="shared" si="71"/>
        <v>UNIF000493</v>
      </c>
    </row>
    <row r="2248" spans="1:19" hidden="1" x14ac:dyDescent="0.35">
      <c r="A2248" s="22">
        <v>6</v>
      </c>
      <c r="B2248" t="s">
        <v>801</v>
      </c>
      <c r="C2248" t="s">
        <v>802</v>
      </c>
      <c r="E2248" t="s">
        <v>1953</v>
      </c>
      <c r="F2248" s="11">
        <v>9003147</v>
      </c>
      <c r="G2248" t="s">
        <v>1954</v>
      </c>
      <c r="H2248" t="s">
        <v>805</v>
      </c>
      <c r="I2248">
        <v>65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65</v>
      </c>
      <c r="P2248" s="44" t="e">
        <f>_xlfn.XLOOKUP(Tabla5[[#This Row],[EAN CORREGIDO]],'Tabla Articulos'!B:B,'Tabla Articulos'!D:D)</f>
        <v>#N/A</v>
      </c>
      <c r="Q2248" s="44" t="e">
        <f>_xlfn.XLOOKUP(S2248,'Tabla Articulos'!B:B,'Tabla Articulos'!E:E)</f>
        <v>#N/A</v>
      </c>
      <c r="R2248" s="44" t="e">
        <f t="shared" si="70"/>
        <v>#N/A</v>
      </c>
      <c r="S2248" s="45" t="str">
        <f t="shared" si="71"/>
        <v>UNIF000609</v>
      </c>
    </row>
    <row r="2249" spans="1:19" hidden="1" x14ac:dyDescent="0.35">
      <c r="A2249" s="22">
        <v>6</v>
      </c>
      <c r="B2249" t="s">
        <v>801</v>
      </c>
      <c r="C2249" t="s">
        <v>802</v>
      </c>
      <c r="E2249" t="s">
        <v>1955</v>
      </c>
      <c r="F2249" s="11">
        <v>9003440</v>
      </c>
      <c r="G2249" t="s">
        <v>1956</v>
      </c>
      <c r="H2249" t="s">
        <v>805</v>
      </c>
      <c r="I2249">
        <v>51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51</v>
      </c>
      <c r="P2249" s="44" t="e">
        <f>_xlfn.XLOOKUP(Tabla5[[#This Row],[EAN CORREGIDO]],'Tabla Articulos'!B:B,'Tabla Articulos'!D:D)</f>
        <v>#N/A</v>
      </c>
      <c r="Q2249" s="44" t="e">
        <f>_xlfn.XLOOKUP(S2249,'Tabla Articulos'!B:B,'Tabla Articulos'!E:E)</f>
        <v>#N/A</v>
      </c>
      <c r="R2249" s="44" t="e">
        <f t="shared" si="70"/>
        <v>#N/A</v>
      </c>
      <c r="S2249" s="45" t="str">
        <f t="shared" si="71"/>
        <v>UNIF000200</v>
      </c>
    </row>
    <row r="2250" spans="1:19" hidden="1" x14ac:dyDescent="0.35">
      <c r="A2250" s="22">
        <v>6</v>
      </c>
      <c r="B2250" t="s">
        <v>801</v>
      </c>
      <c r="C2250" t="s">
        <v>802</v>
      </c>
      <c r="D2250" s="11" t="s">
        <v>1957</v>
      </c>
      <c r="E2250" t="s">
        <v>1958</v>
      </c>
      <c r="F2250" s="11">
        <v>2006715</v>
      </c>
      <c r="G2250" t="s">
        <v>1959</v>
      </c>
      <c r="H2250" t="s">
        <v>805</v>
      </c>
      <c r="I2250">
        <v>165</v>
      </c>
      <c r="J2250">
        <v>0</v>
      </c>
      <c r="K2250">
        <v>0</v>
      </c>
      <c r="L2250">
        <v>0</v>
      </c>
      <c r="M2250">
        <v>8</v>
      </c>
      <c r="N2250">
        <v>0</v>
      </c>
      <c r="O2250">
        <v>157</v>
      </c>
      <c r="P2250" s="44" t="e">
        <f>_xlfn.XLOOKUP(Tabla5[[#This Row],[EAN CORREGIDO]],'Tabla Articulos'!B:B,'Tabla Articulos'!D:D)</f>
        <v>#N/A</v>
      </c>
      <c r="Q2250" s="44" t="e">
        <f>_xlfn.XLOOKUP(S2250,'Tabla Articulos'!B:B,'Tabla Articulos'!E:E)</f>
        <v>#N/A</v>
      </c>
      <c r="R2250" s="44" t="e">
        <f t="shared" si="70"/>
        <v>#N/A</v>
      </c>
      <c r="S2250" s="45" t="str">
        <f t="shared" si="71"/>
        <v>7798188650515</v>
      </c>
    </row>
    <row r="2251" spans="1:19" hidden="1" x14ac:dyDescent="0.35">
      <c r="A2251" s="22">
        <v>5</v>
      </c>
      <c r="B2251" t="s">
        <v>829</v>
      </c>
      <c r="C2251" t="s">
        <v>802</v>
      </c>
      <c r="D2251" s="11" t="s">
        <v>1759</v>
      </c>
      <c r="E2251" t="s">
        <v>1960</v>
      </c>
      <c r="F2251" s="11">
        <v>4021145</v>
      </c>
      <c r="G2251" t="s">
        <v>1961</v>
      </c>
      <c r="H2251" t="s">
        <v>805</v>
      </c>
      <c r="I2251">
        <v>77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77</v>
      </c>
      <c r="P2251" s="44" t="e">
        <f>_xlfn.XLOOKUP(Tabla5[[#This Row],[EAN CORREGIDO]],'Tabla Articulos'!B:B,'Tabla Articulos'!D:D)</f>
        <v>#N/A</v>
      </c>
      <c r="Q2251" s="44" t="e">
        <f>_xlfn.XLOOKUP(S2251,'Tabla Articulos'!B:B,'Tabla Articulos'!E:E)</f>
        <v>#N/A</v>
      </c>
      <c r="R2251" s="44" t="e">
        <f t="shared" si="70"/>
        <v>#N/A</v>
      </c>
      <c r="S2251" s="45" t="str">
        <f t="shared" si="71"/>
        <v>7792290279015</v>
      </c>
    </row>
    <row r="2252" spans="1:19" hidden="1" x14ac:dyDescent="0.35">
      <c r="A2252" s="22">
        <v>5</v>
      </c>
      <c r="B2252" t="s">
        <v>829</v>
      </c>
      <c r="C2252" t="s">
        <v>802</v>
      </c>
      <c r="D2252" t="s">
        <v>1385</v>
      </c>
      <c r="E2252" t="s">
        <v>1962</v>
      </c>
      <c r="F2252">
        <v>4077120</v>
      </c>
      <c r="G2252" t="s">
        <v>1963</v>
      </c>
      <c r="H2252" t="s">
        <v>805</v>
      </c>
      <c r="I2252">
        <v>14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14</v>
      </c>
      <c r="P2252" s="44" t="e">
        <f>_xlfn.XLOOKUP(Tabla5[[#This Row],[EAN CORREGIDO]],'Tabla Articulos'!B:B,'Tabla Articulos'!D:D)</f>
        <v>#N/A</v>
      </c>
      <c r="Q2252" s="44" t="e">
        <f>_xlfn.XLOOKUP(S2252,'Tabla Articulos'!B:B,'Tabla Articulos'!E:E)</f>
        <v>#N/A</v>
      </c>
      <c r="R2252" s="44" t="e">
        <f t="shared" si="70"/>
        <v>#N/A</v>
      </c>
      <c r="S2252" s="45" t="str">
        <f t="shared" si="71"/>
        <v>7796624000115</v>
      </c>
    </row>
    <row r="2253" spans="1:19" hidden="1" x14ac:dyDescent="0.35">
      <c r="A2253" s="22">
        <v>1</v>
      </c>
      <c r="B2253" t="s">
        <v>812</v>
      </c>
      <c r="C2253" t="s">
        <v>802</v>
      </c>
      <c r="D2253" t="s">
        <v>1385</v>
      </c>
      <c r="E2253" t="s">
        <v>1962</v>
      </c>
      <c r="F2253">
        <v>4077120</v>
      </c>
      <c r="G2253" t="s">
        <v>1963</v>
      </c>
      <c r="H2253" t="s">
        <v>805</v>
      </c>
      <c r="I2253">
        <v>21473</v>
      </c>
      <c r="J2253">
        <v>660</v>
      </c>
      <c r="K2253">
        <v>0</v>
      </c>
      <c r="L2253">
        <v>0</v>
      </c>
      <c r="M2253">
        <v>10</v>
      </c>
      <c r="N2253">
        <v>0</v>
      </c>
      <c r="O2253">
        <v>22123</v>
      </c>
      <c r="P2253" s="44" t="e">
        <f>_xlfn.XLOOKUP(Tabla5[[#This Row],[EAN CORREGIDO]],'Tabla Articulos'!B:B,'Tabla Articulos'!D:D)</f>
        <v>#N/A</v>
      </c>
      <c r="Q2253" s="44" t="e">
        <f>_xlfn.XLOOKUP(S2253,'Tabla Articulos'!B:B,'Tabla Articulos'!E:E)</f>
        <v>#N/A</v>
      </c>
      <c r="R2253" s="44" t="e">
        <f t="shared" si="70"/>
        <v>#N/A</v>
      </c>
      <c r="S2253" s="45" t="str">
        <f t="shared" si="71"/>
        <v>7796624000115</v>
      </c>
    </row>
    <row r="2254" spans="1:19" hidden="1" x14ac:dyDescent="0.35">
      <c r="A2254" s="22">
        <v>6</v>
      </c>
      <c r="B2254" t="s">
        <v>801</v>
      </c>
      <c r="C2254" t="s">
        <v>802</v>
      </c>
      <c r="D2254"/>
      <c r="E2254" t="s">
        <v>1964</v>
      </c>
      <c r="F2254">
        <v>9003801</v>
      </c>
      <c r="G2254" t="s">
        <v>1965</v>
      </c>
      <c r="H2254" t="s">
        <v>805</v>
      </c>
      <c r="I2254">
        <v>234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234</v>
      </c>
      <c r="P2254" s="44" t="e">
        <f>_xlfn.XLOOKUP(Tabla5[[#This Row],[EAN CORREGIDO]],'Tabla Articulos'!B:B,'Tabla Articulos'!D:D)</f>
        <v>#N/A</v>
      </c>
      <c r="Q2254" s="44" t="e">
        <f>_xlfn.XLOOKUP(S2254,'Tabla Articulos'!B:B,'Tabla Articulos'!E:E)</f>
        <v>#N/A</v>
      </c>
      <c r="R2254" s="44" t="e">
        <f t="shared" si="70"/>
        <v>#N/A</v>
      </c>
      <c r="S2254" s="45" t="str">
        <f t="shared" si="71"/>
        <v>BAZ001345</v>
      </c>
    </row>
    <row r="2255" spans="1:19" hidden="1" x14ac:dyDescent="0.35">
      <c r="A2255" s="22">
        <v>6</v>
      </c>
      <c r="B2255" t="s">
        <v>801</v>
      </c>
      <c r="C2255" t="s">
        <v>802</v>
      </c>
      <c r="E2255" t="s">
        <v>4028</v>
      </c>
      <c r="G2255" t="s">
        <v>4029</v>
      </c>
      <c r="H2255" t="s">
        <v>805</v>
      </c>
      <c r="I2255">
        <v>1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</v>
      </c>
      <c r="P2255" s="44" t="e">
        <f>_xlfn.XLOOKUP(Tabla5[[#This Row],[EAN CORREGIDO]],'Tabla Articulos'!B:B,'Tabla Articulos'!D:D)</f>
        <v>#N/A</v>
      </c>
      <c r="Q2255" s="44" t="e">
        <f>_xlfn.XLOOKUP(S2255,'Tabla Articulos'!B:B,'Tabla Articulos'!E:E)</f>
        <v>#N/A</v>
      </c>
      <c r="R2255" s="44" t="e">
        <f t="shared" si="70"/>
        <v>#N/A</v>
      </c>
      <c r="S2255" s="45" t="str">
        <f t="shared" si="71"/>
        <v>BUSAT000939</v>
      </c>
    </row>
    <row r="2256" spans="1:19" hidden="1" x14ac:dyDescent="0.35">
      <c r="A2256" s="22">
        <v>6</v>
      </c>
      <c r="B2256" t="s">
        <v>801</v>
      </c>
      <c r="C2256" t="s">
        <v>802</v>
      </c>
      <c r="E2256" t="s">
        <v>4030</v>
      </c>
      <c r="G2256" t="s">
        <v>4031</v>
      </c>
      <c r="H2256" t="s">
        <v>805</v>
      </c>
      <c r="I2256">
        <v>1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</v>
      </c>
      <c r="P2256" s="44" t="e">
        <f>_xlfn.XLOOKUP(Tabla5[[#This Row],[EAN CORREGIDO]],'Tabla Articulos'!B:B,'Tabla Articulos'!D:D)</f>
        <v>#N/A</v>
      </c>
      <c r="Q2256" s="44" t="e">
        <f>_xlfn.XLOOKUP(S2256,'Tabla Articulos'!B:B,'Tabla Articulos'!E:E)</f>
        <v>#N/A</v>
      </c>
      <c r="R2256" s="44" t="e">
        <f t="shared" si="70"/>
        <v>#N/A</v>
      </c>
      <c r="S2256" s="45" t="str">
        <f t="shared" si="71"/>
        <v>BUSAT001111</v>
      </c>
    </row>
    <row r="2257" spans="1:19" hidden="1" x14ac:dyDescent="0.35">
      <c r="A2257" s="22">
        <v>6</v>
      </c>
      <c r="B2257" t="s">
        <v>801</v>
      </c>
      <c r="C2257" t="s">
        <v>802</v>
      </c>
      <c r="E2257" t="s">
        <v>4032</v>
      </c>
      <c r="G2257" t="s">
        <v>4033</v>
      </c>
      <c r="H2257" t="s">
        <v>805</v>
      </c>
      <c r="I2257">
        <v>5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5</v>
      </c>
      <c r="P2257" s="44" t="e">
        <f>_xlfn.XLOOKUP(Tabla5[[#This Row],[EAN CORREGIDO]],'Tabla Articulos'!B:B,'Tabla Articulos'!D:D)</f>
        <v>#N/A</v>
      </c>
      <c r="Q2257" s="44" t="e">
        <f>_xlfn.XLOOKUP(S2257,'Tabla Articulos'!B:B,'Tabla Articulos'!E:E)</f>
        <v>#N/A</v>
      </c>
      <c r="R2257" s="44" t="e">
        <f t="shared" si="70"/>
        <v>#N/A</v>
      </c>
      <c r="S2257" s="45" t="str">
        <f t="shared" si="71"/>
        <v>BUSAT000872</v>
      </c>
    </row>
    <row r="2258" spans="1:19" hidden="1" x14ac:dyDescent="0.35">
      <c r="A2258" s="22">
        <v>6</v>
      </c>
      <c r="B2258" t="s">
        <v>801</v>
      </c>
      <c r="C2258" t="s">
        <v>802</v>
      </c>
      <c r="E2258" t="s">
        <v>4034</v>
      </c>
      <c r="G2258" t="s">
        <v>4035</v>
      </c>
      <c r="H2258" t="s">
        <v>805</v>
      </c>
      <c r="I2258">
        <v>157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157</v>
      </c>
      <c r="P2258" s="44" t="e">
        <f>_xlfn.XLOOKUP(Tabla5[[#This Row],[EAN CORREGIDO]],'Tabla Articulos'!B:B,'Tabla Articulos'!D:D)</f>
        <v>#N/A</v>
      </c>
      <c r="Q2258" s="44" t="e">
        <f>_xlfn.XLOOKUP(S2258,'Tabla Articulos'!B:B,'Tabla Articulos'!E:E)</f>
        <v>#N/A</v>
      </c>
      <c r="R2258" s="44" t="e">
        <f t="shared" si="70"/>
        <v>#N/A</v>
      </c>
      <c r="S2258" s="45" t="str">
        <f t="shared" si="71"/>
        <v>BUSAT000101</v>
      </c>
    </row>
    <row r="2259" spans="1:19" hidden="1" x14ac:dyDescent="0.35">
      <c r="A2259" s="22">
        <v>6</v>
      </c>
      <c r="B2259" t="s">
        <v>801</v>
      </c>
      <c r="C2259" t="s">
        <v>802</v>
      </c>
      <c r="E2259" t="s">
        <v>4036</v>
      </c>
      <c r="G2259" t="s">
        <v>4037</v>
      </c>
      <c r="H2259" t="s">
        <v>805</v>
      </c>
      <c r="I2259">
        <v>17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17</v>
      </c>
      <c r="P2259" s="44" t="e">
        <f>_xlfn.XLOOKUP(Tabla5[[#This Row],[EAN CORREGIDO]],'Tabla Articulos'!B:B,'Tabla Articulos'!D:D)</f>
        <v>#N/A</v>
      </c>
      <c r="Q2259" s="44" t="e">
        <f>_xlfn.XLOOKUP(S2259,'Tabla Articulos'!B:B,'Tabla Articulos'!E:E)</f>
        <v>#N/A</v>
      </c>
      <c r="R2259" s="44" t="e">
        <f t="shared" si="70"/>
        <v>#N/A</v>
      </c>
      <c r="S2259" s="45" t="str">
        <f t="shared" si="71"/>
        <v>BUSAT0011003</v>
      </c>
    </row>
    <row r="2260" spans="1:19" hidden="1" x14ac:dyDescent="0.35">
      <c r="A2260" s="22">
        <v>1</v>
      </c>
      <c r="B2260" t="s">
        <v>812</v>
      </c>
      <c r="C2260" t="s">
        <v>802</v>
      </c>
      <c r="E2260" t="s">
        <v>4077</v>
      </c>
      <c r="G2260" t="s">
        <v>4078</v>
      </c>
      <c r="H2260" t="s">
        <v>805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</v>
      </c>
      <c r="P2260" s="44" t="e">
        <f>_xlfn.XLOOKUP(Tabla5[[#This Row],[EAN CORREGIDO]],'Tabla Articulos'!B:B,'Tabla Articulos'!D:D)</f>
        <v>#N/A</v>
      </c>
      <c r="Q2260" s="44" t="e">
        <f>_xlfn.XLOOKUP(S2260,'Tabla Articulos'!B:B,'Tabla Articulos'!E:E)</f>
        <v>#N/A</v>
      </c>
      <c r="R2260" s="44" t="e">
        <f t="shared" si="70"/>
        <v>#N/A</v>
      </c>
      <c r="S2260" s="45" t="str">
        <f t="shared" si="71"/>
        <v>BUE00258</v>
      </c>
    </row>
    <row r="2261" spans="1:19" hidden="1" x14ac:dyDescent="0.35">
      <c r="A2261" s="22">
        <v>6</v>
      </c>
      <c r="B2261" t="s">
        <v>801</v>
      </c>
      <c r="C2261" t="s">
        <v>802</v>
      </c>
      <c r="E2261" t="s">
        <v>4079</v>
      </c>
      <c r="G2261" t="s">
        <v>4080</v>
      </c>
      <c r="H2261" t="s">
        <v>805</v>
      </c>
      <c r="I2261">
        <v>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5</v>
      </c>
      <c r="P2261" s="44" t="e">
        <f>_xlfn.XLOOKUP(Tabla5[[#This Row],[EAN CORREGIDO]],'Tabla Articulos'!B:B,'Tabla Articulos'!D:D)</f>
        <v>#N/A</v>
      </c>
      <c r="Q2261" s="44" t="e">
        <f>_xlfn.XLOOKUP(S2261,'Tabla Articulos'!B:B,'Tabla Articulos'!E:E)</f>
        <v>#N/A</v>
      </c>
      <c r="R2261" s="44" t="e">
        <f t="shared" si="70"/>
        <v>#N/A</v>
      </c>
      <c r="S2261" s="45" t="str">
        <f t="shared" si="71"/>
        <v>BUSAT000940</v>
      </c>
    </row>
    <row r="2262" spans="1:19" hidden="1" x14ac:dyDescent="0.35">
      <c r="A2262" s="22">
        <v>6</v>
      </c>
      <c r="B2262" t="s">
        <v>801</v>
      </c>
      <c r="C2262" t="s">
        <v>802</v>
      </c>
      <c r="E2262" t="s">
        <v>4081</v>
      </c>
      <c r="G2262" t="s">
        <v>4082</v>
      </c>
      <c r="H2262" t="s">
        <v>805</v>
      </c>
      <c r="I2262">
        <v>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2</v>
      </c>
      <c r="P2262" s="44" t="e">
        <f>_xlfn.XLOOKUP(Tabla5[[#This Row],[EAN CORREGIDO]],'Tabla Articulos'!B:B,'Tabla Articulos'!D:D)</f>
        <v>#N/A</v>
      </c>
      <c r="Q2262" s="44" t="e">
        <f>_xlfn.XLOOKUP(S2262,'Tabla Articulos'!B:B,'Tabla Articulos'!E:E)</f>
        <v>#N/A</v>
      </c>
      <c r="R2262" s="44" t="e">
        <f t="shared" si="70"/>
        <v>#N/A</v>
      </c>
      <c r="S2262" s="45" t="str">
        <f t="shared" si="71"/>
        <v>BUSAT000702</v>
      </c>
    </row>
    <row r="2263" spans="1:19" hidden="1" x14ac:dyDescent="0.35">
      <c r="A2263" s="22">
        <v>6</v>
      </c>
      <c r="B2263" t="s">
        <v>801</v>
      </c>
      <c r="C2263" t="s">
        <v>802</v>
      </c>
      <c r="E2263" t="s">
        <v>4083</v>
      </c>
      <c r="G2263" t="s">
        <v>4084</v>
      </c>
      <c r="H2263" t="s">
        <v>805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</v>
      </c>
      <c r="P2263" s="44" t="e">
        <f>_xlfn.XLOOKUP(Tabla5[[#This Row],[EAN CORREGIDO]],'Tabla Articulos'!B:B,'Tabla Articulos'!D:D)</f>
        <v>#N/A</v>
      </c>
      <c r="Q2263" s="44" t="e">
        <f>_xlfn.XLOOKUP(S2263,'Tabla Articulos'!B:B,'Tabla Articulos'!E:E)</f>
        <v>#N/A</v>
      </c>
      <c r="R2263" s="44" t="e">
        <f t="shared" si="70"/>
        <v>#N/A</v>
      </c>
      <c r="S2263" s="45" t="str">
        <f t="shared" si="71"/>
        <v>BUSAT000302</v>
      </c>
    </row>
    <row r="2264" spans="1:19" hidden="1" x14ac:dyDescent="0.35">
      <c r="A2264" s="22">
        <v>6</v>
      </c>
      <c r="B2264" t="s">
        <v>801</v>
      </c>
      <c r="C2264" t="s">
        <v>802</v>
      </c>
      <c r="E2264" t="s">
        <v>4085</v>
      </c>
      <c r="G2264" t="s">
        <v>4086</v>
      </c>
      <c r="H2264" t="s">
        <v>805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</v>
      </c>
      <c r="P2264" s="44" t="e">
        <f>_xlfn.XLOOKUP(Tabla5[[#This Row],[EAN CORREGIDO]],'Tabla Articulos'!B:B,'Tabla Articulos'!D:D)</f>
        <v>#N/A</v>
      </c>
      <c r="Q2264" s="44" t="e">
        <f>_xlfn.XLOOKUP(S2264,'Tabla Articulos'!B:B,'Tabla Articulos'!E:E)</f>
        <v>#N/A</v>
      </c>
      <c r="R2264" s="44" t="e">
        <f t="shared" si="70"/>
        <v>#N/A</v>
      </c>
      <c r="S2264" s="45" t="str">
        <f t="shared" si="71"/>
        <v>BUSAT000192</v>
      </c>
    </row>
    <row r="2265" spans="1:19" hidden="1" x14ac:dyDescent="0.35">
      <c r="A2265" s="22">
        <v>6</v>
      </c>
      <c r="B2265" t="s">
        <v>801</v>
      </c>
      <c r="C2265" t="s">
        <v>802</v>
      </c>
      <c r="E2265" t="s">
        <v>4087</v>
      </c>
      <c r="G2265" t="s">
        <v>4088</v>
      </c>
      <c r="H2265" t="s">
        <v>805</v>
      </c>
      <c r="I2265">
        <v>5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5</v>
      </c>
      <c r="P2265" s="44" t="e">
        <f>_xlfn.XLOOKUP(Tabla5[[#This Row],[EAN CORREGIDO]],'Tabla Articulos'!B:B,'Tabla Articulos'!D:D)</f>
        <v>#N/A</v>
      </c>
      <c r="Q2265" s="44" t="e">
        <f>_xlfn.XLOOKUP(S2265,'Tabla Articulos'!B:B,'Tabla Articulos'!E:E)</f>
        <v>#N/A</v>
      </c>
      <c r="R2265" s="44" t="e">
        <f t="shared" si="70"/>
        <v>#N/A</v>
      </c>
      <c r="S2265" s="45" t="str">
        <f t="shared" si="71"/>
        <v>BUSAT000113</v>
      </c>
    </row>
    <row r="2266" spans="1:19" hidden="1" x14ac:dyDescent="0.35">
      <c r="A2266" s="22">
        <v>6</v>
      </c>
      <c r="B2266" t="s">
        <v>801</v>
      </c>
      <c r="C2266" t="s">
        <v>802</v>
      </c>
      <c r="E2266" t="s">
        <v>4089</v>
      </c>
      <c r="G2266" t="s">
        <v>4090</v>
      </c>
      <c r="H2266" t="s">
        <v>805</v>
      </c>
      <c r="I2266">
        <v>2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2</v>
      </c>
      <c r="P2266" s="44" t="e">
        <f>_xlfn.XLOOKUP(Tabla5[[#This Row],[EAN CORREGIDO]],'Tabla Articulos'!B:B,'Tabla Articulos'!D:D)</f>
        <v>#N/A</v>
      </c>
      <c r="Q2266" s="44" t="e">
        <f>_xlfn.XLOOKUP(S2266,'Tabla Articulos'!B:B,'Tabla Articulos'!E:E)</f>
        <v>#N/A</v>
      </c>
      <c r="R2266" s="44" t="e">
        <f t="shared" si="70"/>
        <v>#N/A</v>
      </c>
      <c r="S2266" s="45" t="str">
        <f t="shared" si="71"/>
        <v>BUSAT000449</v>
      </c>
    </row>
    <row r="2267" spans="1:19" hidden="1" x14ac:dyDescent="0.35">
      <c r="A2267" s="22">
        <v>6</v>
      </c>
      <c r="B2267" t="s">
        <v>801</v>
      </c>
      <c r="C2267" t="s">
        <v>802</v>
      </c>
      <c r="E2267" t="s">
        <v>4091</v>
      </c>
      <c r="G2267" t="s">
        <v>4092</v>
      </c>
      <c r="H2267" t="s">
        <v>805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</v>
      </c>
      <c r="P2267" s="44" t="e">
        <f>_xlfn.XLOOKUP(Tabla5[[#This Row],[EAN CORREGIDO]],'Tabla Articulos'!B:B,'Tabla Articulos'!D:D)</f>
        <v>#N/A</v>
      </c>
      <c r="Q2267" s="44" t="e">
        <f>_xlfn.XLOOKUP(S2267,'Tabla Articulos'!B:B,'Tabla Articulos'!E:E)</f>
        <v>#N/A</v>
      </c>
      <c r="R2267" s="44" t="e">
        <f t="shared" si="70"/>
        <v>#N/A</v>
      </c>
      <c r="S2267" s="45" t="str">
        <f t="shared" si="71"/>
        <v>BUSAT0011018</v>
      </c>
    </row>
    <row r="2268" spans="1:19" hidden="1" x14ac:dyDescent="0.35">
      <c r="A2268" s="22">
        <v>6</v>
      </c>
      <c r="B2268" t="s">
        <v>801</v>
      </c>
      <c r="C2268" t="s">
        <v>802</v>
      </c>
      <c r="E2268" t="s">
        <v>4093</v>
      </c>
      <c r="G2268" t="s">
        <v>4094</v>
      </c>
      <c r="H2268" t="s">
        <v>805</v>
      </c>
      <c r="I2268">
        <v>2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2</v>
      </c>
      <c r="P2268" s="44" t="e">
        <f>_xlfn.XLOOKUP(Tabla5[[#This Row],[EAN CORREGIDO]],'Tabla Articulos'!B:B,'Tabla Articulos'!D:D)</f>
        <v>#N/A</v>
      </c>
      <c r="Q2268" s="44" t="e">
        <f>_xlfn.XLOOKUP(S2268,'Tabla Articulos'!B:B,'Tabla Articulos'!E:E)</f>
        <v>#N/A</v>
      </c>
      <c r="R2268" s="44" t="e">
        <f t="shared" si="70"/>
        <v>#N/A</v>
      </c>
      <c r="S2268" s="45" t="str">
        <f t="shared" si="71"/>
        <v>BUSAT000853</v>
      </c>
    </row>
    <row r="2269" spans="1:19" hidden="1" x14ac:dyDescent="0.35">
      <c r="A2269" s="22">
        <v>6</v>
      </c>
      <c r="B2269" t="s">
        <v>801</v>
      </c>
      <c r="C2269" t="s">
        <v>802</v>
      </c>
      <c r="E2269" t="s">
        <v>4095</v>
      </c>
      <c r="G2269" t="s">
        <v>4096</v>
      </c>
      <c r="H2269" t="s">
        <v>805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1</v>
      </c>
      <c r="P2269" s="44" t="e">
        <f>_xlfn.XLOOKUP(Tabla5[[#This Row],[EAN CORREGIDO]],'Tabla Articulos'!B:B,'Tabla Articulos'!D:D)</f>
        <v>#N/A</v>
      </c>
      <c r="Q2269" s="44" t="e">
        <f>_xlfn.XLOOKUP(S2269,'Tabla Articulos'!B:B,'Tabla Articulos'!E:E)</f>
        <v>#N/A</v>
      </c>
      <c r="R2269" s="44" t="e">
        <f t="shared" si="70"/>
        <v>#N/A</v>
      </c>
      <c r="S2269" s="45" t="str">
        <f t="shared" si="71"/>
        <v>BUSAT000353</v>
      </c>
    </row>
    <row r="2270" spans="1:19" hidden="1" x14ac:dyDescent="0.35">
      <c r="A2270" s="22">
        <v>6</v>
      </c>
      <c r="B2270" t="s">
        <v>801</v>
      </c>
      <c r="C2270" t="s">
        <v>802</v>
      </c>
      <c r="E2270" t="s">
        <v>4097</v>
      </c>
      <c r="G2270" t="s">
        <v>4098</v>
      </c>
      <c r="H2270" t="s">
        <v>805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</v>
      </c>
      <c r="P2270" s="44" t="e">
        <f>_xlfn.XLOOKUP(Tabla5[[#This Row],[EAN CORREGIDO]],'Tabla Articulos'!B:B,'Tabla Articulos'!D:D)</f>
        <v>#N/A</v>
      </c>
      <c r="Q2270" s="44" t="e">
        <f>_xlfn.XLOOKUP(S2270,'Tabla Articulos'!B:B,'Tabla Articulos'!E:E)</f>
        <v>#N/A</v>
      </c>
      <c r="R2270" s="44" t="e">
        <f t="shared" si="70"/>
        <v>#N/A</v>
      </c>
      <c r="S2270" s="45" t="str">
        <f t="shared" si="71"/>
        <v>BUSAT000127</v>
      </c>
    </row>
    <row r="2271" spans="1:19" hidden="1" x14ac:dyDescent="0.35">
      <c r="A2271" s="22">
        <v>6</v>
      </c>
      <c r="B2271" t="s">
        <v>801</v>
      </c>
      <c r="C2271" t="s">
        <v>802</v>
      </c>
      <c r="E2271" t="s">
        <v>4099</v>
      </c>
      <c r="G2271" t="s">
        <v>4100</v>
      </c>
      <c r="H2271" t="s">
        <v>805</v>
      </c>
      <c r="I2271">
        <v>6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6</v>
      </c>
      <c r="P2271" s="44" t="e">
        <f>_xlfn.XLOOKUP(Tabla5[[#This Row],[EAN CORREGIDO]],'Tabla Articulos'!B:B,'Tabla Articulos'!D:D)</f>
        <v>#N/A</v>
      </c>
      <c r="Q2271" s="44" t="e">
        <f>_xlfn.XLOOKUP(S2271,'Tabla Articulos'!B:B,'Tabla Articulos'!E:E)</f>
        <v>#N/A</v>
      </c>
      <c r="R2271" s="44" t="e">
        <f t="shared" si="70"/>
        <v>#N/A</v>
      </c>
      <c r="S2271" s="45" t="str">
        <f t="shared" si="71"/>
        <v>BUSAT000591</v>
      </c>
    </row>
    <row r="2272" spans="1:19" hidden="1" x14ac:dyDescent="0.35">
      <c r="A2272" s="22">
        <v>6</v>
      </c>
      <c r="B2272" t="s">
        <v>801</v>
      </c>
      <c r="C2272" t="s">
        <v>802</v>
      </c>
      <c r="E2272" t="s">
        <v>4101</v>
      </c>
      <c r="G2272" t="s">
        <v>4102</v>
      </c>
      <c r="H2272" t="s">
        <v>805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1</v>
      </c>
      <c r="P2272" s="44" t="e">
        <f>_xlfn.XLOOKUP(Tabla5[[#This Row],[EAN CORREGIDO]],'Tabla Articulos'!B:B,'Tabla Articulos'!D:D)</f>
        <v>#N/A</v>
      </c>
      <c r="Q2272" s="44" t="e">
        <f>_xlfn.XLOOKUP(S2272,'Tabla Articulos'!B:B,'Tabla Articulos'!E:E)</f>
        <v>#N/A</v>
      </c>
      <c r="R2272" s="44" t="e">
        <f t="shared" si="70"/>
        <v>#N/A</v>
      </c>
      <c r="S2272" s="45" t="str">
        <f t="shared" si="71"/>
        <v>BUSAT000191</v>
      </c>
    </row>
    <row r="2273" spans="1:19" hidden="1" x14ac:dyDescent="0.35">
      <c r="A2273" s="22">
        <v>6</v>
      </c>
      <c r="B2273" t="s">
        <v>801</v>
      </c>
      <c r="C2273" t="s">
        <v>802</v>
      </c>
      <c r="E2273" t="s">
        <v>4103</v>
      </c>
      <c r="G2273" t="s">
        <v>4104</v>
      </c>
      <c r="H2273" t="s">
        <v>805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</v>
      </c>
      <c r="P2273" s="44" t="e">
        <f>_xlfn.XLOOKUP(Tabla5[[#This Row],[EAN CORREGIDO]],'Tabla Articulos'!B:B,'Tabla Articulos'!D:D)</f>
        <v>#N/A</v>
      </c>
      <c r="Q2273" s="44" t="e">
        <f>_xlfn.XLOOKUP(S2273,'Tabla Articulos'!B:B,'Tabla Articulos'!E:E)</f>
        <v>#N/A</v>
      </c>
      <c r="R2273" s="44" t="e">
        <f t="shared" si="70"/>
        <v>#N/A</v>
      </c>
      <c r="S2273" s="45" t="str">
        <f t="shared" si="71"/>
        <v>BUM309</v>
      </c>
    </row>
    <row r="2274" spans="1:19" hidden="1" x14ac:dyDescent="0.35">
      <c r="A2274" s="22">
        <v>6</v>
      </c>
      <c r="B2274" t="s">
        <v>801</v>
      </c>
      <c r="C2274" t="s">
        <v>802</v>
      </c>
      <c r="E2274" t="s">
        <v>4105</v>
      </c>
      <c r="G2274" t="s">
        <v>4106</v>
      </c>
      <c r="H2274" t="s">
        <v>805</v>
      </c>
      <c r="I2274">
        <v>4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4</v>
      </c>
      <c r="P2274" s="44" t="e">
        <f>_xlfn.XLOOKUP(Tabla5[[#This Row],[EAN CORREGIDO]],'Tabla Articulos'!B:B,'Tabla Articulos'!D:D)</f>
        <v>#N/A</v>
      </c>
      <c r="Q2274" s="44" t="e">
        <f>_xlfn.XLOOKUP(S2274,'Tabla Articulos'!B:B,'Tabla Articulos'!E:E)</f>
        <v>#N/A</v>
      </c>
      <c r="R2274" s="44" t="e">
        <f t="shared" si="70"/>
        <v>#N/A</v>
      </c>
      <c r="S2274" s="45" t="str">
        <f t="shared" si="71"/>
        <v>BUSAT000412</v>
      </c>
    </row>
    <row r="2275" spans="1:19" hidden="1" x14ac:dyDescent="0.35">
      <c r="A2275" s="22">
        <v>6</v>
      </c>
      <c r="B2275" t="s">
        <v>801</v>
      </c>
      <c r="C2275" t="s">
        <v>802</v>
      </c>
      <c r="E2275" t="s">
        <v>4107</v>
      </c>
      <c r="G2275" t="s">
        <v>4108</v>
      </c>
      <c r="H2275" t="s">
        <v>805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</v>
      </c>
      <c r="P2275" s="44" t="e">
        <f>_xlfn.XLOOKUP(Tabla5[[#This Row],[EAN CORREGIDO]],'Tabla Articulos'!B:B,'Tabla Articulos'!D:D)</f>
        <v>#N/A</v>
      </c>
      <c r="Q2275" s="44" t="e">
        <f>_xlfn.XLOOKUP(S2275,'Tabla Articulos'!B:B,'Tabla Articulos'!E:E)</f>
        <v>#N/A</v>
      </c>
      <c r="R2275" s="44" t="e">
        <f t="shared" si="70"/>
        <v>#N/A</v>
      </c>
      <c r="S2275" s="45" t="str">
        <f t="shared" si="71"/>
        <v>BUSAT000916</v>
      </c>
    </row>
    <row r="2276" spans="1:19" hidden="1" x14ac:dyDescent="0.35">
      <c r="A2276" s="22">
        <v>1</v>
      </c>
      <c r="B2276" t="s">
        <v>812</v>
      </c>
      <c r="C2276" t="s">
        <v>802</v>
      </c>
      <c r="D2276" s="11" t="s">
        <v>1266</v>
      </c>
      <c r="E2276" t="s">
        <v>5360</v>
      </c>
      <c r="F2276">
        <v>4017782</v>
      </c>
      <c r="G2276" t="s">
        <v>5361</v>
      </c>
      <c r="H2276" t="s">
        <v>816</v>
      </c>
      <c r="I2276">
        <v>520.52</v>
      </c>
      <c r="J2276">
        <v>4420.6899999999996</v>
      </c>
      <c r="K2276">
        <v>4420.6899999999996</v>
      </c>
      <c r="L2276">
        <v>0</v>
      </c>
      <c r="M2276">
        <v>0</v>
      </c>
      <c r="N2276">
        <v>0</v>
      </c>
      <c r="O2276">
        <v>520.52</v>
      </c>
      <c r="P2276" s="44" t="e">
        <f>_xlfn.XLOOKUP(Tabla5[[#This Row],[EAN CORREGIDO]],'Tabla Articulos'!B:B,'Tabla Articulos'!D:D)</f>
        <v>#N/A</v>
      </c>
      <c r="Q2276" s="44" t="e">
        <f>_xlfn.XLOOKUP(S2276,'Tabla Articulos'!B:B,'Tabla Articulos'!E:E)</f>
        <v>#N/A</v>
      </c>
      <c r="R2276" s="44" t="e">
        <f t="shared" si="70"/>
        <v>#N/A</v>
      </c>
      <c r="S2276" s="45" t="str">
        <f t="shared" si="71"/>
        <v>7790212031242</v>
      </c>
    </row>
    <row r="2277" spans="1:19" hidden="1" x14ac:dyDescent="0.35">
      <c r="A2277" s="22">
        <v>5</v>
      </c>
      <c r="B2277" t="s">
        <v>829</v>
      </c>
      <c r="C2277" t="s">
        <v>802</v>
      </c>
      <c r="D2277" s="11" t="s">
        <v>1308</v>
      </c>
      <c r="E2277" t="s">
        <v>5362</v>
      </c>
      <c r="F2277">
        <v>4018035</v>
      </c>
      <c r="G2277" t="s">
        <v>5363</v>
      </c>
      <c r="H2277" t="s">
        <v>816</v>
      </c>
      <c r="I2277">
        <v>0.55000000000000004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0.55000000000000004</v>
      </c>
      <c r="P2277" s="44" t="e">
        <f>_xlfn.XLOOKUP(Tabla5[[#This Row],[EAN CORREGIDO]],'Tabla Articulos'!B:B,'Tabla Articulos'!D:D)</f>
        <v>#N/A</v>
      </c>
      <c r="Q2277" s="44" t="e">
        <f>_xlfn.XLOOKUP(S2277,'Tabla Articulos'!B:B,'Tabla Articulos'!E:E)</f>
        <v>#N/A</v>
      </c>
      <c r="R2277" s="44" t="e">
        <f t="shared" si="70"/>
        <v>#N/A</v>
      </c>
      <c r="S2277" s="45" t="str">
        <f t="shared" si="71"/>
        <v>7790314152882</v>
      </c>
    </row>
    <row r="2278" spans="1:19" hidden="1" x14ac:dyDescent="0.35">
      <c r="A2278" s="22">
        <v>6</v>
      </c>
      <c r="B2278" t="s">
        <v>801</v>
      </c>
      <c r="C2278" t="s">
        <v>802</v>
      </c>
      <c r="D2278" t="s">
        <v>3252</v>
      </c>
      <c r="E2278" t="s">
        <v>5364</v>
      </c>
      <c r="F2278">
        <v>2006256</v>
      </c>
      <c r="G2278" t="s">
        <v>5365</v>
      </c>
      <c r="H2278" t="s">
        <v>805</v>
      </c>
      <c r="I2278">
        <v>257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257</v>
      </c>
      <c r="P2278" s="44" t="e">
        <f>_xlfn.XLOOKUP(Tabla5[[#This Row],[EAN CORREGIDO]],'Tabla Articulos'!B:B,'Tabla Articulos'!D:D)</f>
        <v>#N/A</v>
      </c>
      <c r="Q2278" s="44" t="e">
        <f>_xlfn.XLOOKUP(S2278,'Tabla Articulos'!B:B,'Tabla Articulos'!E:E)</f>
        <v>#N/A</v>
      </c>
      <c r="R2278" s="44" t="e">
        <f t="shared" si="70"/>
        <v>#N/A</v>
      </c>
      <c r="S2278" s="45" t="str">
        <f t="shared" si="71"/>
        <v>7795323141175</v>
      </c>
    </row>
    <row r="2279" spans="1:19" hidden="1" x14ac:dyDescent="0.35">
      <c r="A2279" s="22">
        <v>5</v>
      </c>
      <c r="B2279" t="s">
        <v>829</v>
      </c>
      <c r="C2279" t="s">
        <v>802</v>
      </c>
      <c r="D2279" t="s">
        <v>229</v>
      </c>
      <c r="E2279" t="s">
        <v>5366</v>
      </c>
      <c r="F2279">
        <v>2006415</v>
      </c>
      <c r="G2279" t="s">
        <v>5367</v>
      </c>
      <c r="H2279" t="s">
        <v>805</v>
      </c>
      <c r="I2279">
        <v>1987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1987</v>
      </c>
      <c r="P2279" s="44" t="str">
        <f>_xlfn.XLOOKUP(Tabla5[[#This Row],[EAN CORREGIDO]],'Tabla Articulos'!B:B,'Tabla Articulos'!D:D)</f>
        <v>CAJA MESA HURLINGHAM 90L</v>
      </c>
      <c r="Q2279" s="44">
        <f>_xlfn.XLOOKUP(S2279,'Tabla Articulos'!B:B,'Tabla Articulos'!E:E)</f>
        <v>1</v>
      </c>
      <c r="R2279" s="44">
        <f t="shared" si="70"/>
        <v>1987</v>
      </c>
      <c r="S2279" s="45" t="str">
        <f t="shared" si="71"/>
        <v>7790321626939</v>
      </c>
    </row>
    <row r="2280" spans="1:19" hidden="1" x14ac:dyDescent="0.35">
      <c r="A2280" s="22">
        <v>6</v>
      </c>
      <c r="B2280" t="s">
        <v>801</v>
      </c>
      <c r="C2280" t="s">
        <v>802</v>
      </c>
      <c r="D2280" s="11" t="s">
        <v>1484</v>
      </c>
      <c r="E2280" t="s">
        <v>5368</v>
      </c>
      <c r="F2280">
        <v>2006517</v>
      </c>
      <c r="G2280" t="s">
        <v>5369</v>
      </c>
      <c r="H2280" t="s">
        <v>805</v>
      </c>
      <c r="I2280">
        <v>14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14</v>
      </c>
      <c r="P2280" s="44" t="e">
        <f>_xlfn.XLOOKUP(Tabla5[[#This Row],[EAN CORREGIDO]],'Tabla Articulos'!B:B,'Tabla Articulos'!D:D)</f>
        <v>#N/A</v>
      </c>
      <c r="Q2280" s="44" t="e">
        <f>_xlfn.XLOOKUP(S2280,'Tabla Articulos'!B:B,'Tabla Articulos'!E:E)</f>
        <v>#N/A</v>
      </c>
      <c r="R2280" s="44" t="e">
        <f t="shared" si="70"/>
        <v>#N/A</v>
      </c>
      <c r="S2280" s="45" t="str">
        <f t="shared" si="71"/>
        <v>LIM000115</v>
      </c>
    </row>
    <row r="2281" spans="1:19" hidden="1" x14ac:dyDescent="0.35">
      <c r="A2281" s="22">
        <v>6</v>
      </c>
      <c r="B2281" t="s">
        <v>801</v>
      </c>
      <c r="C2281" t="s">
        <v>802</v>
      </c>
      <c r="D2281"/>
      <c r="E2281" t="s">
        <v>5370</v>
      </c>
      <c r="F2281">
        <v>9003585</v>
      </c>
      <c r="G2281" t="s">
        <v>5371</v>
      </c>
      <c r="H2281" t="s">
        <v>805</v>
      </c>
      <c r="I2281">
        <v>22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22</v>
      </c>
      <c r="P2281" s="44" t="e">
        <f>_xlfn.XLOOKUP(Tabla5[[#This Row],[EAN CORREGIDO]],'Tabla Articulos'!B:B,'Tabla Articulos'!D:D)</f>
        <v>#N/A</v>
      </c>
      <c r="Q2281" s="44" t="e">
        <f>_xlfn.XLOOKUP(S2281,'Tabla Articulos'!B:B,'Tabla Articulos'!E:E)</f>
        <v>#N/A</v>
      </c>
      <c r="R2281" s="44" t="e">
        <f t="shared" si="70"/>
        <v>#N/A</v>
      </c>
      <c r="S2281" s="45" t="str">
        <f t="shared" si="71"/>
        <v>UNIF000497</v>
      </c>
    </row>
    <row r="2282" spans="1:19" hidden="1" x14ac:dyDescent="0.35">
      <c r="A2282" s="22">
        <v>6</v>
      </c>
      <c r="B2282" t="s">
        <v>801</v>
      </c>
      <c r="C2282" t="s">
        <v>802</v>
      </c>
      <c r="D2282"/>
      <c r="E2282" t="s">
        <v>5505</v>
      </c>
      <c r="F2282">
        <v>9003577</v>
      </c>
      <c r="G2282" t="s">
        <v>5506</v>
      </c>
      <c r="H2282" t="s">
        <v>805</v>
      </c>
      <c r="I2282">
        <v>19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19</v>
      </c>
      <c r="P2282" s="44" t="e">
        <f>_xlfn.XLOOKUP(Tabla5[[#This Row],[EAN CORREGIDO]],'Tabla Articulos'!B:B,'Tabla Articulos'!D:D)</f>
        <v>#N/A</v>
      </c>
      <c r="Q2282" s="44" t="e">
        <f>_xlfn.XLOOKUP(S2282,'Tabla Articulos'!B:B,'Tabla Articulos'!E:E)</f>
        <v>#N/A</v>
      </c>
      <c r="R2282" s="44" t="e">
        <f t="shared" si="70"/>
        <v>#N/A</v>
      </c>
      <c r="S2282" s="45" t="str">
        <f t="shared" si="71"/>
        <v>UNIF000160</v>
      </c>
    </row>
    <row r="2283" spans="1:19" hidden="1" x14ac:dyDescent="0.35">
      <c r="A2283" s="22">
        <v>6</v>
      </c>
      <c r="B2283" t="s">
        <v>801</v>
      </c>
      <c r="C2283" t="s">
        <v>802</v>
      </c>
      <c r="D2283"/>
      <c r="E2283" t="s">
        <v>5507</v>
      </c>
      <c r="F2283">
        <v>9003426</v>
      </c>
      <c r="G2283" t="s">
        <v>5508</v>
      </c>
      <c r="H2283" t="s">
        <v>805</v>
      </c>
      <c r="I2283">
        <v>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6</v>
      </c>
      <c r="P2283" s="44" t="e">
        <f>_xlfn.XLOOKUP(Tabla5[[#This Row],[EAN CORREGIDO]],'Tabla Articulos'!B:B,'Tabla Articulos'!D:D)</f>
        <v>#N/A</v>
      </c>
      <c r="Q2283" s="44" t="e">
        <f>_xlfn.XLOOKUP(S2283,'Tabla Articulos'!B:B,'Tabla Articulos'!E:E)</f>
        <v>#N/A</v>
      </c>
      <c r="R2283" s="44" t="e">
        <f t="shared" si="70"/>
        <v>#N/A</v>
      </c>
      <c r="S2283" s="45" t="str">
        <f t="shared" si="71"/>
        <v>UNIF000186</v>
      </c>
    </row>
    <row r="2284" spans="1:19" hidden="1" x14ac:dyDescent="0.35">
      <c r="A2284" s="22">
        <v>5</v>
      </c>
      <c r="B2284" t="s">
        <v>829</v>
      </c>
      <c r="C2284" t="s">
        <v>802</v>
      </c>
      <c r="D2284" s="11" t="s">
        <v>5429</v>
      </c>
      <c r="E2284" t="s">
        <v>5509</v>
      </c>
      <c r="F2284">
        <v>4019854</v>
      </c>
      <c r="G2284" t="s">
        <v>5510</v>
      </c>
      <c r="H2284" t="s">
        <v>805</v>
      </c>
      <c r="I2284">
        <v>4313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4313</v>
      </c>
      <c r="P2284" s="44" t="e">
        <f>_xlfn.XLOOKUP(Tabla5[[#This Row],[EAN CORREGIDO]],'Tabla Articulos'!B:B,'Tabla Articulos'!D:D)</f>
        <v>#N/A</v>
      </c>
      <c r="Q2284" s="44" t="e">
        <f>_xlfn.XLOOKUP(S2284,'Tabla Articulos'!B:B,'Tabla Articulos'!E:E)</f>
        <v>#N/A</v>
      </c>
      <c r="R2284" s="44" t="e">
        <f t="shared" si="70"/>
        <v>#N/A</v>
      </c>
      <c r="S2284" s="45" t="str">
        <f t="shared" si="71"/>
        <v>7790748235187</v>
      </c>
    </row>
    <row r="2285" spans="1:19" hidden="1" x14ac:dyDescent="0.35">
      <c r="A2285" s="22">
        <v>1</v>
      </c>
      <c r="B2285" t="s">
        <v>812</v>
      </c>
      <c r="C2285" t="s">
        <v>802</v>
      </c>
      <c r="D2285" t="s">
        <v>5429</v>
      </c>
      <c r="E2285" t="s">
        <v>5509</v>
      </c>
      <c r="F2285">
        <v>4019854</v>
      </c>
      <c r="G2285" t="s">
        <v>5510</v>
      </c>
      <c r="H2285" t="s">
        <v>805</v>
      </c>
      <c r="I2285">
        <v>598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598</v>
      </c>
      <c r="P2285" s="44" t="e">
        <f>_xlfn.XLOOKUP(Tabla5[[#This Row],[EAN CORREGIDO]],'Tabla Articulos'!B:B,'Tabla Articulos'!D:D)</f>
        <v>#N/A</v>
      </c>
      <c r="Q2285" s="44" t="e">
        <f>_xlfn.XLOOKUP(S2285,'Tabla Articulos'!B:B,'Tabla Articulos'!E:E)</f>
        <v>#N/A</v>
      </c>
      <c r="R2285" s="44" t="e">
        <f t="shared" si="70"/>
        <v>#N/A</v>
      </c>
      <c r="S2285" s="45" t="str">
        <f t="shared" si="71"/>
        <v>7790748235187</v>
      </c>
    </row>
    <row r="2286" spans="1:19" hidden="1" x14ac:dyDescent="0.35">
      <c r="A2286" s="22">
        <v>6</v>
      </c>
      <c r="B2286" t="s">
        <v>801</v>
      </c>
      <c r="C2286" t="s">
        <v>802</v>
      </c>
      <c r="E2286" t="s">
        <v>5511</v>
      </c>
      <c r="F2286">
        <v>9003841</v>
      </c>
      <c r="G2286" t="s">
        <v>5512</v>
      </c>
      <c r="H2286" t="s">
        <v>805</v>
      </c>
      <c r="I2286">
        <v>1303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1303</v>
      </c>
      <c r="P2286" s="44" t="e">
        <f>_xlfn.XLOOKUP(Tabla5[[#This Row],[EAN CORREGIDO]],'Tabla Articulos'!B:B,'Tabla Articulos'!D:D)</f>
        <v>#N/A</v>
      </c>
      <c r="Q2286" s="44" t="e">
        <f>_xlfn.XLOOKUP(S2286,'Tabla Articulos'!B:B,'Tabla Articulos'!E:E)</f>
        <v>#N/A</v>
      </c>
      <c r="R2286" s="44" t="e">
        <f t="shared" si="70"/>
        <v>#N/A</v>
      </c>
      <c r="S2286" s="45" t="str">
        <f t="shared" si="71"/>
        <v>BAZ001185</v>
      </c>
    </row>
    <row r="2287" spans="1:19" hidden="1" x14ac:dyDescent="0.35">
      <c r="A2287" s="22">
        <v>5</v>
      </c>
      <c r="B2287" t="s">
        <v>829</v>
      </c>
      <c r="C2287" t="s">
        <v>802</v>
      </c>
      <c r="D2287" s="11" t="s">
        <v>4558</v>
      </c>
      <c r="E2287" t="s">
        <v>5513</v>
      </c>
      <c r="F2287">
        <v>4021269</v>
      </c>
      <c r="G2287" t="s">
        <v>5514</v>
      </c>
      <c r="H2287" t="s">
        <v>805</v>
      </c>
      <c r="I2287">
        <v>50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50</v>
      </c>
      <c r="P2287" s="44" t="e">
        <f>_xlfn.XLOOKUP(Tabla5[[#This Row],[EAN CORREGIDO]],'Tabla Articulos'!B:B,'Tabla Articulos'!D:D)</f>
        <v>#N/A</v>
      </c>
      <c r="Q2287" s="44" t="e">
        <f>_xlfn.XLOOKUP(S2287,'Tabla Articulos'!B:B,'Tabla Articulos'!E:E)</f>
        <v>#N/A</v>
      </c>
      <c r="R2287" s="44" t="e">
        <f t="shared" si="70"/>
        <v>#N/A</v>
      </c>
      <c r="S2287" s="45" t="str">
        <f t="shared" si="71"/>
        <v>67794000006500</v>
      </c>
    </row>
    <row r="2288" spans="1:19" hidden="1" x14ac:dyDescent="0.35">
      <c r="A2288" s="22">
        <v>1</v>
      </c>
      <c r="B2288" t="s">
        <v>812</v>
      </c>
      <c r="C2288" t="s">
        <v>802</v>
      </c>
      <c r="D2288" t="s">
        <v>4558</v>
      </c>
      <c r="E2288" t="s">
        <v>5513</v>
      </c>
      <c r="F2288">
        <v>4021269</v>
      </c>
      <c r="G2288" t="s">
        <v>5514</v>
      </c>
      <c r="H2288" t="s">
        <v>805</v>
      </c>
      <c r="I2288">
        <v>7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7</v>
      </c>
      <c r="P2288" s="44" t="e">
        <f>_xlfn.XLOOKUP(Tabla5[[#This Row],[EAN CORREGIDO]],'Tabla Articulos'!B:B,'Tabla Articulos'!D:D)</f>
        <v>#N/A</v>
      </c>
      <c r="Q2288" s="44" t="e">
        <f>_xlfn.XLOOKUP(S2288,'Tabla Articulos'!B:B,'Tabla Articulos'!E:E)</f>
        <v>#N/A</v>
      </c>
      <c r="R2288" s="44" t="e">
        <f t="shared" si="70"/>
        <v>#N/A</v>
      </c>
      <c r="S2288" s="45" t="str">
        <f t="shared" si="71"/>
        <v>67794000006500</v>
      </c>
    </row>
    <row r="2289" spans="1:19" hidden="1" x14ac:dyDescent="0.35">
      <c r="A2289" s="22">
        <v>6</v>
      </c>
      <c r="B2289" t="s">
        <v>801</v>
      </c>
      <c r="C2289" t="s">
        <v>802</v>
      </c>
      <c r="D2289" t="s">
        <v>1198</v>
      </c>
      <c r="E2289" t="s">
        <v>5515</v>
      </c>
      <c r="F2289">
        <v>2011491</v>
      </c>
      <c r="G2289" t="s">
        <v>5516</v>
      </c>
      <c r="H2289" t="s">
        <v>805</v>
      </c>
      <c r="I2289">
        <v>281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281</v>
      </c>
      <c r="P2289" s="44" t="e">
        <f>_xlfn.XLOOKUP(Tabla5[[#This Row],[EAN CORREGIDO]],'Tabla Articulos'!B:B,'Tabla Articulos'!D:D)</f>
        <v>#N/A</v>
      </c>
      <c r="Q2289" s="44" t="e">
        <f>_xlfn.XLOOKUP(S2289,'Tabla Articulos'!B:B,'Tabla Articulos'!E:E)</f>
        <v>#N/A</v>
      </c>
      <c r="R2289" s="44" t="e">
        <f t="shared" si="70"/>
        <v>#N/A</v>
      </c>
      <c r="S2289" s="45" t="str">
        <f t="shared" si="71"/>
        <v>7797749000042</v>
      </c>
    </row>
    <row r="2290" spans="1:19" hidden="1" x14ac:dyDescent="0.35">
      <c r="A2290" s="22">
        <v>6</v>
      </c>
      <c r="B2290" t="s">
        <v>801</v>
      </c>
      <c r="C2290" t="s">
        <v>802</v>
      </c>
      <c r="D2290"/>
      <c r="E2290" t="s">
        <v>5517</v>
      </c>
      <c r="F2290">
        <v>1000210</v>
      </c>
      <c r="G2290" t="s">
        <v>5518</v>
      </c>
      <c r="H2290" t="s">
        <v>805</v>
      </c>
      <c r="I2290">
        <v>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</v>
      </c>
      <c r="P2290" s="44" t="e">
        <f>_xlfn.XLOOKUP(Tabla5[[#This Row],[EAN CORREGIDO]],'Tabla Articulos'!B:B,'Tabla Articulos'!D:D)</f>
        <v>#N/A</v>
      </c>
      <c r="Q2290" s="44" t="e">
        <f>_xlfn.XLOOKUP(S2290,'Tabla Articulos'!B:B,'Tabla Articulos'!E:E)</f>
        <v>#N/A</v>
      </c>
      <c r="R2290" s="44" t="e">
        <f t="shared" si="70"/>
        <v>#N/A</v>
      </c>
      <c r="S2290" s="45" t="str">
        <f t="shared" si="71"/>
        <v>BUM00245</v>
      </c>
    </row>
    <row r="2291" spans="1:19" hidden="1" x14ac:dyDescent="0.35">
      <c r="A2291" s="22">
        <v>5</v>
      </c>
      <c r="B2291" t="s">
        <v>829</v>
      </c>
      <c r="C2291" t="s">
        <v>802</v>
      </c>
      <c r="D2291" t="s">
        <v>5519</v>
      </c>
      <c r="E2291" t="s">
        <v>5520</v>
      </c>
      <c r="F2291">
        <v>4018811</v>
      </c>
      <c r="G2291" t="s">
        <v>5521</v>
      </c>
      <c r="H2291" t="s">
        <v>805</v>
      </c>
      <c r="I2291">
        <v>200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200</v>
      </c>
      <c r="P2291" s="44" t="e">
        <f>_xlfn.XLOOKUP(Tabla5[[#This Row],[EAN CORREGIDO]],'Tabla Articulos'!B:B,'Tabla Articulos'!D:D)</f>
        <v>#N/A</v>
      </c>
      <c r="Q2291" s="44" t="e">
        <f>_xlfn.XLOOKUP(S2291,'Tabla Articulos'!B:B,'Tabla Articulos'!E:E)</f>
        <v>#N/A</v>
      </c>
      <c r="R2291" s="44" t="e">
        <f t="shared" si="70"/>
        <v>#N/A</v>
      </c>
      <c r="S2291" s="45" t="str">
        <f t="shared" si="71"/>
        <v>77903884</v>
      </c>
    </row>
    <row r="2292" spans="1:19" hidden="1" x14ac:dyDescent="0.35">
      <c r="A2292" s="22">
        <v>6</v>
      </c>
      <c r="B2292" t="s">
        <v>801</v>
      </c>
      <c r="C2292" t="s">
        <v>802</v>
      </c>
      <c r="D2292"/>
      <c r="E2292" t="s">
        <v>5522</v>
      </c>
      <c r="F2292">
        <v>9003546</v>
      </c>
      <c r="G2292" t="s">
        <v>5523</v>
      </c>
      <c r="H2292" t="s">
        <v>805</v>
      </c>
      <c r="I2292">
        <v>8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8</v>
      </c>
      <c r="P2292" s="44" t="e">
        <f>_xlfn.XLOOKUP(Tabla5[[#This Row],[EAN CORREGIDO]],'Tabla Articulos'!B:B,'Tabla Articulos'!D:D)</f>
        <v>#N/A</v>
      </c>
      <c r="Q2292" s="44" t="e">
        <f>_xlfn.XLOOKUP(S2292,'Tabla Articulos'!B:B,'Tabla Articulos'!E:E)</f>
        <v>#N/A</v>
      </c>
      <c r="R2292" s="44" t="e">
        <f t="shared" si="70"/>
        <v>#N/A</v>
      </c>
      <c r="S2292" s="45" t="str">
        <f t="shared" si="71"/>
        <v>UNIF000085</v>
      </c>
    </row>
    <row r="2293" spans="1:19" hidden="1" x14ac:dyDescent="0.35">
      <c r="A2293" s="22">
        <v>6</v>
      </c>
      <c r="B2293" t="s">
        <v>801</v>
      </c>
      <c r="C2293" t="s">
        <v>802</v>
      </c>
      <c r="D2293"/>
      <c r="E2293" t="s">
        <v>5524</v>
      </c>
      <c r="F2293">
        <v>9003753</v>
      </c>
      <c r="G2293" t="s">
        <v>5525</v>
      </c>
      <c r="H2293" t="s">
        <v>805</v>
      </c>
      <c r="I2293">
        <v>912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912</v>
      </c>
      <c r="P2293" s="44" t="e">
        <f>_xlfn.XLOOKUP(Tabla5[[#This Row],[EAN CORREGIDO]],'Tabla Articulos'!B:B,'Tabla Articulos'!D:D)</f>
        <v>#N/A</v>
      </c>
      <c r="Q2293" s="44" t="e">
        <f>_xlfn.XLOOKUP(S2293,'Tabla Articulos'!B:B,'Tabla Articulos'!E:E)</f>
        <v>#N/A</v>
      </c>
      <c r="R2293" s="44" t="e">
        <f t="shared" si="70"/>
        <v>#N/A</v>
      </c>
      <c r="S2293" s="45" t="str">
        <f t="shared" si="71"/>
        <v>BAZ001208</v>
      </c>
    </row>
    <row r="2294" spans="1:19" hidden="1" x14ac:dyDescent="0.35">
      <c r="A2294" s="22">
        <v>1</v>
      </c>
      <c r="B2294" t="s">
        <v>812</v>
      </c>
      <c r="C2294" t="s">
        <v>802</v>
      </c>
      <c r="D2294" t="s">
        <v>3084</v>
      </c>
      <c r="E2294" t="s">
        <v>5526</v>
      </c>
      <c r="F2294">
        <v>4018383</v>
      </c>
      <c r="G2294" t="s">
        <v>5527</v>
      </c>
      <c r="H2294" t="s">
        <v>805</v>
      </c>
      <c r="I2294">
        <v>25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25</v>
      </c>
      <c r="P2294" s="44" t="e">
        <f>_xlfn.XLOOKUP(Tabla5[[#This Row],[EAN CORREGIDO]],'Tabla Articulos'!B:B,'Tabla Articulos'!D:D)</f>
        <v>#N/A</v>
      </c>
      <c r="Q2294" s="44" t="e">
        <f>_xlfn.XLOOKUP(S2294,'Tabla Articulos'!B:B,'Tabla Articulos'!E:E)</f>
        <v>#N/A</v>
      </c>
      <c r="R2294" s="44" t="e">
        <f t="shared" si="70"/>
        <v>#N/A</v>
      </c>
      <c r="S2294" s="45" t="str">
        <f t="shared" si="71"/>
        <v>7790787201297</v>
      </c>
    </row>
    <row r="2295" spans="1:19" hidden="1" x14ac:dyDescent="0.35">
      <c r="A2295" s="22">
        <v>5</v>
      </c>
      <c r="B2295" t="s">
        <v>829</v>
      </c>
      <c r="C2295" t="s">
        <v>802</v>
      </c>
      <c r="D2295" t="s">
        <v>1022</v>
      </c>
      <c r="E2295" t="s">
        <v>1023</v>
      </c>
      <c r="F2295">
        <v>4022375</v>
      </c>
      <c r="G2295" t="s">
        <v>1024</v>
      </c>
      <c r="H2295" t="s">
        <v>805</v>
      </c>
      <c r="I2295">
        <v>98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98</v>
      </c>
      <c r="P2295" s="44" t="e">
        <f>_xlfn.XLOOKUP(Tabla5[[#This Row],[EAN CORREGIDO]],'Tabla Articulos'!B:B,'Tabla Articulos'!D:D)</f>
        <v>#N/A</v>
      </c>
      <c r="Q2295" s="44" t="e">
        <f>_xlfn.XLOOKUP(S2295,'Tabla Articulos'!B:B,'Tabla Articulos'!E:E)</f>
        <v>#N/A</v>
      </c>
      <c r="R2295" s="44" t="e">
        <f t="shared" si="70"/>
        <v>#N/A</v>
      </c>
      <c r="S2295" s="45" t="str">
        <f t="shared" si="71"/>
        <v>7792612000730</v>
      </c>
    </row>
    <row r="2296" spans="1:19" hidden="1" x14ac:dyDescent="0.35">
      <c r="A2296" s="22">
        <v>1</v>
      </c>
      <c r="B2296" t="s">
        <v>812</v>
      </c>
      <c r="C2296" t="s">
        <v>802</v>
      </c>
      <c r="D2296" s="11" t="s">
        <v>1025</v>
      </c>
      <c r="E2296" t="s">
        <v>1026</v>
      </c>
      <c r="F2296">
        <v>4077145</v>
      </c>
      <c r="G2296" t="s">
        <v>1027</v>
      </c>
      <c r="H2296" t="s">
        <v>805</v>
      </c>
      <c r="I2296">
        <v>27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27</v>
      </c>
      <c r="P2296" s="44" t="e">
        <f>_xlfn.XLOOKUP(Tabla5[[#This Row],[EAN CORREGIDO]],'Tabla Articulos'!B:B,'Tabla Articulos'!D:D)</f>
        <v>#N/A</v>
      </c>
      <c r="Q2296" s="44" t="e">
        <f>_xlfn.XLOOKUP(S2296,'Tabla Articulos'!B:B,'Tabla Articulos'!E:E)</f>
        <v>#N/A</v>
      </c>
      <c r="R2296" s="44" t="e">
        <f t="shared" si="70"/>
        <v>#N/A</v>
      </c>
      <c r="S2296" s="45" t="str">
        <f t="shared" si="71"/>
        <v>17792180005813</v>
      </c>
    </row>
    <row r="2297" spans="1:19" hidden="1" x14ac:dyDescent="0.35">
      <c r="A2297" s="22">
        <v>5</v>
      </c>
      <c r="B2297" t="s">
        <v>829</v>
      </c>
      <c r="C2297" t="s">
        <v>802</v>
      </c>
      <c r="D2297" s="11" t="s">
        <v>1028</v>
      </c>
      <c r="E2297" t="s">
        <v>1029</v>
      </c>
      <c r="F2297" s="11">
        <v>4018073</v>
      </c>
      <c r="G2297" t="s">
        <v>1030</v>
      </c>
      <c r="H2297" t="s">
        <v>816</v>
      </c>
      <c r="I2297">
        <v>48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48</v>
      </c>
      <c r="P2297" s="44" t="e">
        <f>_xlfn.XLOOKUP(Tabla5[[#This Row],[EAN CORREGIDO]],'Tabla Articulos'!B:B,'Tabla Articulos'!D:D)</f>
        <v>#N/A</v>
      </c>
      <c r="Q2297" s="44" t="e">
        <f>_xlfn.XLOOKUP(S2297,'Tabla Articulos'!B:B,'Tabla Articulos'!E:E)</f>
        <v>#N/A</v>
      </c>
      <c r="R2297" s="44" t="e">
        <f t="shared" si="70"/>
        <v>#N/A</v>
      </c>
      <c r="S2297" s="45" t="str">
        <f t="shared" si="71"/>
        <v>7790216012619</v>
      </c>
    </row>
    <row r="2298" spans="1:19" hidden="1" x14ac:dyDescent="0.35">
      <c r="A2298" s="22">
        <v>6</v>
      </c>
      <c r="B2298" t="s">
        <v>801</v>
      </c>
      <c r="C2298" t="s">
        <v>802</v>
      </c>
      <c r="D2298" s="11" t="s">
        <v>1031</v>
      </c>
      <c r="E2298" t="s">
        <v>1032</v>
      </c>
      <c r="F2298" s="11">
        <v>2006270</v>
      </c>
      <c r="G2298" t="s">
        <v>1033</v>
      </c>
      <c r="H2298" t="s">
        <v>1034</v>
      </c>
      <c r="I2298">
        <v>4137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4137</v>
      </c>
      <c r="P2298" s="44" t="e">
        <f>_xlfn.XLOOKUP(Tabla5[[#This Row],[EAN CORREGIDO]],'Tabla Articulos'!B:B,'Tabla Articulos'!D:D)</f>
        <v>#N/A</v>
      </c>
      <c r="Q2298" s="44" t="e">
        <f>_xlfn.XLOOKUP(S2298,'Tabla Articulos'!B:B,'Tabla Articulos'!E:E)</f>
        <v>#N/A</v>
      </c>
      <c r="R2298" s="44" t="e">
        <f t="shared" si="70"/>
        <v>#N/A</v>
      </c>
      <c r="S2298" s="45" t="str">
        <f t="shared" si="71"/>
        <v>7798011320012</v>
      </c>
    </row>
    <row r="2299" spans="1:19" hidden="1" x14ac:dyDescent="0.35">
      <c r="A2299" s="22">
        <v>1</v>
      </c>
      <c r="B2299" t="s">
        <v>812</v>
      </c>
      <c r="C2299" t="s">
        <v>802</v>
      </c>
      <c r="D2299" s="11" t="s">
        <v>1035</v>
      </c>
      <c r="E2299" t="s">
        <v>1036</v>
      </c>
      <c r="F2299" s="11">
        <v>4018042</v>
      </c>
      <c r="G2299" t="s">
        <v>1037</v>
      </c>
      <c r="H2299" t="s">
        <v>816</v>
      </c>
      <c r="I2299">
        <v>4509.84</v>
      </c>
      <c r="J2299">
        <v>0</v>
      </c>
      <c r="K2299">
        <v>0</v>
      </c>
      <c r="L2299">
        <v>0</v>
      </c>
      <c r="M2299">
        <v>153.02000000000001</v>
      </c>
      <c r="N2299">
        <v>0</v>
      </c>
      <c r="O2299">
        <v>4356.82</v>
      </c>
      <c r="P2299" s="44" t="e">
        <f>_xlfn.XLOOKUP(Tabla5[[#This Row],[EAN CORREGIDO]],'Tabla Articulos'!B:B,'Tabla Articulos'!D:D)</f>
        <v>#N/A</v>
      </c>
      <c r="Q2299" s="44" t="e">
        <f>_xlfn.XLOOKUP(S2299,'Tabla Articulos'!B:B,'Tabla Articulos'!E:E)</f>
        <v>#N/A</v>
      </c>
      <c r="R2299" s="44" t="e">
        <f t="shared" si="70"/>
        <v>#N/A</v>
      </c>
      <c r="S2299" s="45" t="str">
        <f t="shared" si="71"/>
        <v>7790216010122</v>
      </c>
    </row>
    <row r="2300" spans="1:19" hidden="1" x14ac:dyDescent="0.35">
      <c r="A2300" s="22">
        <v>6</v>
      </c>
      <c r="B2300" t="s">
        <v>801</v>
      </c>
      <c r="C2300" t="s">
        <v>802</v>
      </c>
      <c r="E2300" t="s">
        <v>1038</v>
      </c>
      <c r="F2300" s="11">
        <v>9003763</v>
      </c>
      <c r="G2300" t="s">
        <v>1039</v>
      </c>
      <c r="H2300" t="s">
        <v>805</v>
      </c>
      <c r="I2300">
        <v>876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876</v>
      </c>
      <c r="P2300" s="44" t="e">
        <f>_xlfn.XLOOKUP(Tabla5[[#This Row],[EAN CORREGIDO]],'Tabla Articulos'!B:B,'Tabla Articulos'!D:D)</f>
        <v>#N/A</v>
      </c>
      <c r="Q2300" s="44" t="e">
        <f>_xlfn.XLOOKUP(S2300,'Tabla Articulos'!B:B,'Tabla Articulos'!E:E)</f>
        <v>#N/A</v>
      </c>
      <c r="R2300" s="44" t="e">
        <f t="shared" si="70"/>
        <v>#N/A</v>
      </c>
      <c r="S2300" s="45" t="str">
        <f t="shared" si="71"/>
        <v>BAZ001160</v>
      </c>
    </row>
    <row r="2301" spans="1:19" hidden="1" x14ac:dyDescent="0.35">
      <c r="A2301" s="22">
        <v>6</v>
      </c>
      <c r="B2301" t="s">
        <v>801</v>
      </c>
      <c r="C2301" t="s">
        <v>802</v>
      </c>
      <c r="E2301" t="s">
        <v>1040</v>
      </c>
      <c r="F2301" s="11">
        <v>9003521</v>
      </c>
      <c r="G2301" t="s">
        <v>1041</v>
      </c>
      <c r="H2301" t="s">
        <v>805</v>
      </c>
      <c r="I2301">
        <v>22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22</v>
      </c>
      <c r="P2301" s="44" t="e">
        <f>_xlfn.XLOOKUP(Tabla5[[#This Row],[EAN CORREGIDO]],'Tabla Articulos'!B:B,'Tabla Articulos'!D:D)</f>
        <v>#N/A</v>
      </c>
      <c r="Q2301" s="44" t="e">
        <f>_xlfn.XLOOKUP(S2301,'Tabla Articulos'!B:B,'Tabla Articulos'!E:E)</f>
        <v>#N/A</v>
      </c>
      <c r="R2301" s="44" t="e">
        <f t="shared" si="70"/>
        <v>#N/A</v>
      </c>
      <c r="S2301" s="45" t="str">
        <f t="shared" si="71"/>
        <v>UNIF000348</v>
      </c>
    </row>
    <row r="2302" spans="1:19" hidden="1" x14ac:dyDescent="0.35">
      <c r="A2302" s="22">
        <v>1</v>
      </c>
      <c r="B2302" t="s">
        <v>812</v>
      </c>
      <c r="C2302" t="s">
        <v>802</v>
      </c>
      <c r="D2302" s="11" t="s">
        <v>1042</v>
      </c>
      <c r="E2302" t="s">
        <v>1043</v>
      </c>
      <c r="F2302" s="11">
        <v>4023521</v>
      </c>
      <c r="G2302" t="s">
        <v>1044</v>
      </c>
      <c r="H2302" t="s">
        <v>805</v>
      </c>
      <c r="I2302">
        <v>28</v>
      </c>
      <c r="J2302">
        <v>120</v>
      </c>
      <c r="K2302">
        <v>0</v>
      </c>
      <c r="L2302">
        <v>28</v>
      </c>
      <c r="M2302">
        <v>28</v>
      </c>
      <c r="N2302">
        <v>0</v>
      </c>
      <c r="O2302">
        <v>92</v>
      </c>
      <c r="P2302" s="44" t="e">
        <f>_xlfn.XLOOKUP(Tabla5[[#This Row],[EAN CORREGIDO]],'Tabla Articulos'!B:B,'Tabla Articulos'!D:D)</f>
        <v>#N/A</v>
      </c>
      <c r="Q2302" s="44" t="e">
        <f>_xlfn.XLOOKUP(S2302,'Tabla Articulos'!B:B,'Tabla Articulos'!E:E)</f>
        <v>#N/A</v>
      </c>
      <c r="R2302" s="44" t="e">
        <f t="shared" si="70"/>
        <v>#N/A</v>
      </c>
      <c r="S2302" s="45" t="str">
        <f t="shared" si="71"/>
        <v>7798107181601</v>
      </c>
    </row>
    <row r="2303" spans="1:19" hidden="1" x14ac:dyDescent="0.35">
      <c r="A2303" s="22">
        <v>1</v>
      </c>
      <c r="B2303" t="s">
        <v>812</v>
      </c>
      <c r="C2303" t="s">
        <v>802</v>
      </c>
      <c r="D2303" s="11" t="s">
        <v>1045</v>
      </c>
      <c r="E2303" t="s">
        <v>1046</v>
      </c>
      <c r="F2303" s="11">
        <v>4020555</v>
      </c>
      <c r="G2303" t="s">
        <v>1047</v>
      </c>
      <c r="H2303" t="s">
        <v>805</v>
      </c>
      <c r="I2303">
        <v>4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4</v>
      </c>
      <c r="P2303" s="44" t="e">
        <f>_xlfn.XLOOKUP(Tabla5[[#This Row],[EAN CORREGIDO]],'Tabla Articulos'!B:B,'Tabla Articulos'!D:D)</f>
        <v>#N/A</v>
      </c>
      <c r="Q2303" s="44" t="e">
        <f>_xlfn.XLOOKUP(S2303,'Tabla Articulos'!B:B,'Tabla Articulos'!E:E)</f>
        <v>#N/A</v>
      </c>
      <c r="R2303" s="44" t="e">
        <f t="shared" si="70"/>
        <v>#N/A</v>
      </c>
      <c r="S2303" s="45" t="str">
        <f t="shared" si="71"/>
        <v>7798011977000</v>
      </c>
    </row>
    <row r="2304" spans="1:19" hidden="1" x14ac:dyDescent="0.35">
      <c r="A2304" s="22">
        <v>5</v>
      </c>
      <c r="B2304" t="s">
        <v>829</v>
      </c>
      <c r="C2304" t="s">
        <v>802</v>
      </c>
      <c r="D2304" s="11" t="s">
        <v>1045</v>
      </c>
      <c r="E2304" t="s">
        <v>1046</v>
      </c>
      <c r="F2304" s="11">
        <v>4020555</v>
      </c>
      <c r="G2304" t="s">
        <v>1047</v>
      </c>
      <c r="H2304" t="s">
        <v>805</v>
      </c>
      <c r="I2304">
        <v>17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17</v>
      </c>
      <c r="P2304" s="44" t="e">
        <f>_xlfn.XLOOKUP(Tabla5[[#This Row],[EAN CORREGIDO]],'Tabla Articulos'!B:B,'Tabla Articulos'!D:D)</f>
        <v>#N/A</v>
      </c>
      <c r="Q2304" s="44" t="e">
        <f>_xlfn.XLOOKUP(S2304,'Tabla Articulos'!B:B,'Tabla Articulos'!E:E)</f>
        <v>#N/A</v>
      </c>
      <c r="R2304" s="44" t="e">
        <f t="shared" si="70"/>
        <v>#N/A</v>
      </c>
      <c r="S2304" s="45" t="str">
        <f t="shared" si="71"/>
        <v>7798011977000</v>
      </c>
    </row>
    <row r="2305" spans="1:19" hidden="1" x14ac:dyDescent="0.35">
      <c r="A2305" s="22">
        <v>1</v>
      </c>
      <c r="B2305" t="s">
        <v>812</v>
      </c>
      <c r="C2305" t="s">
        <v>802</v>
      </c>
      <c r="D2305" s="11" t="s">
        <v>5528</v>
      </c>
      <c r="E2305" t="s">
        <v>5529</v>
      </c>
      <c r="F2305" s="11">
        <v>4076855</v>
      </c>
      <c r="G2305" t="s">
        <v>5530</v>
      </c>
      <c r="H2305" t="s">
        <v>805</v>
      </c>
      <c r="I2305">
        <v>167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167</v>
      </c>
      <c r="P2305" s="44" t="e">
        <f>_xlfn.XLOOKUP(Tabla5[[#This Row],[EAN CORREGIDO]],'Tabla Articulos'!B:B,'Tabla Articulos'!D:D)</f>
        <v>#N/A</v>
      </c>
      <c r="Q2305" s="44" t="e">
        <f>_xlfn.XLOOKUP(S2305,'Tabla Articulos'!B:B,'Tabla Articulos'!E:E)</f>
        <v>#N/A</v>
      </c>
      <c r="R2305" s="44" t="e">
        <f t="shared" ref="R2305:R2368" si="72">O2305*Q2305</f>
        <v>#N/A</v>
      </c>
      <c r="S2305" s="45" t="str">
        <f t="shared" ref="S2305:S2368" si="73">TRIM(E2305)</f>
        <v>7798128000707</v>
      </c>
    </row>
    <row r="2306" spans="1:19" hidden="1" x14ac:dyDescent="0.35">
      <c r="A2306" s="22">
        <v>1</v>
      </c>
      <c r="B2306" t="s">
        <v>812</v>
      </c>
      <c r="C2306" t="s">
        <v>802</v>
      </c>
      <c r="D2306" s="11" t="s">
        <v>5531</v>
      </c>
      <c r="E2306" t="s">
        <v>5532</v>
      </c>
      <c r="F2306" s="11">
        <v>4023828</v>
      </c>
      <c r="G2306" t="s">
        <v>5533</v>
      </c>
      <c r="H2306" t="s">
        <v>805</v>
      </c>
      <c r="I2306">
        <v>5991</v>
      </c>
      <c r="J2306">
        <v>0</v>
      </c>
      <c r="K2306">
        <v>0</v>
      </c>
      <c r="L2306">
        <v>0</v>
      </c>
      <c r="M2306">
        <v>8</v>
      </c>
      <c r="N2306">
        <v>0</v>
      </c>
      <c r="O2306">
        <v>5983</v>
      </c>
      <c r="P2306" s="44" t="e">
        <f>_xlfn.XLOOKUP(Tabla5[[#This Row],[EAN CORREGIDO]],'Tabla Articulos'!B:B,'Tabla Articulos'!D:D)</f>
        <v>#N/A</v>
      </c>
      <c r="Q2306" s="44" t="e">
        <f>_xlfn.XLOOKUP(S2306,'Tabla Articulos'!B:B,'Tabla Articulos'!E:E)</f>
        <v>#N/A</v>
      </c>
      <c r="R2306" s="44" t="e">
        <f t="shared" si="72"/>
        <v>#N/A</v>
      </c>
      <c r="S2306" s="45" t="str">
        <f t="shared" si="73"/>
        <v>7792260640203</v>
      </c>
    </row>
    <row r="2307" spans="1:19" hidden="1" x14ac:dyDescent="0.35">
      <c r="A2307" s="22">
        <v>1</v>
      </c>
      <c r="B2307" t="s">
        <v>812</v>
      </c>
      <c r="C2307" t="s">
        <v>802</v>
      </c>
      <c r="D2307" s="11" t="s">
        <v>2143</v>
      </c>
      <c r="E2307" t="s">
        <v>5534</v>
      </c>
      <c r="F2307" s="11">
        <v>4020742</v>
      </c>
      <c r="G2307" t="s">
        <v>5535</v>
      </c>
      <c r="H2307" t="s">
        <v>805</v>
      </c>
      <c r="I2307">
        <v>21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21</v>
      </c>
      <c r="P2307" s="44" t="e">
        <f>_xlfn.XLOOKUP(Tabla5[[#This Row],[EAN CORREGIDO]],'Tabla Articulos'!B:B,'Tabla Articulos'!D:D)</f>
        <v>#N/A</v>
      </c>
      <c r="Q2307" s="44" t="e">
        <f>_xlfn.XLOOKUP(S2307,'Tabla Articulos'!B:B,'Tabla Articulos'!E:E)</f>
        <v>#N/A</v>
      </c>
      <c r="R2307" s="44" t="e">
        <f t="shared" si="72"/>
        <v>#N/A</v>
      </c>
      <c r="S2307" s="45" t="str">
        <f t="shared" si="73"/>
        <v>7798224212240</v>
      </c>
    </row>
    <row r="2308" spans="1:19" hidden="1" x14ac:dyDescent="0.35">
      <c r="A2308" s="22">
        <v>1</v>
      </c>
      <c r="B2308" t="s">
        <v>812</v>
      </c>
      <c r="C2308" t="s">
        <v>802</v>
      </c>
      <c r="D2308" s="11" t="s">
        <v>3201</v>
      </c>
      <c r="E2308" t="s">
        <v>5536</v>
      </c>
      <c r="F2308" s="11">
        <v>4019476</v>
      </c>
      <c r="G2308" t="s">
        <v>5537</v>
      </c>
      <c r="H2308" t="s">
        <v>805</v>
      </c>
      <c r="I2308">
        <v>20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20</v>
      </c>
      <c r="P2308" s="44" t="e">
        <f>_xlfn.XLOOKUP(Tabla5[[#This Row],[EAN CORREGIDO]],'Tabla Articulos'!B:B,'Tabla Articulos'!D:D)</f>
        <v>#N/A</v>
      </c>
      <c r="Q2308" s="44" t="e">
        <f>_xlfn.XLOOKUP(S2308,'Tabla Articulos'!B:B,'Tabla Articulos'!E:E)</f>
        <v>#N/A</v>
      </c>
      <c r="R2308" s="44" t="e">
        <f t="shared" si="72"/>
        <v>#N/A</v>
      </c>
      <c r="S2308" s="45" t="str">
        <f t="shared" si="73"/>
        <v>7790279000032</v>
      </c>
    </row>
    <row r="2309" spans="1:19" hidden="1" x14ac:dyDescent="0.35">
      <c r="A2309" s="22">
        <v>5</v>
      </c>
      <c r="B2309" t="s">
        <v>829</v>
      </c>
      <c r="C2309" t="s">
        <v>802</v>
      </c>
      <c r="D2309" s="11" t="s">
        <v>6721</v>
      </c>
      <c r="E2309" t="s">
        <v>6722</v>
      </c>
      <c r="F2309" s="11">
        <v>4018046</v>
      </c>
      <c r="G2309" t="s">
        <v>6723</v>
      </c>
      <c r="H2309" t="s">
        <v>816</v>
      </c>
      <c r="I2309">
        <v>5.74</v>
      </c>
      <c r="J2309">
        <v>0</v>
      </c>
      <c r="K2309">
        <v>0</v>
      </c>
      <c r="L2309">
        <v>0</v>
      </c>
      <c r="M2309">
        <v>2.9</v>
      </c>
      <c r="N2309">
        <v>0</v>
      </c>
      <c r="O2309">
        <v>2.84</v>
      </c>
      <c r="P2309" s="44" t="e">
        <f>_xlfn.XLOOKUP(Tabla5[[#This Row],[EAN CORREGIDO]],'Tabla Articulos'!B:B,'Tabla Articulos'!D:D)</f>
        <v>#N/A</v>
      </c>
      <c r="Q2309" s="44" t="e">
        <f>_xlfn.XLOOKUP(S2309,'Tabla Articulos'!B:B,'Tabla Articulos'!E:E)</f>
        <v>#N/A</v>
      </c>
      <c r="R2309" s="44" t="e">
        <f t="shared" si="72"/>
        <v>#N/A</v>
      </c>
      <c r="S2309" s="45" t="str">
        <f t="shared" si="73"/>
        <v>7790216012657</v>
      </c>
    </row>
    <row r="2310" spans="1:19" hidden="1" x14ac:dyDescent="0.35">
      <c r="A2310" s="22">
        <v>5</v>
      </c>
      <c r="B2310" t="s">
        <v>829</v>
      </c>
      <c r="C2310" t="s">
        <v>802</v>
      </c>
      <c r="D2310" s="11" t="s">
        <v>229</v>
      </c>
      <c r="E2310" t="s">
        <v>5538</v>
      </c>
      <c r="F2310" s="11">
        <v>2006165</v>
      </c>
      <c r="G2310" t="s">
        <v>5539</v>
      </c>
      <c r="H2310" t="s">
        <v>805</v>
      </c>
      <c r="I2310">
        <v>9612</v>
      </c>
      <c r="J2310">
        <v>0</v>
      </c>
      <c r="K2310">
        <v>0</v>
      </c>
      <c r="L2310">
        <v>0</v>
      </c>
      <c r="M2310">
        <v>25</v>
      </c>
      <c r="N2310">
        <v>0</v>
      </c>
      <c r="O2310">
        <v>9587</v>
      </c>
      <c r="P2310" s="44" t="str">
        <f>_xlfn.XLOOKUP(Tabla5[[#This Row],[EAN CORREGIDO]],'Tabla Articulos'!B:B,'Tabla Articulos'!D:D)</f>
        <v>CAJA DOBLE BASE 40X30X27 MESA</v>
      </c>
      <c r="Q2310" s="44">
        <f>_xlfn.XLOOKUP(S2310,'Tabla Articulos'!B:B,'Tabla Articulos'!E:E)</f>
        <v>1</v>
      </c>
      <c r="R2310" s="44">
        <f t="shared" si="72"/>
        <v>9587</v>
      </c>
      <c r="S2310" s="45" t="str">
        <f t="shared" si="73"/>
        <v>7790316030027</v>
      </c>
    </row>
    <row r="2311" spans="1:19" hidden="1" x14ac:dyDescent="0.35">
      <c r="A2311" s="22">
        <v>1</v>
      </c>
      <c r="B2311" t="s">
        <v>812</v>
      </c>
      <c r="C2311" t="s">
        <v>802</v>
      </c>
      <c r="D2311" s="11" t="s">
        <v>1497</v>
      </c>
      <c r="E2311" t="s">
        <v>5540</v>
      </c>
      <c r="F2311" s="11">
        <v>4019875</v>
      </c>
      <c r="G2311" t="s">
        <v>5541</v>
      </c>
      <c r="H2311" t="s">
        <v>805</v>
      </c>
      <c r="I2311">
        <v>6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6</v>
      </c>
      <c r="P2311" s="44" t="e">
        <f>_xlfn.XLOOKUP(Tabla5[[#This Row],[EAN CORREGIDO]],'Tabla Articulos'!B:B,'Tabla Articulos'!D:D)</f>
        <v>#N/A</v>
      </c>
      <c r="Q2311" s="44" t="e">
        <f>_xlfn.XLOOKUP(S2311,'Tabla Articulos'!B:B,'Tabla Articulos'!E:E)</f>
        <v>#N/A</v>
      </c>
      <c r="R2311" s="44" t="e">
        <f t="shared" si="72"/>
        <v>#N/A</v>
      </c>
      <c r="S2311" s="45" t="str">
        <f t="shared" si="73"/>
        <v>7790530850109</v>
      </c>
    </row>
    <row r="2312" spans="1:19" hidden="1" x14ac:dyDescent="0.35">
      <c r="A2312" s="22">
        <v>5</v>
      </c>
      <c r="B2312" t="s">
        <v>829</v>
      </c>
      <c r="C2312" t="s">
        <v>802</v>
      </c>
      <c r="D2312" s="11" t="s">
        <v>1497</v>
      </c>
      <c r="E2312" t="s">
        <v>5540</v>
      </c>
      <c r="F2312" s="11">
        <v>4019875</v>
      </c>
      <c r="G2312" t="s">
        <v>5541</v>
      </c>
      <c r="H2312" t="s">
        <v>805</v>
      </c>
      <c r="I2312">
        <v>3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3</v>
      </c>
      <c r="P2312" s="44" t="e">
        <f>_xlfn.XLOOKUP(Tabla5[[#This Row],[EAN CORREGIDO]],'Tabla Articulos'!B:B,'Tabla Articulos'!D:D)</f>
        <v>#N/A</v>
      </c>
      <c r="Q2312" s="44" t="e">
        <f>_xlfn.XLOOKUP(S2312,'Tabla Articulos'!B:B,'Tabla Articulos'!E:E)</f>
        <v>#N/A</v>
      </c>
      <c r="R2312" s="44" t="e">
        <f t="shared" si="72"/>
        <v>#N/A</v>
      </c>
      <c r="S2312" s="45" t="str">
        <f t="shared" si="73"/>
        <v>7790530850109</v>
      </c>
    </row>
    <row r="2313" spans="1:19" hidden="1" x14ac:dyDescent="0.35">
      <c r="A2313" s="22">
        <v>6</v>
      </c>
      <c r="B2313" t="s">
        <v>801</v>
      </c>
      <c r="C2313" t="s">
        <v>802</v>
      </c>
      <c r="E2313" t="s">
        <v>5344</v>
      </c>
      <c r="F2313" s="11">
        <v>9003638</v>
      </c>
      <c r="G2313" t="s">
        <v>5345</v>
      </c>
      <c r="H2313" t="s">
        <v>805</v>
      </c>
      <c r="I2313">
        <v>4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4</v>
      </c>
      <c r="P2313" s="44" t="e">
        <f>_xlfn.XLOOKUP(Tabla5[[#This Row],[EAN CORREGIDO]],'Tabla Articulos'!B:B,'Tabla Articulos'!D:D)</f>
        <v>#N/A</v>
      </c>
      <c r="Q2313" s="44" t="e">
        <f>_xlfn.XLOOKUP(S2313,'Tabla Articulos'!B:B,'Tabla Articulos'!E:E)</f>
        <v>#N/A</v>
      </c>
      <c r="R2313" s="44" t="e">
        <f t="shared" si="72"/>
        <v>#N/A</v>
      </c>
      <c r="S2313" s="45" t="str">
        <f t="shared" si="73"/>
        <v>UNIF000374</v>
      </c>
    </row>
    <row r="2314" spans="1:19" hidden="1" x14ac:dyDescent="0.35">
      <c r="A2314" s="22">
        <v>6</v>
      </c>
      <c r="B2314" t="s">
        <v>801</v>
      </c>
      <c r="C2314" t="s">
        <v>802</v>
      </c>
      <c r="E2314" t="s">
        <v>5346</v>
      </c>
      <c r="F2314" s="11">
        <v>9003584</v>
      </c>
      <c r="G2314" t="s">
        <v>5347</v>
      </c>
      <c r="H2314" t="s">
        <v>805</v>
      </c>
      <c r="I2314">
        <v>22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22</v>
      </c>
      <c r="P2314" s="44" t="e">
        <f>_xlfn.XLOOKUP(Tabla5[[#This Row],[EAN CORREGIDO]],'Tabla Articulos'!B:B,'Tabla Articulos'!D:D)</f>
        <v>#N/A</v>
      </c>
      <c r="Q2314" s="44" t="e">
        <f>_xlfn.XLOOKUP(S2314,'Tabla Articulos'!B:B,'Tabla Articulos'!E:E)</f>
        <v>#N/A</v>
      </c>
      <c r="R2314" s="44" t="e">
        <f t="shared" si="72"/>
        <v>#N/A</v>
      </c>
      <c r="S2314" s="45" t="str">
        <f t="shared" si="73"/>
        <v>UNIF000496</v>
      </c>
    </row>
    <row r="2315" spans="1:19" hidden="1" x14ac:dyDescent="0.35">
      <c r="A2315" s="22">
        <v>1</v>
      </c>
      <c r="B2315" t="s">
        <v>812</v>
      </c>
      <c r="C2315" t="s">
        <v>802</v>
      </c>
      <c r="D2315" s="11" t="s">
        <v>5348</v>
      </c>
      <c r="E2315" t="s">
        <v>5349</v>
      </c>
      <c r="F2315" s="11">
        <v>4022369</v>
      </c>
      <c r="G2315" t="s">
        <v>5350</v>
      </c>
      <c r="H2315" t="s">
        <v>805</v>
      </c>
      <c r="I2315">
        <v>405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405</v>
      </c>
      <c r="P2315" s="44" t="e">
        <f>_xlfn.XLOOKUP(Tabla5[[#This Row],[EAN CORREGIDO]],'Tabla Articulos'!B:B,'Tabla Articulos'!D:D)</f>
        <v>#N/A</v>
      </c>
      <c r="Q2315" s="44" t="e">
        <f>_xlfn.XLOOKUP(S2315,'Tabla Articulos'!B:B,'Tabla Articulos'!E:E)</f>
        <v>#N/A</v>
      </c>
      <c r="R2315" s="44" t="e">
        <f t="shared" si="72"/>
        <v>#N/A</v>
      </c>
      <c r="S2315" s="45" t="str">
        <f t="shared" si="73"/>
        <v>7795711002353</v>
      </c>
    </row>
    <row r="2316" spans="1:19" hidden="1" x14ac:dyDescent="0.35">
      <c r="A2316" s="22">
        <v>1</v>
      </c>
      <c r="B2316" t="s">
        <v>812</v>
      </c>
      <c r="C2316" t="s">
        <v>802</v>
      </c>
      <c r="D2316" s="11" t="s">
        <v>5351</v>
      </c>
      <c r="E2316" t="s">
        <v>5352</v>
      </c>
      <c r="F2316" s="11">
        <v>4024323</v>
      </c>
      <c r="G2316" t="s">
        <v>5353</v>
      </c>
      <c r="H2316" t="s">
        <v>805</v>
      </c>
      <c r="I2316">
        <v>80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80</v>
      </c>
      <c r="P2316" s="44" t="e">
        <f>_xlfn.XLOOKUP(Tabla5[[#This Row],[EAN CORREGIDO]],'Tabla Articulos'!B:B,'Tabla Articulos'!D:D)</f>
        <v>#N/A</v>
      </c>
      <c r="Q2316" s="44" t="e">
        <f>_xlfn.XLOOKUP(S2316,'Tabla Articulos'!B:B,'Tabla Articulos'!E:E)</f>
        <v>#N/A</v>
      </c>
      <c r="R2316" s="44" t="e">
        <f t="shared" si="72"/>
        <v>#N/A</v>
      </c>
      <c r="S2316" s="45" t="str">
        <f t="shared" si="73"/>
        <v>7791078022713</v>
      </c>
    </row>
    <row r="2317" spans="1:19" hidden="1" x14ac:dyDescent="0.35">
      <c r="A2317" s="22">
        <v>6</v>
      </c>
      <c r="B2317" t="s">
        <v>801</v>
      </c>
      <c r="C2317" t="s">
        <v>802</v>
      </c>
      <c r="D2317" s="11" t="s">
        <v>3878</v>
      </c>
      <c r="E2317" t="s">
        <v>5354</v>
      </c>
      <c r="F2317" s="11">
        <v>2007295</v>
      </c>
      <c r="G2317" t="s">
        <v>5355</v>
      </c>
      <c r="H2317" t="s">
        <v>805</v>
      </c>
      <c r="I2317">
        <v>749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749</v>
      </c>
      <c r="P2317" s="44" t="e">
        <f>_xlfn.XLOOKUP(Tabla5[[#This Row],[EAN CORREGIDO]],'Tabla Articulos'!B:B,'Tabla Articulos'!D:D)</f>
        <v>#N/A</v>
      </c>
      <c r="Q2317" s="44" t="e">
        <f>_xlfn.XLOOKUP(S2317,'Tabla Articulos'!B:B,'Tabla Articulos'!E:E)</f>
        <v>#N/A</v>
      </c>
      <c r="R2317" s="44" t="e">
        <f t="shared" si="72"/>
        <v>#N/A</v>
      </c>
      <c r="S2317" s="45" t="str">
        <f t="shared" si="73"/>
        <v>7798121853126</v>
      </c>
    </row>
    <row r="2318" spans="1:19" hidden="1" x14ac:dyDescent="0.35">
      <c r="A2318" s="22">
        <v>1</v>
      </c>
      <c r="B2318" t="s">
        <v>812</v>
      </c>
      <c r="C2318" t="s">
        <v>802</v>
      </c>
      <c r="D2318" t="s">
        <v>2613</v>
      </c>
      <c r="E2318" t="s">
        <v>2614</v>
      </c>
      <c r="F2318">
        <v>4018015</v>
      </c>
      <c r="G2318" t="s">
        <v>2615</v>
      </c>
      <c r="H2318" t="s">
        <v>805</v>
      </c>
      <c r="I2318">
        <v>1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 s="44" t="e">
        <f>_xlfn.XLOOKUP(Tabla5[[#This Row],[EAN CORREGIDO]],'Tabla Articulos'!B:B,'Tabla Articulos'!D:D)</f>
        <v>#N/A</v>
      </c>
      <c r="Q2318" s="44" t="e">
        <f>_xlfn.XLOOKUP(S2318,'Tabla Articulos'!B:B,'Tabla Articulos'!E:E)</f>
        <v>#N/A</v>
      </c>
      <c r="R2318" s="44" t="e">
        <f t="shared" si="72"/>
        <v>#N/A</v>
      </c>
      <c r="S2318" s="45" t="str">
        <f t="shared" si="73"/>
        <v>7790216020046</v>
      </c>
    </row>
    <row r="2319" spans="1:19" hidden="1" x14ac:dyDescent="0.35">
      <c r="A2319" s="22">
        <v>6</v>
      </c>
      <c r="B2319" t="s">
        <v>801</v>
      </c>
      <c r="C2319" t="s">
        <v>802</v>
      </c>
      <c r="D2319" s="11" t="s">
        <v>1535</v>
      </c>
      <c r="E2319" t="s">
        <v>2616</v>
      </c>
      <c r="F2319" s="11">
        <v>2016693</v>
      </c>
      <c r="G2319" t="s">
        <v>2617</v>
      </c>
      <c r="H2319" t="s">
        <v>805</v>
      </c>
      <c r="I2319">
        <v>3300</v>
      </c>
      <c r="J2319">
        <v>4400</v>
      </c>
      <c r="K2319">
        <v>0</v>
      </c>
      <c r="L2319">
        <v>0</v>
      </c>
      <c r="M2319">
        <v>0</v>
      </c>
      <c r="N2319">
        <v>0</v>
      </c>
      <c r="O2319">
        <v>7700</v>
      </c>
      <c r="P2319" s="44" t="e">
        <f>_xlfn.XLOOKUP(Tabla5[[#This Row],[EAN CORREGIDO]],'Tabla Articulos'!B:B,'Tabla Articulos'!D:D)</f>
        <v>#N/A</v>
      </c>
      <c r="Q2319" s="44" t="e">
        <f>_xlfn.XLOOKUP(S2319,'Tabla Articulos'!B:B,'Tabla Articulos'!E:E)</f>
        <v>#N/A</v>
      </c>
      <c r="R2319" s="44" t="e">
        <f t="shared" si="72"/>
        <v>#N/A</v>
      </c>
      <c r="S2319" s="45" t="str">
        <f t="shared" si="73"/>
        <v>7790000000827</v>
      </c>
    </row>
    <row r="2320" spans="1:19" hidden="1" x14ac:dyDescent="0.35">
      <c r="A2320" s="22">
        <v>1</v>
      </c>
      <c r="B2320" t="s">
        <v>812</v>
      </c>
      <c r="C2320" t="s">
        <v>802</v>
      </c>
      <c r="D2320" s="11" t="s">
        <v>2618</v>
      </c>
      <c r="E2320" t="s">
        <v>2619</v>
      </c>
      <c r="F2320" s="11">
        <v>4017575</v>
      </c>
      <c r="G2320" t="s">
        <v>2620</v>
      </c>
      <c r="H2320" t="s">
        <v>805</v>
      </c>
      <c r="I2320">
        <v>400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400</v>
      </c>
      <c r="P2320" s="44" t="e">
        <f>_xlfn.XLOOKUP(Tabla5[[#This Row],[EAN CORREGIDO]],'Tabla Articulos'!B:B,'Tabla Articulos'!D:D)</f>
        <v>#N/A</v>
      </c>
      <c r="Q2320" s="44" t="e">
        <f>_xlfn.XLOOKUP(S2320,'Tabla Articulos'!B:B,'Tabla Articulos'!E:E)</f>
        <v>#N/A</v>
      </c>
      <c r="R2320" s="44" t="e">
        <f t="shared" si="72"/>
        <v>#N/A</v>
      </c>
      <c r="S2320" s="45" t="str">
        <f t="shared" si="73"/>
        <v>7790212031270</v>
      </c>
    </row>
    <row r="2321" spans="1:19" hidden="1" x14ac:dyDescent="0.35">
      <c r="A2321" s="22">
        <v>6</v>
      </c>
      <c r="B2321" t="s">
        <v>801</v>
      </c>
      <c r="C2321" t="s">
        <v>802</v>
      </c>
      <c r="D2321" s="11" t="s">
        <v>1374</v>
      </c>
      <c r="E2321" t="s">
        <v>2621</v>
      </c>
      <c r="F2321" s="11">
        <v>2000174</v>
      </c>
      <c r="G2321" t="s">
        <v>2622</v>
      </c>
      <c r="H2321" t="s">
        <v>805</v>
      </c>
      <c r="I2321">
        <v>5500</v>
      </c>
      <c r="J2321">
        <v>0</v>
      </c>
      <c r="K2321">
        <v>0</v>
      </c>
      <c r="L2321">
        <v>0</v>
      </c>
      <c r="M2321">
        <v>8</v>
      </c>
      <c r="N2321">
        <v>0</v>
      </c>
      <c r="O2321">
        <v>5492</v>
      </c>
      <c r="P2321" s="44" t="e">
        <f>_xlfn.XLOOKUP(Tabla5[[#This Row],[EAN CORREGIDO]],'Tabla Articulos'!B:B,'Tabla Articulos'!D:D)</f>
        <v>#N/A</v>
      </c>
      <c r="Q2321" s="44" t="e">
        <f>_xlfn.XLOOKUP(S2321,'Tabla Articulos'!B:B,'Tabla Articulos'!E:E)</f>
        <v>#N/A</v>
      </c>
      <c r="R2321" s="44" t="e">
        <f t="shared" si="72"/>
        <v>#N/A</v>
      </c>
      <c r="S2321" s="45" t="str">
        <f t="shared" si="73"/>
        <v>2000174</v>
      </c>
    </row>
    <row r="2322" spans="1:19" hidden="1" x14ac:dyDescent="0.35">
      <c r="A2322" s="22">
        <v>5</v>
      </c>
      <c r="B2322" t="s">
        <v>829</v>
      </c>
      <c r="C2322" t="s">
        <v>802</v>
      </c>
      <c r="D2322" s="11" t="s">
        <v>2623</v>
      </c>
      <c r="E2322" t="s">
        <v>2624</v>
      </c>
      <c r="F2322" s="11">
        <v>4017609</v>
      </c>
      <c r="G2322" t="s">
        <v>2625</v>
      </c>
      <c r="H2322" t="s">
        <v>805</v>
      </c>
      <c r="I2322">
        <v>18974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18974</v>
      </c>
      <c r="P2322" s="44" t="e">
        <f>_xlfn.XLOOKUP(Tabla5[[#This Row],[EAN CORREGIDO]],'Tabla Articulos'!B:B,'Tabla Articulos'!D:D)</f>
        <v>#N/A</v>
      </c>
      <c r="Q2322" s="44" t="e">
        <f>_xlfn.XLOOKUP(S2322,'Tabla Articulos'!B:B,'Tabla Articulos'!E:E)</f>
        <v>#N/A</v>
      </c>
      <c r="R2322" s="44" t="e">
        <f t="shared" si="72"/>
        <v>#N/A</v>
      </c>
      <c r="S2322" s="45" t="str">
        <f t="shared" si="73"/>
        <v>7798158930074</v>
      </c>
    </row>
    <row r="2323" spans="1:19" hidden="1" x14ac:dyDescent="0.35">
      <c r="A2323" s="22">
        <v>6</v>
      </c>
      <c r="B2323" t="s">
        <v>801</v>
      </c>
      <c r="C2323" t="s">
        <v>802</v>
      </c>
      <c r="D2323" s="11" t="s">
        <v>1198</v>
      </c>
      <c r="E2323" t="s">
        <v>2962</v>
      </c>
      <c r="F2323" s="11">
        <v>2016672</v>
      </c>
      <c r="G2323" t="s">
        <v>2963</v>
      </c>
      <c r="H2323" t="s">
        <v>805</v>
      </c>
      <c r="I2323">
        <v>25746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25746</v>
      </c>
      <c r="P2323" s="44" t="e">
        <f>_xlfn.XLOOKUP(Tabla5[[#This Row],[EAN CORREGIDO]],'Tabla Articulos'!B:B,'Tabla Articulos'!D:D)</f>
        <v>#N/A</v>
      </c>
      <c r="Q2323" s="44" t="e">
        <f>_xlfn.XLOOKUP(S2323,'Tabla Articulos'!B:B,'Tabla Articulos'!E:E)</f>
        <v>#N/A</v>
      </c>
      <c r="R2323" s="44" t="e">
        <f t="shared" si="72"/>
        <v>#N/A</v>
      </c>
      <c r="S2323" s="45" t="str">
        <f t="shared" si="73"/>
        <v>7798092969802</v>
      </c>
    </row>
    <row r="2324" spans="1:19" hidden="1" x14ac:dyDescent="0.35">
      <c r="A2324" s="22">
        <v>6</v>
      </c>
      <c r="B2324" t="s">
        <v>801</v>
      </c>
      <c r="C2324" t="s">
        <v>802</v>
      </c>
      <c r="E2324" t="s">
        <v>2964</v>
      </c>
      <c r="F2324" s="11">
        <v>9003517</v>
      </c>
      <c r="G2324" t="s">
        <v>2965</v>
      </c>
      <c r="H2324" t="s">
        <v>805</v>
      </c>
      <c r="I2324">
        <v>11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11</v>
      </c>
      <c r="P2324" s="44" t="e">
        <f>_xlfn.XLOOKUP(Tabla5[[#This Row],[EAN CORREGIDO]],'Tabla Articulos'!B:B,'Tabla Articulos'!D:D)</f>
        <v>#N/A</v>
      </c>
      <c r="Q2324" s="44" t="e">
        <f>_xlfn.XLOOKUP(S2324,'Tabla Articulos'!B:B,'Tabla Articulos'!E:E)</f>
        <v>#N/A</v>
      </c>
      <c r="R2324" s="44" t="e">
        <f t="shared" si="72"/>
        <v>#N/A</v>
      </c>
      <c r="S2324" s="45" t="str">
        <f t="shared" si="73"/>
        <v>UNIF000344</v>
      </c>
    </row>
    <row r="2325" spans="1:19" hidden="1" x14ac:dyDescent="0.35">
      <c r="A2325" s="22">
        <v>6</v>
      </c>
      <c r="B2325" t="s">
        <v>801</v>
      </c>
      <c r="C2325" t="s">
        <v>802</v>
      </c>
      <c r="E2325" t="s">
        <v>2966</v>
      </c>
      <c r="F2325" s="11">
        <v>9003390</v>
      </c>
      <c r="G2325" t="s">
        <v>2967</v>
      </c>
      <c r="H2325" t="s">
        <v>805</v>
      </c>
      <c r="I2325">
        <v>20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20</v>
      </c>
      <c r="P2325" s="44" t="e">
        <f>_xlfn.XLOOKUP(Tabla5[[#This Row],[EAN CORREGIDO]],'Tabla Articulos'!B:B,'Tabla Articulos'!D:D)</f>
        <v>#N/A</v>
      </c>
      <c r="Q2325" s="44" t="e">
        <f>_xlfn.XLOOKUP(S2325,'Tabla Articulos'!B:B,'Tabla Articulos'!E:E)</f>
        <v>#N/A</v>
      </c>
      <c r="R2325" s="44" t="e">
        <f t="shared" si="72"/>
        <v>#N/A</v>
      </c>
      <c r="S2325" s="45" t="str">
        <f t="shared" si="73"/>
        <v>UNIF000507</v>
      </c>
    </row>
    <row r="2326" spans="1:19" hidden="1" x14ac:dyDescent="0.35">
      <c r="A2326" s="22">
        <v>6</v>
      </c>
      <c r="B2326" t="s">
        <v>801</v>
      </c>
      <c r="C2326" t="s">
        <v>802</v>
      </c>
      <c r="E2326" t="s">
        <v>2968</v>
      </c>
      <c r="F2326" s="11">
        <v>9004210</v>
      </c>
      <c r="G2326" t="s">
        <v>2969</v>
      </c>
      <c r="H2326" t="s">
        <v>805</v>
      </c>
      <c r="I2326">
        <v>100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100</v>
      </c>
      <c r="P2326" s="44" t="e">
        <f>_xlfn.XLOOKUP(Tabla5[[#This Row],[EAN CORREGIDO]],'Tabla Articulos'!B:B,'Tabla Articulos'!D:D)</f>
        <v>#N/A</v>
      </c>
      <c r="Q2326" s="44" t="e">
        <f>_xlfn.XLOOKUP(S2326,'Tabla Articulos'!B:B,'Tabla Articulos'!E:E)</f>
        <v>#N/A</v>
      </c>
      <c r="R2326" s="44" t="e">
        <f t="shared" si="72"/>
        <v>#N/A</v>
      </c>
      <c r="S2326" s="45" t="str">
        <f t="shared" si="73"/>
        <v>UNIF000756</v>
      </c>
    </row>
    <row r="2327" spans="1:19" hidden="1" x14ac:dyDescent="0.35">
      <c r="A2327" s="22">
        <v>1</v>
      </c>
      <c r="B2327" t="s">
        <v>812</v>
      </c>
      <c r="C2327" t="s">
        <v>802</v>
      </c>
      <c r="D2327" s="11" t="s">
        <v>934</v>
      </c>
      <c r="E2327" t="s">
        <v>2970</v>
      </c>
      <c r="F2327" s="11">
        <v>4018018</v>
      </c>
      <c r="G2327" t="s">
        <v>2971</v>
      </c>
      <c r="H2327" t="s">
        <v>816</v>
      </c>
      <c r="I2327">
        <v>9447.5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9447.5</v>
      </c>
      <c r="P2327" s="44" t="e">
        <f>_xlfn.XLOOKUP(Tabla5[[#This Row],[EAN CORREGIDO]],'Tabla Articulos'!B:B,'Tabla Articulos'!D:D)</f>
        <v>#N/A</v>
      </c>
      <c r="Q2327" s="44" t="e">
        <f>_xlfn.XLOOKUP(S2327,'Tabla Articulos'!B:B,'Tabla Articulos'!E:E)</f>
        <v>#N/A</v>
      </c>
      <c r="R2327" s="44" t="e">
        <f t="shared" si="72"/>
        <v>#N/A</v>
      </c>
      <c r="S2327" s="45" t="str">
        <f t="shared" si="73"/>
        <v>7790216020103</v>
      </c>
    </row>
    <row r="2328" spans="1:19" hidden="1" x14ac:dyDescent="0.35">
      <c r="A2328" s="22">
        <v>6</v>
      </c>
      <c r="B2328" t="s">
        <v>801</v>
      </c>
      <c r="C2328" t="s">
        <v>802</v>
      </c>
      <c r="E2328" t="s">
        <v>1048</v>
      </c>
      <c r="F2328" s="11">
        <v>9003384</v>
      </c>
      <c r="G2328" t="s">
        <v>1049</v>
      </c>
      <c r="H2328" t="s">
        <v>805</v>
      </c>
      <c r="I2328">
        <v>24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24</v>
      </c>
      <c r="P2328" s="44" t="e">
        <f>_xlfn.XLOOKUP(Tabla5[[#This Row],[EAN CORREGIDO]],'Tabla Articulos'!B:B,'Tabla Articulos'!D:D)</f>
        <v>#N/A</v>
      </c>
      <c r="Q2328" s="44" t="e">
        <f>_xlfn.XLOOKUP(S2328,'Tabla Articulos'!B:B,'Tabla Articulos'!E:E)</f>
        <v>#N/A</v>
      </c>
      <c r="R2328" s="44" t="e">
        <f t="shared" si="72"/>
        <v>#N/A</v>
      </c>
      <c r="S2328" s="45" t="str">
        <f t="shared" si="73"/>
        <v>UNIF000501</v>
      </c>
    </row>
    <row r="2329" spans="1:19" hidden="1" x14ac:dyDescent="0.35">
      <c r="A2329" s="22">
        <v>1</v>
      </c>
      <c r="B2329" t="s">
        <v>812</v>
      </c>
      <c r="C2329" t="s">
        <v>802</v>
      </c>
      <c r="D2329" s="11" t="s">
        <v>1050</v>
      </c>
      <c r="E2329" t="s">
        <v>1051</v>
      </c>
      <c r="F2329" s="11">
        <v>4021111</v>
      </c>
      <c r="G2329" t="s">
        <v>1052</v>
      </c>
      <c r="H2329" t="s">
        <v>805</v>
      </c>
      <c r="I2329">
        <v>19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19</v>
      </c>
      <c r="P2329" s="44" t="e">
        <f>_xlfn.XLOOKUP(Tabla5[[#This Row],[EAN CORREGIDO]],'Tabla Articulos'!B:B,'Tabla Articulos'!D:D)</f>
        <v>#N/A</v>
      </c>
      <c r="Q2329" s="44" t="e">
        <f>_xlfn.XLOOKUP(S2329,'Tabla Articulos'!B:B,'Tabla Articulos'!E:E)</f>
        <v>#N/A</v>
      </c>
      <c r="R2329" s="44" t="e">
        <f t="shared" si="72"/>
        <v>#N/A</v>
      </c>
      <c r="S2329" s="45" t="str">
        <f t="shared" si="73"/>
        <v>7798290580052</v>
      </c>
    </row>
    <row r="2330" spans="1:19" hidden="1" x14ac:dyDescent="0.35">
      <c r="A2330" s="22">
        <v>6</v>
      </c>
      <c r="B2330" t="s">
        <v>801</v>
      </c>
      <c r="C2330" t="s">
        <v>802</v>
      </c>
      <c r="D2330" s="11" t="s">
        <v>1053</v>
      </c>
      <c r="E2330" t="s">
        <v>1054</v>
      </c>
      <c r="F2330" s="11">
        <v>2007271</v>
      </c>
      <c r="G2330" t="s">
        <v>1055</v>
      </c>
      <c r="H2330" t="s">
        <v>805</v>
      </c>
      <c r="I2330">
        <v>442</v>
      </c>
      <c r="J2330">
        <v>0</v>
      </c>
      <c r="K2330">
        <v>0</v>
      </c>
      <c r="L2330">
        <v>0</v>
      </c>
      <c r="M2330">
        <v>4</v>
      </c>
      <c r="N2330">
        <v>0</v>
      </c>
      <c r="O2330">
        <v>438</v>
      </c>
      <c r="P2330" s="44" t="e">
        <f>_xlfn.XLOOKUP(Tabla5[[#This Row],[EAN CORREGIDO]],'Tabla Articulos'!B:B,'Tabla Articulos'!D:D)</f>
        <v>#N/A</v>
      </c>
      <c r="Q2330" s="44" t="e">
        <f>_xlfn.XLOOKUP(S2330,'Tabla Articulos'!B:B,'Tabla Articulos'!E:E)</f>
        <v>#N/A</v>
      </c>
      <c r="R2330" s="44" t="e">
        <f t="shared" si="72"/>
        <v>#N/A</v>
      </c>
      <c r="S2330" s="45" t="str">
        <f t="shared" si="73"/>
        <v>7798377480015</v>
      </c>
    </row>
    <row r="2331" spans="1:19" hidden="1" x14ac:dyDescent="0.35">
      <c r="A2331" s="22">
        <v>5</v>
      </c>
      <c r="B2331" t="s">
        <v>829</v>
      </c>
      <c r="C2331" t="s">
        <v>802</v>
      </c>
      <c r="D2331" s="11" t="s">
        <v>1615</v>
      </c>
      <c r="E2331" t="s">
        <v>1642</v>
      </c>
      <c r="F2331" s="11">
        <v>4023172</v>
      </c>
      <c r="G2331" t="s">
        <v>1643</v>
      </c>
      <c r="H2331" t="s">
        <v>805</v>
      </c>
      <c r="I2331">
        <v>9212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9212</v>
      </c>
      <c r="P2331" s="44" t="e">
        <f>_xlfn.XLOOKUP(Tabla5[[#This Row],[EAN CORREGIDO]],'Tabla Articulos'!B:B,'Tabla Articulos'!D:D)</f>
        <v>#N/A</v>
      </c>
      <c r="Q2331" s="44" t="e">
        <f>_xlfn.XLOOKUP(S2331,'Tabla Articulos'!B:B,'Tabla Articulos'!E:E)</f>
        <v>#N/A</v>
      </c>
      <c r="R2331" s="44" t="e">
        <f t="shared" si="72"/>
        <v>#N/A</v>
      </c>
      <c r="S2331" s="45" t="str">
        <f t="shared" si="73"/>
        <v>7790199604785</v>
      </c>
    </row>
    <row r="2332" spans="1:19" hidden="1" x14ac:dyDescent="0.35">
      <c r="A2332" s="22">
        <v>1</v>
      </c>
      <c r="B2332" t="s">
        <v>812</v>
      </c>
      <c r="C2332" t="s">
        <v>802</v>
      </c>
      <c r="D2332" s="11" t="s">
        <v>1252</v>
      </c>
      <c r="E2332" t="s">
        <v>1644</v>
      </c>
      <c r="F2332" s="11">
        <v>4018569</v>
      </c>
      <c r="G2332" t="s">
        <v>1645</v>
      </c>
      <c r="H2332" t="s">
        <v>805</v>
      </c>
      <c r="I2332">
        <v>3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3</v>
      </c>
      <c r="P2332" s="44" t="e">
        <f>_xlfn.XLOOKUP(Tabla5[[#This Row],[EAN CORREGIDO]],'Tabla Articulos'!B:B,'Tabla Articulos'!D:D)</f>
        <v>#N/A</v>
      </c>
      <c r="Q2332" s="44" t="e">
        <f>_xlfn.XLOOKUP(S2332,'Tabla Articulos'!B:B,'Tabla Articulos'!E:E)</f>
        <v>#N/A</v>
      </c>
      <c r="R2332" s="44" t="e">
        <f t="shared" si="72"/>
        <v>#N/A</v>
      </c>
      <c r="S2332" s="45" t="str">
        <f t="shared" si="73"/>
        <v>7798041132480</v>
      </c>
    </row>
    <row r="2333" spans="1:19" hidden="1" x14ac:dyDescent="0.35">
      <c r="A2333" s="22">
        <v>6</v>
      </c>
      <c r="B2333" t="s">
        <v>801</v>
      </c>
      <c r="C2333" t="s">
        <v>802</v>
      </c>
      <c r="E2333" t="s">
        <v>1646</v>
      </c>
      <c r="F2333" s="11">
        <v>9003043</v>
      </c>
      <c r="G2333" t="s">
        <v>1647</v>
      </c>
      <c r="H2333" t="s">
        <v>805</v>
      </c>
      <c r="I2333">
        <v>69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69</v>
      </c>
      <c r="P2333" s="44" t="e">
        <f>_xlfn.XLOOKUP(Tabla5[[#This Row],[EAN CORREGIDO]],'Tabla Articulos'!B:B,'Tabla Articulos'!D:D)</f>
        <v>#N/A</v>
      </c>
      <c r="Q2333" s="44" t="e">
        <f>_xlfn.XLOOKUP(S2333,'Tabla Articulos'!B:B,'Tabla Articulos'!E:E)</f>
        <v>#N/A</v>
      </c>
      <c r="R2333" s="44" t="e">
        <f t="shared" si="72"/>
        <v>#N/A</v>
      </c>
      <c r="S2333" s="45" t="str">
        <f t="shared" si="73"/>
        <v>UNIF000012</v>
      </c>
    </row>
    <row r="2334" spans="1:19" hidden="1" x14ac:dyDescent="0.35">
      <c r="A2334" s="22">
        <v>6</v>
      </c>
      <c r="B2334" t="s">
        <v>801</v>
      </c>
      <c r="C2334" t="s">
        <v>802</v>
      </c>
      <c r="E2334" t="s">
        <v>5589</v>
      </c>
      <c r="G2334" t="s">
        <v>5012</v>
      </c>
      <c r="H2334" t="s">
        <v>805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</v>
      </c>
      <c r="P2334" s="44" t="e">
        <f>_xlfn.XLOOKUP(Tabla5[[#This Row],[EAN CORREGIDO]],'Tabla Articulos'!B:B,'Tabla Articulos'!D:D)</f>
        <v>#N/A</v>
      </c>
      <c r="Q2334" s="44" t="e">
        <f>_xlfn.XLOOKUP(S2334,'Tabla Articulos'!B:B,'Tabla Articulos'!E:E)</f>
        <v>#N/A</v>
      </c>
      <c r="R2334" s="44" t="e">
        <f t="shared" si="72"/>
        <v>#N/A</v>
      </c>
      <c r="S2334" s="45" t="str">
        <f t="shared" si="73"/>
        <v>BUSAT000182</v>
      </c>
    </row>
    <row r="2335" spans="1:19" hidden="1" x14ac:dyDescent="0.35">
      <c r="A2335" s="22">
        <v>6</v>
      </c>
      <c r="B2335" t="s">
        <v>801</v>
      </c>
      <c r="C2335" t="s">
        <v>802</v>
      </c>
      <c r="E2335" t="s">
        <v>5590</v>
      </c>
      <c r="G2335" t="s">
        <v>5591</v>
      </c>
      <c r="H2335" t="s">
        <v>805</v>
      </c>
      <c r="I2335">
        <v>4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4</v>
      </c>
      <c r="P2335" s="44" t="e">
        <f>_xlfn.XLOOKUP(Tabla5[[#This Row],[EAN CORREGIDO]],'Tabla Articulos'!B:B,'Tabla Articulos'!D:D)</f>
        <v>#N/A</v>
      </c>
      <c r="Q2335" s="44" t="e">
        <f>_xlfn.XLOOKUP(S2335,'Tabla Articulos'!B:B,'Tabla Articulos'!E:E)</f>
        <v>#N/A</v>
      </c>
      <c r="R2335" s="44" t="e">
        <f t="shared" si="72"/>
        <v>#N/A</v>
      </c>
      <c r="S2335" s="45" t="str">
        <f t="shared" si="73"/>
        <v>BUSAT000364</v>
      </c>
    </row>
    <row r="2336" spans="1:19" hidden="1" x14ac:dyDescent="0.35">
      <c r="A2336" s="22">
        <v>6</v>
      </c>
      <c r="B2336" t="s">
        <v>801</v>
      </c>
      <c r="C2336" t="s">
        <v>802</v>
      </c>
      <c r="E2336" t="s">
        <v>5592</v>
      </c>
      <c r="G2336" t="s">
        <v>5593</v>
      </c>
      <c r="H2336" t="s">
        <v>805</v>
      </c>
      <c r="I2336">
        <v>2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2</v>
      </c>
      <c r="P2336" s="44" t="e">
        <f>_xlfn.XLOOKUP(Tabla5[[#This Row],[EAN CORREGIDO]],'Tabla Articulos'!B:B,'Tabla Articulos'!D:D)</f>
        <v>#N/A</v>
      </c>
      <c r="Q2336" s="44" t="e">
        <f>_xlfn.XLOOKUP(S2336,'Tabla Articulos'!B:B,'Tabla Articulos'!E:E)</f>
        <v>#N/A</v>
      </c>
      <c r="R2336" s="44" t="e">
        <f t="shared" si="72"/>
        <v>#N/A</v>
      </c>
      <c r="S2336" s="45" t="str">
        <f t="shared" si="73"/>
        <v>BUSAT000098</v>
      </c>
    </row>
    <row r="2337" spans="1:19" hidden="1" x14ac:dyDescent="0.35">
      <c r="A2337" s="22">
        <v>6</v>
      </c>
      <c r="B2337" t="s">
        <v>801</v>
      </c>
      <c r="C2337" t="s">
        <v>802</v>
      </c>
      <c r="D2337"/>
      <c r="E2337" t="s">
        <v>5594</v>
      </c>
      <c r="F2337"/>
      <c r="G2337" t="s">
        <v>5595</v>
      </c>
      <c r="H2337" t="s">
        <v>805</v>
      </c>
      <c r="I2337">
        <v>9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9</v>
      </c>
      <c r="P2337" s="44" t="e">
        <f>_xlfn.XLOOKUP(Tabla5[[#This Row],[EAN CORREGIDO]],'Tabla Articulos'!B:B,'Tabla Articulos'!D:D)</f>
        <v>#N/A</v>
      </c>
      <c r="Q2337" s="44" t="e">
        <f>_xlfn.XLOOKUP(S2337,'Tabla Articulos'!B:B,'Tabla Articulos'!E:E)</f>
        <v>#N/A</v>
      </c>
      <c r="R2337" s="44" t="e">
        <f t="shared" si="72"/>
        <v>#N/A</v>
      </c>
      <c r="S2337" s="45" t="str">
        <f t="shared" si="73"/>
        <v>BUSAT001106</v>
      </c>
    </row>
    <row r="2338" spans="1:19" hidden="1" x14ac:dyDescent="0.35">
      <c r="A2338" s="22">
        <v>6</v>
      </c>
      <c r="B2338" t="s">
        <v>801</v>
      </c>
      <c r="C2338" t="s">
        <v>802</v>
      </c>
      <c r="D2338"/>
      <c r="E2338" t="s">
        <v>5596</v>
      </c>
      <c r="F2338"/>
      <c r="G2338" t="s">
        <v>5597</v>
      </c>
      <c r="H2338" t="s">
        <v>1034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 s="44" t="e">
        <f>_xlfn.XLOOKUP(Tabla5[[#This Row],[EAN CORREGIDO]],'Tabla Articulos'!B:B,'Tabla Articulos'!D:D)</f>
        <v>#N/A</v>
      </c>
      <c r="Q2338" s="44" t="e">
        <f>_xlfn.XLOOKUP(S2338,'Tabla Articulos'!B:B,'Tabla Articulos'!E:E)</f>
        <v>#N/A</v>
      </c>
      <c r="R2338" s="44" t="e">
        <f t="shared" si="72"/>
        <v>#N/A</v>
      </c>
      <c r="S2338" s="45" t="str">
        <f t="shared" si="73"/>
        <v>BUSAT000015</v>
      </c>
    </row>
    <row r="2339" spans="1:19" hidden="1" x14ac:dyDescent="0.35">
      <c r="A2339" s="22">
        <v>6</v>
      </c>
      <c r="B2339" t="s">
        <v>801</v>
      </c>
      <c r="C2339" t="s">
        <v>802</v>
      </c>
      <c r="D2339"/>
      <c r="E2339" t="s">
        <v>5598</v>
      </c>
      <c r="F2339"/>
      <c r="G2339" t="s">
        <v>5599</v>
      </c>
      <c r="H2339" t="s">
        <v>805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1</v>
      </c>
      <c r="P2339" s="44" t="e">
        <f>_xlfn.XLOOKUP(Tabla5[[#This Row],[EAN CORREGIDO]],'Tabla Articulos'!B:B,'Tabla Articulos'!D:D)</f>
        <v>#N/A</v>
      </c>
      <c r="Q2339" s="44" t="e">
        <f>_xlfn.XLOOKUP(S2339,'Tabla Articulos'!B:B,'Tabla Articulos'!E:E)</f>
        <v>#N/A</v>
      </c>
      <c r="R2339" s="44" t="e">
        <f t="shared" si="72"/>
        <v>#N/A</v>
      </c>
      <c r="S2339" s="45" t="str">
        <f t="shared" si="73"/>
        <v>BUSAT0011010</v>
      </c>
    </row>
    <row r="2340" spans="1:19" hidden="1" x14ac:dyDescent="0.35">
      <c r="A2340" s="22">
        <v>6</v>
      </c>
      <c r="B2340" t="s">
        <v>801</v>
      </c>
      <c r="C2340" t="s">
        <v>802</v>
      </c>
      <c r="D2340"/>
      <c r="E2340" t="s">
        <v>5600</v>
      </c>
      <c r="F2340"/>
      <c r="G2340" t="s">
        <v>5601</v>
      </c>
      <c r="H2340" t="s">
        <v>805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</v>
      </c>
      <c r="P2340" s="44" t="e">
        <f>_xlfn.XLOOKUP(Tabla5[[#This Row],[EAN CORREGIDO]],'Tabla Articulos'!B:B,'Tabla Articulos'!D:D)</f>
        <v>#N/A</v>
      </c>
      <c r="Q2340" s="44" t="e">
        <f>_xlfn.XLOOKUP(S2340,'Tabla Articulos'!B:B,'Tabla Articulos'!E:E)</f>
        <v>#N/A</v>
      </c>
      <c r="R2340" s="44" t="e">
        <f t="shared" si="72"/>
        <v>#N/A</v>
      </c>
      <c r="S2340" s="45" t="str">
        <f t="shared" si="73"/>
        <v>BUSAT000936</v>
      </c>
    </row>
    <row r="2341" spans="1:19" hidden="1" x14ac:dyDescent="0.35">
      <c r="A2341" s="22">
        <v>6</v>
      </c>
      <c r="B2341" t="s">
        <v>801</v>
      </c>
      <c r="C2341" t="s">
        <v>802</v>
      </c>
      <c r="D2341"/>
      <c r="E2341" t="s">
        <v>5602</v>
      </c>
      <c r="F2341"/>
      <c r="G2341" t="s">
        <v>5603</v>
      </c>
      <c r="H2341" t="s">
        <v>805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</v>
      </c>
      <c r="P2341" s="44" t="e">
        <f>_xlfn.XLOOKUP(Tabla5[[#This Row],[EAN CORREGIDO]],'Tabla Articulos'!B:B,'Tabla Articulos'!D:D)</f>
        <v>#N/A</v>
      </c>
      <c r="Q2341" s="44" t="e">
        <f>_xlfn.XLOOKUP(S2341,'Tabla Articulos'!B:B,'Tabla Articulos'!E:E)</f>
        <v>#N/A</v>
      </c>
      <c r="R2341" s="44" t="e">
        <f t="shared" si="72"/>
        <v>#N/A</v>
      </c>
      <c r="S2341" s="45" t="str">
        <f t="shared" si="73"/>
        <v>BUSAT000354</v>
      </c>
    </row>
    <row r="2342" spans="1:19" hidden="1" x14ac:dyDescent="0.35">
      <c r="A2342" s="22">
        <v>6</v>
      </c>
      <c r="B2342" t="s">
        <v>801</v>
      </c>
      <c r="C2342" t="s">
        <v>802</v>
      </c>
      <c r="D2342"/>
      <c r="E2342" t="s">
        <v>5604</v>
      </c>
      <c r="F2342"/>
      <c r="G2342" t="s">
        <v>5605</v>
      </c>
      <c r="H2342" t="s">
        <v>805</v>
      </c>
      <c r="I2342">
        <v>20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20</v>
      </c>
      <c r="P2342" s="44" t="e">
        <f>_xlfn.XLOOKUP(Tabla5[[#This Row],[EAN CORREGIDO]],'Tabla Articulos'!B:B,'Tabla Articulos'!D:D)</f>
        <v>#N/A</v>
      </c>
      <c r="Q2342" s="44" t="e">
        <f>_xlfn.XLOOKUP(S2342,'Tabla Articulos'!B:B,'Tabla Articulos'!E:E)</f>
        <v>#N/A</v>
      </c>
      <c r="R2342" s="44" t="e">
        <f t="shared" si="72"/>
        <v>#N/A</v>
      </c>
      <c r="S2342" s="45" t="str">
        <f t="shared" si="73"/>
        <v>BUSAT000390</v>
      </c>
    </row>
    <row r="2343" spans="1:19" hidden="1" x14ac:dyDescent="0.35">
      <c r="A2343" s="22">
        <v>6</v>
      </c>
      <c r="B2343" t="s">
        <v>801</v>
      </c>
      <c r="C2343" t="s">
        <v>802</v>
      </c>
      <c r="D2343"/>
      <c r="E2343" t="s">
        <v>5606</v>
      </c>
      <c r="F2343"/>
      <c r="G2343" t="s">
        <v>5607</v>
      </c>
      <c r="H2343" t="s">
        <v>805</v>
      </c>
      <c r="I2343">
        <v>12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12</v>
      </c>
      <c r="P2343" s="44" t="e">
        <f>_xlfn.XLOOKUP(Tabla5[[#This Row],[EAN CORREGIDO]],'Tabla Articulos'!B:B,'Tabla Articulos'!D:D)</f>
        <v>#N/A</v>
      </c>
      <c r="Q2343" s="44" t="e">
        <f>_xlfn.XLOOKUP(S2343,'Tabla Articulos'!B:B,'Tabla Articulos'!E:E)</f>
        <v>#N/A</v>
      </c>
      <c r="R2343" s="44" t="e">
        <f t="shared" si="72"/>
        <v>#N/A</v>
      </c>
      <c r="S2343" s="45" t="str">
        <f t="shared" si="73"/>
        <v>OBR000130</v>
      </c>
    </row>
    <row r="2344" spans="1:19" hidden="1" x14ac:dyDescent="0.35">
      <c r="A2344" s="22">
        <v>6</v>
      </c>
      <c r="B2344" t="s">
        <v>801</v>
      </c>
      <c r="C2344" t="s">
        <v>802</v>
      </c>
      <c r="D2344"/>
      <c r="E2344" t="s">
        <v>5608</v>
      </c>
      <c r="F2344"/>
      <c r="G2344" t="s">
        <v>5609</v>
      </c>
      <c r="H2344" t="s">
        <v>805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1</v>
      </c>
      <c r="P2344" s="44" t="e">
        <f>_xlfn.XLOOKUP(Tabla5[[#This Row],[EAN CORREGIDO]],'Tabla Articulos'!B:B,'Tabla Articulos'!D:D)</f>
        <v>#N/A</v>
      </c>
      <c r="Q2344" s="44" t="e">
        <f>_xlfn.XLOOKUP(S2344,'Tabla Articulos'!B:B,'Tabla Articulos'!E:E)</f>
        <v>#N/A</v>
      </c>
      <c r="R2344" s="44" t="e">
        <f t="shared" si="72"/>
        <v>#N/A</v>
      </c>
      <c r="S2344" s="45" t="str">
        <f t="shared" si="73"/>
        <v>BUSAT000195</v>
      </c>
    </row>
    <row r="2345" spans="1:19" hidden="1" x14ac:dyDescent="0.35">
      <c r="A2345" s="22">
        <v>6</v>
      </c>
      <c r="B2345" t="s">
        <v>801</v>
      </c>
      <c r="C2345" t="s">
        <v>802</v>
      </c>
      <c r="D2345"/>
      <c r="E2345" t="s">
        <v>5610</v>
      </c>
      <c r="F2345"/>
      <c r="G2345" t="s">
        <v>5611</v>
      </c>
      <c r="H2345" t="s">
        <v>805</v>
      </c>
      <c r="I2345">
        <v>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2</v>
      </c>
      <c r="P2345" s="44" t="e">
        <f>_xlfn.XLOOKUP(Tabla5[[#This Row],[EAN CORREGIDO]],'Tabla Articulos'!B:B,'Tabla Articulos'!D:D)</f>
        <v>#N/A</v>
      </c>
      <c r="Q2345" s="44" t="e">
        <f>_xlfn.XLOOKUP(S2345,'Tabla Articulos'!B:B,'Tabla Articulos'!E:E)</f>
        <v>#N/A</v>
      </c>
      <c r="R2345" s="44" t="e">
        <f t="shared" si="72"/>
        <v>#N/A</v>
      </c>
      <c r="S2345" s="45" t="str">
        <f t="shared" si="73"/>
        <v>BUSAT000510</v>
      </c>
    </row>
    <row r="2346" spans="1:19" hidden="1" x14ac:dyDescent="0.35">
      <c r="A2346" s="22">
        <v>6</v>
      </c>
      <c r="B2346" t="s">
        <v>801</v>
      </c>
      <c r="C2346" t="s">
        <v>802</v>
      </c>
      <c r="D2346"/>
      <c r="E2346" t="s">
        <v>5612</v>
      </c>
      <c r="F2346"/>
      <c r="G2346" t="s">
        <v>5613</v>
      </c>
      <c r="H2346" t="s">
        <v>805</v>
      </c>
      <c r="I2346">
        <v>5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5</v>
      </c>
      <c r="P2346" s="44" t="e">
        <f>_xlfn.XLOOKUP(Tabla5[[#This Row],[EAN CORREGIDO]],'Tabla Articulos'!B:B,'Tabla Articulos'!D:D)</f>
        <v>#N/A</v>
      </c>
      <c r="Q2346" s="44" t="e">
        <f>_xlfn.XLOOKUP(S2346,'Tabla Articulos'!B:B,'Tabla Articulos'!E:E)</f>
        <v>#N/A</v>
      </c>
      <c r="R2346" s="44" t="e">
        <f t="shared" si="72"/>
        <v>#N/A</v>
      </c>
      <c r="S2346" s="45" t="str">
        <f t="shared" si="73"/>
        <v>BUSAT000091</v>
      </c>
    </row>
    <row r="2347" spans="1:19" hidden="1" x14ac:dyDescent="0.35">
      <c r="A2347" s="22">
        <v>6</v>
      </c>
      <c r="B2347" t="s">
        <v>801</v>
      </c>
      <c r="C2347" t="s">
        <v>802</v>
      </c>
      <c r="D2347"/>
      <c r="E2347" t="s">
        <v>5614</v>
      </c>
      <c r="F2347"/>
      <c r="G2347" t="s">
        <v>5615</v>
      </c>
      <c r="H2347" t="s">
        <v>805</v>
      </c>
      <c r="I2347">
        <v>2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2</v>
      </c>
      <c r="P2347" s="44" t="e">
        <f>_xlfn.XLOOKUP(Tabla5[[#This Row],[EAN CORREGIDO]],'Tabla Articulos'!B:B,'Tabla Articulos'!D:D)</f>
        <v>#N/A</v>
      </c>
      <c r="Q2347" s="44" t="e">
        <f>_xlfn.XLOOKUP(S2347,'Tabla Articulos'!B:B,'Tabla Articulos'!E:E)</f>
        <v>#N/A</v>
      </c>
      <c r="R2347" s="44" t="e">
        <f t="shared" si="72"/>
        <v>#N/A</v>
      </c>
      <c r="S2347" s="45" t="str">
        <f t="shared" si="73"/>
        <v>OBR000122</v>
      </c>
    </row>
    <row r="2348" spans="1:19" hidden="1" x14ac:dyDescent="0.35">
      <c r="A2348" s="22">
        <v>6</v>
      </c>
      <c r="B2348" t="s">
        <v>801</v>
      </c>
      <c r="C2348" t="s">
        <v>802</v>
      </c>
      <c r="D2348"/>
      <c r="E2348" t="s">
        <v>5616</v>
      </c>
      <c r="F2348"/>
      <c r="G2348" t="s">
        <v>5617</v>
      </c>
      <c r="H2348" t="s">
        <v>805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 s="44" t="e">
        <f>_xlfn.XLOOKUP(Tabla5[[#This Row],[EAN CORREGIDO]],'Tabla Articulos'!B:B,'Tabla Articulos'!D:D)</f>
        <v>#N/A</v>
      </c>
      <c r="Q2348" s="44" t="e">
        <f>_xlfn.XLOOKUP(S2348,'Tabla Articulos'!B:B,'Tabla Articulos'!E:E)</f>
        <v>#N/A</v>
      </c>
      <c r="R2348" s="44" t="e">
        <f t="shared" si="72"/>
        <v>#N/A</v>
      </c>
      <c r="S2348" s="45" t="str">
        <f t="shared" si="73"/>
        <v>BUSAT001114</v>
      </c>
    </row>
    <row r="2349" spans="1:19" hidden="1" x14ac:dyDescent="0.35">
      <c r="A2349" s="22">
        <v>6</v>
      </c>
      <c r="B2349" t="s">
        <v>801</v>
      </c>
      <c r="C2349" t="s">
        <v>802</v>
      </c>
      <c r="D2349"/>
      <c r="E2349" t="s">
        <v>5618</v>
      </c>
      <c r="F2349"/>
      <c r="G2349" t="s">
        <v>5619</v>
      </c>
      <c r="H2349" t="s">
        <v>805</v>
      </c>
      <c r="I2349">
        <v>24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24</v>
      </c>
      <c r="P2349" s="44" t="e">
        <f>_xlfn.XLOOKUP(Tabla5[[#This Row],[EAN CORREGIDO]],'Tabla Articulos'!B:B,'Tabla Articulos'!D:D)</f>
        <v>#N/A</v>
      </c>
      <c r="Q2349" s="44" t="e">
        <f>_xlfn.XLOOKUP(S2349,'Tabla Articulos'!B:B,'Tabla Articulos'!E:E)</f>
        <v>#N/A</v>
      </c>
      <c r="R2349" s="44" t="e">
        <f t="shared" si="72"/>
        <v>#N/A</v>
      </c>
      <c r="S2349" s="45" t="str">
        <f t="shared" si="73"/>
        <v>BUSAT000371</v>
      </c>
    </row>
    <row r="2350" spans="1:19" hidden="1" x14ac:dyDescent="0.35">
      <c r="A2350" s="22">
        <v>6</v>
      </c>
      <c r="B2350" t="s">
        <v>801</v>
      </c>
      <c r="C2350" t="s">
        <v>802</v>
      </c>
      <c r="D2350"/>
      <c r="E2350" t="s">
        <v>5620</v>
      </c>
      <c r="F2350"/>
      <c r="G2350" t="s">
        <v>5621</v>
      </c>
      <c r="H2350" t="s">
        <v>805</v>
      </c>
      <c r="I2350">
        <v>68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68</v>
      </c>
      <c r="P2350" s="44" t="e">
        <f>_xlfn.XLOOKUP(Tabla5[[#This Row],[EAN CORREGIDO]],'Tabla Articulos'!B:B,'Tabla Articulos'!D:D)</f>
        <v>#N/A</v>
      </c>
      <c r="Q2350" s="44" t="e">
        <f>_xlfn.XLOOKUP(S2350,'Tabla Articulos'!B:B,'Tabla Articulos'!E:E)</f>
        <v>#N/A</v>
      </c>
      <c r="R2350" s="44" t="e">
        <f t="shared" si="72"/>
        <v>#N/A</v>
      </c>
      <c r="S2350" s="45" t="str">
        <f t="shared" si="73"/>
        <v>BUSAT000002</v>
      </c>
    </row>
    <row r="2351" spans="1:19" hidden="1" x14ac:dyDescent="0.35">
      <c r="A2351" s="22">
        <v>6</v>
      </c>
      <c r="B2351" t="s">
        <v>801</v>
      </c>
      <c r="C2351" t="s">
        <v>802</v>
      </c>
      <c r="D2351"/>
      <c r="E2351" t="s">
        <v>5622</v>
      </c>
      <c r="F2351"/>
      <c r="G2351" t="s">
        <v>5623</v>
      </c>
      <c r="H2351" t="s">
        <v>805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</v>
      </c>
      <c r="P2351" s="44" t="e">
        <f>_xlfn.XLOOKUP(Tabla5[[#This Row],[EAN CORREGIDO]],'Tabla Articulos'!B:B,'Tabla Articulos'!D:D)</f>
        <v>#N/A</v>
      </c>
      <c r="Q2351" s="44" t="e">
        <f>_xlfn.XLOOKUP(S2351,'Tabla Articulos'!B:B,'Tabla Articulos'!E:E)</f>
        <v>#N/A</v>
      </c>
      <c r="R2351" s="44" t="e">
        <f t="shared" si="72"/>
        <v>#N/A</v>
      </c>
      <c r="S2351" s="45" t="str">
        <f t="shared" si="73"/>
        <v>BUSAT000350</v>
      </c>
    </row>
    <row r="2352" spans="1:19" hidden="1" x14ac:dyDescent="0.35">
      <c r="A2352" s="22">
        <v>2</v>
      </c>
      <c r="B2352" t="s">
        <v>5624</v>
      </c>
      <c r="C2352" t="s">
        <v>802</v>
      </c>
      <c r="D2352" t="s">
        <v>6151</v>
      </c>
      <c r="E2352" t="s">
        <v>6152</v>
      </c>
      <c r="F2352">
        <v>4023914</v>
      </c>
      <c r="G2352" t="s">
        <v>6153</v>
      </c>
      <c r="H2352" t="s">
        <v>805</v>
      </c>
      <c r="I2352">
        <v>5431</v>
      </c>
      <c r="J2352">
        <v>0</v>
      </c>
      <c r="K2352">
        <v>0</v>
      </c>
      <c r="L2352">
        <v>606</v>
      </c>
      <c r="M2352">
        <v>606</v>
      </c>
      <c r="N2352">
        <v>0</v>
      </c>
      <c r="O2352">
        <v>4219</v>
      </c>
      <c r="P2352" s="44" t="e">
        <f>_xlfn.XLOOKUP(Tabla5[[#This Row],[EAN CORREGIDO]],'Tabla Articulos'!B:B,'Tabla Articulos'!D:D)</f>
        <v>#N/A</v>
      </c>
      <c r="Q2352" s="44" t="e">
        <f>_xlfn.XLOOKUP(S2352,'Tabla Articulos'!B:B,'Tabla Articulos'!E:E)</f>
        <v>#N/A</v>
      </c>
      <c r="R2352" s="44" t="e">
        <f t="shared" si="72"/>
        <v>#N/A</v>
      </c>
      <c r="S2352" s="45" t="str">
        <f t="shared" si="73"/>
        <v>7790895650833</v>
      </c>
    </row>
    <row r="2353" spans="1:19" hidden="1" x14ac:dyDescent="0.35">
      <c r="A2353" s="22">
        <v>2</v>
      </c>
      <c r="B2353" t="s">
        <v>5624</v>
      </c>
      <c r="C2353" t="s">
        <v>802</v>
      </c>
      <c r="D2353" t="s">
        <v>838</v>
      </c>
      <c r="E2353" t="s">
        <v>2681</v>
      </c>
      <c r="F2353">
        <v>4018315</v>
      </c>
      <c r="G2353" t="s">
        <v>2682</v>
      </c>
      <c r="H2353" t="s">
        <v>805</v>
      </c>
      <c r="I2353">
        <v>269102</v>
      </c>
      <c r="J2353">
        <v>0</v>
      </c>
      <c r="K2353">
        <v>621</v>
      </c>
      <c r="L2353">
        <v>18</v>
      </c>
      <c r="M2353">
        <v>18</v>
      </c>
      <c r="N2353">
        <v>0</v>
      </c>
      <c r="O2353">
        <v>268445</v>
      </c>
      <c r="P2353" s="44" t="e">
        <f>_xlfn.XLOOKUP(Tabla5[[#This Row],[EAN CORREGIDO]],'Tabla Articulos'!B:B,'Tabla Articulos'!D:D)</f>
        <v>#N/A</v>
      </c>
      <c r="Q2353" s="44" t="e">
        <f>_xlfn.XLOOKUP(S2353,'Tabla Articulos'!B:B,'Tabla Articulos'!E:E)</f>
        <v>#N/A</v>
      </c>
      <c r="R2353" s="44" t="e">
        <f t="shared" si="72"/>
        <v>#N/A</v>
      </c>
      <c r="S2353" s="45" t="str">
        <f t="shared" si="73"/>
        <v>7790742363008</v>
      </c>
    </row>
    <row r="2354" spans="1:19" hidden="1" x14ac:dyDescent="0.35">
      <c r="A2354" s="22">
        <v>2</v>
      </c>
      <c r="B2354" t="s">
        <v>5624</v>
      </c>
      <c r="C2354" t="s">
        <v>802</v>
      </c>
      <c r="D2354" t="s">
        <v>1124</v>
      </c>
      <c r="E2354" t="s">
        <v>2685</v>
      </c>
      <c r="F2354">
        <v>4019840</v>
      </c>
      <c r="G2354" t="s">
        <v>2686</v>
      </c>
      <c r="H2354" t="s">
        <v>805</v>
      </c>
      <c r="I2354">
        <v>83</v>
      </c>
      <c r="J2354">
        <v>0</v>
      </c>
      <c r="K2354">
        <v>0</v>
      </c>
      <c r="L2354">
        <v>1</v>
      </c>
      <c r="M2354">
        <v>1</v>
      </c>
      <c r="N2354">
        <v>0</v>
      </c>
      <c r="O2354">
        <v>81</v>
      </c>
      <c r="P2354" s="44" t="e">
        <f>_xlfn.XLOOKUP(Tabla5[[#This Row],[EAN CORREGIDO]],'Tabla Articulos'!B:B,'Tabla Articulos'!D:D)</f>
        <v>#N/A</v>
      </c>
      <c r="Q2354" s="44" t="e">
        <f>_xlfn.XLOOKUP(S2354,'Tabla Articulos'!B:B,'Tabla Articulos'!E:E)</f>
        <v>#N/A</v>
      </c>
      <c r="R2354" s="44" t="e">
        <f t="shared" si="72"/>
        <v>#N/A</v>
      </c>
      <c r="S2354" s="45" t="str">
        <f t="shared" si="73"/>
        <v>7790530370409</v>
      </c>
    </row>
    <row r="2355" spans="1:19" hidden="1" x14ac:dyDescent="0.35">
      <c r="A2355" s="22">
        <v>2</v>
      </c>
      <c r="B2355" t="s">
        <v>5624</v>
      </c>
      <c r="C2355" t="s">
        <v>802</v>
      </c>
      <c r="D2355" t="s">
        <v>2766</v>
      </c>
      <c r="E2355" t="s">
        <v>5769</v>
      </c>
      <c r="F2355">
        <v>4077454</v>
      </c>
      <c r="G2355" t="s">
        <v>5770</v>
      </c>
      <c r="H2355" t="s">
        <v>805</v>
      </c>
      <c r="I2355">
        <v>150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150</v>
      </c>
      <c r="P2355" s="44" t="e">
        <f>_xlfn.XLOOKUP(Tabla5[[#This Row],[EAN CORREGIDO]],'Tabla Articulos'!B:B,'Tabla Articulos'!D:D)</f>
        <v>#N/A</v>
      </c>
      <c r="Q2355" s="44" t="e">
        <f>_xlfn.XLOOKUP(S2355,'Tabla Articulos'!B:B,'Tabla Articulos'!E:E)</f>
        <v>#N/A</v>
      </c>
      <c r="R2355" s="44" t="e">
        <f t="shared" si="72"/>
        <v>#N/A</v>
      </c>
      <c r="S2355" s="45" t="str">
        <f t="shared" si="73"/>
        <v>17798398261331</v>
      </c>
    </row>
    <row r="2356" spans="1:19" hidden="1" x14ac:dyDescent="0.35">
      <c r="A2356" s="22">
        <v>2</v>
      </c>
      <c r="B2356" t="s">
        <v>5624</v>
      </c>
      <c r="C2356" t="s">
        <v>802</v>
      </c>
      <c r="D2356" t="s">
        <v>1335</v>
      </c>
      <c r="E2356" t="s">
        <v>1336</v>
      </c>
      <c r="F2356">
        <v>4023829</v>
      </c>
      <c r="G2356" t="s">
        <v>1337</v>
      </c>
      <c r="H2356" t="s">
        <v>805</v>
      </c>
      <c r="I2356">
        <v>381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381</v>
      </c>
      <c r="P2356" s="44" t="e">
        <f>_xlfn.XLOOKUP(Tabla5[[#This Row],[EAN CORREGIDO]],'Tabla Articulos'!B:B,'Tabla Articulos'!D:D)</f>
        <v>#N/A</v>
      </c>
      <c r="Q2356" s="44" t="e">
        <f>_xlfn.XLOOKUP(S2356,'Tabla Articulos'!B:B,'Tabla Articulos'!E:E)</f>
        <v>#N/A</v>
      </c>
      <c r="R2356" s="44" t="e">
        <f t="shared" si="72"/>
        <v>#N/A</v>
      </c>
      <c r="S2356" s="45" t="str">
        <f t="shared" si="73"/>
        <v>7792260640210</v>
      </c>
    </row>
    <row r="2357" spans="1:19" hidden="1" x14ac:dyDescent="0.35">
      <c r="A2357" s="22">
        <v>2</v>
      </c>
      <c r="B2357" t="s">
        <v>5624</v>
      </c>
      <c r="C2357" t="s">
        <v>802</v>
      </c>
      <c r="D2357" t="s">
        <v>5771</v>
      </c>
      <c r="E2357" t="s">
        <v>5772</v>
      </c>
      <c r="F2357">
        <v>4017771</v>
      </c>
      <c r="G2357" t="s">
        <v>5773</v>
      </c>
      <c r="H2357" t="s">
        <v>816</v>
      </c>
      <c r="I2357">
        <v>149.66900000000001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149.66900000000001</v>
      </c>
      <c r="P2357" s="44" t="e">
        <f>_xlfn.XLOOKUP(Tabla5[[#This Row],[EAN CORREGIDO]],'Tabla Articulos'!B:B,'Tabla Articulos'!D:D)</f>
        <v>#N/A</v>
      </c>
      <c r="Q2357" s="44" t="e">
        <f>_xlfn.XLOOKUP(S2357,'Tabla Articulos'!B:B,'Tabla Articulos'!E:E)</f>
        <v>#N/A</v>
      </c>
      <c r="R2357" s="44" t="e">
        <f t="shared" si="72"/>
        <v>#N/A</v>
      </c>
      <c r="S2357" s="45" t="str">
        <f t="shared" si="73"/>
        <v>7790212050100</v>
      </c>
    </row>
    <row r="2358" spans="1:19" hidden="1" x14ac:dyDescent="0.35">
      <c r="A2358" s="22">
        <v>2</v>
      </c>
      <c r="B2358" t="s">
        <v>5624</v>
      </c>
      <c r="C2358" t="s">
        <v>802</v>
      </c>
      <c r="D2358" t="s">
        <v>3931</v>
      </c>
      <c r="E2358" t="s">
        <v>5774</v>
      </c>
      <c r="F2358">
        <v>4077410</v>
      </c>
      <c r="G2358" t="s">
        <v>5775</v>
      </c>
      <c r="H2358" t="s">
        <v>805</v>
      </c>
      <c r="I2358">
        <v>9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9</v>
      </c>
      <c r="P2358" s="44" t="e">
        <f>_xlfn.XLOOKUP(Tabla5[[#This Row],[EAN CORREGIDO]],'Tabla Articulos'!B:B,'Tabla Articulos'!D:D)</f>
        <v>#N/A</v>
      </c>
      <c r="Q2358" s="44" t="e">
        <f>_xlfn.XLOOKUP(S2358,'Tabla Articulos'!B:B,'Tabla Articulos'!E:E)</f>
        <v>#N/A</v>
      </c>
      <c r="R2358" s="44" t="e">
        <f t="shared" si="72"/>
        <v>#N/A</v>
      </c>
      <c r="S2358" s="45" t="str">
        <f t="shared" si="73"/>
        <v>7798011977789</v>
      </c>
    </row>
    <row r="2359" spans="1:19" hidden="1" x14ac:dyDescent="0.35">
      <c r="A2359" s="22">
        <v>2</v>
      </c>
      <c r="B2359" t="s">
        <v>5624</v>
      </c>
      <c r="C2359" t="s">
        <v>802</v>
      </c>
      <c r="D2359" t="s">
        <v>6622</v>
      </c>
      <c r="E2359" t="s">
        <v>6623</v>
      </c>
      <c r="F2359">
        <v>4018177</v>
      </c>
      <c r="G2359" t="s">
        <v>6624</v>
      </c>
      <c r="H2359" t="s">
        <v>805</v>
      </c>
      <c r="I2359">
        <v>2271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2271</v>
      </c>
      <c r="P2359" s="44" t="e">
        <f>_xlfn.XLOOKUP(Tabla5[[#This Row],[EAN CORREGIDO]],'Tabla Articulos'!B:B,'Tabla Articulos'!D:D)</f>
        <v>#N/A</v>
      </c>
      <c r="Q2359" s="44" t="e">
        <f>_xlfn.XLOOKUP(S2359,'Tabla Articulos'!B:B,'Tabla Articulos'!E:E)</f>
        <v>#N/A</v>
      </c>
      <c r="R2359" s="44" t="e">
        <f t="shared" si="72"/>
        <v>#N/A</v>
      </c>
      <c r="S2359" s="45" t="str">
        <f t="shared" si="73"/>
        <v>7790742436504</v>
      </c>
    </row>
    <row r="2360" spans="1:19" hidden="1" x14ac:dyDescent="0.35">
      <c r="A2360" s="22">
        <v>2</v>
      </c>
      <c r="B2360" t="s">
        <v>5624</v>
      </c>
      <c r="C2360" t="s">
        <v>802</v>
      </c>
      <c r="D2360" t="s">
        <v>3509</v>
      </c>
      <c r="E2360" t="s">
        <v>3510</v>
      </c>
      <c r="F2360">
        <v>4024816</v>
      </c>
      <c r="G2360" t="s">
        <v>3511</v>
      </c>
      <c r="H2360" t="s">
        <v>805</v>
      </c>
      <c r="I2360">
        <v>2948</v>
      </c>
      <c r="J2360">
        <v>0</v>
      </c>
      <c r="K2360">
        <v>0</v>
      </c>
      <c r="L2360">
        <v>118</v>
      </c>
      <c r="M2360">
        <v>118</v>
      </c>
      <c r="N2360">
        <v>0</v>
      </c>
      <c r="O2360">
        <v>2712</v>
      </c>
      <c r="P2360" s="44" t="e">
        <f>_xlfn.XLOOKUP(Tabla5[[#This Row],[EAN CORREGIDO]],'Tabla Articulos'!B:B,'Tabla Articulos'!D:D)</f>
        <v>#N/A</v>
      </c>
      <c r="Q2360" s="44" t="e">
        <f>_xlfn.XLOOKUP(S2360,'Tabla Articulos'!B:B,'Tabla Articulos'!E:E)</f>
        <v>#N/A</v>
      </c>
      <c r="R2360" s="44" t="e">
        <f t="shared" si="72"/>
        <v>#N/A</v>
      </c>
      <c r="S2360" s="45" t="str">
        <f t="shared" si="73"/>
        <v>7790895009211</v>
      </c>
    </row>
    <row r="2361" spans="1:19" hidden="1" x14ac:dyDescent="0.35">
      <c r="A2361" s="22">
        <v>2</v>
      </c>
      <c r="B2361" t="s">
        <v>5624</v>
      </c>
      <c r="C2361" t="s">
        <v>802</v>
      </c>
      <c r="D2361" t="s">
        <v>5887</v>
      </c>
      <c r="E2361" t="s">
        <v>6355</v>
      </c>
      <c r="F2361">
        <v>4019005</v>
      </c>
      <c r="G2361" t="s">
        <v>6356</v>
      </c>
      <c r="H2361" t="s">
        <v>805</v>
      </c>
      <c r="I2361">
        <v>108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108</v>
      </c>
      <c r="P2361" s="44" t="e">
        <f>_xlfn.XLOOKUP(Tabla5[[#This Row],[EAN CORREGIDO]],'Tabla Articulos'!B:B,'Tabla Articulos'!D:D)</f>
        <v>#N/A</v>
      </c>
      <c r="Q2361" s="44" t="e">
        <f>_xlfn.XLOOKUP(S2361,'Tabla Articulos'!B:B,'Tabla Articulos'!E:E)</f>
        <v>#N/A</v>
      </c>
      <c r="R2361" s="44" t="e">
        <f t="shared" si="72"/>
        <v>#N/A</v>
      </c>
      <c r="S2361" s="45" t="str">
        <f t="shared" si="73"/>
        <v>7790580124045</v>
      </c>
    </row>
    <row r="2362" spans="1:19" hidden="1" x14ac:dyDescent="0.35">
      <c r="A2362" s="22">
        <v>2</v>
      </c>
      <c r="B2362" t="s">
        <v>5624</v>
      </c>
      <c r="C2362" t="s">
        <v>802</v>
      </c>
      <c r="D2362" t="s">
        <v>1529</v>
      </c>
      <c r="E2362" t="s">
        <v>1530</v>
      </c>
      <c r="F2362">
        <v>4022590</v>
      </c>
      <c r="G2362" t="s">
        <v>1531</v>
      </c>
      <c r="H2362" t="s">
        <v>805</v>
      </c>
      <c r="I2362">
        <v>2443</v>
      </c>
      <c r="J2362">
        <v>0</v>
      </c>
      <c r="K2362">
        <v>0</v>
      </c>
      <c r="L2362">
        <v>8</v>
      </c>
      <c r="M2362">
        <v>8</v>
      </c>
      <c r="N2362">
        <v>0</v>
      </c>
      <c r="O2362">
        <v>2427</v>
      </c>
      <c r="P2362" s="44" t="e">
        <f>_xlfn.XLOOKUP(Tabla5[[#This Row],[EAN CORREGIDO]],'Tabla Articulos'!B:B,'Tabla Articulos'!D:D)</f>
        <v>#N/A</v>
      </c>
      <c r="Q2362" s="44" t="e">
        <f>_xlfn.XLOOKUP(S2362,'Tabla Articulos'!B:B,'Tabla Articulos'!E:E)</f>
        <v>#N/A</v>
      </c>
      <c r="R2362" s="44" t="e">
        <f t="shared" si="72"/>
        <v>#N/A</v>
      </c>
      <c r="S2362" s="45" t="str">
        <f t="shared" si="73"/>
        <v>7795711003701</v>
      </c>
    </row>
    <row r="2363" spans="1:19" hidden="1" x14ac:dyDescent="0.35">
      <c r="A2363" s="22">
        <v>2</v>
      </c>
      <c r="B2363" t="s">
        <v>5624</v>
      </c>
      <c r="C2363" t="s">
        <v>802</v>
      </c>
      <c r="D2363" t="s">
        <v>246</v>
      </c>
      <c r="E2363" t="s">
        <v>5818</v>
      </c>
      <c r="F2363">
        <v>2006799</v>
      </c>
      <c r="G2363" t="s">
        <v>5819</v>
      </c>
      <c r="H2363" t="s">
        <v>805</v>
      </c>
      <c r="I2363">
        <v>6</v>
      </c>
      <c r="J2363">
        <v>0</v>
      </c>
      <c r="K2363">
        <v>0</v>
      </c>
      <c r="L2363">
        <v>1</v>
      </c>
      <c r="M2363">
        <v>1</v>
      </c>
      <c r="N2363">
        <v>0</v>
      </c>
      <c r="O2363">
        <v>4</v>
      </c>
      <c r="P2363" s="44" t="str">
        <f>_xlfn.XLOOKUP(Tabla5[[#This Row],[EAN CORREGIDO]],'Tabla Articulos'!B:B,'Tabla Articulos'!D:D)</f>
        <v>ROLLO ALUMINIO 40</v>
      </c>
      <c r="Q2363" s="44">
        <f>_xlfn.XLOOKUP(S2363,'Tabla Articulos'!B:B,'Tabla Articulos'!E:E)</f>
        <v>1</v>
      </c>
      <c r="R2363" s="44">
        <f t="shared" si="72"/>
        <v>4</v>
      </c>
      <c r="S2363" s="45" t="str">
        <f t="shared" si="73"/>
        <v>7791388988495</v>
      </c>
    </row>
    <row r="2364" spans="1:19" hidden="1" x14ac:dyDescent="0.35">
      <c r="A2364" s="22">
        <v>2</v>
      </c>
      <c r="B2364" t="s">
        <v>5624</v>
      </c>
      <c r="C2364" t="s">
        <v>802</v>
      </c>
      <c r="D2364" t="s">
        <v>2330</v>
      </c>
      <c r="E2364" t="s">
        <v>3894</v>
      </c>
      <c r="F2364">
        <v>4020499</v>
      </c>
      <c r="G2364" t="s">
        <v>3895</v>
      </c>
      <c r="H2364" t="s">
        <v>805</v>
      </c>
      <c r="I2364">
        <v>237</v>
      </c>
      <c r="J2364">
        <v>0</v>
      </c>
      <c r="K2364">
        <v>0</v>
      </c>
      <c r="L2364">
        <v>14</v>
      </c>
      <c r="M2364">
        <v>14</v>
      </c>
      <c r="N2364">
        <v>0</v>
      </c>
      <c r="O2364">
        <v>209</v>
      </c>
      <c r="P2364" s="44" t="e">
        <f>_xlfn.XLOOKUP(Tabla5[[#This Row],[EAN CORREGIDO]],'Tabla Articulos'!B:B,'Tabla Articulos'!D:D)</f>
        <v>#N/A</v>
      </c>
      <c r="Q2364" s="44" t="e">
        <f>_xlfn.XLOOKUP(S2364,'Tabla Articulos'!B:B,'Tabla Articulos'!E:E)</f>
        <v>#N/A</v>
      </c>
      <c r="R2364" s="44" t="e">
        <f t="shared" si="72"/>
        <v>#N/A</v>
      </c>
      <c r="S2364" s="45" t="str">
        <f t="shared" si="73"/>
        <v>7798011976591</v>
      </c>
    </row>
    <row r="2365" spans="1:19" hidden="1" x14ac:dyDescent="0.35">
      <c r="A2365" s="22">
        <v>2</v>
      </c>
      <c r="B2365" t="s">
        <v>5624</v>
      </c>
      <c r="C2365" t="s">
        <v>802</v>
      </c>
      <c r="D2365" t="s">
        <v>3900</v>
      </c>
      <c r="E2365" t="s">
        <v>3901</v>
      </c>
      <c r="F2365">
        <v>4017683</v>
      </c>
      <c r="G2365" t="s">
        <v>3902</v>
      </c>
      <c r="H2365" t="s">
        <v>816</v>
      </c>
      <c r="I2365">
        <v>60.4</v>
      </c>
      <c r="J2365">
        <v>0</v>
      </c>
      <c r="K2365">
        <v>0</v>
      </c>
      <c r="L2365">
        <v>9.5</v>
      </c>
      <c r="M2365">
        <v>9.5</v>
      </c>
      <c r="N2365">
        <v>5</v>
      </c>
      <c r="O2365">
        <v>36.4</v>
      </c>
      <c r="P2365" s="44" t="e">
        <f>_xlfn.XLOOKUP(Tabla5[[#This Row],[EAN CORREGIDO]],'Tabla Articulos'!B:B,'Tabla Articulos'!D:D)</f>
        <v>#N/A</v>
      </c>
      <c r="Q2365" s="44" t="e">
        <f>_xlfn.XLOOKUP(S2365,'Tabla Articulos'!B:B,'Tabla Articulos'!E:E)</f>
        <v>#N/A</v>
      </c>
      <c r="R2365" s="44" t="e">
        <f t="shared" si="72"/>
        <v>#N/A</v>
      </c>
      <c r="S2365" s="45" t="str">
        <f t="shared" si="73"/>
        <v>7790212031210</v>
      </c>
    </row>
    <row r="2366" spans="1:19" hidden="1" x14ac:dyDescent="0.35">
      <c r="A2366" s="22">
        <v>2</v>
      </c>
      <c r="B2366" t="s">
        <v>5624</v>
      </c>
      <c r="C2366" t="s">
        <v>802</v>
      </c>
      <c r="D2366" t="s">
        <v>2519</v>
      </c>
      <c r="E2366" t="s">
        <v>3903</v>
      </c>
      <c r="F2366">
        <v>4019770</v>
      </c>
      <c r="G2366" t="s">
        <v>3904</v>
      </c>
      <c r="H2366" t="s">
        <v>805</v>
      </c>
      <c r="I2366">
        <v>292</v>
      </c>
      <c r="J2366">
        <v>0</v>
      </c>
      <c r="K2366">
        <v>0</v>
      </c>
      <c r="L2366">
        <v>2</v>
      </c>
      <c r="M2366">
        <v>2</v>
      </c>
      <c r="N2366">
        <v>0</v>
      </c>
      <c r="O2366">
        <v>288</v>
      </c>
      <c r="P2366" s="44" t="e">
        <f>_xlfn.XLOOKUP(Tabla5[[#This Row],[EAN CORREGIDO]],'Tabla Articulos'!B:B,'Tabla Articulos'!D:D)</f>
        <v>#N/A</v>
      </c>
      <c r="Q2366" s="44" t="e">
        <f>_xlfn.XLOOKUP(S2366,'Tabla Articulos'!B:B,'Tabla Articulos'!E:E)</f>
        <v>#N/A</v>
      </c>
      <c r="R2366" s="44" t="e">
        <f t="shared" si="72"/>
        <v>#N/A</v>
      </c>
      <c r="S2366" s="45" t="str">
        <f t="shared" si="73"/>
        <v>7790566000271</v>
      </c>
    </row>
    <row r="2367" spans="1:19" hidden="1" x14ac:dyDescent="0.35">
      <c r="A2367" s="22">
        <v>2</v>
      </c>
      <c r="B2367" t="s">
        <v>5624</v>
      </c>
      <c r="C2367" t="s">
        <v>802</v>
      </c>
      <c r="D2367" t="s">
        <v>6560</v>
      </c>
      <c r="E2367" t="s">
        <v>6561</v>
      </c>
      <c r="F2367">
        <v>4020749</v>
      </c>
      <c r="G2367" t="s">
        <v>6562</v>
      </c>
      <c r="H2367" t="s">
        <v>805</v>
      </c>
      <c r="I2367">
        <v>24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24</v>
      </c>
      <c r="P2367" s="44" t="e">
        <f>_xlfn.XLOOKUP(Tabla5[[#This Row],[EAN CORREGIDO]],'Tabla Articulos'!B:B,'Tabla Articulos'!D:D)</f>
        <v>#N/A</v>
      </c>
      <c r="Q2367" s="44" t="e">
        <f>_xlfn.XLOOKUP(S2367,'Tabla Articulos'!B:B,'Tabla Articulos'!E:E)</f>
        <v>#N/A</v>
      </c>
      <c r="R2367" s="44" t="e">
        <f t="shared" si="72"/>
        <v>#N/A</v>
      </c>
      <c r="S2367" s="45" t="str">
        <f t="shared" si="73"/>
        <v>7791113006395</v>
      </c>
    </row>
    <row r="2368" spans="1:19" hidden="1" x14ac:dyDescent="0.35">
      <c r="A2368" s="22">
        <v>2</v>
      </c>
      <c r="B2368" t="s">
        <v>5624</v>
      </c>
      <c r="C2368" t="s">
        <v>802</v>
      </c>
      <c r="D2368" t="s">
        <v>1759</v>
      </c>
      <c r="E2368" t="s">
        <v>4622</v>
      </c>
      <c r="F2368">
        <v>4021620</v>
      </c>
      <c r="G2368" t="s">
        <v>4623</v>
      </c>
      <c r="H2368" t="s">
        <v>805</v>
      </c>
      <c r="I2368">
        <v>735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735</v>
      </c>
      <c r="P2368" s="44" t="e">
        <f>_xlfn.XLOOKUP(Tabla5[[#This Row],[EAN CORREGIDO]],'Tabla Articulos'!B:B,'Tabla Articulos'!D:D)</f>
        <v>#N/A</v>
      </c>
      <c r="Q2368" s="44" t="e">
        <f>_xlfn.XLOOKUP(S2368,'Tabla Articulos'!B:B,'Tabla Articulos'!E:E)</f>
        <v>#N/A</v>
      </c>
      <c r="R2368" s="44" t="e">
        <f t="shared" si="72"/>
        <v>#N/A</v>
      </c>
      <c r="S2368" s="45" t="str">
        <f t="shared" si="73"/>
        <v>7798096031079</v>
      </c>
    </row>
    <row r="2369" spans="1:19" hidden="1" x14ac:dyDescent="0.35">
      <c r="A2369" s="22">
        <v>2</v>
      </c>
      <c r="B2369" t="s">
        <v>5624</v>
      </c>
      <c r="C2369" t="s">
        <v>802</v>
      </c>
      <c r="D2369" t="s">
        <v>889</v>
      </c>
      <c r="E2369" t="s">
        <v>890</v>
      </c>
      <c r="F2369">
        <v>4024731</v>
      </c>
      <c r="G2369" t="s">
        <v>891</v>
      </c>
      <c r="H2369" t="s">
        <v>805</v>
      </c>
      <c r="I2369">
        <v>97</v>
      </c>
      <c r="J2369">
        <v>0</v>
      </c>
      <c r="K2369">
        <v>0</v>
      </c>
      <c r="L2369">
        <v>20</v>
      </c>
      <c r="M2369">
        <v>20</v>
      </c>
      <c r="N2369">
        <v>0</v>
      </c>
      <c r="O2369">
        <v>57</v>
      </c>
      <c r="P2369" s="44" t="e">
        <f>_xlfn.XLOOKUP(Tabla5[[#This Row],[EAN CORREGIDO]],'Tabla Articulos'!B:B,'Tabla Articulos'!D:D)</f>
        <v>#N/A</v>
      </c>
      <c r="Q2369" s="44" t="e">
        <f>_xlfn.XLOOKUP(S2369,'Tabla Articulos'!B:B,'Tabla Articulos'!E:E)</f>
        <v>#N/A</v>
      </c>
      <c r="R2369" s="44" t="e">
        <f t="shared" ref="R2369:R2432" si="74">O2369*Q2369</f>
        <v>#N/A</v>
      </c>
      <c r="S2369" s="45" t="str">
        <f t="shared" ref="S2369:S2432" si="75">TRIM(E2369)</f>
        <v>7790500006390</v>
      </c>
    </row>
    <row r="2370" spans="1:19" hidden="1" x14ac:dyDescent="0.35">
      <c r="A2370" s="22">
        <v>2</v>
      </c>
      <c r="B2370" t="s">
        <v>5624</v>
      </c>
      <c r="C2370" t="s">
        <v>802</v>
      </c>
      <c r="D2370" t="s">
        <v>896</v>
      </c>
      <c r="E2370" t="s">
        <v>897</v>
      </c>
      <c r="F2370">
        <v>4019603</v>
      </c>
      <c r="G2370" t="s">
        <v>898</v>
      </c>
      <c r="H2370" t="s">
        <v>805</v>
      </c>
      <c r="I2370">
        <v>202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202</v>
      </c>
      <c r="P2370" s="44" t="e">
        <f>_xlfn.XLOOKUP(Tabla5[[#This Row],[EAN CORREGIDO]],'Tabla Articulos'!B:B,'Tabla Articulos'!D:D)</f>
        <v>#N/A</v>
      </c>
      <c r="Q2370" s="44" t="e">
        <f>_xlfn.XLOOKUP(S2370,'Tabla Articulos'!B:B,'Tabla Articulos'!E:E)</f>
        <v>#N/A</v>
      </c>
      <c r="R2370" s="44" t="e">
        <f t="shared" si="74"/>
        <v>#N/A</v>
      </c>
      <c r="S2370" s="45" t="str">
        <f t="shared" si="75"/>
        <v>7790971002402</v>
      </c>
    </row>
    <row r="2371" spans="1:19" hidden="1" x14ac:dyDescent="0.35">
      <c r="A2371" s="22">
        <v>2</v>
      </c>
      <c r="B2371" t="s">
        <v>5624</v>
      </c>
      <c r="C2371" t="s">
        <v>802</v>
      </c>
      <c r="D2371" t="s">
        <v>5650</v>
      </c>
      <c r="E2371" t="s">
        <v>5651</v>
      </c>
      <c r="F2371">
        <v>4017347</v>
      </c>
      <c r="G2371" t="s">
        <v>5652</v>
      </c>
      <c r="H2371" t="s">
        <v>805</v>
      </c>
      <c r="I2371">
        <v>316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316</v>
      </c>
      <c r="P2371" s="44" t="e">
        <f>_xlfn.XLOOKUP(Tabla5[[#This Row],[EAN CORREGIDO]],'Tabla Articulos'!B:B,'Tabla Articulos'!D:D)</f>
        <v>#N/A</v>
      </c>
      <c r="Q2371" s="44" t="e">
        <f>_xlfn.XLOOKUP(S2371,'Tabla Articulos'!B:B,'Tabla Articulos'!E:E)</f>
        <v>#N/A</v>
      </c>
      <c r="R2371" s="44" t="e">
        <f t="shared" si="74"/>
        <v>#N/A</v>
      </c>
      <c r="S2371" s="45" t="str">
        <f t="shared" si="75"/>
        <v>7790895007248</v>
      </c>
    </row>
    <row r="2372" spans="1:19" hidden="1" x14ac:dyDescent="0.35">
      <c r="A2372" s="22">
        <v>2</v>
      </c>
      <c r="B2372" t="s">
        <v>5624</v>
      </c>
      <c r="C2372" t="s">
        <v>802</v>
      </c>
      <c r="D2372" t="s">
        <v>3733</v>
      </c>
      <c r="E2372" t="s">
        <v>5653</v>
      </c>
      <c r="F2372">
        <v>4023526</v>
      </c>
      <c r="G2372" t="s">
        <v>5654</v>
      </c>
      <c r="H2372" t="s">
        <v>805</v>
      </c>
      <c r="I2372">
        <v>271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271</v>
      </c>
      <c r="P2372" s="44" t="e">
        <f>_xlfn.XLOOKUP(Tabla5[[#This Row],[EAN CORREGIDO]],'Tabla Articulos'!B:B,'Tabla Articulos'!D:D)</f>
        <v>#N/A</v>
      </c>
      <c r="Q2372" s="44" t="e">
        <f>_xlfn.XLOOKUP(S2372,'Tabla Articulos'!B:B,'Tabla Articulos'!E:E)</f>
        <v>#N/A</v>
      </c>
      <c r="R2372" s="44" t="e">
        <f t="shared" si="74"/>
        <v>#N/A</v>
      </c>
      <c r="S2372" s="45" t="str">
        <f t="shared" si="75"/>
        <v>7793360131400</v>
      </c>
    </row>
    <row r="2373" spans="1:19" hidden="1" x14ac:dyDescent="0.35">
      <c r="A2373" s="22">
        <v>2</v>
      </c>
      <c r="B2373" t="s">
        <v>5624</v>
      </c>
      <c r="C2373" t="s">
        <v>802</v>
      </c>
      <c r="D2373" t="s">
        <v>908</v>
      </c>
      <c r="E2373" t="s">
        <v>909</v>
      </c>
      <c r="F2373">
        <v>4019579</v>
      </c>
      <c r="G2373" t="s">
        <v>910</v>
      </c>
      <c r="H2373" t="s">
        <v>805</v>
      </c>
      <c r="I2373">
        <v>76</v>
      </c>
      <c r="J2373">
        <v>0</v>
      </c>
      <c r="K2373">
        <v>0</v>
      </c>
      <c r="L2373">
        <v>3</v>
      </c>
      <c r="M2373">
        <v>3</v>
      </c>
      <c r="N2373">
        <v>0</v>
      </c>
      <c r="O2373">
        <v>70</v>
      </c>
      <c r="P2373" s="44" t="e">
        <f>_xlfn.XLOOKUP(Tabla5[[#This Row],[EAN CORREGIDO]],'Tabla Articulos'!B:B,'Tabla Articulos'!D:D)</f>
        <v>#N/A</v>
      </c>
      <c r="Q2373" s="44" t="e">
        <f>_xlfn.XLOOKUP(S2373,'Tabla Articulos'!B:B,'Tabla Articulos'!E:E)</f>
        <v>#N/A</v>
      </c>
      <c r="R2373" s="44" t="e">
        <f t="shared" si="74"/>
        <v>#N/A</v>
      </c>
      <c r="S2373" s="45" t="str">
        <f t="shared" si="75"/>
        <v>7790530900200</v>
      </c>
    </row>
    <row r="2374" spans="1:19" hidden="1" x14ac:dyDescent="0.35">
      <c r="A2374" s="22">
        <v>2</v>
      </c>
      <c r="B2374" t="s">
        <v>5624</v>
      </c>
      <c r="C2374" t="s">
        <v>802</v>
      </c>
      <c r="D2374" t="s">
        <v>337</v>
      </c>
      <c r="E2374" t="s">
        <v>4681</v>
      </c>
      <c r="F2374">
        <v>2006451</v>
      </c>
      <c r="G2374" t="s">
        <v>4682</v>
      </c>
      <c r="H2374" t="s">
        <v>805</v>
      </c>
      <c r="I2374">
        <v>74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74</v>
      </c>
      <c r="P2374" s="44" t="str">
        <f>_xlfn.XLOOKUP(Tabla5[[#This Row],[EAN CORREGIDO]],'Tabla Articulos'!B:B,'Tabla Articulos'!D:D)</f>
        <v>TAPA ENSALADERA CRISTAL</v>
      </c>
      <c r="Q2374" s="44">
        <f>_xlfn.XLOOKUP(S2374,'Tabla Articulos'!B:B,'Tabla Articulos'!E:E)</f>
        <v>100</v>
      </c>
      <c r="R2374" s="44">
        <f t="shared" si="74"/>
        <v>7400</v>
      </c>
      <c r="S2374" s="45" t="str">
        <f t="shared" si="75"/>
        <v>7790321000063</v>
      </c>
    </row>
    <row r="2375" spans="1:19" hidden="1" x14ac:dyDescent="0.35">
      <c r="A2375" s="22">
        <v>2</v>
      </c>
      <c r="B2375" t="s">
        <v>5624</v>
      </c>
      <c r="C2375" t="s">
        <v>802</v>
      </c>
      <c r="D2375" t="s">
        <v>3328</v>
      </c>
      <c r="E2375" t="s">
        <v>4683</v>
      </c>
      <c r="F2375">
        <v>4020154</v>
      </c>
      <c r="G2375" t="s">
        <v>4684</v>
      </c>
      <c r="H2375" t="s">
        <v>805</v>
      </c>
      <c r="I2375">
        <v>218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218</v>
      </c>
      <c r="P2375" s="44" t="e">
        <f>_xlfn.XLOOKUP(Tabla5[[#This Row],[EAN CORREGIDO]],'Tabla Articulos'!B:B,'Tabla Articulos'!D:D)</f>
        <v>#N/A</v>
      </c>
      <c r="Q2375" s="44" t="e">
        <f>_xlfn.XLOOKUP(S2375,'Tabla Articulos'!B:B,'Tabla Articulos'!E:E)</f>
        <v>#N/A</v>
      </c>
      <c r="R2375" s="44" t="e">
        <f t="shared" si="74"/>
        <v>#N/A</v>
      </c>
      <c r="S2375" s="45" t="str">
        <f t="shared" si="75"/>
        <v>7791113002588</v>
      </c>
    </row>
    <row r="2376" spans="1:19" hidden="1" x14ac:dyDescent="0.35">
      <c r="A2376" s="22">
        <v>2</v>
      </c>
      <c r="B2376" t="s">
        <v>5624</v>
      </c>
      <c r="C2376" t="s">
        <v>802</v>
      </c>
      <c r="D2376" t="s">
        <v>6009</v>
      </c>
      <c r="E2376" t="s">
        <v>6010</v>
      </c>
      <c r="F2376">
        <v>4020300</v>
      </c>
      <c r="G2376" t="s">
        <v>6011</v>
      </c>
      <c r="H2376" t="s">
        <v>805</v>
      </c>
      <c r="I2376">
        <v>429</v>
      </c>
      <c r="J2376">
        <v>0</v>
      </c>
      <c r="K2376">
        <v>0</v>
      </c>
      <c r="L2376">
        <v>111</v>
      </c>
      <c r="M2376">
        <v>111</v>
      </c>
      <c r="N2376">
        <v>0</v>
      </c>
      <c r="O2376">
        <v>207</v>
      </c>
      <c r="P2376" s="44" t="e">
        <f>_xlfn.XLOOKUP(Tabla5[[#This Row],[EAN CORREGIDO]],'Tabla Articulos'!B:B,'Tabla Articulos'!D:D)</f>
        <v>#N/A</v>
      </c>
      <c r="Q2376" s="44" t="e">
        <f>_xlfn.XLOOKUP(S2376,'Tabla Articulos'!B:B,'Tabla Articulos'!E:E)</f>
        <v>#N/A</v>
      </c>
      <c r="R2376" s="44" t="e">
        <f t="shared" si="74"/>
        <v>#N/A</v>
      </c>
      <c r="S2376" s="45" t="str">
        <f t="shared" si="75"/>
        <v>7798011976461</v>
      </c>
    </row>
    <row r="2377" spans="1:19" hidden="1" x14ac:dyDescent="0.35">
      <c r="A2377" s="22">
        <v>2</v>
      </c>
      <c r="B2377" t="s">
        <v>5624</v>
      </c>
      <c r="C2377" t="s">
        <v>802</v>
      </c>
      <c r="D2377" t="s">
        <v>2263</v>
      </c>
      <c r="E2377" t="s">
        <v>2264</v>
      </c>
      <c r="F2377">
        <v>4076539</v>
      </c>
      <c r="G2377" t="s">
        <v>2265</v>
      </c>
      <c r="H2377" t="s">
        <v>805</v>
      </c>
      <c r="I2377">
        <v>361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361</v>
      </c>
      <c r="P2377" s="44" t="e">
        <f>_xlfn.XLOOKUP(Tabla5[[#This Row],[EAN CORREGIDO]],'Tabla Articulos'!B:B,'Tabla Articulos'!D:D)</f>
        <v>#N/A</v>
      </c>
      <c r="Q2377" s="44" t="e">
        <f>_xlfn.XLOOKUP(S2377,'Tabla Articulos'!B:B,'Tabla Articulos'!E:E)</f>
        <v>#N/A</v>
      </c>
      <c r="R2377" s="44" t="e">
        <f t="shared" si="74"/>
        <v>#N/A</v>
      </c>
      <c r="S2377" s="45" t="str">
        <f t="shared" si="75"/>
        <v>7798011977727</v>
      </c>
    </row>
    <row r="2378" spans="1:19" hidden="1" x14ac:dyDescent="0.35">
      <c r="A2378" s="22">
        <v>2</v>
      </c>
      <c r="B2378" t="s">
        <v>5624</v>
      </c>
      <c r="C2378" t="s">
        <v>802</v>
      </c>
      <c r="D2378" t="s">
        <v>6012</v>
      </c>
      <c r="E2378" t="s">
        <v>6013</v>
      </c>
      <c r="F2378">
        <v>4019587</v>
      </c>
      <c r="G2378" t="s">
        <v>6014</v>
      </c>
      <c r="H2378" t="s">
        <v>805</v>
      </c>
      <c r="I2378">
        <v>700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700</v>
      </c>
      <c r="P2378" s="44" t="e">
        <f>_xlfn.XLOOKUP(Tabla5[[#This Row],[EAN CORREGIDO]],'Tabla Articulos'!B:B,'Tabla Articulos'!D:D)</f>
        <v>#N/A</v>
      </c>
      <c r="Q2378" s="44" t="e">
        <f>_xlfn.XLOOKUP(S2378,'Tabla Articulos'!B:B,'Tabla Articulos'!E:E)</f>
        <v>#N/A</v>
      </c>
      <c r="R2378" s="44" t="e">
        <f t="shared" si="74"/>
        <v>#N/A</v>
      </c>
      <c r="S2378" s="45" t="str">
        <f t="shared" si="75"/>
        <v>7790580160807</v>
      </c>
    </row>
    <row r="2379" spans="1:19" hidden="1" x14ac:dyDescent="0.35">
      <c r="A2379" s="22">
        <v>2</v>
      </c>
      <c r="B2379" t="s">
        <v>5624</v>
      </c>
      <c r="C2379" t="s">
        <v>802</v>
      </c>
      <c r="D2379" t="s">
        <v>2269</v>
      </c>
      <c r="E2379" t="s">
        <v>2270</v>
      </c>
      <c r="F2379">
        <v>4020455</v>
      </c>
      <c r="G2379" t="s">
        <v>2271</v>
      </c>
      <c r="H2379" t="s">
        <v>805</v>
      </c>
      <c r="I2379">
        <v>197</v>
      </c>
      <c r="J2379">
        <v>0</v>
      </c>
      <c r="K2379">
        <v>0</v>
      </c>
      <c r="L2379">
        <v>8</v>
      </c>
      <c r="M2379">
        <v>8</v>
      </c>
      <c r="N2379">
        <v>0</v>
      </c>
      <c r="O2379">
        <v>181</v>
      </c>
      <c r="P2379" s="44" t="e">
        <f>_xlfn.XLOOKUP(Tabla5[[#This Row],[EAN CORREGIDO]],'Tabla Articulos'!B:B,'Tabla Articulos'!D:D)</f>
        <v>#N/A</v>
      </c>
      <c r="Q2379" s="44" t="e">
        <f>_xlfn.XLOOKUP(S2379,'Tabla Articulos'!B:B,'Tabla Articulos'!E:E)</f>
        <v>#N/A</v>
      </c>
      <c r="R2379" s="44" t="e">
        <f t="shared" si="74"/>
        <v>#N/A</v>
      </c>
      <c r="S2379" s="45" t="str">
        <f t="shared" si="75"/>
        <v>7798132920435</v>
      </c>
    </row>
    <row r="2380" spans="1:19" hidden="1" x14ac:dyDescent="0.35">
      <c r="A2380" s="22">
        <v>2</v>
      </c>
      <c r="B2380" t="s">
        <v>5624</v>
      </c>
      <c r="C2380" t="s">
        <v>802</v>
      </c>
      <c r="D2380" t="s">
        <v>5655</v>
      </c>
      <c r="E2380" t="s">
        <v>5656</v>
      </c>
      <c r="F2380">
        <v>4018087</v>
      </c>
      <c r="G2380" t="s">
        <v>5657</v>
      </c>
      <c r="H2380" t="s">
        <v>816</v>
      </c>
      <c r="I2380">
        <v>0.9</v>
      </c>
      <c r="J2380">
        <v>0</v>
      </c>
      <c r="K2380">
        <v>0</v>
      </c>
      <c r="L2380">
        <v>0</v>
      </c>
      <c r="M2380">
        <v>0.1</v>
      </c>
      <c r="N2380">
        <v>0</v>
      </c>
      <c r="O2380">
        <v>0.8</v>
      </c>
      <c r="P2380" s="44" t="e">
        <f>_xlfn.XLOOKUP(Tabla5[[#This Row],[EAN CORREGIDO]],'Tabla Articulos'!B:B,'Tabla Articulos'!D:D)</f>
        <v>#N/A</v>
      </c>
      <c r="Q2380" s="44" t="e">
        <f>_xlfn.XLOOKUP(S2380,'Tabla Articulos'!B:B,'Tabla Articulos'!E:E)</f>
        <v>#N/A</v>
      </c>
      <c r="R2380" s="44" t="e">
        <f t="shared" si="74"/>
        <v>#N/A</v>
      </c>
      <c r="S2380" s="45" t="str">
        <f t="shared" si="75"/>
        <v>7790216012610</v>
      </c>
    </row>
    <row r="2381" spans="1:19" hidden="1" x14ac:dyDescent="0.35">
      <c r="A2381" s="22">
        <v>2</v>
      </c>
      <c r="B2381" t="s">
        <v>5624</v>
      </c>
      <c r="C2381" t="s">
        <v>802</v>
      </c>
      <c r="D2381" t="s">
        <v>931</v>
      </c>
      <c r="E2381" t="s">
        <v>932</v>
      </c>
      <c r="F2381">
        <v>4024234</v>
      </c>
      <c r="G2381" t="s">
        <v>933</v>
      </c>
      <c r="H2381" t="s">
        <v>805</v>
      </c>
      <c r="I2381">
        <v>75</v>
      </c>
      <c r="J2381">
        <v>0</v>
      </c>
      <c r="K2381">
        <v>0</v>
      </c>
      <c r="L2381">
        <v>3</v>
      </c>
      <c r="M2381">
        <v>3</v>
      </c>
      <c r="N2381">
        <v>0</v>
      </c>
      <c r="O2381">
        <v>69</v>
      </c>
      <c r="P2381" s="44" t="e">
        <f>_xlfn.XLOOKUP(Tabla5[[#This Row],[EAN CORREGIDO]],'Tabla Articulos'!B:B,'Tabla Articulos'!D:D)</f>
        <v>#N/A</v>
      </c>
      <c r="Q2381" s="44" t="e">
        <f>_xlfn.XLOOKUP(S2381,'Tabla Articulos'!B:B,'Tabla Articulos'!E:E)</f>
        <v>#N/A</v>
      </c>
      <c r="R2381" s="44" t="e">
        <f t="shared" si="74"/>
        <v>#N/A</v>
      </c>
      <c r="S2381" s="45" t="str">
        <f t="shared" si="75"/>
        <v>724751080240</v>
      </c>
    </row>
    <row r="2382" spans="1:19" hidden="1" x14ac:dyDescent="0.35">
      <c r="A2382" s="22">
        <v>2</v>
      </c>
      <c r="B2382" t="s">
        <v>5624</v>
      </c>
      <c r="C2382" t="s">
        <v>802</v>
      </c>
      <c r="D2382" t="s">
        <v>5658</v>
      </c>
      <c r="E2382" t="s">
        <v>5659</v>
      </c>
      <c r="F2382">
        <v>4021441</v>
      </c>
      <c r="G2382" t="s">
        <v>5660</v>
      </c>
      <c r="H2382" t="s">
        <v>805</v>
      </c>
      <c r="I2382">
        <v>45</v>
      </c>
      <c r="J2382">
        <v>0</v>
      </c>
      <c r="K2382">
        <v>27</v>
      </c>
      <c r="L2382">
        <v>0</v>
      </c>
      <c r="M2382">
        <v>0</v>
      </c>
      <c r="N2382">
        <v>0</v>
      </c>
      <c r="O2382">
        <v>18</v>
      </c>
      <c r="P2382" s="44" t="e">
        <f>_xlfn.XLOOKUP(Tabla5[[#This Row],[EAN CORREGIDO]],'Tabla Articulos'!B:B,'Tabla Articulos'!D:D)</f>
        <v>#N/A</v>
      </c>
      <c r="Q2382" s="44" t="e">
        <f>_xlfn.XLOOKUP(S2382,'Tabla Articulos'!B:B,'Tabla Articulos'!E:E)</f>
        <v>#N/A</v>
      </c>
      <c r="R2382" s="44" t="e">
        <f t="shared" si="74"/>
        <v>#N/A</v>
      </c>
      <c r="S2382" s="45" t="str">
        <f t="shared" si="75"/>
        <v>779804920005</v>
      </c>
    </row>
    <row r="2383" spans="1:19" hidden="1" x14ac:dyDescent="0.35">
      <c r="A2383" s="22">
        <v>2</v>
      </c>
      <c r="B2383" t="s">
        <v>5624</v>
      </c>
      <c r="C2383" t="s">
        <v>802</v>
      </c>
      <c r="D2383" t="s">
        <v>6451</v>
      </c>
      <c r="E2383" t="s">
        <v>6452</v>
      </c>
      <c r="F2383">
        <v>4077478</v>
      </c>
      <c r="G2383" t="s">
        <v>6453</v>
      </c>
      <c r="H2383" t="s">
        <v>816</v>
      </c>
      <c r="I2383">
        <v>107</v>
      </c>
      <c r="J2383">
        <v>0</v>
      </c>
      <c r="K2383">
        <v>0</v>
      </c>
      <c r="L2383">
        <v>5</v>
      </c>
      <c r="M2383">
        <v>5</v>
      </c>
      <c r="N2383">
        <v>0</v>
      </c>
      <c r="O2383">
        <v>97</v>
      </c>
      <c r="P2383" s="44" t="e">
        <f>_xlfn.XLOOKUP(Tabla5[[#This Row],[EAN CORREGIDO]],'Tabla Articulos'!B:B,'Tabla Articulos'!D:D)</f>
        <v>#N/A</v>
      </c>
      <c r="Q2383" s="44" t="e">
        <f>_xlfn.XLOOKUP(S2383,'Tabla Articulos'!B:B,'Tabla Articulos'!E:E)</f>
        <v>#N/A</v>
      </c>
      <c r="R2383" s="44" t="e">
        <f t="shared" si="74"/>
        <v>#N/A</v>
      </c>
      <c r="S2383" s="45" t="str">
        <f t="shared" si="75"/>
        <v>7790000000895</v>
      </c>
    </row>
    <row r="2384" spans="1:19" hidden="1" x14ac:dyDescent="0.35">
      <c r="A2384" s="22">
        <v>2</v>
      </c>
      <c r="B2384" t="s">
        <v>5624</v>
      </c>
      <c r="C2384" t="s">
        <v>802</v>
      </c>
      <c r="D2384" t="s">
        <v>1042</v>
      </c>
      <c r="E2384" t="s">
        <v>3961</v>
      </c>
      <c r="F2384">
        <v>4018109</v>
      </c>
      <c r="G2384" t="s">
        <v>3962</v>
      </c>
      <c r="H2384" t="s">
        <v>805</v>
      </c>
      <c r="I2384">
        <v>475</v>
      </c>
      <c r="J2384">
        <v>0</v>
      </c>
      <c r="K2384">
        <v>0</v>
      </c>
      <c r="L2384">
        <v>3</v>
      </c>
      <c r="M2384">
        <v>3</v>
      </c>
      <c r="N2384">
        <v>0</v>
      </c>
      <c r="O2384">
        <v>469</v>
      </c>
      <c r="P2384" s="44" t="e">
        <f>_xlfn.XLOOKUP(Tabla5[[#This Row],[EAN CORREGIDO]],'Tabla Articulos'!B:B,'Tabla Articulos'!D:D)</f>
        <v>#N/A</v>
      </c>
      <c r="Q2384" s="44" t="e">
        <f>_xlfn.XLOOKUP(S2384,'Tabla Articulos'!B:B,'Tabla Articulos'!E:E)</f>
        <v>#N/A</v>
      </c>
      <c r="R2384" s="44" t="e">
        <f t="shared" si="74"/>
        <v>#N/A</v>
      </c>
      <c r="S2384" s="45" t="str">
        <f t="shared" si="75"/>
        <v>7790787251872</v>
      </c>
    </row>
    <row r="2385" spans="1:19" hidden="1" x14ac:dyDescent="0.35">
      <c r="A2385" s="22">
        <v>2</v>
      </c>
      <c r="B2385" t="s">
        <v>5624</v>
      </c>
      <c r="C2385" t="s">
        <v>802</v>
      </c>
      <c r="D2385" t="s">
        <v>3965</v>
      </c>
      <c r="E2385" t="s">
        <v>3966</v>
      </c>
      <c r="F2385">
        <v>4076548</v>
      </c>
      <c r="G2385" t="s">
        <v>3967</v>
      </c>
      <c r="H2385" t="s">
        <v>805</v>
      </c>
      <c r="I2385">
        <v>141</v>
      </c>
      <c r="J2385">
        <v>0</v>
      </c>
      <c r="K2385">
        <v>0</v>
      </c>
      <c r="L2385">
        <v>16</v>
      </c>
      <c r="M2385">
        <v>16</v>
      </c>
      <c r="N2385">
        <v>0</v>
      </c>
      <c r="O2385">
        <v>109</v>
      </c>
      <c r="P2385" s="44" t="e">
        <f>_xlfn.XLOOKUP(Tabla5[[#This Row],[EAN CORREGIDO]],'Tabla Articulos'!B:B,'Tabla Articulos'!D:D)</f>
        <v>#N/A</v>
      </c>
      <c r="Q2385" s="44" t="e">
        <f>_xlfn.XLOOKUP(S2385,'Tabla Articulos'!B:B,'Tabla Articulos'!E:E)</f>
        <v>#N/A</v>
      </c>
      <c r="R2385" s="44" t="e">
        <f t="shared" si="74"/>
        <v>#N/A</v>
      </c>
      <c r="S2385" s="45" t="str">
        <f t="shared" si="75"/>
        <v>7798184272681</v>
      </c>
    </row>
    <row r="2386" spans="1:19" hidden="1" x14ac:dyDescent="0.35">
      <c r="A2386" s="22">
        <v>2</v>
      </c>
      <c r="B2386" t="s">
        <v>5624</v>
      </c>
      <c r="C2386" t="s">
        <v>802</v>
      </c>
      <c r="D2386" t="s">
        <v>5887</v>
      </c>
      <c r="E2386" t="s">
        <v>5903</v>
      </c>
      <c r="F2386">
        <v>4019175</v>
      </c>
      <c r="G2386" t="s">
        <v>5904</v>
      </c>
      <c r="H2386" t="s">
        <v>1034</v>
      </c>
      <c r="I2386">
        <v>199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199</v>
      </c>
      <c r="P2386" s="44" t="e">
        <f>_xlfn.XLOOKUP(Tabla5[[#This Row],[EAN CORREGIDO]],'Tabla Articulos'!B:B,'Tabla Articulos'!D:D)</f>
        <v>#N/A</v>
      </c>
      <c r="Q2386" s="44" t="e">
        <f>_xlfn.XLOOKUP(S2386,'Tabla Articulos'!B:B,'Tabla Articulos'!E:E)</f>
        <v>#N/A</v>
      </c>
      <c r="R2386" s="44" t="e">
        <f t="shared" si="74"/>
        <v>#N/A</v>
      </c>
      <c r="S2386" s="45" t="str">
        <f t="shared" si="75"/>
        <v>7790580346508</v>
      </c>
    </row>
    <row r="2387" spans="1:19" hidden="1" x14ac:dyDescent="0.35">
      <c r="A2387" s="22">
        <v>2</v>
      </c>
      <c r="B2387" t="s">
        <v>5624</v>
      </c>
      <c r="C2387" t="s">
        <v>802</v>
      </c>
      <c r="D2387" t="s">
        <v>1850</v>
      </c>
      <c r="E2387" t="s">
        <v>1851</v>
      </c>
      <c r="F2387">
        <v>4020422</v>
      </c>
      <c r="G2387" t="s">
        <v>1852</v>
      </c>
      <c r="H2387" t="s">
        <v>805</v>
      </c>
      <c r="I2387">
        <v>82</v>
      </c>
      <c r="J2387">
        <v>0</v>
      </c>
      <c r="K2387">
        <v>0</v>
      </c>
      <c r="L2387">
        <v>10</v>
      </c>
      <c r="M2387">
        <v>10</v>
      </c>
      <c r="N2387">
        <v>0</v>
      </c>
      <c r="O2387">
        <v>62</v>
      </c>
      <c r="P2387" s="44" t="e">
        <f>_xlfn.XLOOKUP(Tabla5[[#This Row],[EAN CORREGIDO]],'Tabla Articulos'!B:B,'Tabla Articulos'!D:D)</f>
        <v>#N/A</v>
      </c>
      <c r="Q2387" s="44" t="e">
        <f>_xlfn.XLOOKUP(S2387,'Tabla Articulos'!B:B,'Tabla Articulos'!E:E)</f>
        <v>#N/A</v>
      </c>
      <c r="R2387" s="44" t="e">
        <f t="shared" si="74"/>
        <v>#N/A</v>
      </c>
      <c r="S2387" s="45" t="str">
        <f t="shared" si="75"/>
        <v>7794000600652</v>
      </c>
    </row>
    <row r="2388" spans="1:19" hidden="1" x14ac:dyDescent="0.35">
      <c r="A2388" s="22">
        <v>2</v>
      </c>
      <c r="B2388" t="s">
        <v>5624</v>
      </c>
      <c r="C2388" t="s">
        <v>802</v>
      </c>
      <c r="D2388" t="s">
        <v>3502</v>
      </c>
      <c r="E2388" t="s">
        <v>5905</v>
      </c>
      <c r="F2388">
        <v>4020622</v>
      </c>
      <c r="G2388" t="s">
        <v>5906</v>
      </c>
      <c r="H2388" t="s">
        <v>805</v>
      </c>
      <c r="I2388">
        <v>8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8</v>
      </c>
      <c r="P2388" s="44" t="e">
        <f>_xlfn.XLOOKUP(Tabla5[[#This Row],[EAN CORREGIDO]],'Tabla Articulos'!B:B,'Tabla Articulos'!D:D)</f>
        <v>#N/A</v>
      </c>
      <c r="Q2388" s="44" t="e">
        <f>_xlfn.XLOOKUP(S2388,'Tabla Articulos'!B:B,'Tabla Articulos'!E:E)</f>
        <v>#N/A</v>
      </c>
      <c r="R2388" s="44" t="e">
        <f t="shared" si="74"/>
        <v>#N/A</v>
      </c>
      <c r="S2388" s="45" t="str">
        <f t="shared" si="75"/>
        <v>7793875316132</v>
      </c>
    </row>
    <row r="2389" spans="1:19" hidden="1" x14ac:dyDescent="0.35">
      <c r="A2389" s="22">
        <v>2</v>
      </c>
      <c r="B2389" t="s">
        <v>5624</v>
      </c>
      <c r="C2389" t="s">
        <v>802</v>
      </c>
      <c r="D2389" t="s">
        <v>1861</v>
      </c>
      <c r="E2389" t="s">
        <v>1862</v>
      </c>
      <c r="F2389">
        <v>4019736</v>
      </c>
      <c r="G2389" t="s">
        <v>1863</v>
      </c>
      <c r="H2389" t="s">
        <v>805</v>
      </c>
      <c r="I2389">
        <v>227</v>
      </c>
      <c r="J2389">
        <v>60</v>
      </c>
      <c r="K2389">
        <v>0</v>
      </c>
      <c r="L2389">
        <v>4</v>
      </c>
      <c r="M2389">
        <v>4</v>
      </c>
      <c r="N2389">
        <v>0</v>
      </c>
      <c r="O2389">
        <v>279</v>
      </c>
      <c r="P2389" s="44" t="e">
        <f>_xlfn.XLOOKUP(Tabla5[[#This Row],[EAN CORREGIDO]],'Tabla Articulos'!B:B,'Tabla Articulos'!D:D)</f>
        <v>#N/A</v>
      </c>
      <c r="Q2389" s="44" t="e">
        <f>_xlfn.XLOOKUP(S2389,'Tabla Articulos'!B:B,'Tabla Articulos'!E:E)</f>
        <v>#N/A</v>
      </c>
      <c r="R2389" s="44" t="e">
        <f t="shared" si="74"/>
        <v>#N/A</v>
      </c>
      <c r="S2389" s="45" t="str">
        <f t="shared" si="75"/>
        <v>7790530370218</v>
      </c>
    </row>
    <row r="2390" spans="1:19" hidden="1" x14ac:dyDescent="0.35">
      <c r="A2390" s="22">
        <v>2</v>
      </c>
      <c r="B2390" t="s">
        <v>5624</v>
      </c>
      <c r="C2390" t="s">
        <v>802</v>
      </c>
      <c r="D2390" t="s">
        <v>1880</v>
      </c>
      <c r="E2390" t="s">
        <v>5640</v>
      </c>
      <c r="F2390">
        <v>4023785</v>
      </c>
      <c r="G2390" t="s">
        <v>5641</v>
      </c>
      <c r="H2390" t="s">
        <v>805</v>
      </c>
      <c r="I2390">
        <v>12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12</v>
      </c>
      <c r="P2390" s="44" t="e">
        <f>_xlfn.XLOOKUP(Tabla5[[#This Row],[EAN CORREGIDO]],'Tabla Articulos'!B:B,'Tabla Articulos'!D:D)</f>
        <v>#N/A</v>
      </c>
      <c r="Q2390" s="44" t="e">
        <f>_xlfn.XLOOKUP(S2390,'Tabla Articulos'!B:B,'Tabla Articulos'!E:E)</f>
        <v>#N/A</v>
      </c>
      <c r="R2390" s="44" t="e">
        <f t="shared" si="74"/>
        <v>#N/A</v>
      </c>
      <c r="S2390" s="45" t="str">
        <f t="shared" si="75"/>
        <v>7790971000842</v>
      </c>
    </row>
    <row r="2391" spans="1:19" hidden="1" x14ac:dyDescent="0.35">
      <c r="A2391" s="22">
        <v>2</v>
      </c>
      <c r="B2391" t="s">
        <v>5624</v>
      </c>
      <c r="C2391" t="s">
        <v>802</v>
      </c>
      <c r="D2391" t="s">
        <v>1781</v>
      </c>
      <c r="E2391" t="s">
        <v>5642</v>
      </c>
      <c r="F2391">
        <v>4019590</v>
      </c>
      <c r="G2391" t="s">
        <v>5643</v>
      </c>
      <c r="H2391" t="s">
        <v>805</v>
      </c>
      <c r="I2391">
        <v>68</v>
      </c>
      <c r="J2391">
        <v>0</v>
      </c>
      <c r="K2391">
        <v>68</v>
      </c>
      <c r="L2391">
        <v>0</v>
      </c>
      <c r="M2391">
        <v>0</v>
      </c>
      <c r="N2391">
        <v>0</v>
      </c>
      <c r="O2391">
        <v>0</v>
      </c>
      <c r="P2391" s="44" t="e">
        <f>_xlfn.XLOOKUP(Tabla5[[#This Row],[EAN CORREGIDO]],'Tabla Articulos'!B:B,'Tabla Articulos'!D:D)</f>
        <v>#N/A</v>
      </c>
      <c r="Q2391" s="44" t="e">
        <f>_xlfn.XLOOKUP(S2391,'Tabla Articulos'!B:B,'Tabla Articulos'!E:E)</f>
        <v>#N/A</v>
      </c>
      <c r="R2391" s="44" t="e">
        <f t="shared" si="74"/>
        <v>#N/A</v>
      </c>
      <c r="S2391" s="45" t="str">
        <f t="shared" si="75"/>
        <v>7790629585651</v>
      </c>
    </row>
    <row r="2392" spans="1:19" hidden="1" x14ac:dyDescent="0.35">
      <c r="A2392" s="22">
        <v>2</v>
      </c>
      <c r="B2392" t="s">
        <v>5624</v>
      </c>
      <c r="C2392" t="s">
        <v>802</v>
      </c>
      <c r="D2392" t="s">
        <v>851</v>
      </c>
      <c r="E2392" t="s">
        <v>852</v>
      </c>
      <c r="F2392">
        <v>4024635</v>
      </c>
      <c r="G2392" t="s">
        <v>853</v>
      </c>
      <c r="H2392" t="s">
        <v>805</v>
      </c>
      <c r="I2392">
        <v>1774</v>
      </c>
      <c r="J2392">
        <v>0</v>
      </c>
      <c r="K2392">
        <v>0</v>
      </c>
      <c r="L2392">
        <v>95</v>
      </c>
      <c r="M2392">
        <v>95</v>
      </c>
      <c r="N2392">
        <v>0</v>
      </c>
      <c r="O2392">
        <v>1584</v>
      </c>
      <c r="P2392" s="44" t="e">
        <f>_xlfn.XLOOKUP(Tabla5[[#This Row],[EAN CORREGIDO]],'Tabla Articulos'!B:B,'Tabla Articulos'!D:D)</f>
        <v>#N/A</v>
      </c>
      <c r="Q2392" s="44" t="e">
        <f>_xlfn.XLOOKUP(S2392,'Tabla Articulos'!B:B,'Tabla Articulos'!E:E)</f>
        <v>#N/A</v>
      </c>
      <c r="R2392" s="44" t="e">
        <f t="shared" si="74"/>
        <v>#N/A</v>
      </c>
      <c r="S2392" s="45" t="str">
        <f t="shared" si="75"/>
        <v>7798316700808</v>
      </c>
    </row>
    <row r="2393" spans="1:19" hidden="1" x14ac:dyDescent="0.35">
      <c r="A2393" s="22">
        <v>2</v>
      </c>
      <c r="B2393" t="s">
        <v>5624</v>
      </c>
      <c r="C2393" t="s">
        <v>802</v>
      </c>
      <c r="D2393" t="s">
        <v>5644</v>
      </c>
      <c r="E2393" t="s">
        <v>5645</v>
      </c>
      <c r="F2393">
        <v>4022455</v>
      </c>
      <c r="G2393" t="s">
        <v>5646</v>
      </c>
      <c r="H2393" t="s">
        <v>805</v>
      </c>
      <c r="I2393">
        <v>71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71</v>
      </c>
      <c r="P2393" s="44" t="e">
        <f>_xlfn.XLOOKUP(Tabla5[[#This Row],[EAN CORREGIDO]],'Tabla Articulos'!B:B,'Tabla Articulos'!D:D)</f>
        <v>#N/A</v>
      </c>
      <c r="Q2393" s="44" t="e">
        <f>_xlfn.XLOOKUP(S2393,'Tabla Articulos'!B:B,'Tabla Articulos'!E:E)</f>
        <v>#N/A</v>
      </c>
      <c r="R2393" s="44" t="e">
        <f t="shared" si="74"/>
        <v>#N/A</v>
      </c>
      <c r="S2393" s="45" t="str">
        <f t="shared" si="75"/>
        <v>7798060852907</v>
      </c>
    </row>
    <row r="2394" spans="1:19" hidden="1" x14ac:dyDescent="0.35">
      <c r="A2394" s="22">
        <v>2</v>
      </c>
      <c r="B2394" t="s">
        <v>5624</v>
      </c>
      <c r="C2394" t="s">
        <v>802</v>
      </c>
      <c r="D2394" t="s">
        <v>857</v>
      </c>
      <c r="E2394" t="s">
        <v>858</v>
      </c>
      <c r="F2394">
        <v>4024188</v>
      </c>
      <c r="G2394" t="s">
        <v>859</v>
      </c>
      <c r="H2394" t="s">
        <v>805</v>
      </c>
      <c r="I2394">
        <v>1145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1145</v>
      </c>
      <c r="P2394" s="44" t="e">
        <f>_xlfn.XLOOKUP(Tabla5[[#This Row],[EAN CORREGIDO]],'Tabla Articulos'!B:B,'Tabla Articulos'!D:D)</f>
        <v>#N/A</v>
      </c>
      <c r="Q2394" s="44" t="e">
        <f>_xlfn.XLOOKUP(S2394,'Tabla Articulos'!B:B,'Tabla Articulos'!E:E)</f>
        <v>#N/A</v>
      </c>
      <c r="R2394" s="44" t="e">
        <f t="shared" si="74"/>
        <v>#N/A</v>
      </c>
      <c r="S2394" s="45" t="str">
        <f t="shared" si="75"/>
        <v>7790530110357</v>
      </c>
    </row>
    <row r="2395" spans="1:19" hidden="1" x14ac:dyDescent="0.35">
      <c r="A2395" s="22">
        <v>2</v>
      </c>
      <c r="B2395" t="s">
        <v>5624</v>
      </c>
      <c r="C2395" t="s">
        <v>802</v>
      </c>
      <c r="D2395" t="s">
        <v>1529</v>
      </c>
      <c r="E2395" t="s">
        <v>6066</v>
      </c>
      <c r="F2395">
        <v>4018748</v>
      </c>
      <c r="G2395" t="s">
        <v>6067</v>
      </c>
      <c r="H2395" t="s">
        <v>805</v>
      </c>
      <c r="I2395">
        <v>202</v>
      </c>
      <c r="J2395">
        <v>0</v>
      </c>
      <c r="K2395">
        <v>0</v>
      </c>
      <c r="L2395">
        <v>92</v>
      </c>
      <c r="M2395">
        <v>92</v>
      </c>
      <c r="N2395">
        <v>0</v>
      </c>
      <c r="O2395">
        <v>18</v>
      </c>
      <c r="P2395" s="44" t="e">
        <f>_xlfn.XLOOKUP(Tabla5[[#This Row],[EAN CORREGIDO]],'Tabla Articulos'!B:B,'Tabla Articulos'!D:D)</f>
        <v>#N/A</v>
      </c>
      <c r="Q2395" s="44" t="e">
        <f>_xlfn.XLOOKUP(S2395,'Tabla Articulos'!B:B,'Tabla Articulos'!E:E)</f>
        <v>#N/A</v>
      </c>
      <c r="R2395" s="44" t="e">
        <f t="shared" si="74"/>
        <v>#N/A</v>
      </c>
      <c r="S2395" s="45" t="str">
        <f t="shared" si="75"/>
        <v>7790522012560</v>
      </c>
    </row>
    <row r="2396" spans="1:19" hidden="1" x14ac:dyDescent="0.35">
      <c r="A2396" s="22">
        <v>2</v>
      </c>
      <c r="B2396" t="s">
        <v>5624</v>
      </c>
      <c r="C2396" t="s">
        <v>802</v>
      </c>
      <c r="D2396" t="s">
        <v>2577</v>
      </c>
      <c r="E2396" t="s">
        <v>2948</v>
      </c>
      <c r="F2396">
        <v>4021304</v>
      </c>
      <c r="G2396" t="s">
        <v>2949</v>
      </c>
      <c r="H2396" t="s">
        <v>805</v>
      </c>
      <c r="I2396">
        <v>131</v>
      </c>
      <c r="J2396">
        <v>0</v>
      </c>
      <c r="K2396">
        <v>0</v>
      </c>
      <c r="L2396">
        <v>1</v>
      </c>
      <c r="M2396">
        <v>1</v>
      </c>
      <c r="N2396">
        <v>0</v>
      </c>
      <c r="O2396">
        <v>129</v>
      </c>
      <c r="P2396" s="44" t="e">
        <f>_xlfn.XLOOKUP(Tabla5[[#This Row],[EAN CORREGIDO]],'Tabla Articulos'!B:B,'Tabla Articulos'!D:D)</f>
        <v>#N/A</v>
      </c>
      <c r="Q2396" s="44" t="e">
        <f>_xlfn.XLOOKUP(S2396,'Tabla Articulos'!B:B,'Tabla Articulos'!E:E)</f>
        <v>#N/A</v>
      </c>
      <c r="R2396" s="44" t="e">
        <f t="shared" si="74"/>
        <v>#N/A</v>
      </c>
      <c r="S2396" s="45" t="str">
        <f t="shared" si="75"/>
        <v>7798290581875</v>
      </c>
    </row>
    <row r="2397" spans="1:19" hidden="1" x14ac:dyDescent="0.35">
      <c r="A2397" s="22">
        <v>2</v>
      </c>
      <c r="B2397" t="s">
        <v>5624</v>
      </c>
      <c r="C2397" t="s">
        <v>802</v>
      </c>
      <c r="D2397" t="s">
        <v>2950</v>
      </c>
      <c r="E2397" t="s">
        <v>2951</v>
      </c>
      <c r="F2397">
        <v>4019591</v>
      </c>
      <c r="G2397" t="s">
        <v>2952</v>
      </c>
      <c r="H2397" t="s">
        <v>805</v>
      </c>
      <c r="I2397">
        <v>5602</v>
      </c>
      <c r="J2397">
        <v>0</v>
      </c>
      <c r="K2397">
        <v>0</v>
      </c>
      <c r="L2397">
        <v>115</v>
      </c>
      <c r="M2397">
        <v>115</v>
      </c>
      <c r="N2397">
        <v>0</v>
      </c>
      <c r="O2397">
        <v>5372</v>
      </c>
      <c r="P2397" s="44" t="e">
        <f>_xlfn.XLOOKUP(Tabla5[[#This Row],[EAN CORREGIDO]],'Tabla Articulos'!B:B,'Tabla Articulos'!D:D)</f>
        <v>#N/A</v>
      </c>
      <c r="Q2397" s="44" t="e">
        <f>_xlfn.XLOOKUP(S2397,'Tabla Articulos'!B:B,'Tabla Articulos'!E:E)</f>
        <v>#N/A</v>
      </c>
      <c r="R2397" s="44" t="e">
        <f t="shared" si="74"/>
        <v>#N/A</v>
      </c>
      <c r="S2397" s="45" t="str">
        <f t="shared" si="75"/>
        <v>7790641000011</v>
      </c>
    </row>
    <row r="2398" spans="1:19" hidden="1" x14ac:dyDescent="0.35">
      <c r="A2398" s="22">
        <v>2</v>
      </c>
      <c r="B2398" t="s">
        <v>5624</v>
      </c>
      <c r="C2398" t="s">
        <v>802</v>
      </c>
      <c r="D2398" t="s">
        <v>2957</v>
      </c>
      <c r="E2398" t="s">
        <v>2958</v>
      </c>
      <c r="F2398">
        <v>4019304</v>
      </c>
      <c r="G2398" t="s">
        <v>2959</v>
      </c>
      <c r="H2398" t="s">
        <v>805</v>
      </c>
      <c r="I2398">
        <v>1536</v>
      </c>
      <c r="J2398">
        <v>0</v>
      </c>
      <c r="K2398">
        <v>0</v>
      </c>
      <c r="L2398">
        <v>6</v>
      </c>
      <c r="M2398">
        <v>6</v>
      </c>
      <c r="N2398">
        <v>0</v>
      </c>
      <c r="O2398">
        <v>1524</v>
      </c>
      <c r="P2398" s="44" t="e">
        <f>_xlfn.XLOOKUP(Tabla5[[#This Row],[EAN CORREGIDO]],'Tabla Articulos'!B:B,'Tabla Articulos'!D:D)</f>
        <v>#N/A</v>
      </c>
      <c r="Q2398" s="44" t="e">
        <f>_xlfn.XLOOKUP(S2398,'Tabla Articulos'!B:B,'Tabla Articulos'!E:E)</f>
        <v>#N/A</v>
      </c>
      <c r="R2398" s="44" t="e">
        <f t="shared" si="74"/>
        <v>#N/A</v>
      </c>
      <c r="S2398" s="45" t="str">
        <f t="shared" si="75"/>
        <v>7790072001014</v>
      </c>
    </row>
    <row r="2399" spans="1:19" hidden="1" x14ac:dyDescent="0.35">
      <c r="A2399" s="22">
        <v>2</v>
      </c>
      <c r="B2399" t="s">
        <v>5624</v>
      </c>
      <c r="C2399" t="s">
        <v>802</v>
      </c>
      <c r="D2399" t="s">
        <v>4380</v>
      </c>
      <c r="E2399" t="s">
        <v>4481</v>
      </c>
      <c r="F2399">
        <v>4019741</v>
      </c>
      <c r="G2399" t="s">
        <v>4482</v>
      </c>
      <c r="H2399" t="s">
        <v>805</v>
      </c>
      <c r="I2399">
        <v>1031</v>
      </c>
      <c r="J2399">
        <v>0</v>
      </c>
      <c r="K2399">
        <v>0</v>
      </c>
      <c r="L2399">
        <v>26</v>
      </c>
      <c r="M2399">
        <v>26</v>
      </c>
      <c r="N2399">
        <v>0</v>
      </c>
      <c r="O2399">
        <v>979</v>
      </c>
      <c r="P2399" s="44" t="e">
        <f>_xlfn.XLOOKUP(Tabla5[[#This Row],[EAN CORREGIDO]],'Tabla Articulos'!B:B,'Tabla Articulos'!D:D)</f>
        <v>#N/A</v>
      </c>
      <c r="Q2399" s="44" t="e">
        <f>_xlfn.XLOOKUP(S2399,'Tabla Articulos'!B:B,'Tabla Articulos'!E:E)</f>
        <v>#N/A</v>
      </c>
      <c r="R2399" s="44" t="e">
        <f t="shared" si="74"/>
        <v>#N/A</v>
      </c>
      <c r="S2399" s="45" t="str">
        <f t="shared" si="75"/>
        <v>7790580105822</v>
      </c>
    </row>
    <row r="2400" spans="1:19" hidden="1" x14ac:dyDescent="0.35">
      <c r="A2400" s="22">
        <v>2</v>
      </c>
      <c r="B2400" t="s">
        <v>5624</v>
      </c>
      <c r="C2400" t="s">
        <v>802</v>
      </c>
      <c r="D2400" t="s">
        <v>1138</v>
      </c>
      <c r="E2400" t="s">
        <v>1139</v>
      </c>
      <c r="F2400">
        <v>4019488</v>
      </c>
      <c r="G2400" t="s">
        <v>1140</v>
      </c>
      <c r="H2400" t="s">
        <v>805</v>
      </c>
      <c r="I2400">
        <v>163</v>
      </c>
      <c r="J2400">
        <v>0</v>
      </c>
      <c r="K2400">
        <v>0</v>
      </c>
      <c r="L2400">
        <v>1</v>
      </c>
      <c r="M2400">
        <v>1</v>
      </c>
      <c r="N2400">
        <v>0</v>
      </c>
      <c r="O2400">
        <v>161</v>
      </c>
      <c r="P2400" s="44" t="e">
        <f>_xlfn.XLOOKUP(Tabla5[[#This Row],[EAN CORREGIDO]],'Tabla Articulos'!B:B,'Tabla Articulos'!D:D)</f>
        <v>#N/A</v>
      </c>
      <c r="Q2400" s="44" t="e">
        <f>_xlfn.XLOOKUP(S2400,'Tabla Articulos'!B:B,'Tabla Articulos'!E:E)</f>
        <v>#N/A</v>
      </c>
      <c r="R2400" s="44" t="e">
        <f t="shared" si="74"/>
        <v>#N/A</v>
      </c>
      <c r="S2400" s="45" t="str">
        <f t="shared" si="75"/>
        <v>7790530900248</v>
      </c>
    </row>
    <row r="2401" spans="1:19" hidden="1" x14ac:dyDescent="0.35">
      <c r="A2401" s="22">
        <v>2</v>
      </c>
      <c r="B2401" t="s">
        <v>5624</v>
      </c>
      <c r="C2401" t="s">
        <v>802</v>
      </c>
      <c r="D2401" t="s">
        <v>189</v>
      </c>
      <c r="E2401" t="s">
        <v>1141</v>
      </c>
      <c r="F2401">
        <v>2006407</v>
      </c>
      <c r="G2401" t="s">
        <v>1142</v>
      </c>
      <c r="H2401" t="s">
        <v>805</v>
      </c>
      <c r="I2401">
        <v>134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134</v>
      </c>
      <c r="P2401" s="44" t="str">
        <f>_xlfn.XLOOKUP(Tabla5[[#This Row],[EAN CORREGIDO]],'Tabla Articulos'!B:B,'Tabla Articulos'!D:D)</f>
        <v>ARRANQUE 60X90</v>
      </c>
      <c r="Q2401" s="44">
        <f>_xlfn.XLOOKUP(S2401,'Tabla Articulos'!B:B,'Tabla Articulos'!E:E)</f>
        <v>1</v>
      </c>
      <c r="R2401" s="44">
        <f t="shared" si="74"/>
        <v>134</v>
      </c>
      <c r="S2401" s="45" t="str">
        <f t="shared" si="75"/>
        <v>16204006A</v>
      </c>
    </row>
    <row r="2402" spans="1:19" hidden="1" x14ac:dyDescent="0.35">
      <c r="A2402" s="22">
        <v>2</v>
      </c>
      <c r="B2402" t="s">
        <v>5624</v>
      </c>
      <c r="C2402" t="s">
        <v>802</v>
      </c>
      <c r="D2402" t="s">
        <v>248</v>
      </c>
      <c r="E2402" t="s">
        <v>1143</v>
      </c>
      <c r="F2402">
        <v>2006209</v>
      </c>
      <c r="G2402" t="s">
        <v>1144</v>
      </c>
      <c r="H2402" t="s">
        <v>805</v>
      </c>
      <c r="I2402">
        <v>6</v>
      </c>
      <c r="J2402">
        <v>10</v>
      </c>
      <c r="K2402">
        <v>0</v>
      </c>
      <c r="L2402">
        <v>2</v>
      </c>
      <c r="M2402">
        <v>2</v>
      </c>
      <c r="N2402">
        <v>0</v>
      </c>
      <c r="O2402">
        <v>12</v>
      </c>
      <c r="P2402" s="44" t="str">
        <f>_xlfn.XLOOKUP(Tabla5[[#This Row],[EAN CORREGIDO]],'Tabla Articulos'!B:B,'Tabla Articulos'!D:D)</f>
        <v>ROLLO PAPEL MANTECA</v>
      </c>
      <c r="Q2402" s="44">
        <f>_xlfn.XLOOKUP(S2402,'Tabla Articulos'!B:B,'Tabla Articulos'!E:E)</f>
        <v>1</v>
      </c>
      <c r="R2402" s="44">
        <f t="shared" si="74"/>
        <v>12</v>
      </c>
      <c r="S2402" s="45" t="str">
        <f t="shared" si="75"/>
        <v>14044013A</v>
      </c>
    </row>
    <row r="2403" spans="1:19" hidden="1" x14ac:dyDescent="0.35">
      <c r="A2403" s="22">
        <v>2</v>
      </c>
      <c r="B2403" t="s">
        <v>5624</v>
      </c>
      <c r="C2403" t="s">
        <v>802</v>
      </c>
      <c r="D2403" t="s">
        <v>5955</v>
      </c>
      <c r="E2403" t="s">
        <v>6109</v>
      </c>
      <c r="F2403">
        <v>4024868</v>
      </c>
      <c r="G2403" t="s">
        <v>6110</v>
      </c>
      <c r="H2403" t="s">
        <v>805</v>
      </c>
      <c r="I2403">
        <v>854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854</v>
      </c>
      <c r="P2403" s="44" t="e">
        <f>_xlfn.XLOOKUP(Tabla5[[#This Row],[EAN CORREGIDO]],'Tabla Articulos'!B:B,'Tabla Articulos'!D:D)</f>
        <v>#N/A</v>
      </c>
      <c r="Q2403" s="44" t="e">
        <f>_xlfn.XLOOKUP(S2403,'Tabla Articulos'!B:B,'Tabla Articulos'!E:E)</f>
        <v>#N/A</v>
      </c>
      <c r="R2403" s="44" t="e">
        <f t="shared" si="74"/>
        <v>#N/A</v>
      </c>
      <c r="S2403" s="45" t="str">
        <f t="shared" si="75"/>
        <v>7798071200780</v>
      </c>
    </row>
    <row r="2404" spans="1:19" hidden="1" x14ac:dyDescent="0.35">
      <c r="A2404" s="22">
        <v>2</v>
      </c>
      <c r="B2404" t="s">
        <v>5624</v>
      </c>
      <c r="C2404" t="s">
        <v>802</v>
      </c>
      <c r="D2404" t="s">
        <v>1313</v>
      </c>
      <c r="E2404" t="s">
        <v>2564</v>
      </c>
      <c r="F2404">
        <v>4018776</v>
      </c>
      <c r="G2404" t="s">
        <v>2565</v>
      </c>
      <c r="H2404" t="s">
        <v>805</v>
      </c>
      <c r="I2404">
        <v>120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120</v>
      </c>
      <c r="P2404" s="44" t="e">
        <f>_xlfn.XLOOKUP(Tabla5[[#This Row],[EAN CORREGIDO]],'Tabla Articulos'!B:B,'Tabla Articulos'!D:D)</f>
        <v>#N/A</v>
      </c>
      <c r="Q2404" s="44" t="e">
        <f>_xlfn.XLOOKUP(S2404,'Tabla Articulos'!B:B,'Tabla Articulos'!E:E)</f>
        <v>#N/A</v>
      </c>
      <c r="R2404" s="44" t="e">
        <f t="shared" si="74"/>
        <v>#N/A</v>
      </c>
      <c r="S2404" s="45" t="str">
        <f t="shared" si="75"/>
        <v>7790040137844</v>
      </c>
    </row>
    <row r="2405" spans="1:19" hidden="1" x14ac:dyDescent="0.35">
      <c r="A2405" s="22">
        <v>2</v>
      </c>
      <c r="B2405" t="s">
        <v>5624</v>
      </c>
      <c r="C2405" t="s">
        <v>802</v>
      </c>
      <c r="D2405" t="s">
        <v>1764</v>
      </c>
      <c r="E2405" t="s">
        <v>2568</v>
      </c>
      <c r="F2405">
        <v>4020224</v>
      </c>
      <c r="G2405" t="s">
        <v>2569</v>
      </c>
      <c r="H2405" t="s">
        <v>805</v>
      </c>
      <c r="I2405">
        <v>231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231</v>
      </c>
      <c r="P2405" s="44" t="e">
        <f>_xlfn.XLOOKUP(Tabla5[[#This Row],[EAN CORREGIDO]],'Tabla Articulos'!B:B,'Tabla Articulos'!D:D)</f>
        <v>#N/A</v>
      </c>
      <c r="Q2405" s="44" t="e">
        <f>_xlfn.XLOOKUP(S2405,'Tabla Articulos'!B:B,'Tabla Articulos'!E:E)</f>
        <v>#N/A</v>
      </c>
      <c r="R2405" s="44" t="e">
        <f t="shared" si="74"/>
        <v>#N/A</v>
      </c>
      <c r="S2405" s="45" t="str">
        <f t="shared" si="75"/>
        <v>7793875360067</v>
      </c>
    </row>
    <row r="2406" spans="1:19" hidden="1" x14ac:dyDescent="0.35">
      <c r="A2406" s="22">
        <v>2</v>
      </c>
      <c r="B2406" t="s">
        <v>5624</v>
      </c>
      <c r="C2406" t="s">
        <v>802</v>
      </c>
      <c r="D2406" t="s">
        <v>2570</v>
      </c>
      <c r="E2406" t="s">
        <v>2571</v>
      </c>
      <c r="F2406">
        <v>4076655</v>
      </c>
      <c r="G2406" t="s">
        <v>2572</v>
      </c>
      <c r="H2406" t="s">
        <v>805</v>
      </c>
      <c r="I2406">
        <v>2894</v>
      </c>
      <c r="J2406">
        <v>0</v>
      </c>
      <c r="K2406">
        <v>0</v>
      </c>
      <c r="L2406">
        <v>35</v>
      </c>
      <c r="M2406">
        <v>35</v>
      </c>
      <c r="N2406">
        <v>0</v>
      </c>
      <c r="O2406">
        <v>2824</v>
      </c>
      <c r="P2406" s="44" t="e">
        <f>_xlfn.XLOOKUP(Tabla5[[#This Row],[EAN CORREGIDO]],'Tabla Articulos'!B:B,'Tabla Articulos'!D:D)</f>
        <v>#N/A</v>
      </c>
      <c r="Q2406" s="44" t="e">
        <f>_xlfn.XLOOKUP(S2406,'Tabla Articulos'!B:B,'Tabla Articulos'!E:E)</f>
        <v>#N/A</v>
      </c>
      <c r="R2406" s="44" t="e">
        <f t="shared" si="74"/>
        <v>#N/A</v>
      </c>
      <c r="S2406" s="45" t="str">
        <f t="shared" si="75"/>
        <v>7790499002489</v>
      </c>
    </row>
    <row r="2407" spans="1:19" hidden="1" x14ac:dyDescent="0.35">
      <c r="A2407" s="22">
        <v>2</v>
      </c>
      <c r="B2407" t="s">
        <v>5624</v>
      </c>
      <c r="C2407" t="s">
        <v>802</v>
      </c>
      <c r="D2407" t="s">
        <v>1063</v>
      </c>
      <c r="E2407" t="s">
        <v>6111</v>
      </c>
      <c r="F2407">
        <v>4019660</v>
      </c>
      <c r="G2407" t="s">
        <v>6112</v>
      </c>
      <c r="H2407" t="s">
        <v>805</v>
      </c>
      <c r="I2407">
        <v>53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53</v>
      </c>
      <c r="P2407" s="44" t="e">
        <f>_xlfn.XLOOKUP(Tabla5[[#This Row],[EAN CORREGIDO]],'Tabla Articulos'!B:B,'Tabla Articulos'!D:D)</f>
        <v>#N/A</v>
      </c>
      <c r="Q2407" s="44" t="e">
        <f>_xlfn.XLOOKUP(S2407,'Tabla Articulos'!B:B,'Tabla Articulos'!E:E)</f>
        <v>#N/A</v>
      </c>
      <c r="R2407" s="44" t="e">
        <f t="shared" si="74"/>
        <v>#N/A</v>
      </c>
      <c r="S2407" s="45" t="str">
        <f t="shared" si="75"/>
        <v>7790616000305</v>
      </c>
    </row>
    <row r="2408" spans="1:19" hidden="1" x14ac:dyDescent="0.35">
      <c r="A2408" s="22">
        <v>2</v>
      </c>
      <c r="B2408" t="s">
        <v>5624</v>
      </c>
      <c r="C2408" t="s">
        <v>802</v>
      </c>
      <c r="D2408" t="s">
        <v>1489</v>
      </c>
      <c r="E2408" t="s">
        <v>1490</v>
      </c>
      <c r="F2408">
        <v>4022373</v>
      </c>
      <c r="G2408" t="s">
        <v>1491</v>
      </c>
      <c r="H2408" t="s">
        <v>805</v>
      </c>
      <c r="I2408">
        <v>70</v>
      </c>
      <c r="J2408">
        <v>0</v>
      </c>
      <c r="K2408">
        <v>0</v>
      </c>
      <c r="L2408">
        <v>4</v>
      </c>
      <c r="M2408">
        <v>4</v>
      </c>
      <c r="N2408">
        <v>0</v>
      </c>
      <c r="O2408">
        <v>62</v>
      </c>
      <c r="P2408" s="44" t="e">
        <f>_xlfn.XLOOKUP(Tabla5[[#This Row],[EAN CORREGIDO]],'Tabla Articulos'!B:B,'Tabla Articulos'!D:D)</f>
        <v>#N/A</v>
      </c>
      <c r="Q2408" s="44" t="e">
        <f>_xlfn.XLOOKUP(S2408,'Tabla Articulos'!B:B,'Tabla Articulos'!E:E)</f>
        <v>#N/A</v>
      </c>
      <c r="R2408" s="44" t="e">
        <f t="shared" si="74"/>
        <v>#N/A</v>
      </c>
      <c r="S2408" s="45" t="str">
        <f t="shared" si="75"/>
        <v>7798110340064</v>
      </c>
    </row>
    <row r="2409" spans="1:19" hidden="1" x14ac:dyDescent="0.35">
      <c r="A2409" s="22">
        <v>2</v>
      </c>
      <c r="B2409" t="s">
        <v>5624</v>
      </c>
      <c r="C2409" t="s">
        <v>802</v>
      </c>
      <c r="D2409" t="s">
        <v>1494</v>
      </c>
      <c r="E2409" t="s">
        <v>1495</v>
      </c>
      <c r="F2409">
        <v>4022696</v>
      </c>
      <c r="G2409" t="s">
        <v>1496</v>
      </c>
      <c r="H2409" t="s">
        <v>805</v>
      </c>
      <c r="I2409">
        <v>1690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1690</v>
      </c>
      <c r="P2409" s="44" t="e">
        <f>_xlfn.XLOOKUP(Tabla5[[#This Row],[EAN CORREGIDO]],'Tabla Articulos'!B:B,'Tabla Articulos'!D:D)</f>
        <v>#N/A</v>
      </c>
      <c r="Q2409" s="44" t="e">
        <f>_xlfn.XLOOKUP(S2409,'Tabla Articulos'!B:B,'Tabla Articulos'!E:E)</f>
        <v>#N/A</v>
      </c>
      <c r="R2409" s="44" t="e">
        <f t="shared" si="74"/>
        <v>#N/A</v>
      </c>
      <c r="S2409" s="45" t="str">
        <f t="shared" si="75"/>
        <v>77987853</v>
      </c>
    </row>
    <row r="2410" spans="1:19" hidden="1" x14ac:dyDescent="0.35">
      <c r="A2410" s="22">
        <v>2</v>
      </c>
      <c r="B2410" t="s">
        <v>5624</v>
      </c>
      <c r="C2410" t="s">
        <v>802</v>
      </c>
      <c r="D2410" t="s">
        <v>1497</v>
      </c>
      <c r="E2410" t="s">
        <v>1498</v>
      </c>
      <c r="F2410">
        <v>4019684</v>
      </c>
      <c r="G2410" t="s">
        <v>1499</v>
      </c>
      <c r="H2410" t="s">
        <v>805</v>
      </c>
      <c r="I2410">
        <v>67</v>
      </c>
      <c r="J2410">
        <v>0</v>
      </c>
      <c r="K2410">
        <v>0</v>
      </c>
      <c r="L2410">
        <v>1</v>
      </c>
      <c r="M2410">
        <v>1</v>
      </c>
      <c r="N2410">
        <v>0</v>
      </c>
      <c r="O2410">
        <v>65</v>
      </c>
      <c r="P2410" s="44" t="e">
        <f>_xlfn.XLOOKUP(Tabla5[[#This Row],[EAN CORREGIDO]],'Tabla Articulos'!B:B,'Tabla Articulos'!D:D)</f>
        <v>#N/A</v>
      </c>
      <c r="Q2410" s="44" t="e">
        <f>_xlfn.XLOOKUP(S2410,'Tabla Articulos'!B:B,'Tabla Articulos'!E:E)</f>
        <v>#N/A</v>
      </c>
      <c r="R2410" s="44" t="e">
        <f t="shared" si="74"/>
        <v>#N/A</v>
      </c>
      <c r="S2410" s="45" t="str">
        <f t="shared" si="75"/>
        <v>7791254185423</v>
      </c>
    </row>
    <row r="2411" spans="1:19" hidden="1" x14ac:dyDescent="0.35">
      <c r="A2411" s="22">
        <v>2</v>
      </c>
      <c r="B2411" t="s">
        <v>5624</v>
      </c>
      <c r="C2411" t="s">
        <v>802</v>
      </c>
      <c r="D2411" t="s">
        <v>2891</v>
      </c>
      <c r="E2411" t="s">
        <v>2892</v>
      </c>
      <c r="F2411">
        <v>4020057</v>
      </c>
      <c r="G2411" t="s">
        <v>2893</v>
      </c>
      <c r="H2411" t="s">
        <v>805</v>
      </c>
      <c r="I2411">
        <v>7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5</v>
      </c>
      <c r="P2411" s="44" t="e">
        <f>_xlfn.XLOOKUP(Tabla5[[#This Row],[EAN CORREGIDO]],'Tabla Articulos'!B:B,'Tabla Articulos'!D:D)</f>
        <v>#N/A</v>
      </c>
      <c r="Q2411" s="44" t="e">
        <f>_xlfn.XLOOKUP(S2411,'Tabla Articulos'!B:B,'Tabla Articulos'!E:E)</f>
        <v>#N/A</v>
      </c>
      <c r="R2411" s="44" t="e">
        <f t="shared" si="74"/>
        <v>#N/A</v>
      </c>
      <c r="S2411" s="45" t="str">
        <f t="shared" si="75"/>
        <v>7793875314756</v>
      </c>
    </row>
    <row r="2412" spans="1:19" hidden="1" x14ac:dyDescent="0.35">
      <c r="A2412" s="22">
        <v>2</v>
      </c>
      <c r="B2412" t="s">
        <v>5624</v>
      </c>
      <c r="C2412" t="s">
        <v>802</v>
      </c>
      <c r="D2412" t="s">
        <v>1173</v>
      </c>
      <c r="E2412" t="s">
        <v>1174</v>
      </c>
      <c r="F2412">
        <v>4018299</v>
      </c>
      <c r="G2412" t="s">
        <v>1175</v>
      </c>
      <c r="H2412" t="s">
        <v>816</v>
      </c>
      <c r="I2412">
        <v>2010.23</v>
      </c>
      <c r="J2412">
        <v>0</v>
      </c>
      <c r="K2412">
        <v>1033.58</v>
      </c>
      <c r="L2412">
        <v>159.69999999999999</v>
      </c>
      <c r="M2412">
        <v>159.69999999999999</v>
      </c>
      <c r="N2412">
        <v>0</v>
      </c>
      <c r="O2412">
        <v>657.25</v>
      </c>
      <c r="P2412" s="44" t="e">
        <f>_xlfn.XLOOKUP(Tabla5[[#This Row],[EAN CORREGIDO]],'Tabla Articulos'!B:B,'Tabla Articulos'!D:D)</f>
        <v>#N/A</v>
      </c>
      <c r="Q2412" s="44" t="e">
        <f>_xlfn.XLOOKUP(S2412,'Tabla Articulos'!B:B,'Tabla Articulos'!E:E)</f>
        <v>#N/A</v>
      </c>
      <c r="R2412" s="44" t="e">
        <f t="shared" si="74"/>
        <v>#N/A</v>
      </c>
      <c r="S2412" s="45" t="str">
        <f t="shared" si="75"/>
        <v>7794990866373</v>
      </c>
    </row>
    <row r="2413" spans="1:19" hidden="1" x14ac:dyDescent="0.35">
      <c r="A2413" s="22">
        <v>2</v>
      </c>
      <c r="B2413" t="s">
        <v>5624</v>
      </c>
      <c r="C2413" t="s">
        <v>802</v>
      </c>
      <c r="D2413" t="s">
        <v>1185</v>
      </c>
      <c r="E2413" t="s">
        <v>1186</v>
      </c>
      <c r="F2413">
        <v>4019454</v>
      </c>
      <c r="G2413" t="s">
        <v>1187</v>
      </c>
      <c r="H2413" t="s">
        <v>805</v>
      </c>
      <c r="I2413">
        <v>194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194</v>
      </c>
      <c r="P2413" s="44" t="e">
        <f>_xlfn.XLOOKUP(Tabla5[[#This Row],[EAN CORREGIDO]],'Tabla Articulos'!B:B,'Tabla Articulos'!D:D)</f>
        <v>#N/A</v>
      </c>
      <c r="Q2413" s="44" t="e">
        <f>_xlfn.XLOOKUP(S2413,'Tabla Articulos'!B:B,'Tabla Articulos'!E:E)</f>
        <v>#N/A</v>
      </c>
      <c r="R2413" s="44" t="e">
        <f t="shared" si="74"/>
        <v>#N/A</v>
      </c>
      <c r="S2413" s="45" t="str">
        <f t="shared" si="75"/>
        <v>7790070336002</v>
      </c>
    </row>
    <row r="2414" spans="1:19" hidden="1" x14ac:dyDescent="0.35">
      <c r="A2414" s="22">
        <v>2</v>
      </c>
      <c r="B2414" t="s">
        <v>5624</v>
      </c>
      <c r="C2414" t="s">
        <v>802</v>
      </c>
      <c r="D2414" t="s">
        <v>5730</v>
      </c>
      <c r="E2414" t="s">
        <v>5731</v>
      </c>
      <c r="F2414">
        <v>4020556</v>
      </c>
      <c r="G2414" t="s">
        <v>5732</v>
      </c>
      <c r="H2414" t="s">
        <v>805</v>
      </c>
      <c r="I2414">
        <v>16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16</v>
      </c>
      <c r="P2414" s="44" t="e">
        <f>_xlfn.XLOOKUP(Tabla5[[#This Row],[EAN CORREGIDO]],'Tabla Articulos'!B:B,'Tabla Articulos'!D:D)</f>
        <v>#N/A</v>
      </c>
      <c r="Q2414" s="44" t="e">
        <f>_xlfn.XLOOKUP(S2414,'Tabla Articulos'!B:B,'Tabla Articulos'!E:E)</f>
        <v>#N/A</v>
      </c>
      <c r="R2414" s="44" t="e">
        <f t="shared" si="74"/>
        <v>#N/A</v>
      </c>
      <c r="S2414" s="45" t="str">
        <f t="shared" si="75"/>
        <v>7798011977048</v>
      </c>
    </row>
    <row r="2415" spans="1:19" hidden="1" x14ac:dyDescent="0.35">
      <c r="A2415" s="22">
        <v>2</v>
      </c>
      <c r="B2415" t="s">
        <v>5624</v>
      </c>
      <c r="C2415" t="s">
        <v>802</v>
      </c>
      <c r="D2415" t="s">
        <v>199</v>
      </c>
      <c r="E2415" t="s">
        <v>1190</v>
      </c>
      <c r="F2415">
        <v>2006638</v>
      </c>
      <c r="G2415" t="s">
        <v>1191</v>
      </c>
      <c r="H2415" t="s">
        <v>805</v>
      </c>
      <c r="I2415">
        <v>33</v>
      </c>
      <c r="J2415">
        <v>60</v>
      </c>
      <c r="K2415">
        <v>60</v>
      </c>
      <c r="L2415">
        <v>2</v>
      </c>
      <c r="M2415">
        <v>2</v>
      </c>
      <c r="N2415">
        <v>0</v>
      </c>
      <c r="O2415">
        <v>29</v>
      </c>
      <c r="P2415" s="44" t="str">
        <f>_xlfn.XLOOKUP(Tabla5[[#This Row],[EAN CORREGIDO]],'Tabla Articulos'!B:B,'Tabla Articulos'!D:D)</f>
        <v>BARBIJO QUIRURGICO</v>
      </c>
      <c r="Q2415" s="44">
        <f>_xlfn.XLOOKUP(S2415,'Tabla Articulos'!B:B,'Tabla Articulos'!E:E)</f>
        <v>50</v>
      </c>
      <c r="R2415" s="44">
        <f t="shared" si="74"/>
        <v>1450</v>
      </c>
      <c r="S2415" s="45" t="str">
        <f t="shared" si="75"/>
        <v>LIM000462</v>
      </c>
    </row>
    <row r="2416" spans="1:19" hidden="1" x14ac:dyDescent="0.35">
      <c r="A2416" s="22">
        <v>2</v>
      </c>
      <c r="B2416" t="s">
        <v>5624</v>
      </c>
      <c r="C2416" t="s">
        <v>802</v>
      </c>
      <c r="D2416" t="s">
        <v>6360</v>
      </c>
      <c r="E2416" t="s">
        <v>6361</v>
      </c>
      <c r="F2416">
        <v>4020193</v>
      </c>
      <c r="G2416" t="s">
        <v>6362</v>
      </c>
      <c r="H2416" t="s">
        <v>805</v>
      </c>
      <c r="I2416">
        <v>51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51</v>
      </c>
      <c r="P2416" s="44" t="e">
        <f>_xlfn.XLOOKUP(Tabla5[[#This Row],[EAN CORREGIDO]],'Tabla Articulos'!B:B,'Tabla Articulos'!D:D)</f>
        <v>#N/A</v>
      </c>
      <c r="Q2416" s="44" t="e">
        <f>_xlfn.XLOOKUP(S2416,'Tabla Articulos'!B:B,'Tabla Articulos'!E:E)</f>
        <v>#N/A</v>
      </c>
      <c r="R2416" s="44" t="e">
        <f t="shared" si="74"/>
        <v>#N/A</v>
      </c>
      <c r="S2416" s="45" t="str">
        <f t="shared" si="75"/>
        <v>7794000006324</v>
      </c>
    </row>
    <row r="2417" spans="1:19" hidden="1" x14ac:dyDescent="0.35">
      <c r="A2417" s="22">
        <v>2</v>
      </c>
      <c r="B2417" t="s">
        <v>5624</v>
      </c>
      <c r="C2417" t="s">
        <v>802</v>
      </c>
      <c r="D2417" t="s">
        <v>6363</v>
      </c>
      <c r="E2417" t="s">
        <v>6364</v>
      </c>
      <c r="F2417">
        <v>4017440</v>
      </c>
      <c r="G2417" t="s">
        <v>6365</v>
      </c>
      <c r="H2417" t="s">
        <v>805</v>
      </c>
      <c r="I2417">
        <v>332</v>
      </c>
      <c r="J2417">
        <v>32</v>
      </c>
      <c r="K2417">
        <v>0</v>
      </c>
      <c r="L2417">
        <v>0</v>
      </c>
      <c r="M2417">
        <v>0</v>
      </c>
      <c r="N2417">
        <v>0</v>
      </c>
      <c r="O2417">
        <v>364</v>
      </c>
      <c r="P2417" s="44" t="e">
        <f>_xlfn.XLOOKUP(Tabla5[[#This Row],[EAN CORREGIDO]],'Tabla Articulos'!B:B,'Tabla Articulos'!D:D)</f>
        <v>#N/A</v>
      </c>
      <c r="Q2417" s="44" t="e">
        <f>_xlfn.XLOOKUP(S2417,'Tabla Articulos'!B:B,'Tabla Articulos'!E:E)</f>
        <v>#N/A</v>
      </c>
      <c r="R2417" s="44" t="e">
        <f t="shared" si="74"/>
        <v>#N/A</v>
      </c>
      <c r="S2417" s="45" t="str">
        <f t="shared" si="75"/>
        <v>7790895012259</v>
      </c>
    </row>
    <row r="2418" spans="1:19" hidden="1" x14ac:dyDescent="0.35">
      <c r="A2418" s="22">
        <v>2</v>
      </c>
      <c r="B2418" t="s">
        <v>5624</v>
      </c>
      <c r="C2418" t="s">
        <v>802</v>
      </c>
      <c r="D2418" t="s">
        <v>3544</v>
      </c>
      <c r="E2418" t="s">
        <v>3545</v>
      </c>
      <c r="F2418">
        <v>4020630</v>
      </c>
      <c r="G2418" t="s">
        <v>3546</v>
      </c>
      <c r="H2418" t="s">
        <v>805</v>
      </c>
      <c r="I2418">
        <v>58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58</v>
      </c>
      <c r="P2418" s="44" t="e">
        <f>_xlfn.XLOOKUP(Tabla5[[#This Row],[EAN CORREGIDO]],'Tabla Articulos'!B:B,'Tabla Articulos'!D:D)</f>
        <v>#N/A</v>
      </c>
      <c r="Q2418" s="44" t="e">
        <f>_xlfn.XLOOKUP(S2418,'Tabla Articulos'!B:B,'Tabla Articulos'!E:E)</f>
        <v>#N/A</v>
      </c>
      <c r="R2418" s="44" t="e">
        <f t="shared" si="74"/>
        <v>#N/A</v>
      </c>
      <c r="S2418" s="45" t="str">
        <f t="shared" si="75"/>
        <v>7794000004047</v>
      </c>
    </row>
    <row r="2419" spans="1:19" hidden="1" x14ac:dyDescent="0.35">
      <c r="A2419" s="22">
        <v>2</v>
      </c>
      <c r="B2419" t="s">
        <v>5624</v>
      </c>
      <c r="C2419" t="s">
        <v>802</v>
      </c>
      <c r="D2419" t="s">
        <v>3087</v>
      </c>
      <c r="E2419" t="s">
        <v>6366</v>
      </c>
      <c r="F2419">
        <v>4017688</v>
      </c>
      <c r="G2419" t="s">
        <v>6367</v>
      </c>
      <c r="H2419" t="s">
        <v>816</v>
      </c>
      <c r="I2419">
        <v>243.6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243.6</v>
      </c>
      <c r="P2419" s="44" t="e">
        <f>_xlfn.XLOOKUP(Tabla5[[#This Row],[EAN CORREGIDO]],'Tabla Articulos'!B:B,'Tabla Articulos'!D:D)</f>
        <v>#N/A</v>
      </c>
      <c r="Q2419" s="44" t="e">
        <f>_xlfn.XLOOKUP(S2419,'Tabla Articulos'!B:B,'Tabla Articulos'!E:E)</f>
        <v>#N/A</v>
      </c>
      <c r="R2419" s="44" t="e">
        <f t="shared" si="74"/>
        <v>#N/A</v>
      </c>
      <c r="S2419" s="45" t="str">
        <f t="shared" si="75"/>
        <v>7790212030072</v>
      </c>
    </row>
    <row r="2420" spans="1:19" hidden="1" x14ac:dyDescent="0.35">
      <c r="A2420" s="22">
        <v>2</v>
      </c>
      <c r="B2420" t="s">
        <v>5624</v>
      </c>
      <c r="C2420" t="s">
        <v>802</v>
      </c>
      <c r="D2420" t="s">
        <v>5971</v>
      </c>
      <c r="E2420" t="s">
        <v>5972</v>
      </c>
      <c r="F2420">
        <v>4017697</v>
      </c>
      <c r="G2420" t="s">
        <v>5973</v>
      </c>
      <c r="H2420" t="s">
        <v>816</v>
      </c>
      <c r="I2420">
        <v>412.77</v>
      </c>
      <c r="J2420">
        <v>0</v>
      </c>
      <c r="K2420">
        <v>0</v>
      </c>
      <c r="L2420">
        <v>9</v>
      </c>
      <c r="M2420">
        <v>9</v>
      </c>
      <c r="N2420">
        <v>0</v>
      </c>
      <c r="O2420">
        <v>394.77</v>
      </c>
      <c r="P2420" s="44" t="e">
        <f>_xlfn.XLOOKUP(Tabla5[[#This Row],[EAN CORREGIDO]],'Tabla Articulos'!B:B,'Tabla Articulos'!D:D)</f>
        <v>#N/A</v>
      </c>
      <c r="Q2420" s="44" t="e">
        <f>_xlfn.XLOOKUP(S2420,'Tabla Articulos'!B:B,'Tabla Articulos'!E:E)</f>
        <v>#N/A</v>
      </c>
      <c r="R2420" s="44" t="e">
        <f t="shared" si="74"/>
        <v>#N/A</v>
      </c>
      <c r="S2420" s="45" t="str">
        <f t="shared" si="75"/>
        <v>7790212031273</v>
      </c>
    </row>
    <row r="2421" spans="1:19" hidden="1" x14ac:dyDescent="0.35">
      <c r="A2421" s="22">
        <v>2</v>
      </c>
      <c r="B2421" t="s">
        <v>5624</v>
      </c>
      <c r="C2421" t="s">
        <v>802</v>
      </c>
      <c r="D2421" t="s">
        <v>977</v>
      </c>
      <c r="E2421" t="s">
        <v>978</v>
      </c>
      <c r="F2421">
        <v>4017763</v>
      </c>
      <c r="G2421" t="s">
        <v>979</v>
      </c>
      <c r="H2421" t="s">
        <v>816</v>
      </c>
      <c r="I2421">
        <v>1133.75</v>
      </c>
      <c r="J2421">
        <v>0</v>
      </c>
      <c r="K2421">
        <v>0</v>
      </c>
      <c r="L2421">
        <v>121.2</v>
      </c>
      <c r="M2421">
        <v>121.2</v>
      </c>
      <c r="N2421">
        <v>0</v>
      </c>
      <c r="O2421">
        <v>891.35</v>
      </c>
      <c r="P2421" s="44" t="e">
        <f>_xlfn.XLOOKUP(Tabla5[[#This Row],[EAN CORREGIDO]],'Tabla Articulos'!B:B,'Tabla Articulos'!D:D)</f>
        <v>#N/A</v>
      </c>
      <c r="Q2421" s="44" t="e">
        <f>_xlfn.XLOOKUP(S2421,'Tabla Articulos'!B:B,'Tabla Articulos'!E:E)</f>
        <v>#N/A</v>
      </c>
      <c r="R2421" s="44" t="e">
        <f t="shared" si="74"/>
        <v>#N/A</v>
      </c>
      <c r="S2421" s="45" t="str">
        <f t="shared" si="75"/>
        <v>7790212050098</v>
      </c>
    </row>
    <row r="2422" spans="1:19" hidden="1" x14ac:dyDescent="0.35">
      <c r="A2422" s="22">
        <v>2</v>
      </c>
      <c r="B2422" t="s">
        <v>5624</v>
      </c>
      <c r="C2422" t="s">
        <v>802</v>
      </c>
      <c r="D2422" t="s">
        <v>1173</v>
      </c>
      <c r="E2422" t="s">
        <v>5664</v>
      </c>
      <c r="F2422">
        <v>4024740</v>
      </c>
      <c r="G2422" t="s">
        <v>5665</v>
      </c>
      <c r="H2422" t="s">
        <v>816</v>
      </c>
      <c r="I2422">
        <v>94.18</v>
      </c>
      <c r="J2422">
        <v>0</v>
      </c>
      <c r="K2422">
        <v>0</v>
      </c>
      <c r="L2422">
        <v>38</v>
      </c>
      <c r="M2422">
        <v>38</v>
      </c>
      <c r="N2422">
        <v>0</v>
      </c>
      <c r="O2422">
        <v>18.18</v>
      </c>
      <c r="P2422" s="44" t="e">
        <f>_xlfn.XLOOKUP(Tabla5[[#This Row],[EAN CORREGIDO]],'Tabla Articulos'!B:B,'Tabla Articulos'!D:D)</f>
        <v>#N/A</v>
      </c>
      <c r="Q2422" s="44" t="e">
        <f>_xlfn.XLOOKUP(S2422,'Tabla Articulos'!B:B,'Tabla Articulos'!E:E)</f>
        <v>#N/A</v>
      </c>
      <c r="R2422" s="44" t="e">
        <f t="shared" si="74"/>
        <v>#N/A</v>
      </c>
      <c r="S2422" s="45" t="str">
        <f t="shared" si="75"/>
        <v>7790000000636</v>
      </c>
    </row>
    <row r="2423" spans="1:19" hidden="1" x14ac:dyDescent="0.35">
      <c r="A2423" s="22">
        <v>2</v>
      </c>
      <c r="B2423" t="s">
        <v>5624</v>
      </c>
      <c r="C2423" t="s">
        <v>802</v>
      </c>
      <c r="D2423" t="s">
        <v>1601</v>
      </c>
      <c r="E2423" t="s">
        <v>2648</v>
      </c>
      <c r="F2423">
        <v>4019673</v>
      </c>
      <c r="G2423" t="s">
        <v>2649</v>
      </c>
      <c r="H2423" t="s">
        <v>805</v>
      </c>
      <c r="I2423">
        <v>40</v>
      </c>
      <c r="J2423">
        <v>0</v>
      </c>
      <c r="K2423">
        <v>0</v>
      </c>
      <c r="L2423">
        <v>3</v>
      </c>
      <c r="M2423">
        <v>3</v>
      </c>
      <c r="N2423">
        <v>0</v>
      </c>
      <c r="O2423">
        <v>34</v>
      </c>
      <c r="P2423" s="44" t="e">
        <f>_xlfn.XLOOKUP(Tabla5[[#This Row],[EAN CORREGIDO]],'Tabla Articulos'!B:B,'Tabla Articulos'!D:D)</f>
        <v>#N/A</v>
      </c>
      <c r="Q2423" s="44" t="e">
        <f>_xlfn.XLOOKUP(S2423,'Tabla Articulos'!B:B,'Tabla Articulos'!E:E)</f>
        <v>#N/A</v>
      </c>
      <c r="R2423" s="44" t="e">
        <f t="shared" si="74"/>
        <v>#N/A</v>
      </c>
      <c r="S2423" s="45" t="str">
        <f t="shared" si="75"/>
        <v>7790971002501</v>
      </c>
    </row>
    <row r="2424" spans="1:19" hidden="1" x14ac:dyDescent="0.35">
      <c r="A2424" s="22">
        <v>2</v>
      </c>
      <c r="B2424" t="s">
        <v>5624</v>
      </c>
      <c r="C2424" t="s">
        <v>802</v>
      </c>
      <c r="D2424" t="s">
        <v>291</v>
      </c>
      <c r="E2424" t="s">
        <v>2855</v>
      </c>
      <c r="F2424">
        <v>2006646</v>
      </c>
      <c r="G2424" t="s">
        <v>2856</v>
      </c>
      <c r="H2424" t="s">
        <v>805</v>
      </c>
      <c r="I2424">
        <v>349</v>
      </c>
      <c r="J2424">
        <v>0</v>
      </c>
      <c r="K2424">
        <v>0</v>
      </c>
      <c r="L2424">
        <v>161</v>
      </c>
      <c r="M2424">
        <v>161</v>
      </c>
      <c r="N2424">
        <v>0</v>
      </c>
      <c r="O2424">
        <v>27</v>
      </c>
      <c r="P2424" s="44" t="str">
        <f>_xlfn.XLOOKUP(Tabla5[[#This Row],[EAN CORREGIDO]],'Tabla Articulos'!B:B,'Tabla Articulos'!D:D)</f>
        <v>BANDEJA 101</v>
      </c>
      <c r="Q2424" s="44">
        <f>_xlfn.XLOOKUP(S2424,'Tabla Articulos'!B:B,'Tabla Articulos'!E:E)</f>
        <v>100</v>
      </c>
      <c r="R2424" s="44">
        <f t="shared" si="74"/>
        <v>2700</v>
      </c>
      <c r="S2424" s="45" t="str">
        <f t="shared" si="75"/>
        <v>7790321020283</v>
      </c>
    </row>
    <row r="2425" spans="1:19" hidden="1" x14ac:dyDescent="0.35">
      <c r="A2425" s="22">
        <v>2</v>
      </c>
      <c r="B2425" t="s">
        <v>5624</v>
      </c>
      <c r="C2425" t="s">
        <v>802</v>
      </c>
      <c r="D2425" t="s">
        <v>2862</v>
      </c>
      <c r="E2425" t="s">
        <v>2863</v>
      </c>
      <c r="F2425">
        <v>4019585</v>
      </c>
      <c r="G2425" t="s">
        <v>2864</v>
      </c>
      <c r="H2425" t="s">
        <v>805</v>
      </c>
      <c r="I2425">
        <v>2139</v>
      </c>
      <c r="J2425">
        <v>0</v>
      </c>
      <c r="K2425">
        <v>0</v>
      </c>
      <c r="L2425">
        <v>17</v>
      </c>
      <c r="M2425">
        <v>17</v>
      </c>
      <c r="N2425">
        <v>0</v>
      </c>
      <c r="O2425">
        <v>2105</v>
      </c>
      <c r="P2425" s="44" t="e">
        <f>_xlfn.XLOOKUP(Tabla5[[#This Row],[EAN CORREGIDO]],'Tabla Articulos'!B:B,'Tabla Articulos'!D:D)</f>
        <v>#N/A</v>
      </c>
      <c r="Q2425" s="44" t="e">
        <f>_xlfn.XLOOKUP(S2425,'Tabla Articulos'!B:B,'Tabla Articulos'!E:E)</f>
        <v>#N/A</v>
      </c>
      <c r="R2425" s="44" t="e">
        <f t="shared" si="74"/>
        <v>#N/A</v>
      </c>
      <c r="S2425" s="45" t="str">
        <f t="shared" si="75"/>
        <v>7790580131487</v>
      </c>
    </row>
    <row r="2426" spans="1:19" hidden="1" x14ac:dyDescent="0.35">
      <c r="A2426" s="22">
        <v>2</v>
      </c>
      <c r="B2426" t="s">
        <v>5624</v>
      </c>
      <c r="C2426" t="s">
        <v>802</v>
      </c>
      <c r="D2426" t="s">
        <v>1463</v>
      </c>
      <c r="E2426" t="s">
        <v>6206</v>
      </c>
      <c r="F2426">
        <v>4018863</v>
      </c>
      <c r="G2426" t="s">
        <v>6207</v>
      </c>
      <c r="H2426" t="s">
        <v>805</v>
      </c>
      <c r="I2426">
        <v>20740</v>
      </c>
      <c r="J2426">
        <v>0</v>
      </c>
      <c r="K2426">
        <v>0</v>
      </c>
      <c r="L2426">
        <v>4024</v>
      </c>
      <c r="M2426">
        <v>4024</v>
      </c>
      <c r="N2426">
        <v>0</v>
      </c>
      <c r="O2426">
        <v>12692</v>
      </c>
      <c r="P2426" s="44" t="e">
        <f>_xlfn.XLOOKUP(Tabla5[[#This Row],[EAN CORREGIDO]],'Tabla Articulos'!B:B,'Tabla Articulos'!D:D)</f>
        <v>#N/A</v>
      </c>
      <c r="Q2426" s="44" t="e">
        <f>_xlfn.XLOOKUP(S2426,'Tabla Articulos'!B:B,'Tabla Articulos'!E:E)</f>
        <v>#N/A</v>
      </c>
      <c r="R2426" s="44" t="e">
        <f t="shared" si="74"/>
        <v>#N/A</v>
      </c>
      <c r="S2426" s="45" t="str">
        <f t="shared" si="75"/>
        <v>7796624012002</v>
      </c>
    </row>
    <row r="2427" spans="1:19" hidden="1" x14ac:dyDescent="0.35">
      <c r="A2427" s="22">
        <v>2</v>
      </c>
      <c r="B2427" t="s">
        <v>5624</v>
      </c>
      <c r="C2427" t="s">
        <v>802</v>
      </c>
      <c r="D2427" t="s">
        <v>838</v>
      </c>
      <c r="E2427" t="s">
        <v>2870</v>
      </c>
      <c r="F2427">
        <v>4077099</v>
      </c>
      <c r="G2427" t="s">
        <v>2871</v>
      </c>
      <c r="H2427" t="s">
        <v>805</v>
      </c>
      <c r="I2427">
        <v>15172</v>
      </c>
      <c r="J2427">
        <v>0</v>
      </c>
      <c r="K2427">
        <v>540</v>
      </c>
      <c r="L2427">
        <v>731</v>
      </c>
      <c r="M2427">
        <v>731</v>
      </c>
      <c r="N2427">
        <v>0</v>
      </c>
      <c r="O2427">
        <v>13170</v>
      </c>
      <c r="P2427" s="44" t="e">
        <f>_xlfn.XLOOKUP(Tabla5[[#This Row],[EAN CORREGIDO]],'Tabla Articulos'!B:B,'Tabla Articulos'!D:D)</f>
        <v>#N/A</v>
      </c>
      <c r="Q2427" s="44" t="e">
        <f>_xlfn.XLOOKUP(S2427,'Tabla Articulos'!B:B,'Tabla Articulos'!E:E)</f>
        <v>#N/A</v>
      </c>
      <c r="R2427" s="44" t="e">
        <f t="shared" si="74"/>
        <v>#N/A</v>
      </c>
      <c r="S2427" s="45" t="str">
        <f t="shared" si="75"/>
        <v>7798338290479</v>
      </c>
    </row>
    <row r="2428" spans="1:19" hidden="1" x14ac:dyDescent="0.35">
      <c r="A2428" s="22">
        <v>2</v>
      </c>
      <c r="B2428" t="s">
        <v>5624</v>
      </c>
      <c r="C2428" t="s">
        <v>802</v>
      </c>
      <c r="D2428" t="s">
        <v>6625</v>
      </c>
      <c r="E2428" t="s">
        <v>6626</v>
      </c>
      <c r="F2428">
        <v>4018481</v>
      </c>
      <c r="G2428" t="s">
        <v>6627</v>
      </c>
      <c r="H2428" t="s">
        <v>805</v>
      </c>
      <c r="I2428">
        <v>38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38</v>
      </c>
      <c r="P2428" s="44" t="e">
        <f>_xlfn.XLOOKUP(Tabla5[[#This Row],[EAN CORREGIDO]],'Tabla Articulos'!B:B,'Tabla Articulos'!D:D)</f>
        <v>#N/A</v>
      </c>
      <c r="Q2428" s="44" t="e">
        <f>_xlfn.XLOOKUP(S2428,'Tabla Articulos'!B:B,'Tabla Articulos'!E:E)</f>
        <v>#N/A</v>
      </c>
      <c r="R2428" s="44" t="e">
        <f t="shared" si="74"/>
        <v>#N/A</v>
      </c>
      <c r="S2428" s="45" t="str">
        <f t="shared" si="75"/>
        <v>7793890258998</v>
      </c>
    </row>
    <row r="2429" spans="1:19" hidden="1" x14ac:dyDescent="0.35">
      <c r="A2429" s="22">
        <v>2</v>
      </c>
      <c r="B2429" t="s">
        <v>5624</v>
      </c>
      <c r="C2429" t="s">
        <v>802</v>
      </c>
      <c r="D2429" t="s">
        <v>1559</v>
      </c>
      <c r="E2429" t="s">
        <v>4944</v>
      </c>
      <c r="F2429">
        <v>4019940</v>
      </c>
      <c r="G2429" t="s">
        <v>4945</v>
      </c>
      <c r="H2429" t="s">
        <v>805</v>
      </c>
      <c r="I2429">
        <v>946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946</v>
      </c>
      <c r="P2429" s="44" t="e">
        <f>_xlfn.XLOOKUP(Tabla5[[#This Row],[EAN CORREGIDO]],'Tabla Articulos'!B:B,'Tabla Articulos'!D:D)</f>
        <v>#N/A</v>
      </c>
      <c r="Q2429" s="44" t="e">
        <f>_xlfn.XLOOKUP(S2429,'Tabla Articulos'!B:B,'Tabla Articulos'!E:E)</f>
        <v>#N/A</v>
      </c>
      <c r="R2429" s="44" t="e">
        <f t="shared" si="74"/>
        <v>#N/A</v>
      </c>
      <c r="S2429" s="45" t="str">
        <f t="shared" si="75"/>
        <v>7791113001888</v>
      </c>
    </row>
    <row r="2430" spans="1:19" hidden="1" x14ac:dyDescent="0.35">
      <c r="A2430" s="22">
        <v>2</v>
      </c>
      <c r="B2430" t="s">
        <v>5624</v>
      </c>
      <c r="C2430" t="s">
        <v>802</v>
      </c>
      <c r="D2430" t="s">
        <v>189</v>
      </c>
      <c r="E2430" t="s">
        <v>6628</v>
      </c>
      <c r="F2430">
        <v>2006408</v>
      </c>
      <c r="G2430" t="s">
        <v>6629</v>
      </c>
      <c r="H2430" t="s">
        <v>805</v>
      </c>
      <c r="I2430">
        <v>46</v>
      </c>
      <c r="J2430">
        <v>52</v>
      </c>
      <c r="K2430">
        <v>0</v>
      </c>
      <c r="L2430">
        <v>15</v>
      </c>
      <c r="M2430">
        <v>15</v>
      </c>
      <c r="N2430">
        <v>0</v>
      </c>
      <c r="O2430">
        <v>68</v>
      </c>
      <c r="P2430" s="44" t="str">
        <f>_xlfn.XLOOKUP(Tabla5[[#This Row],[EAN CORREGIDO]],'Tabla Articulos'!B:B,'Tabla Articulos'!D:D)</f>
        <v>ARRANQUE 20X30</v>
      </c>
      <c r="Q2430" s="44">
        <f>_xlfn.XLOOKUP(S2430,'Tabla Articulos'!B:B,'Tabla Articulos'!E:E)</f>
        <v>1</v>
      </c>
      <c r="R2430" s="44">
        <f t="shared" si="74"/>
        <v>68</v>
      </c>
      <c r="S2430" s="45" t="str">
        <f t="shared" si="75"/>
        <v>16208001A</v>
      </c>
    </row>
    <row r="2431" spans="1:19" hidden="1" x14ac:dyDescent="0.35">
      <c r="A2431" s="22">
        <v>2</v>
      </c>
      <c r="B2431" t="s">
        <v>5624</v>
      </c>
      <c r="C2431" t="s">
        <v>802</v>
      </c>
      <c r="D2431" t="s">
        <v>3189</v>
      </c>
      <c r="E2431" t="s">
        <v>4950</v>
      </c>
      <c r="F2431">
        <v>4019538</v>
      </c>
      <c r="G2431" t="s">
        <v>4951</v>
      </c>
      <c r="H2431" t="s">
        <v>805</v>
      </c>
      <c r="I2431">
        <v>1491</v>
      </c>
      <c r="J2431">
        <v>0</v>
      </c>
      <c r="K2431">
        <v>0</v>
      </c>
      <c r="L2431">
        <v>27</v>
      </c>
      <c r="M2431">
        <v>27</v>
      </c>
      <c r="N2431">
        <v>0</v>
      </c>
      <c r="O2431">
        <v>1437</v>
      </c>
      <c r="P2431" s="44" t="e">
        <f>_xlfn.XLOOKUP(Tabla5[[#This Row],[EAN CORREGIDO]],'Tabla Articulos'!B:B,'Tabla Articulos'!D:D)</f>
        <v>#N/A</v>
      </c>
      <c r="Q2431" s="44" t="e">
        <f>_xlfn.XLOOKUP(S2431,'Tabla Articulos'!B:B,'Tabla Articulos'!E:E)</f>
        <v>#N/A</v>
      </c>
      <c r="R2431" s="44" t="e">
        <f t="shared" si="74"/>
        <v>#N/A</v>
      </c>
      <c r="S2431" s="45" t="str">
        <f t="shared" si="75"/>
        <v>7790199603757</v>
      </c>
    </row>
    <row r="2432" spans="1:19" hidden="1" x14ac:dyDescent="0.35">
      <c r="A2432" s="22">
        <v>2</v>
      </c>
      <c r="B2432" t="s">
        <v>5624</v>
      </c>
      <c r="C2432" t="s">
        <v>802</v>
      </c>
      <c r="D2432" t="s">
        <v>6630</v>
      </c>
      <c r="E2432" t="s">
        <v>6631</v>
      </c>
      <c r="F2432">
        <v>4019314</v>
      </c>
      <c r="G2432" t="s">
        <v>6632</v>
      </c>
      <c r="H2432" t="s">
        <v>805</v>
      </c>
      <c r="I2432">
        <v>343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343</v>
      </c>
      <c r="P2432" s="44" t="e">
        <f>_xlfn.XLOOKUP(Tabla5[[#This Row],[EAN CORREGIDO]],'Tabla Articulos'!B:B,'Tabla Articulos'!D:D)</f>
        <v>#N/A</v>
      </c>
      <c r="Q2432" s="44" t="e">
        <f>_xlfn.XLOOKUP(S2432,'Tabla Articulos'!B:B,'Tabla Articulos'!E:E)</f>
        <v>#N/A</v>
      </c>
      <c r="R2432" s="44" t="e">
        <f t="shared" si="74"/>
        <v>#N/A</v>
      </c>
      <c r="S2432" s="45" t="str">
        <f t="shared" si="75"/>
        <v>7790150805015</v>
      </c>
    </row>
    <row r="2433" spans="1:19" hidden="1" x14ac:dyDescent="0.35">
      <c r="A2433" s="22">
        <v>2</v>
      </c>
      <c r="B2433" t="s">
        <v>5624</v>
      </c>
      <c r="C2433" t="s">
        <v>802</v>
      </c>
      <c r="D2433" t="s">
        <v>4954</v>
      </c>
      <c r="E2433" t="s">
        <v>4955</v>
      </c>
      <c r="F2433">
        <v>4024648</v>
      </c>
      <c r="G2433" t="s">
        <v>4956</v>
      </c>
      <c r="H2433" t="s">
        <v>805</v>
      </c>
      <c r="I2433">
        <v>84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84</v>
      </c>
      <c r="P2433" s="44" t="e">
        <f>_xlfn.XLOOKUP(Tabla5[[#This Row],[EAN CORREGIDO]],'Tabla Articulos'!B:B,'Tabla Articulos'!D:D)</f>
        <v>#N/A</v>
      </c>
      <c r="Q2433" s="44" t="e">
        <f>_xlfn.XLOOKUP(S2433,'Tabla Articulos'!B:B,'Tabla Articulos'!E:E)</f>
        <v>#N/A</v>
      </c>
      <c r="R2433" s="44" t="e">
        <f t="shared" ref="R2433:R2496" si="76">O2433*Q2433</f>
        <v>#N/A</v>
      </c>
      <c r="S2433" s="45" t="str">
        <f t="shared" ref="S2433:S2496" si="77">TRIM(E2433)</f>
        <v>7790580567903</v>
      </c>
    </row>
    <row r="2434" spans="1:19" hidden="1" x14ac:dyDescent="0.35">
      <c r="A2434" s="22">
        <v>2</v>
      </c>
      <c r="B2434" t="s">
        <v>5624</v>
      </c>
      <c r="C2434" t="s">
        <v>802</v>
      </c>
      <c r="D2434" t="s">
        <v>1494</v>
      </c>
      <c r="E2434" t="s">
        <v>6649</v>
      </c>
      <c r="F2434">
        <v>4019256</v>
      </c>
      <c r="G2434" t="s">
        <v>6650</v>
      </c>
      <c r="H2434" t="s">
        <v>805</v>
      </c>
      <c r="I2434">
        <v>428</v>
      </c>
      <c r="J2434">
        <v>0</v>
      </c>
      <c r="K2434">
        <v>0</v>
      </c>
      <c r="L2434">
        <v>32</v>
      </c>
      <c r="M2434">
        <v>32</v>
      </c>
      <c r="N2434">
        <v>0</v>
      </c>
      <c r="O2434">
        <v>364</v>
      </c>
      <c r="P2434" s="44" t="e">
        <f>_xlfn.XLOOKUP(Tabla5[[#This Row],[EAN CORREGIDO]],'Tabla Articulos'!B:B,'Tabla Articulos'!D:D)</f>
        <v>#N/A</v>
      </c>
      <c r="Q2434" s="44" t="e">
        <f>_xlfn.XLOOKUP(S2434,'Tabla Articulos'!B:B,'Tabla Articulos'!E:E)</f>
        <v>#N/A</v>
      </c>
      <c r="R2434" s="44" t="e">
        <f t="shared" si="76"/>
        <v>#N/A</v>
      </c>
      <c r="S2434" s="45" t="str">
        <f t="shared" si="77"/>
        <v>77987846</v>
      </c>
    </row>
    <row r="2435" spans="1:19" hidden="1" x14ac:dyDescent="0.35">
      <c r="A2435" s="22">
        <v>2</v>
      </c>
      <c r="B2435" t="s">
        <v>5624</v>
      </c>
      <c r="C2435" t="s">
        <v>802</v>
      </c>
      <c r="D2435" t="s">
        <v>1240</v>
      </c>
      <c r="E2435" t="s">
        <v>5917</v>
      </c>
      <c r="F2435">
        <v>4021601</v>
      </c>
      <c r="G2435" t="s">
        <v>5918</v>
      </c>
      <c r="H2435" t="s">
        <v>816</v>
      </c>
      <c r="I2435">
        <v>90.9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90.9</v>
      </c>
      <c r="P2435" s="44" t="e">
        <f>_xlfn.XLOOKUP(Tabla5[[#This Row],[EAN CORREGIDO]],'Tabla Articulos'!B:B,'Tabla Articulos'!D:D)</f>
        <v>#N/A</v>
      </c>
      <c r="Q2435" s="44" t="e">
        <f>_xlfn.XLOOKUP(S2435,'Tabla Articulos'!B:B,'Tabla Articulos'!E:E)</f>
        <v>#N/A</v>
      </c>
      <c r="R2435" s="44" t="e">
        <f t="shared" si="76"/>
        <v>#N/A</v>
      </c>
      <c r="S2435" s="45" t="str">
        <f t="shared" si="77"/>
        <v>7790212031214</v>
      </c>
    </row>
    <row r="2436" spans="1:19" hidden="1" x14ac:dyDescent="0.35">
      <c r="A2436" s="22">
        <v>2</v>
      </c>
      <c r="B2436" t="s">
        <v>5624</v>
      </c>
      <c r="C2436" t="s">
        <v>802</v>
      </c>
      <c r="D2436" t="s">
        <v>1207</v>
      </c>
      <c r="E2436" t="s">
        <v>5919</v>
      </c>
      <c r="F2436">
        <v>4022801</v>
      </c>
      <c r="G2436" t="s">
        <v>5920</v>
      </c>
      <c r="H2436" t="s">
        <v>805</v>
      </c>
      <c r="I2436">
        <v>352</v>
      </c>
      <c r="J2436">
        <v>0</v>
      </c>
      <c r="K2436">
        <v>0</v>
      </c>
      <c r="L2436">
        <v>6</v>
      </c>
      <c r="M2436">
        <v>6</v>
      </c>
      <c r="N2436">
        <v>0</v>
      </c>
      <c r="O2436">
        <v>340</v>
      </c>
      <c r="P2436" s="44" t="e">
        <f>_xlfn.XLOOKUP(Tabla5[[#This Row],[EAN CORREGIDO]],'Tabla Articulos'!B:B,'Tabla Articulos'!D:D)</f>
        <v>#N/A</v>
      </c>
      <c r="Q2436" s="44" t="e">
        <f>_xlfn.XLOOKUP(S2436,'Tabla Articulos'!B:B,'Tabla Articulos'!E:E)</f>
        <v>#N/A</v>
      </c>
      <c r="R2436" s="44" t="e">
        <f t="shared" si="76"/>
        <v>#N/A</v>
      </c>
      <c r="S2436" s="45" t="str">
        <f t="shared" si="77"/>
        <v>7790503199129</v>
      </c>
    </row>
    <row r="2437" spans="1:19" hidden="1" x14ac:dyDescent="0.35">
      <c r="A2437" s="22">
        <v>2</v>
      </c>
      <c r="B2437" t="s">
        <v>5624</v>
      </c>
      <c r="C2437" t="s">
        <v>802</v>
      </c>
      <c r="D2437" t="s">
        <v>1901</v>
      </c>
      <c r="E2437" t="s">
        <v>1902</v>
      </c>
      <c r="F2437">
        <v>4021279</v>
      </c>
      <c r="G2437" t="s">
        <v>1903</v>
      </c>
      <c r="H2437" t="s">
        <v>805</v>
      </c>
      <c r="I2437">
        <v>92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92</v>
      </c>
      <c r="P2437" s="44" t="e">
        <f>_xlfn.XLOOKUP(Tabla5[[#This Row],[EAN CORREGIDO]],'Tabla Articulos'!B:B,'Tabla Articulos'!D:D)</f>
        <v>#N/A</v>
      </c>
      <c r="Q2437" s="44" t="e">
        <f>_xlfn.XLOOKUP(S2437,'Tabla Articulos'!B:B,'Tabla Articulos'!E:E)</f>
        <v>#N/A</v>
      </c>
      <c r="R2437" s="44" t="e">
        <f t="shared" si="76"/>
        <v>#N/A</v>
      </c>
      <c r="S2437" s="45" t="str">
        <f t="shared" si="77"/>
        <v>7792180145352</v>
      </c>
    </row>
    <row r="2438" spans="1:19" hidden="1" x14ac:dyDescent="0.35">
      <c r="A2438" s="22">
        <v>2</v>
      </c>
      <c r="B2438" t="s">
        <v>5624</v>
      </c>
      <c r="C2438" t="s">
        <v>802</v>
      </c>
      <c r="D2438" t="s">
        <v>1380</v>
      </c>
      <c r="E2438" t="s">
        <v>6147</v>
      </c>
      <c r="F2438">
        <v>4019600</v>
      </c>
      <c r="G2438" t="s">
        <v>6148</v>
      </c>
      <c r="H2438" t="s">
        <v>805</v>
      </c>
      <c r="I2438">
        <v>82</v>
      </c>
      <c r="J2438">
        <v>0</v>
      </c>
      <c r="K2438">
        <v>0</v>
      </c>
      <c r="L2438">
        <v>2</v>
      </c>
      <c r="M2438">
        <v>2</v>
      </c>
      <c r="N2438">
        <v>0</v>
      </c>
      <c r="O2438">
        <v>78</v>
      </c>
      <c r="P2438" s="44" t="e">
        <f>_xlfn.XLOOKUP(Tabla5[[#This Row],[EAN CORREGIDO]],'Tabla Articulos'!B:B,'Tabla Articulos'!D:D)</f>
        <v>#N/A</v>
      </c>
      <c r="Q2438" s="44" t="e">
        <f>_xlfn.XLOOKUP(S2438,'Tabla Articulos'!B:B,'Tabla Articulos'!E:E)</f>
        <v>#N/A</v>
      </c>
      <c r="R2438" s="44" t="e">
        <f t="shared" si="76"/>
        <v>#N/A</v>
      </c>
      <c r="S2438" s="45" t="str">
        <f t="shared" si="77"/>
        <v>7790971000859</v>
      </c>
    </row>
    <row r="2439" spans="1:19" hidden="1" x14ac:dyDescent="0.35">
      <c r="A2439" s="22">
        <v>2</v>
      </c>
      <c r="B2439" t="s">
        <v>5624</v>
      </c>
      <c r="C2439" t="s">
        <v>802</v>
      </c>
      <c r="D2439" t="s">
        <v>1138</v>
      </c>
      <c r="E2439" t="s">
        <v>3909</v>
      </c>
      <c r="F2439">
        <v>4019975</v>
      </c>
      <c r="G2439" t="s">
        <v>3910</v>
      </c>
      <c r="H2439" t="s">
        <v>805</v>
      </c>
      <c r="I2439">
        <v>4</v>
      </c>
      <c r="J2439">
        <v>0</v>
      </c>
      <c r="K2439">
        <v>0</v>
      </c>
      <c r="L2439">
        <v>1</v>
      </c>
      <c r="M2439">
        <v>1</v>
      </c>
      <c r="N2439">
        <v>0</v>
      </c>
      <c r="O2439">
        <v>2</v>
      </c>
      <c r="P2439" s="44" t="e">
        <f>_xlfn.XLOOKUP(Tabla5[[#This Row],[EAN CORREGIDO]],'Tabla Articulos'!B:B,'Tabla Articulos'!D:D)</f>
        <v>#N/A</v>
      </c>
      <c r="Q2439" s="44" t="e">
        <f>_xlfn.XLOOKUP(S2439,'Tabla Articulos'!B:B,'Tabla Articulos'!E:E)</f>
        <v>#N/A</v>
      </c>
      <c r="R2439" s="44" t="e">
        <f t="shared" si="76"/>
        <v>#N/A</v>
      </c>
      <c r="S2439" s="45" t="str">
        <f t="shared" si="77"/>
        <v>7791885409301</v>
      </c>
    </row>
    <row r="2440" spans="1:19" hidden="1" x14ac:dyDescent="0.35">
      <c r="A2440" s="22">
        <v>2</v>
      </c>
      <c r="B2440" t="s">
        <v>5624</v>
      </c>
      <c r="C2440" t="s">
        <v>802</v>
      </c>
      <c r="D2440" t="s">
        <v>2121</v>
      </c>
      <c r="E2440" t="s">
        <v>3911</v>
      </c>
      <c r="F2440">
        <v>4019694</v>
      </c>
      <c r="G2440" t="s">
        <v>3912</v>
      </c>
      <c r="H2440" t="s">
        <v>805</v>
      </c>
      <c r="I2440">
        <v>193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193</v>
      </c>
      <c r="P2440" s="44" t="e">
        <f>_xlfn.XLOOKUP(Tabla5[[#This Row],[EAN CORREGIDO]],'Tabla Articulos'!B:B,'Tabla Articulos'!D:D)</f>
        <v>#N/A</v>
      </c>
      <c r="Q2440" s="44" t="e">
        <f>_xlfn.XLOOKUP(S2440,'Tabla Articulos'!B:B,'Tabla Articulos'!E:E)</f>
        <v>#N/A</v>
      </c>
      <c r="R2440" s="44" t="e">
        <f t="shared" si="76"/>
        <v>#N/A</v>
      </c>
      <c r="S2440" s="45" t="str">
        <f t="shared" si="77"/>
        <v>7791113002656</v>
      </c>
    </row>
    <row r="2441" spans="1:19" hidden="1" x14ac:dyDescent="0.35">
      <c r="A2441" s="22">
        <v>2</v>
      </c>
      <c r="B2441" t="s">
        <v>5624</v>
      </c>
      <c r="C2441" t="s">
        <v>802</v>
      </c>
      <c r="D2441" t="s">
        <v>2637</v>
      </c>
      <c r="E2441" t="s">
        <v>3924</v>
      </c>
      <c r="F2441">
        <v>4024185</v>
      </c>
      <c r="G2441" t="s">
        <v>3925</v>
      </c>
      <c r="H2441" t="s">
        <v>805</v>
      </c>
      <c r="I2441">
        <v>397</v>
      </c>
      <c r="J2441">
        <v>0</v>
      </c>
      <c r="K2441">
        <v>0</v>
      </c>
      <c r="L2441">
        <v>130</v>
      </c>
      <c r="M2441">
        <v>130</v>
      </c>
      <c r="N2441">
        <v>0</v>
      </c>
      <c r="O2441">
        <v>137</v>
      </c>
      <c r="P2441" s="44" t="e">
        <f>_xlfn.XLOOKUP(Tabla5[[#This Row],[EAN CORREGIDO]],'Tabla Articulos'!B:B,'Tabla Articulos'!D:D)</f>
        <v>#N/A</v>
      </c>
      <c r="Q2441" s="44" t="e">
        <f>_xlfn.XLOOKUP(S2441,'Tabla Articulos'!B:B,'Tabla Articulos'!E:E)</f>
        <v>#N/A</v>
      </c>
      <c r="R2441" s="44" t="e">
        <f t="shared" si="76"/>
        <v>#N/A</v>
      </c>
      <c r="S2441" s="45" t="str">
        <f t="shared" si="77"/>
        <v>7795311833326</v>
      </c>
    </row>
    <row r="2442" spans="1:19" hidden="1" x14ac:dyDescent="0.35">
      <c r="A2442" s="22">
        <v>2</v>
      </c>
      <c r="B2442" t="s">
        <v>5624</v>
      </c>
      <c r="C2442" t="s">
        <v>802</v>
      </c>
      <c r="D2442" t="s">
        <v>4323</v>
      </c>
      <c r="E2442" t="s">
        <v>4324</v>
      </c>
      <c r="F2442">
        <v>4017624</v>
      </c>
      <c r="G2442" t="s">
        <v>4325</v>
      </c>
      <c r="H2442" t="s">
        <v>805</v>
      </c>
      <c r="I2442">
        <v>11</v>
      </c>
      <c r="J2442">
        <v>0</v>
      </c>
      <c r="K2442">
        <v>0</v>
      </c>
      <c r="L2442">
        <v>0</v>
      </c>
      <c r="M2442">
        <v>0</v>
      </c>
      <c r="N2442">
        <v>5</v>
      </c>
      <c r="O2442">
        <v>6</v>
      </c>
      <c r="P2442" s="44" t="e">
        <f>_xlfn.XLOOKUP(Tabla5[[#This Row],[EAN CORREGIDO]],'Tabla Articulos'!B:B,'Tabla Articulos'!D:D)</f>
        <v>#N/A</v>
      </c>
      <c r="Q2442" s="44" t="e">
        <f>_xlfn.XLOOKUP(S2442,'Tabla Articulos'!B:B,'Tabla Articulos'!E:E)</f>
        <v>#N/A</v>
      </c>
      <c r="R2442" s="44" t="e">
        <f t="shared" si="76"/>
        <v>#N/A</v>
      </c>
      <c r="S2442" s="45" t="str">
        <f t="shared" si="77"/>
        <v>7790212030076</v>
      </c>
    </row>
    <row r="2443" spans="1:19" hidden="1" x14ac:dyDescent="0.35">
      <c r="A2443" s="22">
        <v>2</v>
      </c>
      <c r="B2443" t="s">
        <v>5624</v>
      </c>
      <c r="C2443" t="s">
        <v>802</v>
      </c>
      <c r="D2443" t="s">
        <v>4330</v>
      </c>
      <c r="E2443" t="s">
        <v>4331</v>
      </c>
      <c r="F2443">
        <v>4018620</v>
      </c>
      <c r="G2443" t="s">
        <v>4332</v>
      </c>
      <c r="H2443" t="s">
        <v>816</v>
      </c>
      <c r="I2443">
        <v>5440.77</v>
      </c>
      <c r="J2443">
        <v>0</v>
      </c>
      <c r="K2443">
        <v>431.73</v>
      </c>
      <c r="L2443">
        <v>0</v>
      </c>
      <c r="M2443">
        <v>0</v>
      </c>
      <c r="N2443">
        <v>0</v>
      </c>
      <c r="O2443">
        <v>5009.04</v>
      </c>
      <c r="P2443" s="44" t="e">
        <f>_xlfn.XLOOKUP(Tabla5[[#This Row],[EAN CORREGIDO]],'Tabla Articulos'!B:B,'Tabla Articulos'!D:D)</f>
        <v>#N/A</v>
      </c>
      <c r="Q2443" s="44" t="e">
        <f>_xlfn.XLOOKUP(S2443,'Tabla Articulos'!B:B,'Tabla Articulos'!E:E)</f>
        <v>#N/A</v>
      </c>
      <c r="R2443" s="44" t="e">
        <f t="shared" si="76"/>
        <v>#N/A</v>
      </c>
      <c r="S2443" s="45" t="str">
        <f t="shared" si="77"/>
        <v>7790213010012</v>
      </c>
    </row>
    <row r="2444" spans="1:19" hidden="1" x14ac:dyDescent="0.35">
      <c r="A2444" s="22">
        <v>2</v>
      </c>
      <c r="B2444" t="s">
        <v>5624</v>
      </c>
      <c r="C2444" t="s">
        <v>802</v>
      </c>
      <c r="D2444" t="s">
        <v>6505</v>
      </c>
      <c r="E2444" t="s">
        <v>6506</v>
      </c>
      <c r="F2444">
        <v>4018438</v>
      </c>
      <c r="G2444" t="s">
        <v>6507</v>
      </c>
      <c r="H2444" t="s">
        <v>805</v>
      </c>
      <c r="I2444">
        <v>29</v>
      </c>
      <c r="J2444">
        <v>0</v>
      </c>
      <c r="K2444">
        <v>0</v>
      </c>
      <c r="L2444">
        <v>9</v>
      </c>
      <c r="M2444">
        <v>9</v>
      </c>
      <c r="N2444">
        <v>0</v>
      </c>
      <c r="O2444">
        <v>11</v>
      </c>
      <c r="P2444" s="44" t="e">
        <f>_xlfn.XLOOKUP(Tabla5[[#This Row],[EAN CORREGIDO]],'Tabla Articulos'!B:B,'Tabla Articulos'!D:D)</f>
        <v>#N/A</v>
      </c>
      <c r="Q2444" s="44" t="e">
        <f>_xlfn.XLOOKUP(S2444,'Tabla Articulos'!B:B,'Tabla Articulos'!E:E)</f>
        <v>#N/A</v>
      </c>
      <c r="R2444" s="44" t="e">
        <f t="shared" si="76"/>
        <v>#N/A</v>
      </c>
      <c r="S2444" s="45" t="str">
        <f t="shared" si="77"/>
        <v>7793890258783</v>
      </c>
    </row>
    <row r="2445" spans="1:19" hidden="1" x14ac:dyDescent="0.35">
      <c r="A2445" s="22">
        <v>2</v>
      </c>
      <c r="B2445" t="s">
        <v>5624</v>
      </c>
      <c r="C2445" t="s">
        <v>802</v>
      </c>
      <c r="D2445" t="s">
        <v>4333</v>
      </c>
      <c r="E2445" t="s">
        <v>4334</v>
      </c>
      <c r="F2445">
        <v>4020085</v>
      </c>
      <c r="G2445" t="s">
        <v>4335</v>
      </c>
      <c r="H2445" t="s">
        <v>805</v>
      </c>
      <c r="I2445">
        <v>500</v>
      </c>
      <c r="J2445">
        <v>0</v>
      </c>
      <c r="K2445">
        <v>0</v>
      </c>
      <c r="L2445">
        <v>9</v>
      </c>
      <c r="M2445">
        <v>9</v>
      </c>
      <c r="N2445">
        <v>0</v>
      </c>
      <c r="O2445">
        <v>482</v>
      </c>
      <c r="P2445" s="44" t="e">
        <f>_xlfn.XLOOKUP(Tabla5[[#This Row],[EAN CORREGIDO]],'Tabla Articulos'!B:B,'Tabla Articulos'!D:D)</f>
        <v>#N/A</v>
      </c>
      <c r="Q2445" s="44" t="e">
        <f>_xlfn.XLOOKUP(S2445,'Tabla Articulos'!B:B,'Tabla Articulos'!E:E)</f>
        <v>#N/A</v>
      </c>
      <c r="R2445" s="44" t="e">
        <f t="shared" si="76"/>
        <v>#N/A</v>
      </c>
      <c r="S2445" s="45" t="str">
        <f t="shared" si="77"/>
        <v>7792350067088</v>
      </c>
    </row>
    <row r="2446" spans="1:19" hidden="1" x14ac:dyDescent="0.35">
      <c r="A2446" s="22">
        <v>2</v>
      </c>
      <c r="B2446" t="s">
        <v>5624</v>
      </c>
      <c r="C2446" t="s">
        <v>802</v>
      </c>
      <c r="D2446" t="s">
        <v>3482</v>
      </c>
      <c r="E2446" t="s">
        <v>6573</v>
      </c>
      <c r="F2446">
        <v>4024614</v>
      </c>
      <c r="G2446" t="s">
        <v>6574</v>
      </c>
      <c r="H2446" t="s">
        <v>805</v>
      </c>
      <c r="I2446">
        <v>358</v>
      </c>
      <c r="J2446">
        <v>0</v>
      </c>
      <c r="K2446">
        <v>0</v>
      </c>
      <c r="L2446">
        <v>9</v>
      </c>
      <c r="M2446">
        <v>9</v>
      </c>
      <c r="N2446">
        <v>0</v>
      </c>
      <c r="O2446">
        <v>340</v>
      </c>
      <c r="P2446" s="44" t="e">
        <f>_xlfn.XLOOKUP(Tabla5[[#This Row],[EAN CORREGIDO]],'Tabla Articulos'!B:B,'Tabla Articulos'!D:D)</f>
        <v>#N/A</v>
      </c>
      <c r="Q2446" s="44" t="e">
        <f>_xlfn.XLOOKUP(S2446,'Tabla Articulos'!B:B,'Tabla Articulos'!E:E)</f>
        <v>#N/A</v>
      </c>
      <c r="R2446" s="44" t="e">
        <f t="shared" si="76"/>
        <v>#N/A</v>
      </c>
      <c r="S2446" s="45" t="str">
        <f t="shared" si="77"/>
        <v>7798011976928</v>
      </c>
    </row>
    <row r="2447" spans="1:19" hidden="1" x14ac:dyDescent="0.35">
      <c r="A2447" s="22">
        <v>2</v>
      </c>
      <c r="B2447" t="s">
        <v>5624</v>
      </c>
      <c r="C2447" t="s">
        <v>802</v>
      </c>
      <c r="D2447" t="s">
        <v>2170</v>
      </c>
      <c r="E2447" t="s">
        <v>4694</v>
      </c>
      <c r="F2447">
        <v>4022319</v>
      </c>
      <c r="G2447" t="s">
        <v>4695</v>
      </c>
      <c r="H2447" t="s">
        <v>805</v>
      </c>
      <c r="I2447">
        <v>70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70</v>
      </c>
      <c r="P2447" s="44" t="e">
        <f>_xlfn.XLOOKUP(Tabla5[[#This Row],[EAN CORREGIDO]],'Tabla Articulos'!B:B,'Tabla Articulos'!D:D)</f>
        <v>#N/A</v>
      </c>
      <c r="Q2447" s="44" t="e">
        <f>_xlfn.XLOOKUP(S2447,'Tabla Articulos'!B:B,'Tabla Articulos'!E:E)</f>
        <v>#N/A</v>
      </c>
      <c r="R2447" s="44" t="e">
        <f t="shared" si="76"/>
        <v>#N/A</v>
      </c>
      <c r="S2447" s="45" t="str">
        <f t="shared" si="77"/>
        <v>7797906001950</v>
      </c>
    </row>
    <row r="2448" spans="1:19" hidden="1" x14ac:dyDescent="0.35">
      <c r="A2448" s="22">
        <v>2</v>
      </c>
      <c r="B2448" t="s">
        <v>5624</v>
      </c>
      <c r="C2448" t="s">
        <v>802</v>
      </c>
      <c r="D2448" t="s">
        <v>6684</v>
      </c>
      <c r="E2448" t="s">
        <v>6685</v>
      </c>
      <c r="F2448">
        <v>4018246</v>
      </c>
      <c r="G2448" t="s">
        <v>6686</v>
      </c>
      <c r="H2448" t="s">
        <v>816</v>
      </c>
      <c r="I2448">
        <v>624.33000000000004</v>
      </c>
      <c r="J2448">
        <v>0</v>
      </c>
      <c r="K2448">
        <v>0</v>
      </c>
      <c r="L2448">
        <v>98.85</v>
      </c>
      <c r="M2448">
        <v>98.85</v>
      </c>
      <c r="N2448">
        <v>0</v>
      </c>
      <c r="O2448">
        <v>426.63</v>
      </c>
      <c r="P2448" s="44" t="e">
        <f>_xlfn.XLOOKUP(Tabla5[[#This Row],[EAN CORREGIDO]],'Tabla Articulos'!B:B,'Tabla Articulos'!D:D)</f>
        <v>#N/A</v>
      </c>
      <c r="Q2448" s="44" t="e">
        <f>_xlfn.XLOOKUP(S2448,'Tabla Articulos'!B:B,'Tabla Articulos'!E:E)</f>
        <v>#N/A</v>
      </c>
      <c r="R2448" s="44" t="e">
        <f t="shared" si="76"/>
        <v>#N/A</v>
      </c>
      <c r="S2448" s="45" t="str">
        <f t="shared" si="77"/>
        <v>7790212060881</v>
      </c>
    </row>
    <row r="2449" spans="1:19" hidden="1" x14ac:dyDescent="0.35">
      <c r="A2449" s="22">
        <v>2</v>
      </c>
      <c r="B2449" t="s">
        <v>5624</v>
      </c>
      <c r="C2449" t="s">
        <v>802</v>
      </c>
      <c r="D2449" t="s">
        <v>6687</v>
      </c>
      <c r="E2449" t="s">
        <v>6688</v>
      </c>
      <c r="F2449">
        <v>4019892</v>
      </c>
      <c r="G2449" t="s">
        <v>6689</v>
      </c>
      <c r="H2449" t="s">
        <v>805</v>
      </c>
      <c r="I2449">
        <v>18</v>
      </c>
      <c r="J2449">
        <v>12</v>
      </c>
      <c r="K2449">
        <v>0</v>
      </c>
      <c r="L2449">
        <v>0</v>
      </c>
      <c r="M2449">
        <v>0</v>
      </c>
      <c r="N2449">
        <v>0</v>
      </c>
      <c r="O2449">
        <v>30</v>
      </c>
      <c r="P2449" s="44" t="e">
        <f>_xlfn.XLOOKUP(Tabla5[[#This Row],[EAN CORREGIDO]],'Tabla Articulos'!B:B,'Tabla Articulos'!D:D)</f>
        <v>#N/A</v>
      </c>
      <c r="Q2449" s="44" t="e">
        <f>_xlfn.XLOOKUP(S2449,'Tabla Articulos'!B:B,'Tabla Articulos'!E:E)</f>
        <v>#N/A</v>
      </c>
      <c r="R2449" s="44" t="e">
        <f t="shared" si="76"/>
        <v>#N/A</v>
      </c>
      <c r="S2449" s="45" t="str">
        <f t="shared" si="77"/>
        <v>7790895643743</v>
      </c>
    </row>
    <row r="2450" spans="1:19" hidden="1" x14ac:dyDescent="0.35">
      <c r="A2450" s="22">
        <v>2</v>
      </c>
      <c r="B2450" t="s">
        <v>5624</v>
      </c>
      <c r="C2450" t="s">
        <v>802</v>
      </c>
      <c r="D2450" t="s">
        <v>3402</v>
      </c>
      <c r="E2450" t="s">
        <v>6690</v>
      </c>
      <c r="F2450">
        <v>4020058</v>
      </c>
      <c r="G2450" t="s">
        <v>6691</v>
      </c>
      <c r="H2450" t="s">
        <v>805</v>
      </c>
      <c r="I2450">
        <v>4</v>
      </c>
      <c r="J2450">
        <v>0</v>
      </c>
      <c r="K2450">
        <v>0</v>
      </c>
      <c r="L2450">
        <v>1</v>
      </c>
      <c r="M2450">
        <v>1</v>
      </c>
      <c r="N2450">
        <v>0</v>
      </c>
      <c r="O2450">
        <v>2</v>
      </c>
      <c r="P2450" s="44" t="e">
        <f>_xlfn.XLOOKUP(Tabla5[[#This Row],[EAN CORREGIDO]],'Tabla Articulos'!B:B,'Tabla Articulos'!D:D)</f>
        <v>#N/A</v>
      </c>
      <c r="Q2450" s="44" t="e">
        <f>_xlfn.XLOOKUP(S2450,'Tabla Articulos'!B:B,'Tabla Articulos'!E:E)</f>
        <v>#N/A</v>
      </c>
      <c r="R2450" s="44" t="e">
        <f t="shared" si="76"/>
        <v>#N/A</v>
      </c>
      <c r="S2450" s="45" t="str">
        <f t="shared" si="77"/>
        <v>7793875317535</v>
      </c>
    </row>
    <row r="2451" spans="1:19" hidden="1" x14ac:dyDescent="0.35">
      <c r="A2451" s="22">
        <v>2</v>
      </c>
      <c r="B2451" t="s">
        <v>5624</v>
      </c>
      <c r="C2451" t="s">
        <v>802</v>
      </c>
      <c r="D2451" t="s">
        <v>1363</v>
      </c>
      <c r="E2451" t="s">
        <v>2031</v>
      </c>
      <c r="F2451">
        <v>4024426</v>
      </c>
      <c r="G2451" t="s">
        <v>2032</v>
      </c>
      <c r="H2451" t="s">
        <v>805</v>
      </c>
      <c r="I2451">
        <v>40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40</v>
      </c>
      <c r="P2451" s="44" t="e">
        <f>_xlfn.XLOOKUP(Tabla5[[#This Row],[EAN CORREGIDO]],'Tabla Articulos'!B:B,'Tabla Articulos'!D:D)</f>
        <v>#N/A</v>
      </c>
      <c r="Q2451" s="44" t="e">
        <f>_xlfn.XLOOKUP(S2451,'Tabla Articulos'!B:B,'Tabla Articulos'!E:E)</f>
        <v>#N/A</v>
      </c>
      <c r="R2451" s="44" t="e">
        <f t="shared" si="76"/>
        <v>#N/A</v>
      </c>
      <c r="S2451" s="45" t="str">
        <f t="shared" si="77"/>
        <v>7790150411391</v>
      </c>
    </row>
    <row r="2452" spans="1:19" hidden="1" x14ac:dyDescent="0.35">
      <c r="A2452" s="22">
        <v>2</v>
      </c>
      <c r="B2452" t="s">
        <v>5624</v>
      </c>
      <c r="C2452" t="s">
        <v>802</v>
      </c>
      <c r="D2452" t="s">
        <v>2035</v>
      </c>
      <c r="E2452" t="s">
        <v>2036</v>
      </c>
      <c r="F2452">
        <v>4020755</v>
      </c>
      <c r="G2452" t="s">
        <v>2037</v>
      </c>
      <c r="H2452" t="s">
        <v>805</v>
      </c>
      <c r="I2452">
        <v>366</v>
      </c>
      <c r="J2452">
        <v>0</v>
      </c>
      <c r="K2452">
        <v>0</v>
      </c>
      <c r="L2452">
        <v>4</v>
      </c>
      <c r="M2452">
        <v>4</v>
      </c>
      <c r="N2452">
        <v>0</v>
      </c>
      <c r="O2452">
        <v>358</v>
      </c>
      <c r="P2452" s="44" t="e">
        <f>_xlfn.XLOOKUP(Tabla5[[#This Row],[EAN CORREGIDO]],'Tabla Articulos'!B:B,'Tabla Articulos'!D:D)</f>
        <v>#N/A</v>
      </c>
      <c r="Q2452" s="44" t="e">
        <f>_xlfn.XLOOKUP(S2452,'Tabla Articulos'!B:B,'Tabla Articulos'!E:E)</f>
        <v>#N/A</v>
      </c>
      <c r="R2452" s="44" t="e">
        <f t="shared" si="76"/>
        <v>#N/A</v>
      </c>
      <c r="S2452" s="45" t="str">
        <f t="shared" si="77"/>
        <v>7793875313032</v>
      </c>
    </row>
    <row r="2453" spans="1:19" hidden="1" x14ac:dyDescent="0.35">
      <c r="A2453" s="22">
        <v>2</v>
      </c>
      <c r="B2453" t="s">
        <v>5624</v>
      </c>
      <c r="C2453" t="s">
        <v>802</v>
      </c>
      <c r="D2453" t="s">
        <v>1663</v>
      </c>
      <c r="E2453" t="s">
        <v>2043</v>
      </c>
      <c r="F2453">
        <v>4019420</v>
      </c>
      <c r="G2453" t="s">
        <v>2044</v>
      </c>
      <c r="H2453" t="s">
        <v>805</v>
      </c>
      <c r="I2453">
        <v>164</v>
      </c>
      <c r="J2453">
        <v>0</v>
      </c>
      <c r="K2453">
        <v>0</v>
      </c>
      <c r="L2453">
        <v>13</v>
      </c>
      <c r="M2453">
        <v>13</v>
      </c>
      <c r="N2453">
        <v>0</v>
      </c>
      <c r="O2453">
        <v>138</v>
      </c>
      <c r="P2453" s="44" t="e">
        <f>_xlfn.XLOOKUP(Tabla5[[#This Row],[EAN CORREGIDO]],'Tabla Articulos'!B:B,'Tabla Articulos'!D:D)</f>
        <v>#N/A</v>
      </c>
      <c r="Q2453" s="44" t="e">
        <f>_xlfn.XLOOKUP(S2453,'Tabla Articulos'!B:B,'Tabla Articulos'!E:E)</f>
        <v>#N/A</v>
      </c>
      <c r="R2453" s="44" t="e">
        <f t="shared" si="76"/>
        <v>#N/A</v>
      </c>
      <c r="S2453" s="45" t="str">
        <f t="shared" si="77"/>
        <v>7790070336149</v>
      </c>
    </row>
    <row r="2454" spans="1:19" hidden="1" x14ac:dyDescent="0.35">
      <c r="A2454" s="22">
        <v>2</v>
      </c>
      <c r="B2454" t="s">
        <v>5624</v>
      </c>
      <c r="C2454" t="s">
        <v>802</v>
      </c>
      <c r="D2454" t="s">
        <v>2891</v>
      </c>
      <c r="E2454" t="s">
        <v>3968</v>
      </c>
      <c r="F2454">
        <v>4020220</v>
      </c>
      <c r="G2454" t="s">
        <v>3969</v>
      </c>
      <c r="H2454" t="s">
        <v>805</v>
      </c>
      <c r="I2454">
        <v>213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213</v>
      </c>
      <c r="P2454" s="44" t="e">
        <f>_xlfn.XLOOKUP(Tabla5[[#This Row],[EAN CORREGIDO]],'Tabla Articulos'!B:B,'Tabla Articulos'!D:D)</f>
        <v>#N/A</v>
      </c>
      <c r="Q2454" s="44" t="e">
        <f>_xlfn.XLOOKUP(S2454,'Tabla Articulos'!B:B,'Tabla Articulos'!E:E)</f>
        <v>#N/A</v>
      </c>
      <c r="R2454" s="44" t="e">
        <f t="shared" si="76"/>
        <v>#N/A</v>
      </c>
      <c r="S2454" s="45" t="str">
        <f t="shared" si="77"/>
        <v>7793875314732</v>
      </c>
    </row>
    <row r="2455" spans="1:19" hidden="1" x14ac:dyDescent="0.35">
      <c r="A2455" s="22">
        <v>2</v>
      </c>
      <c r="B2455" t="s">
        <v>5624</v>
      </c>
      <c r="C2455" t="s">
        <v>802</v>
      </c>
      <c r="D2455" t="s">
        <v>6454</v>
      </c>
      <c r="E2455" t="s">
        <v>6455</v>
      </c>
      <c r="F2455">
        <v>4017313</v>
      </c>
      <c r="G2455" t="s">
        <v>6456</v>
      </c>
      <c r="H2455" t="s">
        <v>805</v>
      </c>
      <c r="I2455">
        <v>32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32</v>
      </c>
      <c r="P2455" s="44" t="e">
        <f>_xlfn.XLOOKUP(Tabla5[[#This Row],[EAN CORREGIDO]],'Tabla Articulos'!B:B,'Tabla Articulos'!D:D)</f>
        <v>#N/A</v>
      </c>
      <c r="Q2455" s="44" t="e">
        <f>_xlfn.XLOOKUP(S2455,'Tabla Articulos'!B:B,'Tabla Articulos'!E:E)</f>
        <v>#N/A</v>
      </c>
      <c r="R2455" s="44" t="e">
        <f t="shared" si="76"/>
        <v>#N/A</v>
      </c>
      <c r="S2455" s="45" t="str">
        <f t="shared" si="77"/>
        <v>7790895007255</v>
      </c>
    </row>
    <row r="2456" spans="1:19" hidden="1" x14ac:dyDescent="0.35">
      <c r="A2456" s="22">
        <v>2</v>
      </c>
      <c r="B2456" t="s">
        <v>5624</v>
      </c>
      <c r="C2456" t="s">
        <v>802</v>
      </c>
      <c r="D2456" t="s">
        <v>3970</v>
      </c>
      <c r="E2456" t="s">
        <v>3971</v>
      </c>
      <c r="F2456">
        <v>4018381</v>
      </c>
      <c r="G2456" t="s">
        <v>3972</v>
      </c>
      <c r="H2456" t="s">
        <v>805</v>
      </c>
      <c r="I2456">
        <v>18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18</v>
      </c>
      <c r="P2456" s="44" t="e">
        <f>_xlfn.XLOOKUP(Tabla5[[#This Row],[EAN CORREGIDO]],'Tabla Articulos'!B:B,'Tabla Articulos'!D:D)</f>
        <v>#N/A</v>
      </c>
      <c r="Q2456" s="44" t="e">
        <f>_xlfn.XLOOKUP(S2456,'Tabla Articulos'!B:B,'Tabla Articulos'!E:E)</f>
        <v>#N/A</v>
      </c>
      <c r="R2456" s="44" t="e">
        <f t="shared" si="76"/>
        <v>#N/A</v>
      </c>
      <c r="S2456" s="45" t="str">
        <f t="shared" si="77"/>
        <v>7790742335807</v>
      </c>
    </row>
    <row r="2457" spans="1:19" hidden="1" x14ac:dyDescent="0.35">
      <c r="A2457" s="22">
        <v>2</v>
      </c>
      <c r="B2457" t="s">
        <v>5624</v>
      </c>
      <c r="C2457" t="s">
        <v>802</v>
      </c>
      <c r="D2457" t="s">
        <v>1473</v>
      </c>
      <c r="E2457" t="s">
        <v>1474</v>
      </c>
      <c r="F2457">
        <v>4018714</v>
      </c>
      <c r="G2457" t="s">
        <v>1475</v>
      </c>
      <c r="H2457" t="s">
        <v>805</v>
      </c>
      <c r="I2457">
        <v>823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823</v>
      </c>
      <c r="P2457" s="44" t="e">
        <f>_xlfn.XLOOKUP(Tabla5[[#This Row],[EAN CORREGIDO]],'Tabla Articulos'!B:B,'Tabla Articulos'!D:D)</f>
        <v>#N/A</v>
      </c>
      <c r="Q2457" s="44" t="e">
        <f>_xlfn.XLOOKUP(S2457,'Tabla Articulos'!B:B,'Tabla Articulos'!E:E)</f>
        <v>#N/A</v>
      </c>
      <c r="R2457" s="44" t="e">
        <f t="shared" si="76"/>
        <v>#N/A</v>
      </c>
      <c r="S2457" s="45" t="str">
        <f t="shared" si="77"/>
        <v>7795711003596</v>
      </c>
    </row>
    <row r="2458" spans="1:19" hidden="1" x14ac:dyDescent="0.35">
      <c r="A2458" s="22">
        <v>2</v>
      </c>
      <c r="B2458" t="s">
        <v>5624</v>
      </c>
      <c r="C2458" t="s">
        <v>802</v>
      </c>
      <c r="D2458" t="s">
        <v>1476</v>
      </c>
      <c r="E2458" t="s">
        <v>1477</v>
      </c>
      <c r="F2458">
        <v>4017478</v>
      </c>
      <c r="G2458" t="s">
        <v>1478</v>
      </c>
      <c r="H2458" t="s">
        <v>805</v>
      </c>
      <c r="I2458">
        <v>697</v>
      </c>
      <c r="J2458">
        <v>0</v>
      </c>
      <c r="K2458">
        <v>0</v>
      </c>
      <c r="L2458">
        <v>73</v>
      </c>
      <c r="M2458">
        <v>73</v>
      </c>
      <c r="N2458">
        <v>0</v>
      </c>
      <c r="O2458">
        <v>551</v>
      </c>
      <c r="P2458" s="44" t="e">
        <f>_xlfn.XLOOKUP(Tabla5[[#This Row],[EAN CORREGIDO]],'Tabla Articulos'!B:B,'Tabla Articulos'!D:D)</f>
        <v>#N/A</v>
      </c>
      <c r="Q2458" s="44" t="e">
        <f>_xlfn.XLOOKUP(S2458,'Tabla Articulos'!B:B,'Tabla Articulos'!E:E)</f>
        <v>#N/A</v>
      </c>
      <c r="R2458" s="44" t="e">
        <f t="shared" si="76"/>
        <v>#N/A</v>
      </c>
      <c r="S2458" s="45" t="str">
        <f t="shared" si="77"/>
        <v>7790174001349</v>
      </c>
    </row>
    <row r="2459" spans="1:19" hidden="1" x14ac:dyDescent="0.35">
      <c r="A2459" s="22">
        <v>2</v>
      </c>
      <c r="B2459" t="s">
        <v>5624</v>
      </c>
      <c r="C2459" t="s">
        <v>802</v>
      </c>
      <c r="D2459" t="s">
        <v>1479</v>
      </c>
      <c r="E2459" t="s">
        <v>1480</v>
      </c>
      <c r="F2459">
        <v>4023141</v>
      </c>
      <c r="G2459" t="s">
        <v>1481</v>
      </c>
      <c r="H2459" t="s">
        <v>805</v>
      </c>
      <c r="I2459">
        <v>37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37</v>
      </c>
      <c r="P2459" s="44" t="e">
        <f>_xlfn.XLOOKUP(Tabla5[[#This Row],[EAN CORREGIDO]],'Tabla Articulos'!B:B,'Tabla Articulos'!D:D)</f>
        <v>#N/A</v>
      </c>
      <c r="Q2459" s="44" t="e">
        <f>_xlfn.XLOOKUP(S2459,'Tabla Articulos'!B:B,'Tabla Articulos'!E:E)</f>
        <v>#N/A</v>
      </c>
      <c r="R2459" s="44" t="e">
        <f t="shared" si="76"/>
        <v>#N/A</v>
      </c>
      <c r="S2459" s="45" t="str">
        <f t="shared" si="77"/>
        <v>7790580129644</v>
      </c>
    </row>
    <row r="2460" spans="1:19" hidden="1" x14ac:dyDescent="0.35">
      <c r="A2460" s="22">
        <v>2</v>
      </c>
      <c r="B2460" t="s">
        <v>5624</v>
      </c>
      <c r="C2460" t="s">
        <v>802</v>
      </c>
      <c r="D2460" t="s">
        <v>293</v>
      </c>
      <c r="E2460" t="s">
        <v>1482</v>
      </c>
      <c r="F2460">
        <v>2006953</v>
      </c>
      <c r="G2460" t="s">
        <v>1483</v>
      </c>
      <c r="H2460" t="s">
        <v>805</v>
      </c>
      <c r="I2460">
        <v>167</v>
      </c>
      <c r="J2460">
        <v>0</v>
      </c>
      <c r="K2460">
        <v>0</v>
      </c>
      <c r="L2460">
        <v>8</v>
      </c>
      <c r="M2460">
        <v>8</v>
      </c>
      <c r="N2460">
        <v>0</v>
      </c>
      <c r="O2460">
        <v>151</v>
      </c>
      <c r="P2460" s="44" t="str">
        <f>_xlfn.XLOOKUP(Tabla5[[#This Row],[EAN CORREGIDO]],'Tabla Articulos'!B:B,'Tabla Articulos'!D:D)</f>
        <v>CAMISETA BLANCA 40X50</v>
      </c>
      <c r="Q2460" s="44">
        <f>_xlfn.XLOOKUP(S2460,'Tabla Articulos'!B:B,'Tabla Articulos'!E:E)</f>
        <v>50</v>
      </c>
      <c r="R2460" s="44">
        <f t="shared" si="76"/>
        <v>7550</v>
      </c>
      <c r="S2460" s="45" t="str">
        <f t="shared" si="77"/>
        <v>7795618001244</v>
      </c>
    </row>
    <row r="2461" spans="1:19" hidden="1" x14ac:dyDescent="0.35">
      <c r="A2461" s="22">
        <v>2</v>
      </c>
      <c r="B2461" t="s">
        <v>5624</v>
      </c>
      <c r="C2461" t="s">
        <v>802</v>
      </c>
      <c r="D2461" t="s">
        <v>1663</v>
      </c>
      <c r="E2461" t="s">
        <v>5932</v>
      </c>
      <c r="F2461">
        <v>4024325</v>
      </c>
      <c r="G2461" t="s">
        <v>5933</v>
      </c>
      <c r="H2461" t="s">
        <v>805</v>
      </c>
      <c r="I2461">
        <v>138</v>
      </c>
      <c r="J2461">
        <v>0</v>
      </c>
      <c r="K2461">
        <v>0</v>
      </c>
      <c r="L2461">
        <v>27</v>
      </c>
      <c r="M2461">
        <v>27</v>
      </c>
      <c r="N2461">
        <v>0</v>
      </c>
      <c r="O2461">
        <v>84</v>
      </c>
      <c r="P2461" s="44" t="e">
        <f>_xlfn.XLOOKUP(Tabla5[[#This Row],[EAN CORREGIDO]],'Tabla Articulos'!B:B,'Tabla Articulos'!D:D)</f>
        <v>#N/A</v>
      </c>
      <c r="Q2461" s="44" t="e">
        <f>_xlfn.XLOOKUP(S2461,'Tabla Articulos'!B:B,'Tabla Articulos'!E:E)</f>
        <v>#N/A</v>
      </c>
      <c r="R2461" s="44" t="e">
        <f t="shared" si="76"/>
        <v>#N/A</v>
      </c>
      <c r="S2461" s="45" t="str">
        <f t="shared" si="77"/>
        <v>7790070318619</v>
      </c>
    </row>
    <row r="2462" spans="1:19" hidden="1" x14ac:dyDescent="0.35">
      <c r="A2462" s="22">
        <v>2</v>
      </c>
      <c r="B2462" t="s">
        <v>5624</v>
      </c>
      <c r="C2462" t="s">
        <v>802</v>
      </c>
      <c r="D2462" t="s">
        <v>5934</v>
      </c>
      <c r="E2462" t="s">
        <v>5935</v>
      </c>
      <c r="F2462">
        <v>4018791</v>
      </c>
      <c r="G2462" t="s">
        <v>5936</v>
      </c>
      <c r="H2462" t="s">
        <v>805</v>
      </c>
      <c r="I2462">
        <v>79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79</v>
      </c>
      <c r="P2462" s="44" t="e">
        <f>_xlfn.XLOOKUP(Tabla5[[#This Row],[EAN CORREGIDO]],'Tabla Articulos'!B:B,'Tabla Articulos'!D:D)</f>
        <v>#N/A</v>
      </c>
      <c r="Q2462" s="44" t="e">
        <f>_xlfn.XLOOKUP(S2462,'Tabla Articulos'!B:B,'Tabla Articulos'!E:E)</f>
        <v>#N/A</v>
      </c>
      <c r="R2462" s="44" t="e">
        <f t="shared" si="76"/>
        <v>#N/A</v>
      </c>
      <c r="S2462" s="45" t="str">
        <f t="shared" si="77"/>
        <v>7790045824893</v>
      </c>
    </row>
    <row r="2463" spans="1:19" hidden="1" x14ac:dyDescent="0.35">
      <c r="A2463" s="22">
        <v>2</v>
      </c>
      <c r="B2463" t="s">
        <v>5624</v>
      </c>
      <c r="C2463" t="s">
        <v>802</v>
      </c>
      <c r="D2463" t="s">
        <v>304</v>
      </c>
      <c r="E2463" t="s">
        <v>5937</v>
      </c>
      <c r="F2463">
        <v>2006179</v>
      </c>
      <c r="G2463" t="s">
        <v>5938</v>
      </c>
      <c r="H2463" t="s">
        <v>805</v>
      </c>
      <c r="I2463">
        <v>28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28</v>
      </c>
      <c r="P2463" s="44" t="str">
        <f>_xlfn.XLOOKUP(Tabla5[[#This Row],[EAN CORREGIDO]],'Tabla Articulos'!B:B,'Tabla Articulos'!D:D)</f>
        <v>TAPA VASO TERMICO 240</v>
      </c>
      <c r="Q2463" s="44">
        <f>_xlfn.XLOOKUP(S2463,'Tabla Articulos'!B:B,'Tabla Articulos'!E:E)</f>
        <v>50</v>
      </c>
      <c r="R2463" s="44">
        <f t="shared" si="76"/>
        <v>1400</v>
      </c>
      <c r="S2463" s="45" t="str">
        <f t="shared" si="77"/>
        <v>7790321020329</v>
      </c>
    </row>
    <row r="2464" spans="1:19" hidden="1" x14ac:dyDescent="0.35">
      <c r="A2464" s="22">
        <v>2</v>
      </c>
      <c r="B2464" t="s">
        <v>5624</v>
      </c>
      <c r="C2464" t="s">
        <v>802</v>
      </c>
      <c r="D2464" t="s">
        <v>3965</v>
      </c>
      <c r="E2464" t="s">
        <v>6449</v>
      </c>
      <c r="F2464">
        <v>4017972</v>
      </c>
      <c r="G2464" t="s">
        <v>6450</v>
      </c>
      <c r="H2464" t="s">
        <v>805</v>
      </c>
      <c r="I2464">
        <v>60</v>
      </c>
      <c r="J2464">
        <v>0</v>
      </c>
      <c r="K2464">
        <v>0</v>
      </c>
      <c r="L2464">
        <v>1</v>
      </c>
      <c r="M2464">
        <v>1</v>
      </c>
      <c r="N2464">
        <v>0</v>
      </c>
      <c r="O2464">
        <v>58</v>
      </c>
      <c r="P2464" s="44" t="e">
        <f>_xlfn.XLOOKUP(Tabla5[[#This Row],[EAN CORREGIDO]],'Tabla Articulos'!B:B,'Tabla Articulos'!D:D)</f>
        <v>#N/A</v>
      </c>
      <c r="Q2464" s="44" t="e">
        <f>_xlfn.XLOOKUP(S2464,'Tabla Articulos'!B:B,'Tabla Articulos'!E:E)</f>
        <v>#N/A</v>
      </c>
      <c r="R2464" s="44" t="e">
        <f t="shared" si="76"/>
        <v>#N/A</v>
      </c>
      <c r="S2464" s="45" t="str">
        <f t="shared" si="77"/>
        <v>7797906001943</v>
      </c>
    </row>
    <row r="2465" spans="1:19" hidden="1" x14ac:dyDescent="0.35">
      <c r="A2465" s="22">
        <v>2</v>
      </c>
      <c r="B2465" t="s">
        <v>5624</v>
      </c>
      <c r="C2465" t="s">
        <v>802</v>
      </c>
      <c r="D2465" t="s">
        <v>2859</v>
      </c>
      <c r="E2465" t="s">
        <v>3948</v>
      </c>
      <c r="F2465">
        <v>4049169</v>
      </c>
      <c r="G2465" t="s">
        <v>3949</v>
      </c>
      <c r="H2465" t="s">
        <v>805</v>
      </c>
      <c r="I2465">
        <v>0</v>
      </c>
      <c r="J2465">
        <v>100</v>
      </c>
      <c r="K2465">
        <v>0</v>
      </c>
      <c r="L2465">
        <v>0</v>
      </c>
      <c r="M2465">
        <v>0</v>
      </c>
      <c r="N2465">
        <v>0</v>
      </c>
      <c r="O2465">
        <v>100</v>
      </c>
      <c r="P2465" s="44" t="e">
        <f>_xlfn.XLOOKUP(Tabla5[[#This Row],[EAN CORREGIDO]],'Tabla Articulos'!B:B,'Tabla Articulos'!D:D)</f>
        <v>#N/A</v>
      </c>
      <c r="Q2465" s="44" t="e">
        <f>_xlfn.XLOOKUP(S2465,'Tabla Articulos'!B:B,'Tabla Articulos'!E:E)</f>
        <v>#N/A</v>
      </c>
      <c r="R2465" s="44" t="e">
        <f t="shared" si="76"/>
        <v>#N/A</v>
      </c>
      <c r="S2465" s="45" t="str">
        <f t="shared" si="77"/>
        <v>7793123160265</v>
      </c>
    </row>
    <row r="2466" spans="1:19" hidden="1" x14ac:dyDescent="0.35">
      <c r="A2466" s="22">
        <v>2</v>
      </c>
      <c r="B2466" t="s">
        <v>5624</v>
      </c>
      <c r="C2466" t="s">
        <v>802</v>
      </c>
      <c r="D2466" t="s">
        <v>2437</v>
      </c>
      <c r="E2466" t="s">
        <v>2438</v>
      </c>
      <c r="F2466">
        <v>4018878</v>
      </c>
      <c r="G2466" t="s">
        <v>2439</v>
      </c>
      <c r="H2466" t="s">
        <v>805</v>
      </c>
      <c r="I2466">
        <v>0</v>
      </c>
      <c r="J2466">
        <v>1200</v>
      </c>
      <c r="K2466">
        <v>0</v>
      </c>
      <c r="L2466">
        <v>0</v>
      </c>
      <c r="M2466">
        <v>0</v>
      </c>
      <c r="N2466">
        <v>48</v>
      </c>
      <c r="O2466">
        <v>1152</v>
      </c>
      <c r="P2466" s="44" t="e">
        <f>_xlfn.XLOOKUP(Tabla5[[#This Row],[EAN CORREGIDO]],'Tabla Articulos'!B:B,'Tabla Articulos'!D:D)</f>
        <v>#N/A</v>
      </c>
      <c r="Q2466" s="44" t="e">
        <f>_xlfn.XLOOKUP(S2466,'Tabla Articulos'!B:B,'Tabla Articulos'!E:E)</f>
        <v>#N/A</v>
      </c>
      <c r="R2466" s="44" t="e">
        <f t="shared" si="76"/>
        <v>#N/A</v>
      </c>
      <c r="S2466" s="45" t="str">
        <f t="shared" si="77"/>
        <v>7798082000126</v>
      </c>
    </row>
    <row r="2467" spans="1:19" hidden="1" x14ac:dyDescent="0.35">
      <c r="A2467" s="22">
        <v>2</v>
      </c>
      <c r="B2467" t="s">
        <v>5624</v>
      </c>
      <c r="C2467" t="s">
        <v>802</v>
      </c>
      <c r="D2467" t="s">
        <v>1116</v>
      </c>
      <c r="E2467" t="s">
        <v>2440</v>
      </c>
      <c r="F2467">
        <v>4023303</v>
      </c>
      <c r="G2467" t="s">
        <v>2441</v>
      </c>
      <c r="H2467" t="s">
        <v>805</v>
      </c>
      <c r="I2467">
        <v>5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5</v>
      </c>
      <c r="P2467" s="44" t="e">
        <f>_xlfn.XLOOKUP(Tabla5[[#This Row],[EAN CORREGIDO]],'Tabla Articulos'!B:B,'Tabla Articulos'!D:D)</f>
        <v>#N/A</v>
      </c>
      <c r="Q2467" s="44" t="e">
        <f>_xlfn.XLOOKUP(S2467,'Tabla Articulos'!B:B,'Tabla Articulos'!E:E)</f>
        <v>#N/A</v>
      </c>
      <c r="R2467" s="44" t="e">
        <f t="shared" si="76"/>
        <v>#N/A</v>
      </c>
      <c r="S2467" s="45" t="str">
        <f t="shared" si="77"/>
        <v>7792280000407</v>
      </c>
    </row>
    <row r="2468" spans="1:19" hidden="1" x14ac:dyDescent="0.35">
      <c r="A2468" s="22">
        <v>2</v>
      </c>
      <c r="B2468" t="s">
        <v>5624</v>
      </c>
      <c r="C2468" t="s">
        <v>802</v>
      </c>
      <c r="D2468" t="s">
        <v>2057</v>
      </c>
      <c r="E2468" t="s">
        <v>6068</v>
      </c>
      <c r="F2468">
        <v>4017241</v>
      </c>
      <c r="G2468" t="s">
        <v>6069</v>
      </c>
      <c r="H2468" t="s">
        <v>805</v>
      </c>
      <c r="I2468">
        <v>780</v>
      </c>
      <c r="J2468">
        <v>96</v>
      </c>
      <c r="K2468">
        <v>0</v>
      </c>
      <c r="L2468">
        <v>0</v>
      </c>
      <c r="M2468">
        <v>0</v>
      </c>
      <c r="N2468">
        <v>0</v>
      </c>
      <c r="O2468">
        <v>876</v>
      </c>
      <c r="P2468" s="44" t="e">
        <f>_xlfn.XLOOKUP(Tabla5[[#This Row],[EAN CORREGIDO]],'Tabla Articulos'!B:B,'Tabla Articulos'!D:D)</f>
        <v>#N/A</v>
      </c>
      <c r="Q2468" s="44" t="e">
        <f>_xlfn.XLOOKUP(S2468,'Tabla Articulos'!B:B,'Tabla Articulos'!E:E)</f>
        <v>#N/A</v>
      </c>
      <c r="R2468" s="44" t="e">
        <f t="shared" si="76"/>
        <v>#N/A</v>
      </c>
      <c r="S2468" s="45" t="str">
        <f t="shared" si="77"/>
        <v>7790895646027</v>
      </c>
    </row>
    <row r="2469" spans="1:19" hidden="1" x14ac:dyDescent="0.35">
      <c r="A2469" s="22">
        <v>2</v>
      </c>
      <c r="B2469" t="s">
        <v>5624</v>
      </c>
      <c r="C2469" t="s">
        <v>802</v>
      </c>
      <c r="D2469" t="s">
        <v>6298</v>
      </c>
      <c r="E2469" t="s">
        <v>6299</v>
      </c>
      <c r="F2469">
        <v>4018964</v>
      </c>
      <c r="G2469" t="s">
        <v>6300</v>
      </c>
      <c r="H2469" t="s">
        <v>1034</v>
      </c>
      <c r="I2469">
        <v>2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2</v>
      </c>
      <c r="P2469" s="44" t="e">
        <f>_xlfn.XLOOKUP(Tabla5[[#This Row],[EAN CORREGIDO]],'Tabla Articulos'!B:B,'Tabla Articulos'!D:D)</f>
        <v>#N/A</v>
      </c>
      <c r="Q2469" s="44" t="e">
        <f>_xlfn.XLOOKUP(S2469,'Tabla Articulos'!B:B,'Tabla Articulos'!E:E)</f>
        <v>#N/A</v>
      </c>
      <c r="R2469" s="44" t="e">
        <f t="shared" si="76"/>
        <v>#N/A</v>
      </c>
      <c r="S2469" s="45" t="str">
        <f t="shared" si="77"/>
        <v>7793360131103</v>
      </c>
    </row>
    <row r="2470" spans="1:19" hidden="1" x14ac:dyDescent="0.35">
      <c r="A2470" s="22">
        <v>2</v>
      </c>
      <c r="B2470" t="s">
        <v>5624</v>
      </c>
      <c r="C2470" t="s">
        <v>802</v>
      </c>
      <c r="D2470" t="s">
        <v>1887</v>
      </c>
      <c r="E2470" t="s">
        <v>6301</v>
      </c>
      <c r="F2470">
        <v>4077431</v>
      </c>
      <c r="G2470" t="s">
        <v>6302</v>
      </c>
      <c r="H2470" t="s">
        <v>805</v>
      </c>
      <c r="I2470">
        <v>84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84</v>
      </c>
      <c r="P2470" s="44" t="e">
        <f>_xlfn.XLOOKUP(Tabla5[[#This Row],[EAN CORREGIDO]],'Tabla Articulos'!B:B,'Tabla Articulos'!D:D)</f>
        <v>#N/A</v>
      </c>
      <c r="Q2470" s="44" t="e">
        <f>_xlfn.XLOOKUP(S2470,'Tabla Articulos'!B:B,'Tabla Articulos'!E:E)</f>
        <v>#N/A</v>
      </c>
      <c r="R2470" s="44" t="e">
        <f t="shared" si="76"/>
        <v>#N/A</v>
      </c>
      <c r="S2470" s="45" t="str">
        <f t="shared" si="77"/>
        <v>7798146139090</v>
      </c>
    </row>
    <row r="2471" spans="1:19" hidden="1" x14ac:dyDescent="0.35">
      <c r="A2471" s="22">
        <v>2</v>
      </c>
      <c r="B2471" t="s">
        <v>5624</v>
      </c>
      <c r="C2471" t="s">
        <v>802</v>
      </c>
      <c r="D2471" t="s">
        <v>3705</v>
      </c>
      <c r="E2471" t="s">
        <v>6303</v>
      </c>
      <c r="F2471">
        <v>4020681</v>
      </c>
      <c r="G2471" t="s">
        <v>6304</v>
      </c>
      <c r="H2471" t="s">
        <v>805</v>
      </c>
      <c r="I2471">
        <v>5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5</v>
      </c>
      <c r="P2471" s="44" t="e">
        <f>_xlfn.XLOOKUP(Tabla5[[#This Row],[EAN CORREGIDO]],'Tabla Articulos'!B:B,'Tabla Articulos'!D:D)</f>
        <v>#N/A</v>
      </c>
      <c r="Q2471" s="44" t="e">
        <f>_xlfn.XLOOKUP(S2471,'Tabla Articulos'!B:B,'Tabla Articulos'!E:E)</f>
        <v>#N/A</v>
      </c>
      <c r="R2471" s="44" t="e">
        <f t="shared" si="76"/>
        <v>#N/A</v>
      </c>
      <c r="S2471" s="45" t="str">
        <f t="shared" si="77"/>
        <v>7791885004810</v>
      </c>
    </row>
    <row r="2472" spans="1:19" hidden="1" x14ac:dyDescent="0.35">
      <c r="A2472" s="22">
        <v>2</v>
      </c>
      <c r="B2472" t="s">
        <v>5624</v>
      </c>
      <c r="C2472" t="s">
        <v>802</v>
      </c>
      <c r="D2472" t="s">
        <v>6305</v>
      </c>
      <c r="E2472" t="s">
        <v>6306</v>
      </c>
      <c r="F2472">
        <v>4017742</v>
      </c>
      <c r="G2472" t="s">
        <v>6307</v>
      </c>
      <c r="H2472" t="s">
        <v>816</v>
      </c>
      <c r="I2472">
        <v>3.68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3.68</v>
      </c>
      <c r="P2472" s="44" t="e">
        <f>_xlfn.XLOOKUP(Tabla5[[#This Row],[EAN CORREGIDO]],'Tabla Articulos'!B:B,'Tabla Articulos'!D:D)</f>
        <v>#N/A</v>
      </c>
      <c r="Q2472" s="44" t="e">
        <f>_xlfn.XLOOKUP(S2472,'Tabla Articulos'!B:B,'Tabla Articulos'!E:E)</f>
        <v>#N/A</v>
      </c>
      <c r="R2472" s="44" t="e">
        <f t="shared" si="76"/>
        <v>#N/A</v>
      </c>
      <c r="S2472" s="45" t="str">
        <f t="shared" si="77"/>
        <v>7790213012031</v>
      </c>
    </row>
    <row r="2473" spans="1:19" hidden="1" x14ac:dyDescent="0.35">
      <c r="A2473" s="22">
        <v>2</v>
      </c>
      <c r="B2473" t="s">
        <v>5624</v>
      </c>
      <c r="C2473" t="s">
        <v>802</v>
      </c>
      <c r="D2473" t="s">
        <v>1045</v>
      </c>
      <c r="E2473" t="s">
        <v>1147</v>
      </c>
      <c r="F2473">
        <v>4020381</v>
      </c>
      <c r="G2473" t="s">
        <v>1148</v>
      </c>
      <c r="H2473" t="s">
        <v>805</v>
      </c>
      <c r="I2473">
        <v>109</v>
      </c>
      <c r="J2473">
        <v>0</v>
      </c>
      <c r="K2473">
        <v>0</v>
      </c>
      <c r="L2473">
        <v>10</v>
      </c>
      <c r="M2473">
        <v>10</v>
      </c>
      <c r="N2473">
        <v>0</v>
      </c>
      <c r="O2473">
        <v>89</v>
      </c>
      <c r="P2473" s="44" t="e">
        <f>_xlfn.XLOOKUP(Tabla5[[#This Row],[EAN CORREGIDO]],'Tabla Articulos'!B:B,'Tabla Articulos'!D:D)</f>
        <v>#N/A</v>
      </c>
      <c r="Q2473" s="44" t="e">
        <f>_xlfn.XLOOKUP(S2473,'Tabla Articulos'!B:B,'Tabla Articulos'!E:E)</f>
        <v>#N/A</v>
      </c>
      <c r="R2473" s="44" t="e">
        <f t="shared" si="76"/>
        <v>#N/A</v>
      </c>
      <c r="S2473" s="45" t="str">
        <f t="shared" si="77"/>
        <v>7798011977017</v>
      </c>
    </row>
    <row r="2474" spans="1:19" hidden="1" x14ac:dyDescent="0.35">
      <c r="A2474" s="22">
        <v>2</v>
      </c>
      <c r="B2474" t="s">
        <v>5624</v>
      </c>
      <c r="C2474" t="s">
        <v>802</v>
      </c>
      <c r="D2474" t="s">
        <v>318</v>
      </c>
      <c r="E2474" t="s">
        <v>1149</v>
      </c>
      <c r="F2474">
        <v>2007329</v>
      </c>
      <c r="G2474" t="s">
        <v>1150</v>
      </c>
      <c r="H2474" t="s">
        <v>805</v>
      </c>
      <c r="I2474">
        <v>110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110</v>
      </c>
      <c r="P2474" s="44" t="str">
        <f>_xlfn.XLOOKUP(Tabla5[[#This Row],[EAN CORREGIDO]],'Tabla Articulos'!B:B,'Tabla Articulos'!D:D)</f>
        <v>CAMISETA 50X60 REF</v>
      </c>
      <c r="Q2474" s="44">
        <f>_xlfn.XLOOKUP(S2474,'Tabla Articulos'!B:B,'Tabla Articulos'!E:E)</f>
        <v>100</v>
      </c>
      <c r="R2474" s="44">
        <f t="shared" si="76"/>
        <v>11000</v>
      </c>
      <c r="S2474" s="45" t="str">
        <f t="shared" si="77"/>
        <v>7790000000386</v>
      </c>
    </row>
    <row r="2475" spans="1:19" hidden="1" x14ac:dyDescent="0.35">
      <c r="A2475" s="22">
        <v>2</v>
      </c>
      <c r="B2475" t="s">
        <v>5624</v>
      </c>
      <c r="C2475" t="s">
        <v>802</v>
      </c>
      <c r="D2475" t="s">
        <v>5041</v>
      </c>
      <c r="E2475" t="s">
        <v>5042</v>
      </c>
      <c r="F2475">
        <v>4017738</v>
      </c>
      <c r="G2475" t="s">
        <v>5043</v>
      </c>
      <c r="H2475" t="s">
        <v>816</v>
      </c>
      <c r="I2475">
        <v>365.62</v>
      </c>
      <c r="J2475">
        <v>627.33000000000004</v>
      </c>
      <c r="K2475">
        <v>0</v>
      </c>
      <c r="L2475">
        <v>547.69000000000005</v>
      </c>
      <c r="M2475">
        <v>376.4</v>
      </c>
      <c r="N2475">
        <v>0</v>
      </c>
      <c r="O2475">
        <v>68.86</v>
      </c>
      <c r="P2475" s="44" t="e">
        <f>_xlfn.XLOOKUP(Tabla5[[#This Row],[EAN CORREGIDO]],'Tabla Articulos'!B:B,'Tabla Articulos'!D:D)</f>
        <v>#N/A</v>
      </c>
      <c r="Q2475" s="44" t="e">
        <f>_xlfn.XLOOKUP(S2475,'Tabla Articulos'!B:B,'Tabla Articulos'!E:E)</f>
        <v>#N/A</v>
      </c>
      <c r="R2475" s="44" t="e">
        <f t="shared" si="76"/>
        <v>#N/A</v>
      </c>
      <c r="S2475" s="45" t="str">
        <f t="shared" si="77"/>
        <v>7790212031240</v>
      </c>
    </row>
    <row r="2476" spans="1:19" hidden="1" x14ac:dyDescent="0.35">
      <c r="A2476" s="22">
        <v>2</v>
      </c>
      <c r="B2476" t="s">
        <v>5624</v>
      </c>
      <c r="C2476" t="s">
        <v>802</v>
      </c>
      <c r="D2476" t="s">
        <v>851</v>
      </c>
      <c r="E2476" t="s">
        <v>5048</v>
      </c>
      <c r="F2476">
        <v>4020598</v>
      </c>
      <c r="G2476" t="s">
        <v>5049</v>
      </c>
      <c r="H2476" t="s">
        <v>805</v>
      </c>
      <c r="I2476">
        <v>6418</v>
      </c>
      <c r="J2476">
        <v>0</v>
      </c>
      <c r="K2476">
        <v>0</v>
      </c>
      <c r="L2476">
        <v>623</v>
      </c>
      <c r="M2476">
        <v>623</v>
      </c>
      <c r="N2476">
        <v>0</v>
      </c>
      <c r="O2476">
        <v>5172</v>
      </c>
      <c r="P2476" s="44" t="e">
        <f>_xlfn.XLOOKUP(Tabla5[[#This Row],[EAN CORREGIDO]],'Tabla Articulos'!B:B,'Tabla Articulos'!D:D)</f>
        <v>#N/A</v>
      </c>
      <c r="Q2476" s="44" t="e">
        <f>_xlfn.XLOOKUP(S2476,'Tabla Articulos'!B:B,'Tabla Articulos'!E:E)</f>
        <v>#N/A</v>
      </c>
      <c r="R2476" s="44" t="e">
        <f t="shared" si="76"/>
        <v>#N/A</v>
      </c>
      <c r="S2476" s="45" t="str">
        <f t="shared" si="77"/>
        <v>7798366740298</v>
      </c>
    </row>
    <row r="2477" spans="1:19" hidden="1" x14ac:dyDescent="0.35">
      <c r="A2477" s="22">
        <v>2</v>
      </c>
      <c r="B2477" t="s">
        <v>5624</v>
      </c>
      <c r="C2477" t="s">
        <v>802</v>
      </c>
      <c r="D2477" t="s">
        <v>5052</v>
      </c>
      <c r="E2477" t="s">
        <v>5053</v>
      </c>
      <c r="F2477">
        <v>4018836</v>
      </c>
      <c r="G2477" t="s">
        <v>5054</v>
      </c>
      <c r="H2477" t="s">
        <v>805</v>
      </c>
      <c r="I2477">
        <v>16340</v>
      </c>
      <c r="J2477">
        <v>0</v>
      </c>
      <c r="K2477">
        <v>0</v>
      </c>
      <c r="L2477">
        <v>304</v>
      </c>
      <c r="M2477">
        <v>304</v>
      </c>
      <c r="N2477">
        <v>0</v>
      </c>
      <c r="O2477">
        <v>15732</v>
      </c>
      <c r="P2477" s="44" t="e">
        <f>_xlfn.XLOOKUP(Tabla5[[#This Row],[EAN CORREGIDO]],'Tabla Articulos'!B:B,'Tabla Articulos'!D:D)</f>
        <v>#N/A</v>
      </c>
      <c r="Q2477" s="44" t="e">
        <f>_xlfn.XLOOKUP(S2477,'Tabla Articulos'!B:B,'Tabla Articulos'!E:E)</f>
        <v>#N/A</v>
      </c>
      <c r="R2477" s="44" t="e">
        <f t="shared" si="76"/>
        <v>#N/A</v>
      </c>
      <c r="S2477" s="45" t="str">
        <f t="shared" si="77"/>
        <v>7790412000417</v>
      </c>
    </row>
    <row r="2478" spans="1:19" hidden="1" x14ac:dyDescent="0.35">
      <c r="A2478" s="22">
        <v>2</v>
      </c>
      <c r="B2478" t="s">
        <v>5624</v>
      </c>
      <c r="C2478" t="s">
        <v>802</v>
      </c>
      <c r="D2478" t="s">
        <v>6639</v>
      </c>
      <c r="E2478" t="s">
        <v>6640</v>
      </c>
      <c r="F2478">
        <v>4017344</v>
      </c>
      <c r="G2478" t="s">
        <v>6641</v>
      </c>
      <c r="H2478" t="s">
        <v>805</v>
      </c>
      <c r="I2478">
        <v>0</v>
      </c>
      <c r="J2478">
        <v>108</v>
      </c>
      <c r="K2478">
        <v>0</v>
      </c>
      <c r="L2478">
        <v>0</v>
      </c>
      <c r="M2478">
        <v>0</v>
      </c>
      <c r="N2478">
        <v>0</v>
      </c>
      <c r="O2478">
        <v>108</v>
      </c>
      <c r="P2478" s="44" t="e">
        <f>_xlfn.XLOOKUP(Tabla5[[#This Row],[EAN CORREGIDO]],'Tabla Articulos'!B:B,'Tabla Articulos'!D:D)</f>
        <v>#N/A</v>
      </c>
      <c r="Q2478" s="44" t="e">
        <f>_xlfn.XLOOKUP(S2478,'Tabla Articulos'!B:B,'Tabla Articulos'!E:E)</f>
        <v>#N/A</v>
      </c>
      <c r="R2478" s="44" t="e">
        <f t="shared" si="76"/>
        <v>#N/A</v>
      </c>
      <c r="S2478" s="45" t="str">
        <f t="shared" si="77"/>
        <v>7790895000737</v>
      </c>
    </row>
    <row r="2479" spans="1:19" hidden="1" x14ac:dyDescent="0.35">
      <c r="A2479" s="22">
        <v>2</v>
      </c>
      <c r="B2479" t="s">
        <v>5624</v>
      </c>
      <c r="C2479" t="s">
        <v>802</v>
      </c>
      <c r="D2479" t="s">
        <v>2897</v>
      </c>
      <c r="E2479" t="s">
        <v>2898</v>
      </c>
      <c r="F2479">
        <v>4022289</v>
      </c>
      <c r="G2479" t="s">
        <v>2899</v>
      </c>
      <c r="H2479" t="s">
        <v>805</v>
      </c>
      <c r="I2479">
        <v>1406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1406</v>
      </c>
      <c r="P2479" s="44" t="e">
        <f>_xlfn.XLOOKUP(Tabla5[[#This Row],[EAN CORREGIDO]],'Tabla Articulos'!B:B,'Tabla Articulos'!D:D)</f>
        <v>#N/A</v>
      </c>
      <c r="Q2479" s="44" t="e">
        <f>_xlfn.XLOOKUP(S2479,'Tabla Articulos'!B:B,'Tabla Articulos'!E:E)</f>
        <v>#N/A</v>
      </c>
      <c r="R2479" s="44" t="e">
        <f t="shared" si="76"/>
        <v>#N/A</v>
      </c>
      <c r="S2479" s="45" t="str">
        <f t="shared" si="77"/>
        <v>7792198006638</v>
      </c>
    </row>
    <row r="2480" spans="1:19" hidden="1" x14ac:dyDescent="0.35">
      <c r="A2480" s="22">
        <v>2</v>
      </c>
      <c r="B2480" t="s">
        <v>5624</v>
      </c>
      <c r="C2480" t="s">
        <v>802</v>
      </c>
      <c r="D2480" t="s">
        <v>4678</v>
      </c>
      <c r="E2480" t="s">
        <v>6218</v>
      </c>
      <c r="F2480">
        <v>4019227</v>
      </c>
      <c r="G2480" t="s">
        <v>6219</v>
      </c>
      <c r="H2480" t="s">
        <v>805</v>
      </c>
      <c r="I2480">
        <v>202</v>
      </c>
      <c r="J2480">
        <v>0</v>
      </c>
      <c r="K2480">
        <v>0</v>
      </c>
      <c r="L2480">
        <v>2</v>
      </c>
      <c r="M2480">
        <v>2</v>
      </c>
      <c r="N2480">
        <v>0</v>
      </c>
      <c r="O2480">
        <v>198</v>
      </c>
      <c r="P2480" s="44" t="e">
        <f>_xlfn.XLOOKUP(Tabla5[[#This Row],[EAN CORREGIDO]],'Tabla Articulos'!B:B,'Tabla Articulos'!D:D)</f>
        <v>#N/A</v>
      </c>
      <c r="Q2480" s="44" t="e">
        <f>_xlfn.XLOOKUP(S2480,'Tabla Articulos'!B:B,'Tabla Articulos'!E:E)</f>
        <v>#N/A</v>
      </c>
      <c r="R2480" s="44" t="e">
        <f t="shared" si="76"/>
        <v>#N/A</v>
      </c>
      <c r="S2480" s="45" t="str">
        <f t="shared" si="77"/>
        <v>77980267</v>
      </c>
    </row>
    <row r="2481" spans="1:19" hidden="1" x14ac:dyDescent="0.35">
      <c r="A2481" s="22">
        <v>2</v>
      </c>
      <c r="B2481" t="s">
        <v>5624</v>
      </c>
      <c r="C2481" t="s">
        <v>802</v>
      </c>
      <c r="D2481" t="s">
        <v>1562</v>
      </c>
      <c r="E2481" t="s">
        <v>2913</v>
      </c>
      <c r="F2481">
        <v>4020344</v>
      </c>
      <c r="G2481" t="s">
        <v>2914</v>
      </c>
      <c r="H2481" t="s">
        <v>805</v>
      </c>
      <c r="I2481">
        <v>317</v>
      </c>
      <c r="J2481">
        <v>0</v>
      </c>
      <c r="K2481">
        <v>0</v>
      </c>
      <c r="L2481">
        <v>17</v>
      </c>
      <c r="M2481">
        <v>17</v>
      </c>
      <c r="N2481">
        <v>0</v>
      </c>
      <c r="O2481">
        <v>283</v>
      </c>
      <c r="P2481" s="44" t="e">
        <f>_xlfn.XLOOKUP(Tabla5[[#This Row],[EAN CORREGIDO]],'Tabla Articulos'!B:B,'Tabla Articulos'!D:D)</f>
        <v>#N/A</v>
      </c>
      <c r="Q2481" s="44" t="e">
        <f>_xlfn.XLOOKUP(S2481,'Tabla Articulos'!B:B,'Tabla Articulos'!E:E)</f>
        <v>#N/A</v>
      </c>
      <c r="R2481" s="44" t="e">
        <f t="shared" si="76"/>
        <v>#N/A</v>
      </c>
      <c r="S2481" s="45" t="str">
        <f t="shared" si="77"/>
        <v>7798011970186</v>
      </c>
    </row>
    <row r="2482" spans="1:19" hidden="1" x14ac:dyDescent="0.35">
      <c r="A2482" s="22">
        <v>2</v>
      </c>
      <c r="B2482" t="s">
        <v>5624</v>
      </c>
      <c r="C2482" t="s">
        <v>802</v>
      </c>
      <c r="D2482" t="s">
        <v>5887</v>
      </c>
      <c r="E2482" t="s">
        <v>6220</v>
      </c>
      <c r="F2482">
        <v>4019125</v>
      </c>
      <c r="G2482" t="s">
        <v>6221</v>
      </c>
      <c r="H2482" t="s">
        <v>805</v>
      </c>
      <c r="I2482">
        <v>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4</v>
      </c>
      <c r="P2482" s="44" t="e">
        <f>_xlfn.XLOOKUP(Tabla5[[#This Row],[EAN CORREGIDO]],'Tabla Articulos'!B:B,'Tabla Articulos'!D:D)</f>
        <v>#N/A</v>
      </c>
      <c r="Q2482" s="44" t="e">
        <f>_xlfn.XLOOKUP(S2482,'Tabla Articulos'!B:B,'Tabla Articulos'!E:E)</f>
        <v>#N/A</v>
      </c>
      <c r="R2482" s="44" t="e">
        <f t="shared" si="76"/>
        <v>#N/A</v>
      </c>
      <c r="S2482" s="45" t="str">
        <f t="shared" si="77"/>
        <v>7790580125530</v>
      </c>
    </row>
    <row r="2483" spans="1:19" hidden="1" x14ac:dyDescent="0.35">
      <c r="A2483" s="22">
        <v>2</v>
      </c>
      <c r="B2483" t="s">
        <v>5624</v>
      </c>
      <c r="C2483" t="s">
        <v>802</v>
      </c>
      <c r="D2483" t="s">
        <v>2915</v>
      </c>
      <c r="E2483" t="s">
        <v>2916</v>
      </c>
      <c r="F2483">
        <v>4077429</v>
      </c>
      <c r="G2483" t="s">
        <v>2917</v>
      </c>
      <c r="H2483" t="s">
        <v>837</v>
      </c>
      <c r="I2483">
        <v>2760</v>
      </c>
      <c r="J2483">
        <v>0</v>
      </c>
      <c r="K2483">
        <v>0</v>
      </c>
      <c r="L2483">
        <v>120</v>
      </c>
      <c r="M2483">
        <v>120</v>
      </c>
      <c r="N2483">
        <v>0</v>
      </c>
      <c r="O2483">
        <v>2520</v>
      </c>
      <c r="P2483" s="44" t="e">
        <f>_xlfn.XLOOKUP(Tabla5[[#This Row],[EAN CORREGIDO]],'Tabla Articulos'!B:B,'Tabla Articulos'!D:D)</f>
        <v>#N/A</v>
      </c>
      <c r="Q2483" s="44" t="e">
        <f>_xlfn.XLOOKUP(S2483,'Tabla Articulos'!B:B,'Tabla Articulos'!E:E)</f>
        <v>#N/A</v>
      </c>
      <c r="R2483" s="44" t="e">
        <f t="shared" si="76"/>
        <v>#N/A</v>
      </c>
      <c r="S2483" s="45" t="str">
        <f t="shared" si="77"/>
        <v>7793176000020</v>
      </c>
    </row>
    <row r="2484" spans="1:19" hidden="1" x14ac:dyDescent="0.35">
      <c r="A2484" s="22">
        <v>2</v>
      </c>
      <c r="B2484" t="s">
        <v>5624</v>
      </c>
      <c r="C2484" t="s">
        <v>802</v>
      </c>
      <c r="D2484" t="s">
        <v>6222</v>
      </c>
      <c r="E2484" t="s">
        <v>6223</v>
      </c>
      <c r="F2484">
        <v>4021285</v>
      </c>
      <c r="G2484" t="s">
        <v>6224</v>
      </c>
      <c r="H2484" t="s">
        <v>805</v>
      </c>
      <c r="I2484">
        <v>7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7</v>
      </c>
      <c r="P2484" s="44" t="e">
        <f>_xlfn.XLOOKUP(Tabla5[[#This Row],[EAN CORREGIDO]],'Tabla Articulos'!B:B,'Tabla Articulos'!D:D)</f>
        <v>#N/A</v>
      </c>
      <c r="Q2484" s="44" t="e">
        <f>_xlfn.XLOOKUP(S2484,'Tabla Articulos'!B:B,'Tabla Articulos'!E:E)</f>
        <v>#N/A</v>
      </c>
      <c r="R2484" s="44" t="e">
        <f t="shared" si="76"/>
        <v>#N/A</v>
      </c>
      <c r="S2484" s="45" t="str">
        <f t="shared" si="77"/>
        <v>7793875322188</v>
      </c>
    </row>
    <row r="2485" spans="1:19" hidden="1" x14ac:dyDescent="0.35">
      <c r="A2485" s="22">
        <v>2</v>
      </c>
      <c r="B2485" t="s">
        <v>5624</v>
      </c>
      <c r="C2485" t="s">
        <v>802</v>
      </c>
      <c r="D2485" t="s">
        <v>1266</v>
      </c>
      <c r="E2485" t="s">
        <v>5945</v>
      </c>
      <c r="F2485">
        <v>4021324</v>
      </c>
      <c r="G2485" t="s">
        <v>5946</v>
      </c>
      <c r="H2485" t="s">
        <v>816</v>
      </c>
      <c r="I2485">
        <v>154.97999999999999</v>
      </c>
      <c r="J2485">
        <v>0</v>
      </c>
      <c r="K2485">
        <v>0</v>
      </c>
      <c r="L2485">
        <v>27</v>
      </c>
      <c r="M2485">
        <v>27</v>
      </c>
      <c r="N2485">
        <v>0</v>
      </c>
      <c r="O2485">
        <v>100.98</v>
      </c>
      <c r="P2485" s="44" t="e">
        <f>_xlfn.XLOOKUP(Tabla5[[#This Row],[EAN CORREGIDO]],'Tabla Articulos'!B:B,'Tabla Articulos'!D:D)</f>
        <v>#N/A</v>
      </c>
      <c r="Q2485" s="44" t="e">
        <f>_xlfn.XLOOKUP(S2485,'Tabla Articulos'!B:B,'Tabla Articulos'!E:E)</f>
        <v>#N/A</v>
      </c>
      <c r="R2485" s="44" t="e">
        <f t="shared" si="76"/>
        <v>#N/A</v>
      </c>
      <c r="S2485" s="45" t="str">
        <f t="shared" si="77"/>
        <v>7790212031238</v>
      </c>
    </row>
    <row r="2486" spans="1:19" hidden="1" x14ac:dyDescent="0.35">
      <c r="A2486" s="22">
        <v>2</v>
      </c>
      <c r="B2486" t="s">
        <v>5624</v>
      </c>
      <c r="C2486" t="s">
        <v>802</v>
      </c>
      <c r="D2486" t="s">
        <v>5725</v>
      </c>
      <c r="E2486" t="s">
        <v>5947</v>
      </c>
      <c r="F2486">
        <v>4018688</v>
      </c>
      <c r="G2486" t="s">
        <v>5948</v>
      </c>
      <c r="H2486" t="s">
        <v>805</v>
      </c>
      <c r="I2486">
        <v>79</v>
      </c>
      <c r="J2486">
        <v>0</v>
      </c>
      <c r="K2486">
        <v>0</v>
      </c>
      <c r="L2486">
        <v>26</v>
      </c>
      <c r="M2486">
        <v>26</v>
      </c>
      <c r="N2486">
        <v>0</v>
      </c>
      <c r="O2486">
        <v>27</v>
      </c>
      <c r="P2486" s="44" t="e">
        <f>_xlfn.XLOOKUP(Tabla5[[#This Row],[EAN CORREGIDO]],'Tabla Articulos'!B:B,'Tabla Articulos'!D:D)</f>
        <v>#N/A</v>
      </c>
      <c r="Q2486" s="44" t="e">
        <f>_xlfn.XLOOKUP(S2486,'Tabla Articulos'!B:B,'Tabla Articulos'!E:E)</f>
        <v>#N/A</v>
      </c>
      <c r="R2486" s="44" t="e">
        <f t="shared" si="76"/>
        <v>#N/A</v>
      </c>
      <c r="S2486" s="45" t="str">
        <f t="shared" si="77"/>
        <v>77902113030048</v>
      </c>
    </row>
    <row r="2487" spans="1:19" hidden="1" x14ac:dyDescent="0.35">
      <c r="A2487" s="22">
        <v>2</v>
      </c>
      <c r="B2487" t="s">
        <v>5624</v>
      </c>
      <c r="C2487" t="s">
        <v>802</v>
      </c>
      <c r="D2487" t="s">
        <v>1562</v>
      </c>
      <c r="E2487" t="s">
        <v>5949</v>
      </c>
      <c r="F2487">
        <v>4076545</v>
      </c>
      <c r="G2487" t="s">
        <v>5950</v>
      </c>
      <c r="H2487" t="s">
        <v>805</v>
      </c>
      <c r="I2487">
        <v>196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196</v>
      </c>
      <c r="P2487" s="44" t="e">
        <f>_xlfn.XLOOKUP(Tabla5[[#This Row],[EAN CORREGIDO]],'Tabla Articulos'!B:B,'Tabla Articulos'!D:D)</f>
        <v>#N/A</v>
      </c>
      <c r="Q2487" s="44" t="e">
        <f>_xlfn.XLOOKUP(S2487,'Tabla Articulos'!B:B,'Tabla Articulos'!E:E)</f>
        <v>#N/A</v>
      </c>
      <c r="R2487" s="44" t="e">
        <f t="shared" si="76"/>
        <v>#N/A</v>
      </c>
      <c r="S2487" s="45" t="str">
        <f t="shared" si="77"/>
        <v>7798011977697</v>
      </c>
    </row>
    <row r="2488" spans="1:19" hidden="1" x14ac:dyDescent="0.35">
      <c r="A2488" s="22">
        <v>2</v>
      </c>
      <c r="B2488" t="s">
        <v>5624</v>
      </c>
      <c r="C2488" t="s">
        <v>802</v>
      </c>
      <c r="D2488" t="s">
        <v>5636</v>
      </c>
      <c r="E2488" t="s">
        <v>5951</v>
      </c>
      <c r="F2488">
        <v>4077101</v>
      </c>
      <c r="G2488" t="s">
        <v>5952</v>
      </c>
      <c r="H2488" t="s">
        <v>816</v>
      </c>
      <c r="I2488">
        <v>938.34</v>
      </c>
      <c r="J2488">
        <v>0</v>
      </c>
      <c r="K2488">
        <v>817.73</v>
      </c>
      <c r="L2488">
        <v>0</v>
      </c>
      <c r="M2488">
        <v>0</v>
      </c>
      <c r="N2488">
        <v>0</v>
      </c>
      <c r="O2488">
        <v>120.61</v>
      </c>
      <c r="P2488" s="44" t="e">
        <f>_xlfn.XLOOKUP(Tabla5[[#This Row],[EAN CORREGIDO]],'Tabla Articulos'!B:B,'Tabla Articulos'!D:D)</f>
        <v>#N/A</v>
      </c>
      <c r="Q2488" s="44" t="e">
        <f>_xlfn.XLOOKUP(S2488,'Tabla Articulos'!B:B,'Tabla Articulos'!E:E)</f>
        <v>#N/A</v>
      </c>
      <c r="R2488" s="44" t="e">
        <f t="shared" si="76"/>
        <v>#N/A</v>
      </c>
      <c r="S2488" s="45" t="str">
        <f t="shared" si="77"/>
        <v>7790000000801</v>
      </c>
    </row>
    <row r="2489" spans="1:19" hidden="1" x14ac:dyDescent="0.35">
      <c r="A2489" s="22">
        <v>2</v>
      </c>
      <c r="B2489" t="s">
        <v>5624</v>
      </c>
      <c r="C2489" t="s">
        <v>802</v>
      </c>
      <c r="D2489" t="s">
        <v>3201</v>
      </c>
      <c r="E2489" t="s">
        <v>5953</v>
      </c>
      <c r="F2489">
        <v>4024849</v>
      </c>
      <c r="G2489" t="s">
        <v>5954</v>
      </c>
      <c r="H2489" t="s">
        <v>805</v>
      </c>
      <c r="I2489">
        <v>151</v>
      </c>
      <c r="J2489">
        <v>0</v>
      </c>
      <c r="K2489">
        <v>0</v>
      </c>
      <c r="L2489">
        <v>3</v>
      </c>
      <c r="M2489">
        <v>3</v>
      </c>
      <c r="N2489">
        <v>0</v>
      </c>
      <c r="O2489">
        <v>145</v>
      </c>
      <c r="P2489" s="44" t="e">
        <f>_xlfn.XLOOKUP(Tabla5[[#This Row],[EAN CORREGIDO]],'Tabla Articulos'!B:B,'Tabla Articulos'!D:D)</f>
        <v>#N/A</v>
      </c>
      <c r="Q2489" s="44" t="e">
        <f>_xlfn.XLOOKUP(S2489,'Tabla Articulos'!B:B,'Tabla Articulos'!E:E)</f>
        <v>#N/A</v>
      </c>
      <c r="R2489" s="44" t="e">
        <f t="shared" si="76"/>
        <v>#N/A</v>
      </c>
      <c r="S2489" s="45" t="str">
        <f t="shared" si="77"/>
        <v>7791476021059</v>
      </c>
    </row>
    <row r="2490" spans="1:19" hidden="1" x14ac:dyDescent="0.35">
      <c r="A2490" s="22">
        <v>2</v>
      </c>
      <c r="B2490" t="s">
        <v>5624</v>
      </c>
      <c r="C2490" t="s">
        <v>802</v>
      </c>
      <c r="D2490" t="s">
        <v>2201</v>
      </c>
      <c r="E2490" t="s">
        <v>6208</v>
      </c>
      <c r="F2490">
        <v>4022368</v>
      </c>
      <c r="G2490" t="s">
        <v>6209</v>
      </c>
      <c r="H2490" t="s">
        <v>805</v>
      </c>
      <c r="I2490">
        <v>47</v>
      </c>
      <c r="J2490">
        <v>0</v>
      </c>
      <c r="K2490">
        <v>0</v>
      </c>
      <c r="L2490">
        <v>2</v>
      </c>
      <c r="M2490">
        <v>2</v>
      </c>
      <c r="N2490">
        <v>0</v>
      </c>
      <c r="O2490">
        <v>43</v>
      </c>
      <c r="P2490" s="44" t="e">
        <f>_xlfn.XLOOKUP(Tabla5[[#This Row],[EAN CORREGIDO]],'Tabla Articulos'!B:B,'Tabla Articulos'!D:D)</f>
        <v>#N/A</v>
      </c>
      <c r="Q2490" s="44" t="e">
        <f>_xlfn.XLOOKUP(S2490,'Tabla Articulos'!B:B,'Tabla Articulos'!E:E)</f>
        <v>#N/A</v>
      </c>
      <c r="R2490" s="44" t="e">
        <f t="shared" si="76"/>
        <v>#N/A</v>
      </c>
      <c r="S2490" s="45" t="str">
        <f t="shared" si="77"/>
        <v>7790530900750</v>
      </c>
    </row>
    <row r="2491" spans="1:19" hidden="1" x14ac:dyDescent="0.35">
      <c r="A2491" s="22">
        <v>2</v>
      </c>
      <c r="B2491" t="s">
        <v>5624</v>
      </c>
      <c r="C2491" t="s">
        <v>802</v>
      </c>
      <c r="D2491" t="s">
        <v>189</v>
      </c>
      <c r="E2491" t="s">
        <v>2876</v>
      </c>
      <c r="F2491">
        <v>2016605</v>
      </c>
      <c r="G2491" t="s">
        <v>2877</v>
      </c>
      <c r="H2491" t="s">
        <v>805</v>
      </c>
      <c r="I2491">
        <v>64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64</v>
      </c>
      <c r="P2491" s="44" t="str">
        <f>_xlfn.XLOOKUP(Tabla5[[#This Row],[EAN CORREGIDO]],'Tabla Articulos'!B:B,'Tabla Articulos'!D:D)</f>
        <v>ARRANQUE 50X70</v>
      </c>
      <c r="Q2491" s="44">
        <f>_xlfn.XLOOKUP(S2491,'Tabla Articulos'!B:B,'Tabla Articulos'!E:E)</f>
        <v>6</v>
      </c>
      <c r="R2491" s="44">
        <f t="shared" si="76"/>
        <v>384</v>
      </c>
      <c r="S2491" s="45" t="str">
        <f t="shared" si="77"/>
        <v>7794459003066</v>
      </c>
    </row>
    <row r="2492" spans="1:19" hidden="1" x14ac:dyDescent="0.35">
      <c r="A2492" s="22">
        <v>2</v>
      </c>
      <c r="B2492" t="s">
        <v>5624</v>
      </c>
      <c r="C2492" t="s">
        <v>802</v>
      </c>
      <c r="D2492" t="s">
        <v>234</v>
      </c>
      <c r="E2492" t="s">
        <v>6210</v>
      </c>
      <c r="F2492">
        <v>2006218</v>
      </c>
      <c r="G2492" t="s">
        <v>6211</v>
      </c>
      <c r="H2492" t="s">
        <v>805</v>
      </c>
      <c r="I2492">
        <v>39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39</v>
      </c>
      <c r="P2492" s="44" t="str">
        <f>_xlfn.XLOOKUP(Tabla5[[#This Row],[EAN CORREGIDO]],'Tabla Articulos'!B:B,'Tabla Articulos'!D:D)</f>
        <v>SERVILLETA 18x18 NUTRIRE</v>
      </c>
      <c r="Q2492" s="44">
        <f>_xlfn.XLOOKUP(S2492,'Tabla Articulos'!B:B,'Tabla Articulos'!E:E)</f>
        <v>1000</v>
      </c>
      <c r="R2492" s="44">
        <f t="shared" si="76"/>
        <v>39000</v>
      </c>
      <c r="S2492" s="45" t="str">
        <f t="shared" si="77"/>
        <v>7790321020532</v>
      </c>
    </row>
    <row r="2493" spans="1:19" hidden="1" x14ac:dyDescent="0.35">
      <c r="A2493" s="22">
        <v>2</v>
      </c>
      <c r="B2493" t="s">
        <v>5624</v>
      </c>
      <c r="C2493" t="s">
        <v>802</v>
      </c>
      <c r="D2493" t="s">
        <v>1577</v>
      </c>
      <c r="E2493" t="s">
        <v>1578</v>
      </c>
      <c r="F2493">
        <v>4019562</v>
      </c>
      <c r="G2493" t="s">
        <v>1579</v>
      </c>
      <c r="H2493" t="s">
        <v>805</v>
      </c>
      <c r="I2493">
        <v>979</v>
      </c>
      <c r="J2493">
        <v>0</v>
      </c>
      <c r="K2493">
        <v>0</v>
      </c>
      <c r="L2493">
        <v>19</v>
      </c>
      <c r="M2493">
        <v>19</v>
      </c>
      <c r="N2493">
        <v>0</v>
      </c>
      <c r="O2493">
        <v>941</v>
      </c>
      <c r="P2493" s="44" t="e">
        <f>_xlfn.XLOOKUP(Tabla5[[#This Row],[EAN CORREGIDO]],'Tabla Articulos'!B:B,'Tabla Articulos'!D:D)</f>
        <v>#N/A</v>
      </c>
      <c r="Q2493" s="44" t="e">
        <f>_xlfn.XLOOKUP(S2493,'Tabla Articulos'!B:B,'Tabla Articulos'!E:E)</f>
        <v>#N/A</v>
      </c>
      <c r="R2493" s="44" t="e">
        <f t="shared" si="76"/>
        <v>#N/A</v>
      </c>
      <c r="S2493" s="45" t="str">
        <f t="shared" si="77"/>
        <v>7790199603399</v>
      </c>
    </row>
    <row r="2494" spans="1:19" hidden="1" x14ac:dyDescent="0.35">
      <c r="A2494" s="22">
        <v>2</v>
      </c>
      <c r="B2494" t="s">
        <v>5624</v>
      </c>
      <c r="C2494" t="s">
        <v>802</v>
      </c>
      <c r="D2494" t="s">
        <v>1580</v>
      </c>
      <c r="E2494" t="s">
        <v>1581</v>
      </c>
      <c r="F2494">
        <v>4020481</v>
      </c>
      <c r="G2494" t="s">
        <v>1582</v>
      </c>
      <c r="H2494" t="s">
        <v>805</v>
      </c>
      <c r="I2494">
        <v>477</v>
      </c>
      <c r="J2494">
        <v>0</v>
      </c>
      <c r="K2494">
        <v>0</v>
      </c>
      <c r="L2494">
        <v>14</v>
      </c>
      <c r="M2494">
        <v>14</v>
      </c>
      <c r="N2494">
        <v>0</v>
      </c>
      <c r="O2494">
        <v>449</v>
      </c>
      <c r="P2494" s="44" t="e">
        <f>_xlfn.XLOOKUP(Tabla5[[#This Row],[EAN CORREGIDO]],'Tabla Articulos'!B:B,'Tabla Articulos'!D:D)</f>
        <v>#N/A</v>
      </c>
      <c r="Q2494" s="44" t="e">
        <f>_xlfn.XLOOKUP(S2494,'Tabla Articulos'!B:B,'Tabla Articulos'!E:E)</f>
        <v>#N/A</v>
      </c>
      <c r="R2494" s="44" t="e">
        <f t="shared" si="76"/>
        <v>#N/A</v>
      </c>
      <c r="S2494" s="45" t="str">
        <f t="shared" si="77"/>
        <v>7791113001543</v>
      </c>
    </row>
    <row r="2495" spans="1:19" hidden="1" x14ac:dyDescent="0.35">
      <c r="A2495" s="22">
        <v>2</v>
      </c>
      <c r="B2495" t="s">
        <v>5624</v>
      </c>
      <c r="C2495" t="s">
        <v>802</v>
      </c>
      <c r="D2495" t="s">
        <v>6139</v>
      </c>
      <c r="E2495" t="s">
        <v>6140</v>
      </c>
      <c r="F2495">
        <v>4023433</v>
      </c>
      <c r="G2495" t="s">
        <v>6141</v>
      </c>
      <c r="H2495" t="s">
        <v>805</v>
      </c>
      <c r="I2495">
        <v>100</v>
      </c>
      <c r="J2495">
        <v>0</v>
      </c>
      <c r="K2495">
        <v>0</v>
      </c>
      <c r="L2495">
        <v>20</v>
      </c>
      <c r="M2495">
        <v>20</v>
      </c>
      <c r="N2495">
        <v>0</v>
      </c>
      <c r="O2495">
        <v>60</v>
      </c>
      <c r="P2495" s="44" t="e">
        <f>_xlfn.XLOOKUP(Tabla5[[#This Row],[EAN CORREGIDO]],'Tabla Articulos'!B:B,'Tabla Articulos'!D:D)</f>
        <v>#N/A</v>
      </c>
      <c r="Q2495" s="44" t="e">
        <f>_xlfn.XLOOKUP(S2495,'Tabla Articulos'!B:B,'Tabla Articulos'!E:E)</f>
        <v>#N/A</v>
      </c>
      <c r="R2495" s="44" t="e">
        <f t="shared" si="76"/>
        <v>#N/A</v>
      </c>
      <c r="S2495" s="45" t="str">
        <f t="shared" si="77"/>
        <v>7790000000402</v>
      </c>
    </row>
    <row r="2496" spans="1:19" hidden="1" x14ac:dyDescent="0.35">
      <c r="A2496" s="22">
        <v>2</v>
      </c>
      <c r="B2496" t="s">
        <v>5624</v>
      </c>
      <c r="C2496" t="s">
        <v>802</v>
      </c>
      <c r="D2496" t="s">
        <v>2637</v>
      </c>
      <c r="E2496" t="s">
        <v>2638</v>
      </c>
      <c r="F2496">
        <v>4049039</v>
      </c>
      <c r="G2496" t="s">
        <v>2639</v>
      </c>
      <c r="H2496" t="s">
        <v>805</v>
      </c>
      <c r="I2496">
        <v>437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437</v>
      </c>
      <c r="P2496" s="44" t="e">
        <f>_xlfn.XLOOKUP(Tabla5[[#This Row],[EAN CORREGIDO]],'Tabla Articulos'!B:B,'Tabla Articulos'!D:D)</f>
        <v>#N/A</v>
      </c>
      <c r="Q2496" s="44" t="e">
        <f>_xlfn.XLOOKUP(S2496,'Tabla Articulos'!B:B,'Tabla Articulos'!E:E)</f>
        <v>#N/A</v>
      </c>
      <c r="R2496" s="44" t="e">
        <f t="shared" si="76"/>
        <v>#N/A</v>
      </c>
      <c r="S2496" s="45" t="str">
        <f t="shared" si="77"/>
        <v>7795311833364</v>
      </c>
    </row>
    <row r="2497" spans="1:19" hidden="1" x14ac:dyDescent="0.35">
      <c r="A2497" s="22">
        <v>2</v>
      </c>
      <c r="B2497" t="s">
        <v>5624</v>
      </c>
      <c r="C2497" t="s">
        <v>802</v>
      </c>
      <c r="D2497" t="s">
        <v>6142</v>
      </c>
      <c r="E2497" t="s">
        <v>6143</v>
      </c>
      <c r="F2497">
        <v>4018111</v>
      </c>
      <c r="G2497" t="s">
        <v>6144</v>
      </c>
      <c r="H2497" t="s">
        <v>805</v>
      </c>
      <c r="I2497">
        <v>5313</v>
      </c>
      <c r="J2497">
        <v>0</v>
      </c>
      <c r="K2497">
        <v>0</v>
      </c>
      <c r="L2497">
        <v>560</v>
      </c>
      <c r="M2497">
        <v>560</v>
      </c>
      <c r="N2497">
        <v>0</v>
      </c>
      <c r="O2497">
        <v>4193</v>
      </c>
      <c r="P2497" s="44" t="e">
        <f>_xlfn.XLOOKUP(Tabla5[[#This Row],[EAN CORREGIDO]],'Tabla Articulos'!B:B,'Tabla Articulos'!D:D)</f>
        <v>#N/A</v>
      </c>
      <c r="Q2497" s="44" t="e">
        <f>_xlfn.XLOOKUP(S2497,'Tabla Articulos'!B:B,'Tabla Articulos'!E:E)</f>
        <v>#N/A</v>
      </c>
      <c r="R2497" s="44" t="e">
        <f t="shared" ref="R2497:R2560" si="78">O2497*Q2497</f>
        <v>#N/A</v>
      </c>
      <c r="S2497" s="45" t="str">
        <f t="shared" ref="S2497:S2560" si="79">TRIM(E2497)</f>
        <v>7790787960453</v>
      </c>
    </row>
    <row r="2498" spans="1:19" hidden="1" x14ac:dyDescent="0.35">
      <c r="A2498" s="22">
        <v>2</v>
      </c>
      <c r="B2498" t="s">
        <v>5624</v>
      </c>
      <c r="C2498" t="s">
        <v>802</v>
      </c>
      <c r="D2498" t="s">
        <v>314</v>
      </c>
      <c r="E2498" t="s">
        <v>6145</v>
      </c>
      <c r="F2498">
        <v>2016649</v>
      </c>
      <c r="G2498" t="s">
        <v>6146</v>
      </c>
      <c r="H2498" t="s">
        <v>805</v>
      </c>
      <c r="I2498">
        <v>32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32</v>
      </c>
      <c r="P2498" s="44" t="str">
        <f>_xlfn.XLOOKUP(Tabla5[[#This Row],[EAN CORREGIDO]],'Tabla Articulos'!B:B,'Tabla Articulos'!D:D)</f>
        <v>CUCHARA SUNDAE</v>
      </c>
      <c r="Q2498" s="44">
        <f>_xlfn.XLOOKUP(S2498,'Tabla Articulos'!B:B,'Tabla Articulos'!E:E)</f>
        <v>1000</v>
      </c>
      <c r="R2498" s="44">
        <f t="shared" si="78"/>
        <v>32000</v>
      </c>
      <c r="S2498" s="45" t="str">
        <f t="shared" si="79"/>
        <v>714604111849</v>
      </c>
    </row>
    <row r="2499" spans="1:19" hidden="1" x14ac:dyDescent="0.35">
      <c r="A2499" s="22">
        <v>2</v>
      </c>
      <c r="B2499" t="s">
        <v>5624</v>
      </c>
      <c r="C2499" t="s">
        <v>802</v>
      </c>
      <c r="D2499" t="s">
        <v>2640</v>
      </c>
      <c r="E2499" t="s">
        <v>2641</v>
      </c>
      <c r="F2499">
        <v>4017960</v>
      </c>
      <c r="G2499" t="s">
        <v>2642</v>
      </c>
      <c r="H2499" t="s">
        <v>816</v>
      </c>
      <c r="I2499">
        <v>586.5</v>
      </c>
      <c r="J2499">
        <v>0</v>
      </c>
      <c r="K2499">
        <v>0</v>
      </c>
      <c r="L2499">
        <v>99.9</v>
      </c>
      <c r="M2499">
        <v>99.9</v>
      </c>
      <c r="N2499">
        <v>0</v>
      </c>
      <c r="O2499">
        <v>386.7</v>
      </c>
      <c r="P2499" s="44" t="e">
        <f>_xlfn.XLOOKUP(Tabla5[[#This Row],[EAN CORREGIDO]],'Tabla Articulos'!B:B,'Tabla Articulos'!D:D)</f>
        <v>#N/A</v>
      </c>
      <c r="Q2499" s="44" t="e">
        <f>_xlfn.XLOOKUP(S2499,'Tabla Articulos'!B:B,'Tabla Articulos'!E:E)</f>
        <v>#N/A</v>
      </c>
      <c r="R2499" s="44" t="e">
        <f t="shared" si="78"/>
        <v>#N/A</v>
      </c>
      <c r="S2499" s="45" t="str">
        <f t="shared" si="79"/>
        <v>7790216010072</v>
      </c>
    </row>
    <row r="2500" spans="1:19" hidden="1" x14ac:dyDescent="0.35">
      <c r="A2500" s="22">
        <v>2</v>
      </c>
      <c r="B2500" t="s">
        <v>5624</v>
      </c>
      <c r="C2500" t="s">
        <v>802</v>
      </c>
      <c r="D2500" t="s">
        <v>1663</v>
      </c>
      <c r="E2500" t="s">
        <v>3549</v>
      </c>
      <c r="F2500">
        <v>4020334</v>
      </c>
      <c r="G2500" t="s">
        <v>3550</v>
      </c>
      <c r="H2500" t="s">
        <v>805</v>
      </c>
      <c r="I2500">
        <v>3088</v>
      </c>
      <c r="J2500">
        <v>0</v>
      </c>
      <c r="K2500">
        <v>112</v>
      </c>
      <c r="L2500">
        <v>801</v>
      </c>
      <c r="M2500">
        <v>801</v>
      </c>
      <c r="N2500">
        <v>0</v>
      </c>
      <c r="O2500">
        <v>1374</v>
      </c>
      <c r="P2500" s="44" t="e">
        <f>_xlfn.XLOOKUP(Tabla5[[#This Row],[EAN CORREGIDO]],'Tabla Articulos'!B:B,'Tabla Articulos'!D:D)</f>
        <v>#N/A</v>
      </c>
      <c r="Q2500" s="44" t="e">
        <f>_xlfn.XLOOKUP(S2500,'Tabla Articulos'!B:B,'Tabla Articulos'!E:E)</f>
        <v>#N/A</v>
      </c>
      <c r="R2500" s="44" t="e">
        <f t="shared" si="78"/>
        <v>#N/A</v>
      </c>
      <c r="S2500" s="45" t="str">
        <f t="shared" si="79"/>
        <v>7798138555532</v>
      </c>
    </row>
    <row r="2501" spans="1:19" hidden="1" x14ac:dyDescent="0.35">
      <c r="A2501" s="22">
        <v>2</v>
      </c>
      <c r="B2501" t="s">
        <v>5624</v>
      </c>
      <c r="C2501" t="s">
        <v>802</v>
      </c>
      <c r="D2501" t="s">
        <v>1966</v>
      </c>
      <c r="E2501" t="s">
        <v>6368</v>
      </c>
      <c r="F2501">
        <v>4019691</v>
      </c>
      <c r="G2501" t="s">
        <v>6369</v>
      </c>
      <c r="H2501" t="s">
        <v>805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</v>
      </c>
      <c r="P2501" s="44" t="e">
        <f>_xlfn.XLOOKUP(Tabla5[[#This Row],[EAN CORREGIDO]],'Tabla Articulos'!B:B,'Tabla Articulos'!D:D)</f>
        <v>#N/A</v>
      </c>
      <c r="Q2501" s="44" t="e">
        <f>_xlfn.XLOOKUP(S2501,'Tabla Articulos'!B:B,'Tabla Articulos'!E:E)</f>
        <v>#N/A</v>
      </c>
      <c r="R2501" s="44" t="e">
        <f t="shared" si="78"/>
        <v>#N/A</v>
      </c>
      <c r="S2501" s="45" t="str">
        <f t="shared" si="79"/>
        <v>7790971002471</v>
      </c>
    </row>
    <row r="2502" spans="1:19" hidden="1" x14ac:dyDescent="0.35">
      <c r="A2502" s="22">
        <v>2</v>
      </c>
      <c r="B2502" t="s">
        <v>5624</v>
      </c>
      <c r="C2502" t="s">
        <v>802</v>
      </c>
      <c r="D2502" t="s">
        <v>3553</v>
      </c>
      <c r="E2502" t="s">
        <v>3554</v>
      </c>
      <c r="F2502">
        <v>4020711</v>
      </c>
      <c r="G2502" t="s">
        <v>3555</v>
      </c>
      <c r="H2502" t="s">
        <v>805</v>
      </c>
      <c r="I2502">
        <v>97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97</v>
      </c>
      <c r="P2502" s="44" t="e">
        <f>_xlfn.XLOOKUP(Tabla5[[#This Row],[EAN CORREGIDO]],'Tabla Articulos'!B:B,'Tabla Articulos'!D:D)</f>
        <v>#N/A</v>
      </c>
      <c r="Q2502" s="44" t="e">
        <f>_xlfn.XLOOKUP(S2502,'Tabla Articulos'!B:B,'Tabla Articulos'!E:E)</f>
        <v>#N/A</v>
      </c>
      <c r="R2502" s="44" t="e">
        <f t="shared" si="78"/>
        <v>#N/A</v>
      </c>
      <c r="S2502" s="45" t="str">
        <f t="shared" si="79"/>
        <v>7798011976744</v>
      </c>
    </row>
    <row r="2503" spans="1:19" hidden="1" x14ac:dyDescent="0.35">
      <c r="A2503" s="22">
        <v>2</v>
      </c>
      <c r="B2503" t="s">
        <v>5624</v>
      </c>
      <c r="C2503" t="s">
        <v>802</v>
      </c>
      <c r="D2503" t="s">
        <v>2054</v>
      </c>
      <c r="E2503" t="s">
        <v>6370</v>
      </c>
      <c r="F2503">
        <v>4018142</v>
      </c>
      <c r="G2503" t="s">
        <v>6371</v>
      </c>
      <c r="H2503" t="s">
        <v>805</v>
      </c>
      <c r="I2503">
        <v>7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7</v>
      </c>
      <c r="P2503" s="44" t="e">
        <f>_xlfn.XLOOKUP(Tabla5[[#This Row],[EAN CORREGIDO]],'Tabla Articulos'!B:B,'Tabla Articulos'!D:D)</f>
        <v>#N/A</v>
      </c>
      <c r="Q2503" s="44" t="e">
        <f>_xlfn.XLOOKUP(S2503,'Tabla Articulos'!B:B,'Tabla Articulos'!E:E)</f>
        <v>#N/A</v>
      </c>
      <c r="R2503" s="44" t="e">
        <f t="shared" si="78"/>
        <v>#N/A</v>
      </c>
      <c r="S2503" s="45" t="str">
        <f t="shared" si="79"/>
        <v>7798290581943</v>
      </c>
    </row>
    <row r="2504" spans="1:19" hidden="1" x14ac:dyDescent="0.35">
      <c r="A2504" s="22">
        <v>2</v>
      </c>
      <c r="B2504" t="s">
        <v>5624</v>
      </c>
      <c r="C2504" t="s">
        <v>802</v>
      </c>
      <c r="D2504" t="s">
        <v>1737</v>
      </c>
      <c r="E2504" t="s">
        <v>6372</v>
      </c>
      <c r="F2504">
        <v>4019283</v>
      </c>
      <c r="G2504" t="s">
        <v>6373</v>
      </c>
      <c r="H2504" t="s">
        <v>805</v>
      </c>
      <c r="I2504">
        <v>21</v>
      </c>
      <c r="J2504">
        <v>0</v>
      </c>
      <c r="K2504">
        <v>0</v>
      </c>
      <c r="L2504">
        <v>1</v>
      </c>
      <c r="M2504">
        <v>1</v>
      </c>
      <c r="N2504">
        <v>0</v>
      </c>
      <c r="O2504">
        <v>19</v>
      </c>
      <c r="P2504" s="44" t="e">
        <f>_xlfn.XLOOKUP(Tabla5[[#This Row],[EAN CORREGIDO]],'Tabla Articulos'!B:B,'Tabla Articulos'!D:D)</f>
        <v>#N/A</v>
      </c>
      <c r="Q2504" s="44" t="e">
        <f>_xlfn.XLOOKUP(S2504,'Tabla Articulos'!B:B,'Tabla Articulos'!E:E)</f>
        <v>#N/A</v>
      </c>
      <c r="R2504" s="44" t="e">
        <f t="shared" si="78"/>
        <v>#N/A</v>
      </c>
      <c r="S2504" s="45" t="str">
        <f t="shared" si="79"/>
        <v>1234567890</v>
      </c>
    </row>
    <row r="2505" spans="1:19" hidden="1" x14ac:dyDescent="0.35">
      <c r="A2505" s="22">
        <v>2</v>
      </c>
      <c r="B2505" t="s">
        <v>5624</v>
      </c>
      <c r="C2505" t="s">
        <v>802</v>
      </c>
      <c r="D2505" t="s">
        <v>1702</v>
      </c>
      <c r="E2505" t="s">
        <v>1703</v>
      </c>
      <c r="F2505">
        <v>4020616</v>
      </c>
      <c r="G2505" t="s">
        <v>1704</v>
      </c>
      <c r="H2505" t="s">
        <v>805</v>
      </c>
      <c r="I2505">
        <v>454</v>
      </c>
      <c r="J2505">
        <v>0</v>
      </c>
      <c r="K2505">
        <v>0</v>
      </c>
      <c r="L2505">
        <v>1</v>
      </c>
      <c r="M2505">
        <v>1</v>
      </c>
      <c r="N2505">
        <v>0</v>
      </c>
      <c r="O2505">
        <v>452</v>
      </c>
      <c r="P2505" s="44" t="e">
        <f>_xlfn.XLOOKUP(Tabla5[[#This Row],[EAN CORREGIDO]],'Tabla Articulos'!B:B,'Tabla Articulos'!D:D)</f>
        <v>#N/A</v>
      </c>
      <c r="Q2505" s="44" t="e">
        <f>_xlfn.XLOOKUP(S2505,'Tabla Articulos'!B:B,'Tabla Articulos'!E:E)</f>
        <v>#N/A</v>
      </c>
      <c r="R2505" s="44" t="e">
        <f t="shared" si="78"/>
        <v>#N/A</v>
      </c>
      <c r="S2505" s="45" t="str">
        <f t="shared" si="79"/>
        <v>7793323002471</v>
      </c>
    </row>
    <row r="2506" spans="1:19" hidden="1" x14ac:dyDescent="0.35">
      <c r="A2506" s="22">
        <v>2</v>
      </c>
      <c r="B2506" t="s">
        <v>5624</v>
      </c>
      <c r="C2506" t="s">
        <v>802</v>
      </c>
      <c r="D2506" t="s">
        <v>3482</v>
      </c>
      <c r="E2506" t="s">
        <v>5860</v>
      </c>
      <c r="F2506">
        <v>4019372</v>
      </c>
      <c r="G2506" t="s">
        <v>5861</v>
      </c>
      <c r="H2506" t="s">
        <v>805</v>
      </c>
      <c r="I2506">
        <v>1341</v>
      </c>
      <c r="J2506">
        <v>0</v>
      </c>
      <c r="K2506">
        <v>1341</v>
      </c>
      <c r="L2506">
        <v>0</v>
      </c>
      <c r="M2506">
        <v>0</v>
      </c>
      <c r="N2506">
        <v>72</v>
      </c>
      <c r="O2506">
        <v>-72</v>
      </c>
      <c r="P2506" s="44" t="e">
        <f>_xlfn.XLOOKUP(Tabla5[[#This Row],[EAN CORREGIDO]],'Tabla Articulos'!B:B,'Tabla Articulos'!D:D)</f>
        <v>#N/A</v>
      </c>
      <c r="Q2506" s="44" t="e">
        <f>_xlfn.XLOOKUP(S2506,'Tabla Articulos'!B:B,'Tabla Articulos'!E:E)</f>
        <v>#N/A</v>
      </c>
      <c r="R2506" s="44" t="e">
        <f t="shared" si="78"/>
        <v>#N/A</v>
      </c>
      <c r="S2506" s="45" t="str">
        <f t="shared" si="79"/>
        <v>7790130002830</v>
      </c>
    </row>
    <row r="2507" spans="1:19" hidden="1" x14ac:dyDescent="0.35">
      <c r="A2507" s="22">
        <v>2</v>
      </c>
      <c r="B2507" t="s">
        <v>5624</v>
      </c>
      <c r="C2507" t="s">
        <v>802</v>
      </c>
      <c r="D2507" t="s">
        <v>1705</v>
      </c>
      <c r="E2507" t="s">
        <v>1706</v>
      </c>
      <c r="F2507">
        <v>4020301</v>
      </c>
      <c r="G2507" t="s">
        <v>1707</v>
      </c>
      <c r="H2507" t="s">
        <v>805</v>
      </c>
      <c r="I2507">
        <v>288</v>
      </c>
      <c r="J2507">
        <v>0</v>
      </c>
      <c r="K2507">
        <v>0</v>
      </c>
      <c r="L2507">
        <v>8</v>
      </c>
      <c r="M2507">
        <v>8</v>
      </c>
      <c r="N2507">
        <v>0</v>
      </c>
      <c r="O2507">
        <v>272</v>
      </c>
      <c r="P2507" s="44" t="e">
        <f>_xlfn.XLOOKUP(Tabla5[[#This Row],[EAN CORREGIDO]],'Tabla Articulos'!B:B,'Tabla Articulos'!D:D)</f>
        <v>#N/A</v>
      </c>
      <c r="Q2507" s="44" t="e">
        <f>_xlfn.XLOOKUP(S2507,'Tabla Articulos'!B:B,'Tabla Articulos'!E:E)</f>
        <v>#N/A</v>
      </c>
      <c r="R2507" s="44" t="e">
        <f t="shared" si="78"/>
        <v>#N/A</v>
      </c>
      <c r="S2507" s="45" t="str">
        <f t="shared" si="79"/>
        <v>7798011976508</v>
      </c>
    </row>
    <row r="2508" spans="1:19" hidden="1" x14ac:dyDescent="0.35">
      <c r="A2508" s="22">
        <v>2</v>
      </c>
      <c r="B2508" t="s">
        <v>5624</v>
      </c>
      <c r="C2508" t="s">
        <v>802</v>
      </c>
      <c r="D2508" t="s">
        <v>2143</v>
      </c>
      <c r="E2508" t="s">
        <v>2448</v>
      </c>
      <c r="F2508">
        <v>4020060</v>
      </c>
      <c r="G2508" t="s">
        <v>2449</v>
      </c>
      <c r="H2508" t="s">
        <v>805</v>
      </c>
      <c r="I2508">
        <v>389</v>
      </c>
      <c r="J2508">
        <v>0</v>
      </c>
      <c r="K2508">
        <v>0</v>
      </c>
      <c r="L2508">
        <v>1</v>
      </c>
      <c r="M2508">
        <v>1</v>
      </c>
      <c r="N2508">
        <v>0</v>
      </c>
      <c r="O2508">
        <v>387</v>
      </c>
      <c r="P2508" s="44" t="e">
        <f>_xlfn.XLOOKUP(Tabla5[[#This Row],[EAN CORREGIDO]],'Tabla Articulos'!B:B,'Tabla Articulos'!D:D)</f>
        <v>#N/A</v>
      </c>
      <c r="Q2508" s="44" t="e">
        <f>_xlfn.XLOOKUP(S2508,'Tabla Articulos'!B:B,'Tabla Articulos'!E:E)</f>
        <v>#N/A</v>
      </c>
      <c r="R2508" s="44" t="e">
        <f t="shared" si="78"/>
        <v>#N/A</v>
      </c>
      <c r="S2508" s="45" t="str">
        <f t="shared" si="79"/>
        <v>7793875360289</v>
      </c>
    </row>
    <row r="2509" spans="1:19" hidden="1" x14ac:dyDescent="0.35">
      <c r="A2509" s="22">
        <v>2</v>
      </c>
      <c r="B2509" t="s">
        <v>5624</v>
      </c>
      <c r="C2509" t="s">
        <v>802</v>
      </c>
      <c r="D2509" t="s">
        <v>4418</v>
      </c>
      <c r="E2509" t="s">
        <v>4419</v>
      </c>
      <c r="F2509">
        <v>4021136</v>
      </c>
      <c r="G2509" t="s">
        <v>4420</v>
      </c>
      <c r="H2509" t="s">
        <v>805</v>
      </c>
      <c r="I2509">
        <v>5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5</v>
      </c>
      <c r="P2509" s="44" t="e">
        <f>_xlfn.XLOOKUP(Tabla5[[#This Row],[EAN CORREGIDO]],'Tabla Articulos'!B:B,'Tabla Articulos'!D:D)</f>
        <v>#N/A</v>
      </c>
      <c r="Q2509" s="44" t="e">
        <f>_xlfn.XLOOKUP(S2509,'Tabla Articulos'!B:B,'Tabla Articulos'!E:E)</f>
        <v>#N/A</v>
      </c>
      <c r="R2509" s="44" t="e">
        <f t="shared" si="78"/>
        <v>#N/A</v>
      </c>
      <c r="S2509" s="45" t="str">
        <f t="shared" si="79"/>
        <v>7790154007781</v>
      </c>
    </row>
    <row r="2510" spans="1:19" hidden="1" x14ac:dyDescent="0.35">
      <c r="A2510" s="22">
        <v>2</v>
      </c>
      <c r="B2510" t="s">
        <v>5624</v>
      </c>
      <c r="C2510" t="s">
        <v>802</v>
      </c>
      <c r="D2510" t="s">
        <v>3391</v>
      </c>
      <c r="E2510" t="s">
        <v>4425</v>
      </c>
      <c r="F2510">
        <v>4076741</v>
      </c>
      <c r="G2510" t="s">
        <v>4426</v>
      </c>
      <c r="H2510" t="s">
        <v>805</v>
      </c>
      <c r="I2510">
        <v>330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330</v>
      </c>
      <c r="P2510" s="44" t="e">
        <f>_xlfn.XLOOKUP(Tabla5[[#This Row],[EAN CORREGIDO]],'Tabla Articulos'!B:B,'Tabla Articulos'!D:D)</f>
        <v>#N/A</v>
      </c>
      <c r="Q2510" s="44" t="e">
        <f>_xlfn.XLOOKUP(S2510,'Tabla Articulos'!B:B,'Tabla Articulos'!E:E)</f>
        <v>#N/A</v>
      </c>
      <c r="R2510" s="44" t="e">
        <f t="shared" si="78"/>
        <v>#N/A</v>
      </c>
      <c r="S2510" s="45" t="str">
        <f t="shared" si="79"/>
        <v>7797470000106</v>
      </c>
    </row>
    <row r="2511" spans="1:19" hidden="1" x14ac:dyDescent="0.35">
      <c r="A2511" s="22">
        <v>2</v>
      </c>
      <c r="B2511" t="s">
        <v>5624</v>
      </c>
      <c r="C2511" t="s">
        <v>802</v>
      </c>
      <c r="D2511" t="s">
        <v>5910</v>
      </c>
      <c r="E2511" t="s">
        <v>5911</v>
      </c>
      <c r="F2511">
        <v>4018057</v>
      </c>
      <c r="G2511" t="s">
        <v>5912</v>
      </c>
      <c r="H2511" t="s">
        <v>816</v>
      </c>
      <c r="I2511">
        <v>2430.92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2430.92</v>
      </c>
      <c r="P2511" s="44" t="e">
        <f>_xlfn.XLOOKUP(Tabla5[[#This Row],[EAN CORREGIDO]],'Tabla Articulos'!B:B,'Tabla Articulos'!D:D)</f>
        <v>#N/A</v>
      </c>
      <c r="Q2511" s="44" t="e">
        <f>_xlfn.XLOOKUP(S2511,'Tabla Articulos'!B:B,'Tabla Articulos'!E:E)</f>
        <v>#N/A</v>
      </c>
      <c r="R2511" s="44" t="e">
        <f t="shared" si="78"/>
        <v>#N/A</v>
      </c>
      <c r="S2511" s="45" t="str">
        <f t="shared" si="79"/>
        <v>7790216020082</v>
      </c>
    </row>
    <row r="2512" spans="1:19" hidden="1" x14ac:dyDescent="0.35">
      <c r="A2512" s="22">
        <v>2</v>
      </c>
      <c r="B2512" t="s">
        <v>5624</v>
      </c>
      <c r="C2512" t="s">
        <v>802</v>
      </c>
      <c r="D2512" t="s">
        <v>1877</v>
      </c>
      <c r="E2512" t="s">
        <v>1878</v>
      </c>
      <c r="F2512">
        <v>4017692</v>
      </c>
      <c r="G2512" t="s">
        <v>1879</v>
      </c>
      <c r="H2512" t="s">
        <v>816</v>
      </c>
      <c r="I2512">
        <v>420</v>
      </c>
      <c r="J2512">
        <v>0</v>
      </c>
      <c r="K2512">
        <v>0</v>
      </c>
      <c r="L2512">
        <v>0</v>
      </c>
      <c r="M2512">
        <v>0</v>
      </c>
      <c r="N2512">
        <v>29.6</v>
      </c>
      <c r="O2512">
        <v>390.4</v>
      </c>
      <c r="P2512" s="44" t="e">
        <f>_xlfn.XLOOKUP(Tabla5[[#This Row],[EAN CORREGIDO]],'Tabla Articulos'!B:B,'Tabla Articulos'!D:D)</f>
        <v>#N/A</v>
      </c>
      <c r="Q2512" s="44" t="e">
        <f>_xlfn.XLOOKUP(S2512,'Tabla Articulos'!B:B,'Tabla Articulos'!E:E)</f>
        <v>#N/A</v>
      </c>
      <c r="R2512" s="44" t="e">
        <f t="shared" si="78"/>
        <v>#N/A</v>
      </c>
      <c r="S2512" s="45" t="str">
        <f t="shared" si="79"/>
        <v>7790212031229</v>
      </c>
    </row>
    <row r="2513" spans="1:19" hidden="1" x14ac:dyDescent="0.35">
      <c r="A2513" s="22">
        <v>2</v>
      </c>
      <c r="B2513" t="s">
        <v>5624</v>
      </c>
      <c r="C2513" t="s">
        <v>802</v>
      </c>
      <c r="D2513" t="s">
        <v>1880</v>
      </c>
      <c r="E2513" t="s">
        <v>1881</v>
      </c>
      <c r="F2513">
        <v>4019767</v>
      </c>
      <c r="G2513" t="s">
        <v>1882</v>
      </c>
      <c r="H2513" t="s">
        <v>805</v>
      </c>
      <c r="I2513">
        <v>157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157</v>
      </c>
      <c r="P2513" s="44" t="e">
        <f>_xlfn.XLOOKUP(Tabla5[[#This Row],[EAN CORREGIDO]],'Tabla Articulos'!B:B,'Tabla Articulos'!D:D)</f>
        <v>#N/A</v>
      </c>
      <c r="Q2513" s="44" t="e">
        <f>_xlfn.XLOOKUP(S2513,'Tabla Articulos'!B:B,'Tabla Articulos'!E:E)</f>
        <v>#N/A</v>
      </c>
      <c r="R2513" s="44" t="e">
        <f t="shared" si="78"/>
        <v>#N/A</v>
      </c>
      <c r="S2513" s="45" t="str">
        <f t="shared" si="79"/>
        <v>7790530850154</v>
      </c>
    </row>
    <row r="2514" spans="1:19" hidden="1" x14ac:dyDescent="0.35">
      <c r="A2514" s="22">
        <v>2</v>
      </c>
      <c r="B2514" t="s">
        <v>5624</v>
      </c>
      <c r="C2514" t="s">
        <v>802</v>
      </c>
      <c r="D2514" t="s">
        <v>2886</v>
      </c>
      <c r="E2514" t="s">
        <v>5913</v>
      </c>
      <c r="F2514">
        <v>4076551</v>
      </c>
      <c r="G2514" t="s">
        <v>5914</v>
      </c>
      <c r="H2514" t="s">
        <v>805</v>
      </c>
      <c r="I2514">
        <v>57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57</v>
      </c>
      <c r="P2514" s="44" t="e">
        <f>_xlfn.XLOOKUP(Tabla5[[#This Row],[EAN CORREGIDO]],'Tabla Articulos'!B:B,'Tabla Articulos'!D:D)</f>
        <v>#N/A</v>
      </c>
      <c r="Q2514" s="44" t="e">
        <f>_xlfn.XLOOKUP(S2514,'Tabla Articulos'!B:B,'Tabla Articulos'!E:E)</f>
        <v>#N/A</v>
      </c>
      <c r="R2514" s="44" t="e">
        <f t="shared" si="78"/>
        <v>#N/A</v>
      </c>
      <c r="S2514" s="45" t="str">
        <f t="shared" si="79"/>
        <v>7798131130941</v>
      </c>
    </row>
    <row r="2515" spans="1:19" hidden="1" x14ac:dyDescent="0.35">
      <c r="A2515" s="22">
        <v>2</v>
      </c>
      <c r="B2515" t="s">
        <v>5624</v>
      </c>
      <c r="C2515" t="s">
        <v>802</v>
      </c>
      <c r="D2515" t="s">
        <v>1380</v>
      </c>
      <c r="E2515" t="s">
        <v>1885</v>
      </c>
      <c r="F2515">
        <v>4019487</v>
      </c>
      <c r="G2515" t="s">
        <v>1886</v>
      </c>
      <c r="H2515" t="s">
        <v>805</v>
      </c>
      <c r="I2515">
        <v>244</v>
      </c>
      <c r="J2515">
        <v>0</v>
      </c>
      <c r="K2515">
        <v>0</v>
      </c>
      <c r="L2515">
        <v>5</v>
      </c>
      <c r="M2515">
        <v>5</v>
      </c>
      <c r="N2515">
        <v>0</v>
      </c>
      <c r="O2515">
        <v>234</v>
      </c>
      <c r="P2515" s="44" t="e">
        <f>_xlfn.XLOOKUP(Tabla5[[#This Row],[EAN CORREGIDO]],'Tabla Articulos'!B:B,'Tabla Articulos'!D:D)</f>
        <v>#N/A</v>
      </c>
      <c r="Q2515" s="44" t="e">
        <f>_xlfn.XLOOKUP(S2515,'Tabla Articulos'!B:B,'Tabla Articulos'!E:E)</f>
        <v>#N/A</v>
      </c>
      <c r="R2515" s="44" t="e">
        <f t="shared" si="78"/>
        <v>#N/A</v>
      </c>
      <c r="S2515" s="45" t="str">
        <f t="shared" si="79"/>
        <v>7790530850161</v>
      </c>
    </row>
    <row r="2516" spans="1:19" hidden="1" x14ac:dyDescent="0.35">
      <c r="A2516" s="22">
        <v>2</v>
      </c>
      <c r="B2516" t="s">
        <v>5624</v>
      </c>
      <c r="C2516" t="s">
        <v>802</v>
      </c>
      <c r="D2516" t="s">
        <v>1380</v>
      </c>
      <c r="E2516" t="s">
        <v>2250</v>
      </c>
      <c r="F2516">
        <v>4022536</v>
      </c>
      <c r="G2516" t="s">
        <v>2251</v>
      </c>
      <c r="H2516" t="s">
        <v>805</v>
      </c>
      <c r="I2516">
        <v>47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47</v>
      </c>
      <c r="P2516" s="44" t="e">
        <f>_xlfn.XLOOKUP(Tabla5[[#This Row],[EAN CORREGIDO]],'Tabla Articulos'!B:B,'Tabla Articulos'!D:D)</f>
        <v>#N/A</v>
      </c>
      <c r="Q2516" s="44" t="e">
        <f>_xlfn.XLOOKUP(S2516,'Tabla Articulos'!B:B,'Tabla Articulos'!E:E)</f>
        <v>#N/A</v>
      </c>
      <c r="R2516" s="44" t="e">
        <f t="shared" si="78"/>
        <v>#N/A</v>
      </c>
      <c r="S2516" s="45" t="str">
        <f t="shared" si="79"/>
        <v>714604058540</v>
      </c>
    </row>
    <row r="2517" spans="1:19" hidden="1" x14ac:dyDescent="0.35">
      <c r="A2517" s="22">
        <v>2</v>
      </c>
      <c r="B2517" t="s">
        <v>5624</v>
      </c>
      <c r="C2517" t="s">
        <v>802</v>
      </c>
      <c r="D2517" t="s">
        <v>2252</v>
      </c>
      <c r="E2517" t="s">
        <v>2253</v>
      </c>
      <c r="F2517">
        <v>4018051</v>
      </c>
      <c r="G2517" t="s">
        <v>2254</v>
      </c>
      <c r="H2517" t="s">
        <v>816</v>
      </c>
      <c r="I2517">
        <v>134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134</v>
      </c>
      <c r="P2517" s="44" t="e">
        <f>_xlfn.XLOOKUP(Tabla5[[#This Row],[EAN CORREGIDO]],'Tabla Articulos'!B:B,'Tabla Articulos'!D:D)</f>
        <v>#N/A</v>
      </c>
      <c r="Q2517" s="44" t="e">
        <f>_xlfn.XLOOKUP(S2517,'Tabla Articulos'!B:B,'Tabla Articulos'!E:E)</f>
        <v>#N/A</v>
      </c>
      <c r="R2517" s="44" t="e">
        <f t="shared" si="78"/>
        <v>#N/A</v>
      </c>
      <c r="S2517" s="45" t="str">
        <f t="shared" si="79"/>
        <v>7790216010142</v>
      </c>
    </row>
    <row r="2518" spans="1:19" hidden="1" x14ac:dyDescent="0.35">
      <c r="A2518" s="22">
        <v>2</v>
      </c>
      <c r="B2518" t="s">
        <v>5624</v>
      </c>
      <c r="C2518" t="s">
        <v>802</v>
      </c>
      <c r="D2518" t="s">
        <v>5763</v>
      </c>
      <c r="E2518" t="s">
        <v>6392</v>
      </c>
      <c r="F2518">
        <v>4049027</v>
      </c>
      <c r="G2518" t="s">
        <v>6393</v>
      </c>
      <c r="H2518" t="s">
        <v>805</v>
      </c>
      <c r="I2518">
        <v>14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14</v>
      </c>
      <c r="P2518" s="44" t="e">
        <f>_xlfn.XLOOKUP(Tabla5[[#This Row],[EAN CORREGIDO]],'Tabla Articulos'!B:B,'Tabla Articulos'!D:D)</f>
        <v>#N/A</v>
      </c>
      <c r="Q2518" s="44" t="e">
        <f>_xlfn.XLOOKUP(S2518,'Tabla Articulos'!B:B,'Tabla Articulos'!E:E)</f>
        <v>#N/A</v>
      </c>
      <c r="R2518" s="44" t="e">
        <f t="shared" si="78"/>
        <v>#N/A</v>
      </c>
      <c r="S2518" s="45" t="str">
        <f t="shared" si="79"/>
        <v>7798104307103</v>
      </c>
    </row>
    <row r="2519" spans="1:19" hidden="1" x14ac:dyDescent="0.35">
      <c r="A2519" s="22">
        <v>2</v>
      </c>
      <c r="B2519" t="s">
        <v>5624</v>
      </c>
      <c r="C2519" t="s">
        <v>802</v>
      </c>
      <c r="D2519" t="s">
        <v>2284</v>
      </c>
      <c r="E2519" t="s">
        <v>6394</v>
      </c>
      <c r="F2519">
        <v>4023578</v>
      </c>
      <c r="G2519" t="s">
        <v>6395</v>
      </c>
      <c r="H2519" t="s">
        <v>805</v>
      </c>
      <c r="I2519">
        <v>30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30</v>
      </c>
      <c r="P2519" s="44" t="e">
        <f>_xlfn.XLOOKUP(Tabla5[[#This Row],[EAN CORREGIDO]],'Tabla Articulos'!B:B,'Tabla Articulos'!D:D)</f>
        <v>#N/A</v>
      </c>
      <c r="Q2519" s="44" t="e">
        <f>_xlfn.XLOOKUP(S2519,'Tabla Articulos'!B:B,'Tabla Articulos'!E:E)</f>
        <v>#N/A</v>
      </c>
      <c r="R2519" s="44" t="e">
        <f t="shared" si="78"/>
        <v>#N/A</v>
      </c>
      <c r="S2519" s="45" t="str">
        <f t="shared" si="79"/>
        <v>724751055279</v>
      </c>
    </row>
    <row r="2520" spans="1:19" hidden="1" x14ac:dyDescent="0.35">
      <c r="A2520" s="22">
        <v>2</v>
      </c>
      <c r="B2520" t="s">
        <v>5624</v>
      </c>
      <c r="C2520" t="s">
        <v>802</v>
      </c>
      <c r="D2520" t="s">
        <v>1717</v>
      </c>
      <c r="E2520" t="s">
        <v>6396</v>
      </c>
      <c r="F2520">
        <v>4018807</v>
      </c>
      <c r="G2520" t="s">
        <v>6397</v>
      </c>
      <c r="H2520" t="s">
        <v>805</v>
      </c>
      <c r="I2520">
        <v>517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517</v>
      </c>
      <c r="P2520" s="44" t="e">
        <f>_xlfn.XLOOKUP(Tabla5[[#This Row],[EAN CORREGIDO]],'Tabla Articulos'!B:B,'Tabla Articulos'!D:D)</f>
        <v>#N/A</v>
      </c>
      <c r="Q2520" s="44" t="e">
        <f>_xlfn.XLOOKUP(S2520,'Tabla Articulos'!B:B,'Tabla Articulos'!E:E)</f>
        <v>#N/A</v>
      </c>
      <c r="R2520" s="44" t="e">
        <f t="shared" si="78"/>
        <v>#N/A</v>
      </c>
      <c r="S2520" s="45" t="str">
        <f t="shared" si="79"/>
        <v>7790040143692</v>
      </c>
    </row>
    <row r="2521" spans="1:19" hidden="1" x14ac:dyDescent="0.35">
      <c r="A2521" s="22">
        <v>2</v>
      </c>
      <c r="B2521" t="s">
        <v>5624</v>
      </c>
      <c r="C2521" t="s">
        <v>802</v>
      </c>
      <c r="D2521" t="s">
        <v>6439</v>
      </c>
      <c r="E2521" t="s">
        <v>6440</v>
      </c>
      <c r="F2521">
        <v>4017180</v>
      </c>
      <c r="G2521" t="s">
        <v>6441</v>
      </c>
      <c r="H2521" t="s">
        <v>805</v>
      </c>
      <c r="I2521">
        <v>189</v>
      </c>
      <c r="J2521">
        <v>0</v>
      </c>
      <c r="K2521">
        <v>0</v>
      </c>
      <c r="L2521">
        <v>1</v>
      </c>
      <c r="M2521">
        <v>1</v>
      </c>
      <c r="N2521">
        <v>0</v>
      </c>
      <c r="O2521">
        <v>187</v>
      </c>
      <c r="P2521" s="44" t="e">
        <f>_xlfn.XLOOKUP(Tabla5[[#This Row],[EAN CORREGIDO]],'Tabla Articulos'!B:B,'Tabla Articulos'!D:D)</f>
        <v>#N/A</v>
      </c>
      <c r="Q2521" s="44" t="e">
        <f>_xlfn.XLOOKUP(S2521,'Tabla Articulos'!B:B,'Tabla Articulos'!E:E)</f>
        <v>#N/A</v>
      </c>
      <c r="R2521" s="44" t="e">
        <f t="shared" si="78"/>
        <v>#N/A</v>
      </c>
      <c r="S2521" s="45" t="str">
        <f t="shared" si="79"/>
        <v>7790895648267</v>
      </c>
    </row>
    <row r="2522" spans="1:19" hidden="1" x14ac:dyDescent="0.35">
      <c r="A2522" s="22">
        <v>2</v>
      </c>
      <c r="B2522" t="s">
        <v>5624</v>
      </c>
      <c r="C2522" t="s">
        <v>802</v>
      </c>
      <c r="D2522" t="s">
        <v>1470</v>
      </c>
      <c r="E2522" t="s">
        <v>6001</v>
      </c>
      <c r="F2522">
        <v>4019796</v>
      </c>
      <c r="G2522" t="s">
        <v>6002</v>
      </c>
      <c r="H2522" t="s">
        <v>805</v>
      </c>
      <c r="I2522">
        <v>459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459</v>
      </c>
      <c r="P2522" s="44" t="e">
        <f>_xlfn.XLOOKUP(Tabla5[[#This Row],[EAN CORREGIDO]],'Tabla Articulos'!B:B,'Tabla Articulos'!D:D)</f>
        <v>#N/A</v>
      </c>
      <c r="Q2522" s="44" t="e">
        <f>_xlfn.XLOOKUP(S2522,'Tabla Articulos'!B:B,'Tabla Articulos'!E:E)</f>
        <v>#N/A</v>
      </c>
      <c r="R2522" s="44" t="e">
        <f t="shared" si="78"/>
        <v>#N/A</v>
      </c>
      <c r="S2522" s="45" t="str">
        <f t="shared" si="79"/>
        <v>7791113001536</v>
      </c>
    </row>
    <row r="2523" spans="1:19" hidden="1" x14ac:dyDescent="0.35">
      <c r="A2523" s="22">
        <v>2</v>
      </c>
      <c r="B2523" t="s">
        <v>5624</v>
      </c>
      <c r="C2523" t="s">
        <v>802</v>
      </c>
      <c r="D2523" t="s">
        <v>218</v>
      </c>
      <c r="E2523" t="s">
        <v>2233</v>
      </c>
      <c r="F2523">
        <v>2016520</v>
      </c>
      <c r="G2523" t="s">
        <v>2234</v>
      </c>
      <c r="H2523" t="s">
        <v>805</v>
      </c>
      <c r="I2523">
        <v>5</v>
      </c>
      <c r="J2523">
        <v>20</v>
      </c>
      <c r="K2523">
        <v>0</v>
      </c>
      <c r="L2523">
        <v>0</v>
      </c>
      <c r="M2523">
        <v>0</v>
      </c>
      <c r="N2523">
        <v>0</v>
      </c>
      <c r="O2523">
        <v>25</v>
      </c>
      <c r="P2523" s="44" t="str">
        <f>_xlfn.XLOOKUP(Tabla5[[#This Row],[EAN CORREGIDO]],'Tabla Articulos'!B:B,'Tabla Articulos'!D:D)</f>
        <v>SERVILLETA SIMIL TELA</v>
      </c>
      <c r="Q2523" s="44">
        <f>_xlfn.XLOOKUP(S2523,'Tabla Articulos'!B:B,'Tabla Articulos'!E:E)</f>
        <v>2000</v>
      </c>
      <c r="R2523" s="44">
        <f t="shared" si="78"/>
        <v>50000</v>
      </c>
      <c r="S2523" s="45" t="str">
        <f t="shared" si="79"/>
        <v>7790000000713</v>
      </c>
    </row>
    <row r="2524" spans="1:19" hidden="1" x14ac:dyDescent="0.35">
      <c r="A2524" s="22">
        <v>2</v>
      </c>
      <c r="B2524" t="s">
        <v>5624</v>
      </c>
      <c r="C2524" t="s">
        <v>802</v>
      </c>
      <c r="D2524" t="s">
        <v>2235</v>
      </c>
      <c r="E2524" t="s">
        <v>2236</v>
      </c>
      <c r="F2524">
        <v>4024490</v>
      </c>
      <c r="G2524" t="s">
        <v>2237</v>
      </c>
      <c r="H2524" t="s">
        <v>805</v>
      </c>
      <c r="I2524">
        <v>26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26</v>
      </c>
      <c r="P2524" s="44" t="e">
        <f>_xlfn.XLOOKUP(Tabla5[[#This Row],[EAN CORREGIDO]],'Tabla Articulos'!B:B,'Tabla Articulos'!D:D)</f>
        <v>#N/A</v>
      </c>
      <c r="Q2524" s="44" t="e">
        <f>_xlfn.XLOOKUP(S2524,'Tabla Articulos'!B:B,'Tabla Articulos'!E:E)</f>
        <v>#N/A</v>
      </c>
      <c r="R2524" s="44" t="e">
        <f t="shared" si="78"/>
        <v>#N/A</v>
      </c>
      <c r="S2524" s="45" t="str">
        <f t="shared" si="79"/>
        <v>7798110340071</v>
      </c>
    </row>
    <row r="2525" spans="1:19" hidden="1" x14ac:dyDescent="0.35">
      <c r="A2525" s="22">
        <v>2</v>
      </c>
      <c r="B2525" t="s">
        <v>5624</v>
      </c>
      <c r="C2525" t="s">
        <v>802</v>
      </c>
      <c r="D2525" t="s">
        <v>6003</v>
      </c>
      <c r="E2525" t="s">
        <v>6004</v>
      </c>
      <c r="F2525">
        <v>4018004</v>
      </c>
      <c r="G2525" t="s">
        <v>6005</v>
      </c>
      <c r="H2525" t="s">
        <v>816</v>
      </c>
      <c r="I2525">
        <v>21.7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21.7</v>
      </c>
      <c r="P2525" s="44" t="e">
        <f>_xlfn.XLOOKUP(Tabla5[[#This Row],[EAN CORREGIDO]],'Tabla Articulos'!B:B,'Tabla Articulos'!D:D)</f>
        <v>#N/A</v>
      </c>
      <c r="Q2525" s="44" t="e">
        <f>_xlfn.XLOOKUP(S2525,'Tabla Articulos'!B:B,'Tabla Articulos'!E:E)</f>
        <v>#N/A</v>
      </c>
      <c r="R2525" s="44" t="e">
        <f t="shared" si="78"/>
        <v>#N/A</v>
      </c>
      <c r="S2525" s="45" t="str">
        <f t="shared" si="79"/>
        <v>7790216020100</v>
      </c>
    </row>
    <row r="2526" spans="1:19" hidden="1" x14ac:dyDescent="0.35">
      <c r="A2526" s="22">
        <v>2</v>
      </c>
      <c r="B2526" t="s">
        <v>5624</v>
      </c>
      <c r="C2526" t="s">
        <v>802</v>
      </c>
      <c r="D2526" t="s">
        <v>6570</v>
      </c>
      <c r="E2526" t="s">
        <v>6571</v>
      </c>
      <c r="F2526">
        <v>4017200</v>
      </c>
      <c r="G2526" t="s">
        <v>6572</v>
      </c>
      <c r="H2526" t="s">
        <v>805</v>
      </c>
      <c r="I2526">
        <v>86</v>
      </c>
      <c r="J2526">
        <v>0</v>
      </c>
      <c r="K2526">
        <v>0</v>
      </c>
      <c r="L2526">
        <v>8</v>
      </c>
      <c r="M2526">
        <v>8</v>
      </c>
      <c r="N2526">
        <v>0</v>
      </c>
      <c r="O2526">
        <v>70</v>
      </c>
      <c r="P2526" s="44" t="e">
        <f>_xlfn.XLOOKUP(Tabla5[[#This Row],[EAN CORREGIDO]],'Tabla Articulos'!B:B,'Tabla Articulos'!D:D)</f>
        <v>#N/A</v>
      </c>
      <c r="Q2526" s="44" t="e">
        <f>_xlfn.XLOOKUP(S2526,'Tabla Articulos'!B:B,'Tabla Articulos'!E:E)</f>
        <v>#N/A</v>
      </c>
      <c r="R2526" s="44" t="e">
        <f t="shared" si="78"/>
        <v>#N/A</v>
      </c>
      <c r="S2526" s="45" t="str">
        <f t="shared" si="79"/>
        <v>7790895640490</v>
      </c>
    </row>
    <row r="2527" spans="1:19" hidden="1" x14ac:dyDescent="0.35">
      <c r="A2527" s="22">
        <v>2</v>
      </c>
      <c r="B2527" t="s">
        <v>5624</v>
      </c>
      <c r="C2527" t="s">
        <v>802</v>
      </c>
      <c r="D2527" t="s">
        <v>4666</v>
      </c>
      <c r="E2527" t="s">
        <v>4667</v>
      </c>
      <c r="F2527">
        <v>4019462</v>
      </c>
      <c r="G2527" t="s">
        <v>4668</v>
      </c>
      <c r="H2527" t="s">
        <v>805</v>
      </c>
      <c r="I2527">
        <v>143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143</v>
      </c>
      <c r="P2527" s="44" t="e">
        <f>_xlfn.XLOOKUP(Tabla5[[#This Row],[EAN CORREGIDO]],'Tabla Articulos'!B:B,'Tabla Articulos'!D:D)</f>
        <v>#N/A</v>
      </c>
      <c r="Q2527" s="44" t="e">
        <f>_xlfn.XLOOKUP(S2527,'Tabla Articulos'!B:B,'Tabla Articulos'!E:E)</f>
        <v>#N/A</v>
      </c>
      <c r="R2527" s="44" t="e">
        <f t="shared" si="78"/>
        <v>#N/A</v>
      </c>
      <c r="S2527" s="45" t="str">
        <f t="shared" si="79"/>
        <v>7790150330166</v>
      </c>
    </row>
    <row r="2528" spans="1:19" hidden="1" x14ac:dyDescent="0.35">
      <c r="A2528" s="22">
        <v>2</v>
      </c>
      <c r="B2528" t="s">
        <v>5624</v>
      </c>
      <c r="C2528" t="s">
        <v>802</v>
      </c>
      <c r="D2528" t="s">
        <v>442</v>
      </c>
      <c r="E2528" t="s">
        <v>4673</v>
      </c>
      <c r="F2528">
        <v>2007192</v>
      </c>
      <c r="G2528" t="s">
        <v>4674</v>
      </c>
      <c r="H2528" t="s">
        <v>805</v>
      </c>
      <c r="I2528">
        <v>56</v>
      </c>
      <c r="J2528">
        <v>0</v>
      </c>
      <c r="K2528">
        <v>0</v>
      </c>
      <c r="L2528">
        <v>3</v>
      </c>
      <c r="M2528">
        <v>3</v>
      </c>
      <c r="N2528">
        <v>0</v>
      </c>
      <c r="O2528">
        <v>50</v>
      </c>
      <c r="P2528" s="44" t="str">
        <f>_xlfn.XLOOKUP(Tabla5[[#This Row],[EAN CORREGIDO]],'Tabla Articulos'!B:B,'Tabla Articulos'!D:D)</f>
        <v>INDIVIDUAL CHEF GOURMET</v>
      </c>
      <c r="Q2528" s="44">
        <f>_xlfn.XLOOKUP(S2528,'Tabla Articulos'!B:B,'Tabla Articulos'!E:E)</f>
        <v>1000</v>
      </c>
      <c r="R2528" s="44">
        <f t="shared" si="78"/>
        <v>50000</v>
      </c>
      <c r="S2528" s="45" t="str">
        <f t="shared" si="79"/>
        <v>7790000000236</v>
      </c>
    </row>
    <row r="2529" spans="1:19" hidden="1" x14ac:dyDescent="0.35">
      <c r="A2529" s="22">
        <v>2</v>
      </c>
      <c r="B2529" t="s">
        <v>5624</v>
      </c>
      <c r="C2529" t="s">
        <v>802</v>
      </c>
      <c r="D2529" t="s">
        <v>4678</v>
      </c>
      <c r="E2529" t="s">
        <v>4679</v>
      </c>
      <c r="F2529">
        <v>4019072</v>
      </c>
      <c r="G2529" t="s">
        <v>4680</v>
      </c>
      <c r="H2529" t="s">
        <v>805</v>
      </c>
      <c r="I2529">
        <v>1280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1280</v>
      </c>
      <c r="P2529" s="44" t="e">
        <f>_xlfn.XLOOKUP(Tabla5[[#This Row],[EAN CORREGIDO]],'Tabla Articulos'!B:B,'Tabla Articulos'!D:D)</f>
        <v>#N/A</v>
      </c>
      <c r="Q2529" s="44" t="e">
        <f>_xlfn.XLOOKUP(S2529,'Tabla Articulos'!B:B,'Tabla Articulos'!E:E)</f>
        <v>#N/A</v>
      </c>
      <c r="R2529" s="44" t="e">
        <f t="shared" si="78"/>
        <v>#N/A</v>
      </c>
      <c r="S2529" s="45" t="str">
        <f t="shared" si="79"/>
        <v>7798094220963</v>
      </c>
    </row>
    <row r="2530" spans="1:19" hidden="1" x14ac:dyDescent="0.35">
      <c r="A2530" s="22">
        <v>2</v>
      </c>
      <c r="B2530" t="s">
        <v>5624</v>
      </c>
      <c r="C2530" t="s">
        <v>802</v>
      </c>
      <c r="D2530" t="s">
        <v>1419</v>
      </c>
      <c r="E2530" t="s">
        <v>1420</v>
      </c>
      <c r="F2530">
        <v>4019993</v>
      </c>
      <c r="G2530" t="s">
        <v>1421</v>
      </c>
      <c r="H2530" t="s">
        <v>805</v>
      </c>
      <c r="I2530">
        <v>135</v>
      </c>
      <c r="J2530">
        <v>0</v>
      </c>
      <c r="K2530">
        <v>0</v>
      </c>
      <c r="L2530">
        <v>1</v>
      </c>
      <c r="M2530">
        <v>1</v>
      </c>
      <c r="N2530">
        <v>0</v>
      </c>
      <c r="O2530">
        <v>133</v>
      </c>
      <c r="P2530" s="44" t="e">
        <f>_xlfn.XLOOKUP(Tabla5[[#This Row],[EAN CORREGIDO]],'Tabla Articulos'!B:B,'Tabla Articulos'!D:D)</f>
        <v>#N/A</v>
      </c>
      <c r="Q2530" s="44" t="e">
        <f>_xlfn.XLOOKUP(S2530,'Tabla Articulos'!B:B,'Tabla Articulos'!E:E)</f>
        <v>#N/A</v>
      </c>
      <c r="R2530" s="44" t="e">
        <f t="shared" si="78"/>
        <v>#N/A</v>
      </c>
      <c r="S2530" s="45" t="str">
        <f t="shared" si="79"/>
        <v>7790971001504</v>
      </c>
    </row>
    <row r="2531" spans="1:19" hidden="1" x14ac:dyDescent="0.35">
      <c r="A2531" s="22">
        <v>2</v>
      </c>
      <c r="B2531" t="s">
        <v>5624</v>
      </c>
      <c r="C2531" t="s">
        <v>802</v>
      </c>
      <c r="D2531" t="s">
        <v>1422</v>
      </c>
      <c r="E2531" t="s">
        <v>1423</v>
      </c>
      <c r="F2531">
        <v>9003978</v>
      </c>
      <c r="G2531" t="s">
        <v>1424</v>
      </c>
      <c r="H2531" t="s">
        <v>805</v>
      </c>
      <c r="I2531">
        <v>21</v>
      </c>
      <c r="J2531">
        <v>0</v>
      </c>
      <c r="K2531">
        <v>0</v>
      </c>
      <c r="L2531">
        <v>9</v>
      </c>
      <c r="M2531">
        <v>10</v>
      </c>
      <c r="N2531">
        <v>0</v>
      </c>
      <c r="O2531">
        <v>2</v>
      </c>
      <c r="P2531" s="44" t="e">
        <f>_xlfn.XLOOKUP(Tabla5[[#This Row],[EAN CORREGIDO]],'Tabla Articulos'!B:B,'Tabla Articulos'!D:D)</f>
        <v>#N/A</v>
      </c>
      <c r="Q2531" s="44" t="e">
        <f>_xlfn.XLOOKUP(S2531,'Tabla Articulos'!B:B,'Tabla Articulos'!E:E)</f>
        <v>#N/A</v>
      </c>
      <c r="R2531" s="44" t="e">
        <f t="shared" si="78"/>
        <v>#N/A</v>
      </c>
      <c r="S2531" s="45" t="str">
        <f t="shared" si="79"/>
        <v>BAZ001384</v>
      </c>
    </row>
    <row r="2532" spans="1:19" hidden="1" x14ac:dyDescent="0.35">
      <c r="A2532" s="22">
        <v>2</v>
      </c>
      <c r="B2532" t="s">
        <v>5624</v>
      </c>
      <c r="C2532" t="s">
        <v>802</v>
      </c>
      <c r="D2532" t="s">
        <v>5807</v>
      </c>
      <c r="E2532" t="s">
        <v>5808</v>
      </c>
      <c r="F2532">
        <v>4018904</v>
      </c>
      <c r="G2532" t="s">
        <v>5809</v>
      </c>
      <c r="H2532" t="s">
        <v>805</v>
      </c>
      <c r="I2532">
        <v>24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24</v>
      </c>
      <c r="P2532" s="44" t="e">
        <f>_xlfn.XLOOKUP(Tabla5[[#This Row],[EAN CORREGIDO]],'Tabla Articulos'!B:B,'Tabla Articulos'!D:D)</f>
        <v>#N/A</v>
      </c>
      <c r="Q2532" s="44" t="e">
        <f>_xlfn.XLOOKUP(S2532,'Tabla Articulos'!B:B,'Tabla Articulos'!E:E)</f>
        <v>#N/A</v>
      </c>
      <c r="R2532" s="44" t="e">
        <f t="shared" si="78"/>
        <v>#N/A</v>
      </c>
      <c r="S2532" s="45" t="str">
        <f t="shared" si="79"/>
        <v>77995681</v>
      </c>
    </row>
    <row r="2533" spans="1:19" hidden="1" x14ac:dyDescent="0.35">
      <c r="A2533" s="22">
        <v>2</v>
      </c>
      <c r="B2533" t="s">
        <v>5624</v>
      </c>
      <c r="C2533" t="s">
        <v>802</v>
      </c>
      <c r="D2533" t="s">
        <v>1124</v>
      </c>
      <c r="E2533" t="s">
        <v>1427</v>
      </c>
      <c r="F2533">
        <v>4022494</v>
      </c>
      <c r="G2533" t="s">
        <v>1428</v>
      </c>
      <c r="H2533" t="s">
        <v>805</v>
      </c>
      <c r="I2533">
        <v>317</v>
      </c>
      <c r="J2533">
        <v>0</v>
      </c>
      <c r="K2533">
        <v>0</v>
      </c>
      <c r="L2533">
        <v>14</v>
      </c>
      <c r="M2533">
        <v>14</v>
      </c>
      <c r="N2533">
        <v>0</v>
      </c>
      <c r="O2533">
        <v>289</v>
      </c>
      <c r="P2533" s="44" t="e">
        <f>_xlfn.XLOOKUP(Tabla5[[#This Row],[EAN CORREGIDO]],'Tabla Articulos'!B:B,'Tabla Articulos'!D:D)</f>
        <v>#N/A</v>
      </c>
      <c r="Q2533" s="44" t="e">
        <f>_xlfn.XLOOKUP(S2533,'Tabla Articulos'!B:B,'Tabla Articulos'!E:E)</f>
        <v>#N/A</v>
      </c>
      <c r="R2533" s="44" t="e">
        <f t="shared" si="78"/>
        <v>#N/A</v>
      </c>
      <c r="S2533" s="45" t="str">
        <f t="shared" si="79"/>
        <v>790757899520</v>
      </c>
    </row>
    <row r="2534" spans="1:19" hidden="1" x14ac:dyDescent="0.35">
      <c r="A2534" s="22">
        <v>2</v>
      </c>
      <c r="B2534" t="s">
        <v>5624</v>
      </c>
      <c r="C2534" t="s">
        <v>802</v>
      </c>
      <c r="D2534" t="s">
        <v>1697</v>
      </c>
      <c r="E2534" t="s">
        <v>5810</v>
      </c>
      <c r="F2534">
        <v>4019556</v>
      </c>
      <c r="G2534" t="s">
        <v>5811</v>
      </c>
      <c r="H2534" t="s">
        <v>805</v>
      </c>
      <c r="I2534">
        <v>52</v>
      </c>
      <c r="J2534">
        <v>0</v>
      </c>
      <c r="K2534">
        <v>0</v>
      </c>
      <c r="L2534">
        <v>3</v>
      </c>
      <c r="M2534">
        <v>3</v>
      </c>
      <c r="N2534">
        <v>0</v>
      </c>
      <c r="O2534">
        <v>46</v>
      </c>
      <c r="P2534" s="44" t="e">
        <f>_xlfn.XLOOKUP(Tabla5[[#This Row],[EAN CORREGIDO]],'Tabla Articulos'!B:B,'Tabla Articulos'!D:D)</f>
        <v>#N/A</v>
      </c>
      <c r="Q2534" s="44" t="e">
        <f>_xlfn.XLOOKUP(S2534,'Tabla Articulos'!B:B,'Tabla Articulos'!E:E)</f>
        <v>#N/A</v>
      </c>
      <c r="R2534" s="44" t="e">
        <f t="shared" si="78"/>
        <v>#N/A</v>
      </c>
      <c r="S2534" s="45" t="str">
        <f t="shared" si="79"/>
        <v>7790150006375</v>
      </c>
    </row>
    <row r="2535" spans="1:19" hidden="1" x14ac:dyDescent="0.35">
      <c r="A2535" s="22">
        <v>2</v>
      </c>
      <c r="B2535" t="s">
        <v>5624</v>
      </c>
      <c r="C2535" t="s">
        <v>802</v>
      </c>
      <c r="D2535" t="s">
        <v>5815</v>
      </c>
      <c r="E2535" t="s">
        <v>5816</v>
      </c>
      <c r="F2535">
        <v>4076538</v>
      </c>
      <c r="G2535" t="s">
        <v>5817</v>
      </c>
      <c r="H2535" t="s">
        <v>805</v>
      </c>
      <c r="I2535">
        <v>577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577</v>
      </c>
      <c r="P2535" s="44" t="e">
        <f>_xlfn.XLOOKUP(Tabla5[[#This Row],[EAN CORREGIDO]],'Tabla Articulos'!B:B,'Tabla Articulos'!D:D)</f>
        <v>#N/A</v>
      </c>
      <c r="Q2535" s="44" t="e">
        <f>_xlfn.XLOOKUP(S2535,'Tabla Articulos'!B:B,'Tabla Articulos'!E:E)</f>
        <v>#N/A</v>
      </c>
      <c r="R2535" s="44" t="e">
        <f t="shared" si="78"/>
        <v>#N/A</v>
      </c>
      <c r="S2535" s="45" t="str">
        <f t="shared" si="79"/>
        <v>7798011977710</v>
      </c>
    </row>
    <row r="2536" spans="1:19" hidden="1" x14ac:dyDescent="0.35">
      <c r="A2536" s="22">
        <v>2</v>
      </c>
      <c r="B2536" t="s">
        <v>5624</v>
      </c>
      <c r="C2536" t="s">
        <v>802</v>
      </c>
      <c r="D2536" t="s">
        <v>1456</v>
      </c>
      <c r="E2536" t="s">
        <v>1457</v>
      </c>
      <c r="F2536">
        <v>4019471</v>
      </c>
      <c r="G2536" t="s">
        <v>1458</v>
      </c>
      <c r="H2536" t="s">
        <v>805</v>
      </c>
      <c r="I2536">
        <v>115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115</v>
      </c>
      <c r="P2536" s="44" t="e">
        <f>_xlfn.XLOOKUP(Tabla5[[#This Row],[EAN CORREGIDO]],'Tabla Articulos'!B:B,'Tabla Articulos'!D:D)</f>
        <v>#N/A</v>
      </c>
      <c r="Q2536" s="44" t="e">
        <f>_xlfn.XLOOKUP(S2536,'Tabla Articulos'!B:B,'Tabla Articulos'!E:E)</f>
        <v>#N/A</v>
      </c>
      <c r="R2536" s="44" t="e">
        <f t="shared" si="78"/>
        <v>#N/A</v>
      </c>
      <c r="S2536" s="45" t="str">
        <f t="shared" si="79"/>
        <v>7790150564844</v>
      </c>
    </row>
    <row r="2537" spans="1:19" hidden="1" x14ac:dyDescent="0.35">
      <c r="A2537" s="22">
        <v>2</v>
      </c>
      <c r="B2537" t="s">
        <v>5624</v>
      </c>
      <c r="C2537" t="s">
        <v>802</v>
      </c>
      <c r="D2537" t="s">
        <v>189</v>
      </c>
      <c r="E2537" t="s">
        <v>1459</v>
      </c>
      <c r="F2537">
        <v>2016600</v>
      </c>
      <c r="G2537" t="s">
        <v>1460</v>
      </c>
      <c r="H2537" t="s">
        <v>805</v>
      </c>
      <c r="I2537">
        <v>0</v>
      </c>
      <c r="J2537">
        <v>5</v>
      </c>
      <c r="K2537">
        <v>0</v>
      </c>
      <c r="L2537">
        <v>0</v>
      </c>
      <c r="M2537">
        <v>0</v>
      </c>
      <c r="N2537">
        <v>0</v>
      </c>
      <c r="O2537">
        <v>5</v>
      </c>
      <c r="P2537" s="44" t="str">
        <f>_xlfn.XLOOKUP(Tabla5[[#This Row],[EAN CORREGIDO]],'Tabla Articulos'!B:B,'Tabla Articulos'!D:D)</f>
        <v>ARRANQUE 20X30</v>
      </c>
      <c r="Q2537" s="44">
        <f>_xlfn.XLOOKUP(S2537,'Tabla Articulos'!B:B,'Tabla Articulos'!E:E)</f>
        <v>12</v>
      </c>
      <c r="R2537" s="44">
        <f t="shared" si="78"/>
        <v>60</v>
      </c>
      <c r="S2537" s="45" t="str">
        <f t="shared" si="79"/>
        <v>7794459003530</v>
      </c>
    </row>
    <row r="2538" spans="1:19" hidden="1" x14ac:dyDescent="0.35">
      <c r="A2538" s="22">
        <v>2</v>
      </c>
      <c r="B2538" t="s">
        <v>5624</v>
      </c>
      <c r="C2538" t="s">
        <v>802</v>
      </c>
      <c r="D2538" t="s">
        <v>1470</v>
      </c>
      <c r="E2538" t="s">
        <v>1471</v>
      </c>
      <c r="F2538">
        <v>4022528</v>
      </c>
      <c r="G2538" t="s">
        <v>1472</v>
      </c>
      <c r="H2538" t="s">
        <v>805</v>
      </c>
      <c r="I2538">
        <v>236</v>
      </c>
      <c r="J2538">
        <v>0</v>
      </c>
      <c r="K2538">
        <v>0</v>
      </c>
      <c r="L2538">
        <v>41</v>
      </c>
      <c r="M2538">
        <v>41</v>
      </c>
      <c r="N2538">
        <v>0</v>
      </c>
      <c r="O2538">
        <v>154</v>
      </c>
      <c r="P2538" s="44" t="e">
        <f>_xlfn.XLOOKUP(Tabla5[[#This Row],[EAN CORREGIDO]],'Tabla Articulos'!B:B,'Tabla Articulos'!D:D)</f>
        <v>#N/A</v>
      </c>
      <c r="Q2538" s="44" t="e">
        <f>_xlfn.XLOOKUP(S2538,'Tabla Articulos'!B:B,'Tabla Articulos'!E:E)</f>
        <v>#N/A</v>
      </c>
      <c r="R2538" s="44" t="e">
        <f t="shared" si="78"/>
        <v>#N/A</v>
      </c>
      <c r="S2538" s="45" t="str">
        <f t="shared" si="79"/>
        <v>790757899636</v>
      </c>
    </row>
    <row r="2539" spans="1:19" x14ac:dyDescent="0.35">
      <c r="A2539" s="22">
        <v>2</v>
      </c>
      <c r="B2539" t="s">
        <v>5624</v>
      </c>
      <c r="C2539" t="s">
        <v>802</v>
      </c>
      <c r="D2539" t="s">
        <v>207</v>
      </c>
      <c r="E2539" t="s">
        <v>3928</v>
      </c>
      <c r="F2539">
        <v>2011468</v>
      </c>
      <c r="G2539" t="s">
        <v>3929</v>
      </c>
      <c r="H2539" t="s">
        <v>805</v>
      </c>
      <c r="I2539">
        <v>434</v>
      </c>
      <c r="J2539">
        <v>0</v>
      </c>
      <c r="K2539">
        <v>0</v>
      </c>
      <c r="L2539">
        <v>88</v>
      </c>
      <c r="M2539">
        <v>88</v>
      </c>
      <c r="N2539">
        <v>0</v>
      </c>
      <c r="O2539">
        <v>258</v>
      </c>
      <c r="P2539" s="44" t="str">
        <f>_xlfn.XLOOKUP(Tabla5[[#This Row],[EAN CORREGIDO]],'Tabla Articulos'!B:B,'Tabla Articulos'!D:D)</f>
        <v>GUANTE LATEX M</v>
      </c>
      <c r="Q2539" s="44">
        <f>_xlfn.XLOOKUP(S2539,'Tabla Articulos'!B:B,'Tabla Articulos'!E:E)</f>
        <v>100</v>
      </c>
      <c r="R2539" s="44">
        <f t="shared" si="78"/>
        <v>25800</v>
      </c>
      <c r="S2539" s="45" t="str">
        <f t="shared" si="79"/>
        <v>7798452810027</v>
      </c>
    </row>
    <row r="2540" spans="1:19" hidden="1" x14ac:dyDescent="0.35">
      <c r="A2540" s="22">
        <v>2</v>
      </c>
      <c r="B2540" t="s">
        <v>5624</v>
      </c>
      <c r="C2540" t="s">
        <v>802</v>
      </c>
      <c r="D2540" t="s">
        <v>3931</v>
      </c>
      <c r="E2540" t="s">
        <v>3932</v>
      </c>
      <c r="F2540">
        <v>4020782</v>
      </c>
      <c r="G2540" t="s">
        <v>3933</v>
      </c>
      <c r="H2540" t="s">
        <v>805</v>
      </c>
      <c r="I2540">
        <v>654</v>
      </c>
      <c r="J2540">
        <v>0</v>
      </c>
      <c r="K2540">
        <v>0</v>
      </c>
      <c r="L2540">
        <v>35</v>
      </c>
      <c r="M2540">
        <v>35</v>
      </c>
      <c r="N2540">
        <v>0</v>
      </c>
      <c r="O2540">
        <v>584</v>
      </c>
      <c r="P2540" s="44" t="e">
        <f>_xlfn.XLOOKUP(Tabla5[[#This Row],[EAN CORREGIDO]],'Tabla Articulos'!B:B,'Tabla Articulos'!D:D)</f>
        <v>#N/A</v>
      </c>
      <c r="Q2540" s="44" t="e">
        <f>_xlfn.XLOOKUP(S2540,'Tabla Articulos'!B:B,'Tabla Articulos'!E:E)</f>
        <v>#N/A</v>
      </c>
      <c r="R2540" s="44" t="e">
        <f t="shared" si="78"/>
        <v>#N/A</v>
      </c>
      <c r="S2540" s="45" t="str">
        <f t="shared" si="79"/>
        <v>7798011976010</v>
      </c>
    </row>
    <row r="2541" spans="1:19" hidden="1" x14ac:dyDescent="0.35">
      <c r="A2541" s="22">
        <v>2</v>
      </c>
      <c r="B2541" t="s">
        <v>5624</v>
      </c>
      <c r="C2541" t="s">
        <v>802</v>
      </c>
      <c r="D2541" t="s">
        <v>2645</v>
      </c>
      <c r="E2541" t="s">
        <v>2646</v>
      </c>
      <c r="F2541">
        <v>4020336</v>
      </c>
      <c r="G2541" t="s">
        <v>2647</v>
      </c>
      <c r="H2541" t="s">
        <v>805</v>
      </c>
      <c r="I2541">
        <v>6627</v>
      </c>
      <c r="J2541">
        <v>0</v>
      </c>
      <c r="K2541">
        <v>0</v>
      </c>
      <c r="L2541">
        <v>761</v>
      </c>
      <c r="M2541">
        <v>761</v>
      </c>
      <c r="N2541">
        <v>259</v>
      </c>
      <c r="O2541">
        <v>4846</v>
      </c>
      <c r="P2541" s="44" t="e">
        <f>_xlfn.XLOOKUP(Tabla5[[#This Row],[EAN CORREGIDO]],'Tabla Articulos'!B:B,'Tabla Articulos'!D:D)</f>
        <v>#N/A</v>
      </c>
      <c r="Q2541" s="44" t="e">
        <f>_xlfn.XLOOKUP(S2541,'Tabla Articulos'!B:B,'Tabla Articulos'!E:E)</f>
        <v>#N/A</v>
      </c>
      <c r="R2541" s="44" t="e">
        <f t="shared" si="78"/>
        <v>#N/A</v>
      </c>
      <c r="S2541" s="45" t="str">
        <f t="shared" si="79"/>
        <v>7798156760314</v>
      </c>
    </row>
    <row r="2542" spans="1:19" hidden="1" x14ac:dyDescent="0.35">
      <c r="A2542" s="22">
        <v>2</v>
      </c>
      <c r="B2542" t="s">
        <v>5624</v>
      </c>
      <c r="C2542" t="s">
        <v>802</v>
      </c>
      <c r="D2542" t="s">
        <v>5678</v>
      </c>
      <c r="E2542" t="s">
        <v>5679</v>
      </c>
      <c r="F2542">
        <v>4019481</v>
      </c>
      <c r="G2542" t="s">
        <v>5680</v>
      </c>
      <c r="H2542" t="s">
        <v>805</v>
      </c>
      <c r="I2542">
        <v>267</v>
      </c>
      <c r="J2542">
        <v>0</v>
      </c>
      <c r="K2542">
        <v>0</v>
      </c>
      <c r="L2542">
        <v>1</v>
      </c>
      <c r="M2542">
        <v>1</v>
      </c>
      <c r="N2542">
        <v>0</v>
      </c>
      <c r="O2542">
        <v>265</v>
      </c>
      <c r="P2542" s="44" t="e">
        <f>_xlfn.XLOOKUP(Tabla5[[#This Row],[EAN CORREGIDO]],'Tabla Articulos'!B:B,'Tabla Articulos'!D:D)</f>
        <v>#N/A</v>
      </c>
      <c r="Q2542" s="44" t="e">
        <f>_xlfn.XLOOKUP(S2542,'Tabla Articulos'!B:B,'Tabla Articulos'!E:E)</f>
        <v>#N/A</v>
      </c>
      <c r="R2542" s="44" t="e">
        <f t="shared" si="78"/>
        <v>#N/A</v>
      </c>
      <c r="S2542" s="45" t="str">
        <f t="shared" si="79"/>
        <v>7790499000164</v>
      </c>
    </row>
    <row r="2543" spans="1:19" hidden="1" x14ac:dyDescent="0.35">
      <c r="A2543" s="22">
        <v>2</v>
      </c>
      <c r="B2543" t="s">
        <v>5624</v>
      </c>
      <c r="C2543" t="s">
        <v>802</v>
      </c>
      <c r="D2543" t="s">
        <v>1011</v>
      </c>
      <c r="E2543" t="s">
        <v>1012</v>
      </c>
      <c r="F2543">
        <v>4019341</v>
      </c>
      <c r="G2543" t="s">
        <v>1013</v>
      </c>
      <c r="H2543" t="s">
        <v>805</v>
      </c>
      <c r="I2543">
        <v>2731</v>
      </c>
      <c r="J2543">
        <v>500</v>
      </c>
      <c r="K2543">
        <v>0</v>
      </c>
      <c r="L2543">
        <v>69</v>
      </c>
      <c r="M2543">
        <v>69</v>
      </c>
      <c r="N2543">
        <v>0</v>
      </c>
      <c r="O2543">
        <v>3093</v>
      </c>
      <c r="P2543" s="44" t="e">
        <f>_xlfn.XLOOKUP(Tabla5[[#This Row],[EAN CORREGIDO]],'Tabla Articulos'!B:B,'Tabla Articulos'!D:D)</f>
        <v>#N/A</v>
      </c>
      <c r="Q2543" s="44" t="e">
        <f>_xlfn.XLOOKUP(S2543,'Tabla Articulos'!B:B,'Tabla Articulos'!E:E)</f>
        <v>#N/A</v>
      </c>
      <c r="R2543" s="44" t="e">
        <f t="shared" si="78"/>
        <v>#N/A</v>
      </c>
      <c r="S2543" s="45" t="str">
        <f t="shared" si="79"/>
        <v>7790199000013</v>
      </c>
    </row>
    <row r="2544" spans="1:19" hidden="1" x14ac:dyDescent="0.35">
      <c r="A2544" s="22">
        <v>2</v>
      </c>
      <c r="B2544" t="s">
        <v>5624</v>
      </c>
      <c r="C2544" t="s">
        <v>802</v>
      </c>
      <c r="D2544" t="s">
        <v>1562</v>
      </c>
      <c r="E2544" t="s">
        <v>1563</v>
      </c>
      <c r="F2544">
        <v>4023904</v>
      </c>
      <c r="G2544" t="s">
        <v>1564</v>
      </c>
      <c r="H2544" t="s">
        <v>805</v>
      </c>
      <c r="I2544">
        <v>10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10</v>
      </c>
      <c r="P2544" s="44" t="e">
        <f>_xlfn.XLOOKUP(Tabla5[[#This Row],[EAN CORREGIDO]],'Tabla Articulos'!B:B,'Tabla Articulos'!D:D)</f>
        <v>#N/A</v>
      </c>
      <c r="Q2544" s="44" t="e">
        <f>_xlfn.XLOOKUP(S2544,'Tabla Articulos'!B:B,'Tabla Articulos'!E:E)</f>
        <v>#N/A</v>
      </c>
      <c r="R2544" s="44" t="e">
        <f t="shared" si="78"/>
        <v>#N/A</v>
      </c>
      <c r="S2544" s="45" t="str">
        <f t="shared" si="79"/>
        <v>7798011976850</v>
      </c>
    </row>
    <row r="2545" spans="1:19" hidden="1" x14ac:dyDescent="0.35">
      <c r="A2545" s="22">
        <v>2</v>
      </c>
      <c r="B2545" t="s">
        <v>5624</v>
      </c>
      <c r="C2545" t="s">
        <v>802</v>
      </c>
      <c r="D2545" t="s">
        <v>1393</v>
      </c>
      <c r="E2545" t="s">
        <v>2139</v>
      </c>
      <c r="F2545">
        <v>4019852</v>
      </c>
      <c r="G2545" t="s">
        <v>2140</v>
      </c>
      <c r="H2545" t="s">
        <v>805</v>
      </c>
      <c r="I2545">
        <v>26</v>
      </c>
      <c r="J2545">
        <v>0</v>
      </c>
      <c r="K2545">
        <v>0</v>
      </c>
      <c r="L2545">
        <v>7</v>
      </c>
      <c r="M2545">
        <v>7</v>
      </c>
      <c r="N2545">
        <v>0</v>
      </c>
      <c r="O2545">
        <v>12</v>
      </c>
      <c r="P2545" s="44" t="e">
        <f>_xlfn.XLOOKUP(Tabla5[[#This Row],[EAN CORREGIDO]],'Tabla Articulos'!B:B,'Tabla Articulos'!D:D)</f>
        <v>#N/A</v>
      </c>
      <c r="Q2545" s="44" t="e">
        <f>_xlfn.XLOOKUP(S2545,'Tabla Articulos'!B:B,'Tabla Articulos'!E:E)</f>
        <v>#N/A</v>
      </c>
      <c r="R2545" s="44" t="e">
        <f t="shared" si="78"/>
        <v>#N/A</v>
      </c>
      <c r="S2545" s="45" t="str">
        <f t="shared" si="79"/>
        <v>7790645001809</v>
      </c>
    </row>
    <row r="2546" spans="1:19" hidden="1" x14ac:dyDescent="0.35">
      <c r="A2546" s="22">
        <v>2</v>
      </c>
      <c r="B2546" t="s">
        <v>5624</v>
      </c>
      <c r="C2546" t="s">
        <v>802</v>
      </c>
      <c r="D2546" t="s">
        <v>2626</v>
      </c>
      <c r="E2546" t="s">
        <v>2627</v>
      </c>
      <c r="F2546">
        <v>4018312</v>
      </c>
      <c r="G2546" t="s">
        <v>2628</v>
      </c>
      <c r="H2546" t="s">
        <v>816</v>
      </c>
      <c r="I2546">
        <v>44.674999999999997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44.674999999999997</v>
      </c>
      <c r="P2546" s="44" t="e">
        <f>_xlfn.XLOOKUP(Tabla5[[#This Row],[EAN CORREGIDO]],'Tabla Articulos'!B:B,'Tabla Articulos'!D:D)</f>
        <v>#N/A</v>
      </c>
      <c r="Q2546" s="44" t="e">
        <f>_xlfn.XLOOKUP(S2546,'Tabla Articulos'!B:B,'Tabla Articulos'!E:E)</f>
        <v>#N/A</v>
      </c>
      <c r="R2546" s="44" t="e">
        <f t="shared" si="78"/>
        <v>#N/A</v>
      </c>
      <c r="S2546" s="45" t="str">
        <f t="shared" si="79"/>
        <v>7790212060904</v>
      </c>
    </row>
    <row r="2547" spans="1:19" hidden="1" x14ac:dyDescent="0.35">
      <c r="A2547" s="22">
        <v>2</v>
      </c>
      <c r="B2547" t="s">
        <v>5624</v>
      </c>
      <c r="C2547" t="s">
        <v>802</v>
      </c>
      <c r="D2547" t="s">
        <v>270</v>
      </c>
      <c r="E2547" t="s">
        <v>6132</v>
      </c>
      <c r="F2547">
        <v>5003012</v>
      </c>
      <c r="G2547" t="s">
        <v>6133</v>
      </c>
      <c r="H2547" t="s">
        <v>805</v>
      </c>
      <c r="I2547">
        <v>10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10</v>
      </c>
      <c r="P2547" s="44" t="str">
        <f>_xlfn.XLOOKUP(Tabla5[[#This Row],[EAN CORREGIDO]],'Tabla Articulos'!B:B,'Tabla Articulos'!D:D)</f>
        <v>DEGUSTADOR</v>
      </c>
      <c r="Q2547" s="44">
        <f>_xlfn.XLOOKUP(S2547,'Tabla Articulos'!B:B,'Tabla Articulos'!E:E)</f>
        <v>2000</v>
      </c>
      <c r="R2547" s="44">
        <f t="shared" si="78"/>
        <v>20000</v>
      </c>
      <c r="S2547" s="45" t="str">
        <f t="shared" si="79"/>
        <v>BAZ000525</v>
      </c>
    </row>
    <row r="2548" spans="1:19" hidden="1" x14ac:dyDescent="0.35">
      <c r="A2548" s="22">
        <v>2</v>
      </c>
      <c r="B2548" t="s">
        <v>5624</v>
      </c>
      <c r="C2548" t="s">
        <v>802</v>
      </c>
      <c r="D2548" t="s">
        <v>6134</v>
      </c>
      <c r="E2548" t="s">
        <v>6135</v>
      </c>
      <c r="F2548">
        <v>4077418</v>
      </c>
      <c r="G2548" t="s">
        <v>6136</v>
      </c>
      <c r="H2548" t="s">
        <v>805</v>
      </c>
      <c r="I2548">
        <v>120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120</v>
      </c>
      <c r="P2548" s="44" t="e">
        <f>_xlfn.XLOOKUP(Tabla5[[#This Row],[EAN CORREGIDO]],'Tabla Articulos'!B:B,'Tabla Articulos'!D:D)</f>
        <v>#N/A</v>
      </c>
      <c r="Q2548" s="44" t="e">
        <f>_xlfn.XLOOKUP(S2548,'Tabla Articulos'!B:B,'Tabla Articulos'!E:E)</f>
        <v>#N/A</v>
      </c>
      <c r="R2548" s="44" t="e">
        <f t="shared" si="78"/>
        <v>#N/A</v>
      </c>
      <c r="S2548" s="45" t="str">
        <f t="shared" si="79"/>
        <v>7798003740285</v>
      </c>
    </row>
    <row r="2549" spans="1:19" hidden="1" x14ac:dyDescent="0.35">
      <c r="A2549" s="22">
        <v>2</v>
      </c>
      <c r="B2549" t="s">
        <v>5624</v>
      </c>
      <c r="C2549" t="s">
        <v>802</v>
      </c>
      <c r="D2549" t="s">
        <v>2522</v>
      </c>
      <c r="E2549" t="s">
        <v>6137</v>
      </c>
      <c r="F2549">
        <v>4024643</v>
      </c>
      <c r="G2549" t="s">
        <v>6138</v>
      </c>
      <c r="H2549" t="s">
        <v>805</v>
      </c>
      <c r="I2549">
        <v>911</v>
      </c>
      <c r="J2549">
        <v>0</v>
      </c>
      <c r="K2549">
        <v>0</v>
      </c>
      <c r="L2549">
        <v>60</v>
      </c>
      <c r="M2549">
        <v>60</v>
      </c>
      <c r="N2549">
        <v>0</v>
      </c>
      <c r="O2549">
        <v>791</v>
      </c>
      <c r="P2549" s="44" t="e">
        <f>_xlfn.XLOOKUP(Tabla5[[#This Row],[EAN CORREGIDO]],'Tabla Articulos'!B:B,'Tabla Articulos'!D:D)</f>
        <v>#N/A</v>
      </c>
      <c r="Q2549" s="44" t="e">
        <f>_xlfn.XLOOKUP(S2549,'Tabla Articulos'!B:B,'Tabla Articulos'!E:E)</f>
        <v>#N/A</v>
      </c>
      <c r="R2549" s="44" t="e">
        <f t="shared" si="78"/>
        <v>#N/A</v>
      </c>
      <c r="S2549" s="45" t="str">
        <f t="shared" si="79"/>
        <v>7790499000225</v>
      </c>
    </row>
    <row r="2550" spans="1:19" x14ac:dyDescent="0.35">
      <c r="A2550" s="22">
        <v>2</v>
      </c>
      <c r="B2550" t="s">
        <v>5624</v>
      </c>
      <c r="C2550" t="s">
        <v>802</v>
      </c>
      <c r="D2550" t="s">
        <v>207</v>
      </c>
      <c r="E2550" t="s">
        <v>5761</v>
      </c>
      <c r="F2550">
        <v>2007090</v>
      </c>
      <c r="G2550" t="s">
        <v>5762</v>
      </c>
      <c r="H2550" t="s">
        <v>805</v>
      </c>
      <c r="I2550">
        <v>183</v>
      </c>
      <c r="J2550">
        <v>0</v>
      </c>
      <c r="K2550">
        <v>0</v>
      </c>
      <c r="L2550">
        <v>10</v>
      </c>
      <c r="M2550">
        <v>10</v>
      </c>
      <c r="N2550">
        <v>0</v>
      </c>
      <c r="O2550">
        <v>163</v>
      </c>
      <c r="P2550" s="44" t="str">
        <f>_xlfn.XLOOKUP(Tabla5[[#This Row],[EAN CORREGIDO]],'Tabla Articulos'!B:B,'Tabla Articulos'!D:D)</f>
        <v>GUANTE LATEX L</v>
      </c>
      <c r="Q2550" s="44">
        <f>_xlfn.XLOOKUP(S2550,'Tabla Articulos'!B:B,'Tabla Articulos'!E:E)</f>
        <v>100</v>
      </c>
      <c r="R2550" s="44">
        <f t="shared" si="78"/>
        <v>16300</v>
      </c>
      <c r="S2550" s="45" t="str">
        <f t="shared" si="79"/>
        <v>7798161675702</v>
      </c>
    </row>
    <row r="2551" spans="1:19" hidden="1" x14ac:dyDescent="0.35">
      <c r="A2551" s="22">
        <v>2</v>
      </c>
      <c r="B2551" t="s">
        <v>5624</v>
      </c>
      <c r="C2551" t="s">
        <v>802</v>
      </c>
      <c r="D2551" t="s">
        <v>5763</v>
      </c>
      <c r="E2551" t="s">
        <v>5764</v>
      </c>
      <c r="F2551">
        <v>4049026</v>
      </c>
      <c r="G2551" t="s">
        <v>5765</v>
      </c>
      <c r="H2551" t="s">
        <v>805</v>
      </c>
      <c r="I2551">
        <v>93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93</v>
      </c>
      <c r="P2551" s="44" t="e">
        <f>_xlfn.XLOOKUP(Tabla5[[#This Row],[EAN CORREGIDO]],'Tabla Articulos'!B:B,'Tabla Articulos'!D:D)</f>
        <v>#N/A</v>
      </c>
      <c r="Q2551" s="44" t="e">
        <f>_xlfn.XLOOKUP(S2551,'Tabla Articulos'!B:B,'Tabla Articulos'!E:E)</f>
        <v>#N/A</v>
      </c>
      <c r="R2551" s="44" t="e">
        <f t="shared" si="78"/>
        <v>#N/A</v>
      </c>
      <c r="S2551" s="45" t="str">
        <f t="shared" si="79"/>
        <v>7798104307905</v>
      </c>
    </row>
    <row r="2552" spans="1:19" hidden="1" x14ac:dyDescent="0.35">
      <c r="A2552" s="22">
        <v>2</v>
      </c>
      <c r="B2552" t="s">
        <v>5624</v>
      </c>
      <c r="C2552" t="s">
        <v>802</v>
      </c>
      <c r="D2552" t="s">
        <v>5766</v>
      </c>
      <c r="E2552" t="s">
        <v>5767</v>
      </c>
      <c r="F2552">
        <v>4017707</v>
      </c>
      <c r="G2552" t="s">
        <v>5768</v>
      </c>
      <c r="H2552" t="s">
        <v>816</v>
      </c>
      <c r="I2552">
        <v>199.49</v>
      </c>
      <c r="J2552">
        <v>0</v>
      </c>
      <c r="K2552">
        <v>0</v>
      </c>
      <c r="L2552">
        <v>18</v>
      </c>
      <c r="M2552">
        <v>18</v>
      </c>
      <c r="N2552">
        <v>0</v>
      </c>
      <c r="O2552">
        <v>163.49</v>
      </c>
      <c r="P2552" s="44" t="e">
        <f>_xlfn.XLOOKUP(Tabla5[[#This Row],[EAN CORREGIDO]],'Tabla Articulos'!B:B,'Tabla Articulos'!D:D)</f>
        <v>#N/A</v>
      </c>
      <c r="Q2552" s="44" t="e">
        <f>_xlfn.XLOOKUP(S2552,'Tabla Articulos'!B:B,'Tabla Articulos'!E:E)</f>
        <v>#N/A</v>
      </c>
      <c r="R2552" s="44" t="e">
        <f t="shared" si="78"/>
        <v>#N/A</v>
      </c>
      <c r="S2552" s="45" t="str">
        <f t="shared" si="79"/>
        <v>7790212031274</v>
      </c>
    </row>
    <row r="2553" spans="1:19" hidden="1" x14ac:dyDescent="0.35">
      <c r="A2553" s="22">
        <v>2</v>
      </c>
      <c r="B2553" t="s">
        <v>5624</v>
      </c>
      <c r="C2553" t="s">
        <v>802</v>
      </c>
      <c r="D2553" t="s">
        <v>2420</v>
      </c>
      <c r="E2553" t="s">
        <v>2421</v>
      </c>
      <c r="F2553">
        <v>4018645</v>
      </c>
      <c r="G2553" t="s">
        <v>2422</v>
      </c>
      <c r="H2553" t="s">
        <v>805</v>
      </c>
      <c r="I2553">
        <v>26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26</v>
      </c>
      <c r="P2553" s="44" t="e">
        <f>_xlfn.XLOOKUP(Tabla5[[#This Row],[EAN CORREGIDO]],'Tabla Articulos'!B:B,'Tabla Articulos'!D:D)</f>
        <v>#N/A</v>
      </c>
      <c r="Q2553" s="44" t="e">
        <f>_xlfn.XLOOKUP(S2553,'Tabla Articulos'!B:B,'Tabla Articulos'!E:E)</f>
        <v>#N/A</v>
      </c>
      <c r="R2553" s="44" t="e">
        <f t="shared" si="78"/>
        <v>#N/A</v>
      </c>
      <c r="S2553" s="45" t="str">
        <f t="shared" si="79"/>
        <v>7790211303004</v>
      </c>
    </row>
    <row r="2554" spans="1:19" hidden="1" x14ac:dyDescent="0.35">
      <c r="A2554" s="22">
        <v>2</v>
      </c>
      <c r="B2554" t="s">
        <v>5624</v>
      </c>
      <c r="C2554" t="s">
        <v>802</v>
      </c>
      <c r="D2554" t="s">
        <v>4542</v>
      </c>
      <c r="E2554" t="s">
        <v>6061</v>
      </c>
      <c r="F2554">
        <v>4018988</v>
      </c>
      <c r="G2554" t="s">
        <v>6062</v>
      </c>
      <c r="H2554" t="s">
        <v>805</v>
      </c>
      <c r="I2554">
        <v>81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81</v>
      </c>
      <c r="P2554" s="44" t="e">
        <f>_xlfn.XLOOKUP(Tabla5[[#This Row],[EAN CORREGIDO]],'Tabla Articulos'!B:B,'Tabla Articulos'!D:D)</f>
        <v>#N/A</v>
      </c>
      <c r="Q2554" s="44" t="e">
        <f>_xlfn.XLOOKUP(S2554,'Tabla Articulos'!B:B,'Tabla Articulos'!E:E)</f>
        <v>#N/A</v>
      </c>
      <c r="R2554" s="44" t="e">
        <f t="shared" si="78"/>
        <v>#N/A</v>
      </c>
      <c r="S2554" s="45" t="str">
        <f t="shared" si="79"/>
        <v>7790040139770</v>
      </c>
    </row>
    <row r="2555" spans="1:19" hidden="1" x14ac:dyDescent="0.35">
      <c r="A2555" s="22">
        <v>2</v>
      </c>
      <c r="B2555" t="s">
        <v>5624</v>
      </c>
      <c r="C2555" t="s">
        <v>802</v>
      </c>
      <c r="D2555" t="s">
        <v>6063</v>
      </c>
      <c r="E2555" t="s">
        <v>6064</v>
      </c>
      <c r="F2555">
        <v>4017685</v>
      </c>
      <c r="G2555" t="s">
        <v>6065</v>
      </c>
      <c r="H2555" t="s">
        <v>816</v>
      </c>
      <c r="I2555">
        <v>345.7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345.7</v>
      </c>
      <c r="P2555" s="44" t="e">
        <f>_xlfn.XLOOKUP(Tabla5[[#This Row],[EAN CORREGIDO]],'Tabla Articulos'!B:B,'Tabla Articulos'!D:D)</f>
        <v>#N/A</v>
      </c>
      <c r="Q2555" s="44" t="e">
        <f>_xlfn.XLOOKUP(S2555,'Tabla Articulos'!B:B,'Tabla Articulos'!E:E)</f>
        <v>#N/A</v>
      </c>
      <c r="R2555" s="44" t="e">
        <f t="shared" si="78"/>
        <v>#N/A</v>
      </c>
      <c r="S2555" s="45" t="str">
        <f t="shared" si="79"/>
        <v>7790212031245</v>
      </c>
    </row>
    <row r="2556" spans="1:19" hidden="1" x14ac:dyDescent="0.35">
      <c r="A2556" s="22">
        <v>2</v>
      </c>
      <c r="B2556" t="s">
        <v>5624</v>
      </c>
      <c r="C2556" t="s">
        <v>802</v>
      </c>
      <c r="D2556" t="s">
        <v>5756</v>
      </c>
      <c r="E2556" t="s">
        <v>5757</v>
      </c>
      <c r="F2556">
        <v>4076542</v>
      </c>
      <c r="G2556" t="s">
        <v>2265</v>
      </c>
      <c r="H2556" t="s">
        <v>805</v>
      </c>
      <c r="I2556">
        <v>314</v>
      </c>
      <c r="J2556">
        <v>0</v>
      </c>
      <c r="K2556">
        <v>0</v>
      </c>
      <c r="L2556">
        <v>15</v>
      </c>
      <c r="M2556">
        <v>15</v>
      </c>
      <c r="N2556">
        <v>0</v>
      </c>
      <c r="O2556">
        <v>284</v>
      </c>
      <c r="P2556" s="44" t="e">
        <f>_xlfn.XLOOKUP(Tabla5[[#This Row],[EAN CORREGIDO]],'Tabla Articulos'!B:B,'Tabla Articulos'!D:D)</f>
        <v>#N/A</v>
      </c>
      <c r="Q2556" s="44" t="e">
        <f>_xlfn.XLOOKUP(S2556,'Tabla Articulos'!B:B,'Tabla Articulos'!E:E)</f>
        <v>#N/A</v>
      </c>
      <c r="R2556" s="44" t="e">
        <f t="shared" si="78"/>
        <v>#N/A</v>
      </c>
      <c r="S2556" s="45" t="str">
        <f t="shared" si="79"/>
        <v>7798011977758</v>
      </c>
    </row>
    <row r="2557" spans="1:19" hidden="1" x14ac:dyDescent="0.35">
      <c r="A2557" s="22">
        <v>2</v>
      </c>
      <c r="B2557" t="s">
        <v>5624</v>
      </c>
      <c r="C2557" t="s">
        <v>802</v>
      </c>
      <c r="D2557" t="s">
        <v>838</v>
      </c>
      <c r="E2557" t="s">
        <v>1306</v>
      </c>
      <c r="F2557">
        <v>4018179</v>
      </c>
      <c r="G2557" t="s">
        <v>1307</v>
      </c>
      <c r="H2557" t="s">
        <v>805</v>
      </c>
      <c r="I2557">
        <v>106945</v>
      </c>
      <c r="J2557">
        <v>0</v>
      </c>
      <c r="K2557">
        <v>0</v>
      </c>
      <c r="L2557">
        <v>4847</v>
      </c>
      <c r="M2557">
        <v>4847</v>
      </c>
      <c r="N2557">
        <v>0</v>
      </c>
      <c r="O2557">
        <v>97251</v>
      </c>
      <c r="P2557" s="44" t="e">
        <f>_xlfn.XLOOKUP(Tabla5[[#This Row],[EAN CORREGIDO]],'Tabla Articulos'!B:B,'Tabla Articulos'!D:D)</f>
        <v>#N/A</v>
      </c>
      <c r="Q2557" s="44" t="e">
        <f>_xlfn.XLOOKUP(S2557,'Tabla Articulos'!B:B,'Tabla Articulos'!E:E)</f>
        <v>#N/A</v>
      </c>
      <c r="R2557" s="44" t="e">
        <f t="shared" si="78"/>
        <v>#N/A</v>
      </c>
      <c r="S2557" s="45" t="str">
        <f t="shared" si="79"/>
        <v>7791058000731</v>
      </c>
    </row>
    <row r="2558" spans="1:19" hidden="1" x14ac:dyDescent="0.35">
      <c r="A2558" s="22">
        <v>2</v>
      </c>
      <c r="B2558" t="s">
        <v>5624</v>
      </c>
      <c r="C2558" t="s">
        <v>802</v>
      </c>
      <c r="D2558" t="s">
        <v>5758</v>
      </c>
      <c r="E2558" t="s">
        <v>5759</v>
      </c>
      <c r="F2558">
        <v>4018390</v>
      </c>
      <c r="G2558" t="s">
        <v>5760</v>
      </c>
      <c r="H2558" t="s">
        <v>805</v>
      </c>
      <c r="I2558">
        <v>35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35</v>
      </c>
      <c r="P2558" s="44" t="e">
        <f>_xlfn.XLOOKUP(Tabla5[[#This Row],[EAN CORREGIDO]],'Tabla Articulos'!B:B,'Tabla Articulos'!D:D)</f>
        <v>#N/A</v>
      </c>
      <c r="Q2558" s="44" t="e">
        <f>_xlfn.XLOOKUP(S2558,'Tabla Articulos'!B:B,'Tabla Articulos'!E:E)</f>
        <v>#N/A</v>
      </c>
      <c r="R2558" s="44" t="e">
        <f t="shared" si="78"/>
        <v>#N/A</v>
      </c>
      <c r="S2558" s="45" t="str">
        <f t="shared" si="79"/>
        <v>7791620187600</v>
      </c>
    </row>
    <row r="2559" spans="1:19" hidden="1" x14ac:dyDescent="0.35">
      <c r="A2559" s="22">
        <v>2</v>
      </c>
      <c r="B2559" t="s">
        <v>5624</v>
      </c>
      <c r="C2559" t="s">
        <v>802</v>
      </c>
      <c r="D2559" t="s">
        <v>1308</v>
      </c>
      <c r="E2559" t="s">
        <v>1309</v>
      </c>
      <c r="F2559">
        <v>4018090</v>
      </c>
      <c r="G2559" t="s">
        <v>1310</v>
      </c>
      <c r="H2559" t="s">
        <v>816</v>
      </c>
      <c r="I2559">
        <v>23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23</v>
      </c>
      <c r="P2559" s="44" t="e">
        <f>_xlfn.XLOOKUP(Tabla5[[#This Row],[EAN CORREGIDO]],'Tabla Articulos'!B:B,'Tabla Articulos'!D:D)</f>
        <v>#N/A</v>
      </c>
      <c r="Q2559" s="44" t="e">
        <f>_xlfn.XLOOKUP(S2559,'Tabla Articulos'!B:B,'Tabla Articulos'!E:E)</f>
        <v>#N/A</v>
      </c>
      <c r="R2559" s="44" t="e">
        <f t="shared" si="78"/>
        <v>#N/A</v>
      </c>
      <c r="S2559" s="45" t="str">
        <f t="shared" si="79"/>
        <v>7790616077936</v>
      </c>
    </row>
    <row r="2560" spans="1:19" hidden="1" x14ac:dyDescent="0.35">
      <c r="A2560" s="22">
        <v>2</v>
      </c>
      <c r="B2560" t="s">
        <v>5624</v>
      </c>
      <c r="C2560" t="s">
        <v>802</v>
      </c>
      <c r="D2560" t="s">
        <v>1313</v>
      </c>
      <c r="E2560" t="s">
        <v>1314</v>
      </c>
      <c r="F2560">
        <v>4019188</v>
      </c>
      <c r="G2560" t="s">
        <v>1315</v>
      </c>
      <c r="H2560" t="s">
        <v>805</v>
      </c>
      <c r="I2560">
        <v>22892</v>
      </c>
      <c r="J2560">
        <v>0</v>
      </c>
      <c r="K2560">
        <v>0</v>
      </c>
      <c r="L2560">
        <v>985</v>
      </c>
      <c r="M2560">
        <v>985</v>
      </c>
      <c r="N2560">
        <v>0</v>
      </c>
      <c r="O2560">
        <v>20922</v>
      </c>
      <c r="P2560" s="44" t="e">
        <f>_xlfn.XLOOKUP(Tabla5[[#This Row],[EAN CORREGIDO]],'Tabla Articulos'!B:B,'Tabla Articulos'!D:D)</f>
        <v>#N/A</v>
      </c>
      <c r="Q2560" s="44" t="e">
        <f>_xlfn.XLOOKUP(S2560,'Tabla Articulos'!B:B,'Tabla Articulos'!E:E)</f>
        <v>#N/A</v>
      </c>
      <c r="R2560" s="44" t="e">
        <f t="shared" si="78"/>
        <v>#N/A</v>
      </c>
      <c r="S2560" s="45" t="str">
        <f t="shared" si="79"/>
        <v>7796236000954</v>
      </c>
    </row>
    <row r="2561" spans="1:19" hidden="1" x14ac:dyDescent="0.35">
      <c r="A2561" s="22">
        <v>2</v>
      </c>
      <c r="B2561" t="s">
        <v>5624</v>
      </c>
      <c r="C2561" t="s">
        <v>802</v>
      </c>
      <c r="D2561" t="s">
        <v>345</v>
      </c>
      <c r="E2561" t="s">
        <v>6057</v>
      </c>
      <c r="F2561">
        <v>2006846</v>
      </c>
      <c r="G2561" t="s">
        <v>6058</v>
      </c>
      <c r="H2561" t="s">
        <v>805</v>
      </c>
      <c r="I2561">
        <v>8</v>
      </c>
      <c r="J2561">
        <v>10</v>
      </c>
      <c r="K2561">
        <v>0</v>
      </c>
      <c r="L2561">
        <v>0</v>
      </c>
      <c r="M2561">
        <v>0</v>
      </c>
      <c r="N2561">
        <v>0</v>
      </c>
      <c r="O2561">
        <v>18</v>
      </c>
      <c r="P2561" s="44" t="str">
        <f>_xlfn.XLOOKUP(Tabla5[[#This Row],[EAN CORREGIDO]],'Tabla Articulos'!B:B,'Tabla Articulos'!D:D)</f>
        <v>COLLARIN 8/12 OZ</v>
      </c>
      <c r="Q2561" s="44">
        <f>_xlfn.XLOOKUP(S2561,'Tabla Articulos'!B:B,'Tabla Articulos'!E:E)</f>
        <v>100</v>
      </c>
      <c r="R2561" s="44">
        <f t="shared" ref="R2561:R2624" si="80">O2561*Q2561</f>
        <v>1800</v>
      </c>
      <c r="S2561" s="45" t="str">
        <f t="shared" ref="S2561:S2624" si="81">TRIM(E2561)</f>
        <v>7790321020904</v>
      </c>
    </row>
    <row r="2562" spans="1:19" hidden="1" x14ac:dyDescent="0.35">
      <c r="A2562" s="22">
        <v>2</v>
      </c>
      <c r="B2562" t="s">
        <v>5624</v>
      </c>
      <c r="C2562" t="s">
        <v>802</v>
      </c>
      <c r="D2562" t="s">
        <v>307</v>
      </c>
      <c r="E2562" t="s">
        <v>5083</v>
      </c>
      <c r="F2562">
        <v>2006140</v>
      </c>
      <c r="G2562" t="s">
        <v>5084</v>
      </c>
      <c r="H2562" t="s">
        <v>805</v>
      </c>
      <c r="I2562">
        <v>343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343</v>
      </c>
      <c r="P2562" s="44" t="str">
        <f>_xlfn.XLOOKUP(Tabla5[[#This Row],[EAN CORREGIDO]],'Tabla Articulos'!B:B,'Tabla Articulos'!D:D)</f>
        <v>CAMISETA NEGRA 40X50</v>
      </c>
      <c r="Q2562" s="44">
        <f>_xlfn.XLOOKUP(S2562,'Tabla Articulos'!B:B,'Tabla Articulos'!E:E)</f>
        <v>60</v>
      </c>
      <c r="R2562" s="44">
        <f t="shared" si="80"/>
        <v>20580</v>
      </c>
      <c r="S2562" s="45" t="str">
        <f t="shared" si="81"/>
        <v>7790321020147</v>
      </c>
    </row>
    <row r="2563" spans="1:19" hidden="1" x14ac:dyDescent="0.35">
      <c r="A2563" s="22">
        <v>2</v>
      </c>
      <c r="B2563" t="s">
        <v>5624</v>
      </c>
      <c r="C2563" t="s">
        <v>802</v>
      </c>
      <c r="D2563" t="s">
        <v>2355</v>
      </c>
      <c r="E2563" t="s">
        <v>2356</v>
      </c>
      <c r="F2563">
        <v>4019866</v>
      </c>
      <c r="G2563" t="s">
        <v>2357</v>
      </c>
      <c r="H2563" t="s">
        <v>805</v>
      </c>
      <c r="I2563">
        <v>956</v>
      </c>
      <c r="J2563">
        <v>0</v>
      </c>
      <c r="K2563">
        <v>0</v>
      </c>
      <c r="L2563">
        <v>34</v>
      </c>
      <c r="M2563">
        <v>34</v>
      </c>
      <c r="N2563">
        <v>0</v>
      </c>
      <c r="O2563">
        <v>888</v>
      </c>
      <c r="P2563" s="44" t="e">
        <f>_xlfn.XLOOKUP(Tabla5[[#This Row],[EAN CORREGIDO]],'Tabla Articulos'!B:B,'Tabla Articulos'!D:D)</f>
        <v>#N/A</v>
      </c>
      <c r="Q2563" s="44" t="e">
        <f>_xlfn.XLOOKUP(S2563,'Tabla Articulos'!B:B,'Tabla Articulos'!E:E)</f>
        <v>#N/A</v>
      </c>
      <c r="R2563" s="44" t="e">
        <f t="shared" si="80"/>
        <v>#N/A</v>
      </c>
      <c r="S2563" s="45" t="str">
        <f t="shared" si="81"/>
        <v>7791113001840</v>
      </c>
    </row>
    <row r="2564" spans="1:19" hidden="1" x14ac:dyDescent="0.35">
      <c r="A2564" s="22">
        <v>2</v>
      </c>
      <c r="B2564" t="s">
        <v>5624</v>
      </c>
      <c r="C2564" t="s">
        <v>802</v>
      </c>
      <c r="D2564" t="s">
        <v>857</v>
      </c>
      <c r="E2564" t="s">
        <v>2358</v>
      </c>
      <c r="F2564">
        <v>4020132</v>
      </c>
      <c r="G2564" t="s">
        <v>2359</v>
      </c>
      <c r="H2564" t="s">
        <v>805</v>
      </c>
      <c r="I2564">
        <v>299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299</v>
      </c>
      <c r="P2564" s="44" t="e">
        <f>_xlfn.XLOOKUP(Tabla5[[#This Row],[EAN CORREGIDO]],'Tabla Articulos'!B:B,'Tabla Articulos'!D:D)</f>
        <v>#N/A</v>
      </c>
      <c r="Q2564" s="44" t="e">
        <f>_xlfn.XLOOKUP(S2564,'Tabla Articulos'!B:B,'Tabla Articulos'!E:E)</f>
        <v>#N/A</v>
      </c>
      <c r="R2564" s="44" t="e">
        <f t="shared" si="80"/>
        <v>#N/A</v>
      </c>
      <c r="S2564" s="45" t="str">
        <f t="shared" si="81"/>
        <v>7793875312608</v>
      </c>
    </row>
    <row r="2565" spans="1:19" hidden="1" x14ac:dyDescent="0.35">
      <c r="A2565" s="22">
        <v>2</v>
      </c>
      <c r="B2565" t="s">
        <v>5624</v>
      </c>
      <c r="C2565" t="s">
        <v>802</v>
      </c>
      <c r="D2565" t="s">
        <v>417</v>
      </c>
      <c r="E2565" t="s">
        <v>6043</v>
      </c>
      <c r="F2565">
        <v>5002962</v>
      </c>
      <c r="G2565" t="s">
        <v>6044</v>
      </c>
      <c r="H2565" t="s">
        <v>805</v>
      </c>
      <c r="I2565">
        <v>351</v>
      </c>
      <c r="J2565">
        <v>0</v>
      </c>
      <c r="K2565">
        <v>0</v>
      </c>
      <c r="L2565">
        <v>1</v>
      </c>
      <c r="M2565">
        <v>1</v>
      </c>
      <c r="N2565">
        <v>0</v>
      </c>
      <c r="O2565">
        <v>349</v>
      </c>
      <c r="P2565" s="44" t="str">
        <f>_xlfn.XLOOKUP(Tabla5[[#This Row],[EAN CORREGIDO]],'Tabla Articulos'!B:B,'Tabla Articulos'!D:D)</f>
        <v>MANGAS DESCARTABLES</v>
      </c>
      <c r="Q2565" s="44">
        <f>_xlfn.XLOOKUP(S2565,'Tabla Articulos'!B:B,'Tabla Articulos'!E:E)</f>
        <v>25</v>
      </c>
      <c r="R2565" s="44">
        <f t="shared" si="80"/>
        <v>8725</v>
      </c>
      <c r="S2565" s="45" t="str">
        <f t="shared" si="81"/>
        <v>7798044557721</v>
      </c>
    </row>
    <row r="2566" spans="1:19" hidden="1" x14ac:dyDescent="0.35">
      <c r="A2566" s="22">
        <v>2</v>
      </c>
      <c r="B2566" t="s">
        <v>5624</v>
      </c>
      <c r="C2566" t="s">
        <v>802</v>
      </c>
      <c r="D2566" t="s">
        <v>5955</v>
      </c>
      <c r="E2566" t="s">
        <v>5956</v>
      </c>
      <c r="F2566">
        <v>4024866</v>
      </c>
      <c r="G2566" t="s">
        <v>5957</v>
      </c>
      <c r="H2566" t="s">
        <v>805</v>
      </c>
      <c r="I2566">
        <v>7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7</v>
      </c>
      <c r="P2566" s="44" t="e">
        <f>_xlfn.XLOOKUP(Tabla5[[#This Row],[EAN CORREGIDO]],'Tabla Articulos'!B:B,'Tabla Articulos'!D:D)</f>
        <v>#N/A</v>
      </c>
      <c r="Q2566" s="44" t="e">
        <f>_xlfn.XLOOKUP(S2566,'Tabla Articulos'!B:B,'Tabla Articulos'!E:E)</f>
        <v>#N/A</v>
      </c>
      <c r="R2566" s="44" t="e">
        <f t="shared" si="80"/>
        <v>#N/A</v>
      </c>
      <c r="S2566" s="45" t="str">
        <f t="shared" si="81"/>
        <v>7798071200797</v>
      </c>
    </row>
    <row r="2567" spans="1:19" hidden="1" x14ac:dyDescent="0.35">
      <c r="A2567" s="22">
        <v>2</v>
      </c>
      <c r="B2567" t="s">
        <v>5624</v>
      </c>
      <c r="C2567" t="s">
        <v>802</v>
      </c>
      <c r="D2567" t="s">
        <v>1173</v>
      </c>
      <c r="E2567" t="s">
        <v>2090</v>
      </c>
      <c r="F2567">
        <v>4018366</v>
      </c>
      <c r="G2567" t="s">
        <v>2091</v>
      </c>
      <c r="H2567" t="s">
        <v>816</v>
      </c>
      <c r="I2567">
        <v>2282.221</v>
      </c>
      <c r="J2567">
        <v>0</v>
      </c>
      <c r="K2567">
        <v>0</v>
      </c>
      <c r="L2567">
        <v>569.36300000000006</v>
      </c>
      <c r="M2567">
        <v>569.36300000000006</v>
      </c>
      <c r="N2567">
        <v>0</v>
      </c>
      <c r="O2567">
        <v>1143.4949999999999</v>
      </c>
      <c r="P2567" s="44" t="e">
        <f>_xlfn.XLOOKUP(Tabla5[[#This Row],[EAN CORREGIDO]],'Tabla Articulos'!B:B,'Tabla Articulos'!D:D)</f>
        <v>#N/A</v>
      </c>
      <c r="Q2567" s="44" t="e">
        <f>_xlfn.XLOOKUP(S2567,'Tabla Articulos'!B:B,'Tabla Articulos'!E:E)</f>
        <v>#N/A</v>
      </c>
      <c r="R2567" s="44" t="e">
        <f t="shared" si="80"/>
        <v>#N/A</v>
      </c>
      <c r="S2567" s="45" t="str">
        <f t="shared" si="81"/>
        <v>7798047760270</v>
      </c>
    </row>
    <row r="2568" spans="1:19" hidden="1" x14ac:dyDescent="0.35">
      <c r="A2568" s="22">
        <v>2</v>
      </c>
      <c r="B2568" t="s">
        <v>5624</v>
      </c>
      <c r="C2568" t="s">
        <v>802</v>
      </c>
      <c r="D2568" t="s">
        <v>5958</v>
      </c>
      <c r="E2568" t="s">
        <v>5959</v>
      </c>
      <c r="F2568">
        <v>4024634</v>
      </c>
      <c r="G2568" t="s">
        <v>5960</v>
      </c>
      <c r="H2568" t="s">
        <v>805</v>
      </c>
      <c r="I2568">
        <v>19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19</v>
      </c>
      <c r="P2568" s="44" t="e">
        <f>_xlfn.XLOOKUP(Tabla5[[#This Row],[EAN CORREGIDO]],'Tabla Articulos'!B:B,'Tabla Articulos'!D:D)</f>
        <v>#N/A</v>
      </c>
      <c r="Q2568" s="44" t="e">
        <f>_xlfn.XLOOKUP(S2568,'Tabla Articulos'!B:B,'Tabla Articulos'!E:E)</f>
        <v>#N/A</v>
      </c>
      <c r="R2568" s="44" t="e">
        <f t="shared" si="80"/>
        <v>#N/A</v>
      </c>
      <c r="S2568" s="45" t="str">
        <f t="shared" si="81"/>
        <v>7790580327408</v>
      </c>
    </row>
    <row r="2569" spans="1:19" hidden="1" x14ac:dyDescent="0.35">
      <c r="A2569" s="22">
        <v>2</v>
      </c>
      <c r="B2569" t="s">
        <v>5624</v>
      </c>
      <c r="C2569" t="s">
        <v>802</v>
      </c>
      <c r="D2569" t="s">
        <v>5802</v>
      </c>
      <c r="E2569" t="s">
        <v>5961</v>
      </c>
      <c r="F2569">
        <v>4019375</v>
      </c>
      <c r="G2569" t="s">
        <v>5962</v>
      </c>
      <c r="H2569" t="s">
        <v>805</v>
      </c>
      <c r="I2569">
        <v>723</v>
      </c>
      <c r="J2569">
        <v>0</v>
      </c>
      <c r="K2569">
        <v>0</v>
      </c>
      <c r="L2569">
        <v>10</v>
      </c>
      <c r="M2569">
        <v>10</v>
      </c>
      <c r="N2569">
        <v>0</v>
      </c>
      <c r="O2569">
        <v>703</v>
      </c>
      <c r="P2569" s="44" t="e">
        <f>_xlfn.XLOOKUP(Tabla5[[#This Row],[EAN CORREGIDO]],'Tabla Articulos'!B:B,'Tabla Articulos'!D:D)</f>
        <v>#N/A</v>
      </c>
      <c r="Q2569" s="44" t="e">
        <f>_xlfn.XLOOKUP(S2569,'Tabla Articulos'!B:B,'Tabla Articulos'!E:E)</f>
        <v>#N/A</v>
      </c>
      <c r="R2569" s="44" t="e">
        <f t="shared" si="80"/>
        <v>#N/A</v>
      </c>
      <c r="S2569" s="45" t="str">
        <f t="shared" si="81"/>
        <v>7790150079904</v>
      </c>
    </row>
    <row r="2570" spans="1:19" hidden="1" x14ac:dyDescent="0.35">
      <c r="A2570" s="22">
        <v>2</v>
      </c>
      <c r="B2570" t="s">
        <v>5624</v>
      </c>
      <c r="C2570" t="s">
        <v>802</v>
      </c>
      <c r="D2570" t="s">
        <v>5963</v>
      </c>
      <c r="E2570" t="s">
        <v>5964</v>
      </c>
      <c r="F2570">
        <v>4019040</v>
      </c>
      <c r="G2570" t="s">
        <v>5965</v>
      </c>
      <c r="H2570" t="s">
        <v>805</v>
      </c>
      <c r="I2570">
        <v>16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16</v>
      </c>
      <c r="P2570" s="44" t="e">
        <f>_xlfn.XLOOKUP(Tabla5[[#This Row],[EAN CORREGIDO]],'Tabla Articulos'!B:B,'Tabla Articulos'!D:D)</f>
        <v>#N/A</v>
      </c>
      <c r="Q2570" s="44" t="e">
        <f>_xlfn.XLOOKUP(S2570,'Tabla Articulos'!B:B,'Tabla Articulos'!E:E)</f>
        <v>#N/A</v>
      </c>
      <c r="R2570" s="44" t="e">
        <f t="shared" si="80"/>
        <v>#N/A</v>
      </c>
      <c r="S2570" s="45" t="str">
        <f t="shared" si="81"/>
        <v>7790040719804</v>
      </c>
    </row>
    <row r="2571" spans="1:19" hidden="1" x14ac:dyDescent="0.35">
      <c r="A2571" s="22">
        <v>2</v>
      </c>
      <c r="B2571" t="s">
        <v>5624</v>
      </c>
      <c r="C2571" t="s">
        <v>802</v>
      </c>
      <c r="D2571" t="s">
        <v>2886</v>
      </c>
      <c r="E2571" t="s">
        <v>2887</v>
      </c>
      <c r="F2571">
        <v>4076553</v>
      </c>
      <c r="G2571" t="s">
        <v>2888</v>
      </c>
      <c r="H2571" t="s">
        <v>805</v>
      </c>
      <c r="I2571">
        <v>12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12</v>
      </c>
      <c r="P2571" s="44" t="e">
        <f>_xlfn.XLOOKUP(Tabla5[[#This Row],[EAN CORREGIDO]],'Tabla Articulos'!B:B,'Tabla Articulos'!D:D)</f>
        <v>#N/A</v>
      </c>
      <c r="Q2571" s="44" t="e">
        <f>_xlfn.XLOOKUP(S2571,'Tabla Articulos'!B:B,'Tabla Articulos'!E:E)</f>
        <v>#N/A</v>
      </c>
      <c r="R2571" s="44" t="e">
        <f t="shared" si="80"/>
        <v>#N/A</v>
      </c>
      <c r="S2571" s="45" t="str">
        <f t="shared" si="81"/>
        <v>7798131130781</v>
      </c>
    </row>
    <row r="2572" spans="1:19" hidden="1" x14ac:dyDescent="0.35">
      <c r="A2572" s="22">
        <v>2</v>
      </c>
      <c r="B2572" t="s">
        <v>5624</v>
      </c>
      <c r="C2572" t="s">
        <v>802</v>
      </c>
      <c r="D2572" t="s">
        <v>1681</v>
      </c>
      <c r="E2572" t="s">
        <v>2889</v>
      </c>
      <c r="F2572">
        <v>4022162</v>
      </c>
      <c r="G2572" t="s">
        <v>2890</v>
      </c>
      <c r="H2572" t="s">
        <v>805</v>
      </c>
      <c r="I2572">
        <v>89</v>
      </c>
      <c r="J2572">
        <v>0</v>
      </c>
      <c r="K2572">
        <v>0</v>
      </c>
      <c r="L2572">
        <v>1</v>
      </c>
      <c r="M2572">
        <v>1</v>
      </c>
      <c r="N2572">
        <v>0</v>
      </c>
      <c r="O2572">
        <v>87</v>
      </c>
      <c r="P2572" s="44" t="e">
        <f>_xlfn.XLOOKUP(Tabla5[[#This Row],[EAN CORREGIDO]],'Tabla Articulos'!B:B,'Tabla Articulos'!D:D)</f>
        <v>#N/A</v>
      </c>
      <c r="Q2572" s="44" t="e">
        <f>_xlfn.XLOOKUP(S2572,'Tabla Articulos'!B:B,'Tabla Articulos'!E:E)</f>
        <v>#N/A</v>
      </c>
      <c r="R2572" s="44" t="e">
        <f t="shared" si="80"/>
        <v>#N/A</v>
      </c>
      <c r="S2572" s="45" t="str">
        <f t="shared" si="81"/>
        <v>7798048981025</v>
      </c>
    </row>
    <row r="2573" spans="1:19" hidden="1" x14ac:dyDescent="0.35">
      <c r="A2573" s="22">
        <v>2</v>
      </c>
      <c r="B2573" t="s">
        <v>5624</v>
      </c>
      <c r="C2573" t="s">
        <v>802</v>
      </c>
      <c r="D2573" t="s">
        <v>2073</v>
      </c>
      <c r="E2573" t="s">
        <v>2074</v>
      </c>
      <c r="F2573">
        <v>4017698</v>
      </c>
      <c r="G2573" t="s">
        <v>2075</v>
      </c>
      <c r="H2573" t="s">
        <v>816</v>
      </c>
      <c r="I2573">
        <v>1667.75</v>
      </c>
      <c r="J2573">
        <v>0</v>
      </c>
      <c r="K2573">
        <v>0</v>
      </c>
      <c r="L2573">
        <v>188.1</v>
      </c>
      <c r="M2573">
        <v>188.1</v>
      </c>
      <c r="N2573">
        <v>0</v>
      </c>
      <c r="O2573">
        <v>1291.55</v>
      </c>
      <c r="P2573" s="44" t="e">
        <f>_xlfn.XLOOKUP(Tabla5[[#This Row],[EAN CORREGIDO]],'Tabla Articulos'!B:B,'Tabla Articulos'!D:D)</f>
        <v>#N/A</v>
      </c>
      <c r="Q2573" s="44" t="e">
        <f>_xlfn.XLOOKUP(S2573,'Tabla Articulos'!B:B,'Tabla Articulos'!E:E)</f>
        <v>#N/A</v>
      </c>
      <c r="R2573" s="44" t="e">
        <f t="shared" si="80"/>
        <v>#N/A</v>
      </c>
      <c r="S2573" s="45" t="str">
        <f t="shared" si="81"/>
        <v>7790212031279</v>
      </c>
    </row>
    <row r="2574" spans="1:19" hidden="1" x14ac:dyDescent="0.35">
      <c r="A2574" s="22">
        <v>2</v>
      </c>
      <c r="B2574" t="s">
        <v>5624</v>
      </c>
      <c r="C2574" t="s">
        <v>802</v>
      </c>
      <c r="D2574" t="s">
        <v>5744</v>
      </c>
      <c r="E2574" t="s">
        <v>6163</v>
      </c>
      <c r="F2574">
        <v>4022540</v>
      </c>
      <c r="G2574" t="s">
        <v>6164</v>
      </c>
      <c r="H2574" t="s">
        <v>805</v>
      </c>
      <c r="I2574">
        <v>2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2</v>
      </c>
      <c r="P2574" s="44" t="e">
        <f>_xlfn.XLOOKUP(Tabla5[[#This Row],[EAN CORREGIDO]],'Tabla Articulos'!B:B,'Tabla Articulos'!D:D)</f>
        <v>#N/A</v>
      </c>
      <c r="Q2574" s="44" t="e">
        <f>_xlfn.XLOOKUP(S2574,'Tabla Articulos'!B:B,'Tabla Articulos'!E:E)</f>
        <v>#N/A</v>
      </c>
      <c r="R2574" s="44" t="e">
        <f t="shared" si="80"/>
        <v>#N/A</v>
      </c>
      <c r="S2574" s="45" t="str">
        <f t="shared" si="81"/>
        <v>4008976681854</v>
      </c>
    </row>
    <row r="2575" spans="1:19" hidden="1" x14ac:dyDescent="0.35">
      <c r="A2575" s="22">
        <v>2</v>
      </c>
      <c r="B2575" t="s">
        <v>5624</v>
      </c>
      <c r="C2575" t="s">
        <v>802</v>
      </c>
      <c r="D2575" t="s">
        <v>6165</v>
      </c>
      <c r="E2575" t="s">
        <v>6166</v>
      </c>
      <c r="F2575">
        <v>4024272</v>
      </c>
      <c r="G2575" t="s">
        <v>6167</v>
      </c>
      <c r="H2575" t="s">
        <v>805</v>
      </c>
      <c r="I2575">
        <v>20</v>
      </c>
      <c r="J2575">
        <v>0</v>
      </c>
      <c r="K2575">
        <v>0</v>
      </c>
      <c r="L2575">
        <v>5</v>
      </c>
      <c r="M2575">
        <v>5</v>
      </c>
      <c r="N2575">
        <v>0</v>
      </c>
      <c r="O2575">
        <v>10</v>
      </c>
      <c r="P2575" s="44" t="e">
        <f>_xlfn.XLOOKUP(Tabla5[[#This Row],[EAN CORREGIDO]],'Tabla Articulos'!B:B,'Tabla Articulos'!D:D)</f>
        <v>#N/A</v>
      </c>
      <c r="Q2575" s="44" t="e">
        <f>_xlfn.XLOOKUP(S2575,'Tabla Articulos'!B:B,'Tabla Articulos'!E:E)</f>
        <v>#N/A</v>
      </c>
      <c r="R2575" s="44" t="e">
        <f t="shared" si="80"/>
        <v>#N/A</v>
      </c>
      <c r="S2575" s="45" t="str">
        <f t="shared" si="81"/>
        <v>7798146450027</v>
      </c>
    </row>
    <row r="2576" spans="1:19" hidden="1" x14ac:dyDescent="0.35">
      <c r="A2576" s="22">
        <v>2</v>
      </c>
      <c r="B2576" t="s">
        <v>5624</v>
      </c>
      <c r="C2576" t="s">
        <v>802</v>
      </c>
      <c r="D2576" t="s">
        <v>2701</v>
      </c>
      <c r="E2576" t="s">
        <v>2702</v>
      </c>
      <c r="F2576">
        <v>4076914</v>
      </c>
      <c r="G2576" t="s">
        <v>2703</v>
      </c>
      <c r="H2576" t="s">
        <v>805</v>
      </c>
      <c r="I2576">
        <v>48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48</v>
      </c>
      <c r="P2576" s="44" t="e">
        <f>_xlfn.XLOOKUP(Tabla5[[#This Row],[EAN CORREGIDO]],'Tabla Articulos'!B:B,'Tabla Articulos'!D:D)</f>
        <v>#N/A</v>
      </c>
      <c r="Q2576" s="44" t="e">
        <f>_xlfn.XLOOKUP(S2576,'Tabla Articulos'!B:B,'Tabla Articulos'!E:E)</f>
        <v>#N/A</v>
      </c>
      <c r="R2576" s="44" t="e">
        <f t="shared" si="80"/>
        <v>#N/A</v>
      </c>
      <c r="S2576" s="45" t="str">
        <f t="shared" si="81"/>
        <v>7798186161235</v>
      </c>
    </row>
    <row r="2577" spans="1:19" hidden="1" x14ac:dyDescent="0.35">
      <c r="A2577" s="22">
        <v>2</v>
      </c>
      <c r="B2577" t="s">
        <v>5624</v>
      </c>
      <c r="C2577" t="s">
        <v>802</v>
      </c>
      <c r="D2577" t="s">
        <v>6168</v>
      </c>
      <c r="E2577" t="s">
        <v>6169</v>
      </c>
      <c r="F2577">
        <v>4017318</v>
      </c>
      <c r="G2577" t="s">
        <v>6170</v>
      </c>
      <c r="H2577" t="s">
        <v>805</v>
      </c>
      <c r="I2577">
        <v>519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519</v>
      </c>
      <c r="P2577" s="44" t="e">
        <f>_xlfn.XLOOKUP(Tabla5[[#This Row],[EAN CORREGIDO]],'Tabla Articulos'!B:B,'Tabla Articulos'!D:D)</f>
        <v>#N/A</v>
      </c>
      <c r="Q2577" s="44" t="e">
        <f>_xlfn.XLOOKUP(S2577,'Tabla Articulos'!B:B,'Tabla Articulos'!E:E)</f>
        <v>#N/A</v>
      </c>
      <c r="R2577" s="44" t="e">
        <f t="shared" si="80"/>
        <v>#N/A</v>
      </c>
      <c r="S2577" s="45" t="str">
        <f t="shared" si="81"/>
        <v>7790895640018</v>
      </c>
    </row>
    <row r="2578" spans="1:19" hidden="1" x14ac:dyDescent="0.35">
      <c r="A2578" s="22">
        <v>2</v>
      </c>
      <c r="B2578" t="s">
        <v>5624</v>
      </c>
      <c r="C2578" t="s">
        <v>802</v>
      </c>
      <c r="D2578" t="s">
        <v>3534</v>
      </c>
      <c r="E2578" t="s">
        <v>3535</v>
      </c>
      <c r="F2578">
        <v>4019848</v>
      </c>
      <c r="G2578" t="s">
        <v>3536</v>
      </c>
      <c r="H2578" t="s">
        <v>805</v>
      </c>
      <c r="I2578">
        <v>72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72</v>
      </c>
      <c r="P2578" s="44" t="e">
        <f>_xlfn.XLOOKUP(Tabla5[[#This Row],[EAN CORREGIDO]],'Tabla Articulos'!B:B,'Tabla Articulos'!D:D)</f>
        <v>#N/A</v>
      </c>
      <c r="Q2578" s="44" t="e">
        <f>_xlfn.XLOOKUP(S2578,'Tabla Articulos'!B:B,'Tabla Articulos'!E:E)</f>
        <v>#N/A</v>
      </c>
      <c r="R2578" s="44" t="e">
        <f t="shared" si="80"/>
        <v>#N/A</v>
      </c>
      <c r="S2578" s="45" t="str">
        <f t="shared" si="81"/>
        <v>7790580315405</v>
      </c>
    </row>
    <row r="2579" spans="1:19" hidden="1" x14ac:dyDescent="0.35">
      <c r="A2579" s="22">
        <v>2</v>
      </c>
      <c r="B2579" t="s">
        <v>5624</v>
      </c>
      <c r="C2579" t="s">
        <v>802</v>
      </c>
      <c r="D2579" t="s">
        <v>6357</v>
      </c>
      <c r="E2579" t="s">
        <v>6358</v>
      </c>
      <c r="F2579">
        <v>4076559</v>
      </c>
      <c r="G2579" t="s">
        <v>6359</v>
      </c>
      <c r="H2579" t="s">
        <v>805</v>
      </c>
      <c r="I2579">
        <v>25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25</v>
      </c>
      <c r="P2579" s="44" t="e">
        <f>_xlfn.XLOOKUP(Tabla5[[#This Row],[EAN CORREGIDO]],'Tabla Articulos'!B:B,'Tabla Articulos'!D:D)</f>
        <v>#N/A</v>
      </c>
      <c r="Q2579" s="44" t="e">
        <f>_xlfn.XLOOKUP(S2579,'Tabla Articulos'!B:B,'Tabla Articulos'!E:E)</f>
        <v>#N/A</v>
      </c>
      <c r="R2579" s="44" t="e">
        <f t="shared" si="80"/>
        <v>#N/A</v>
      </c>
      <c r="S2579" s="45" t="str">
        <f t="shared" si="81"/>
        <v>7798131130729</v>
      </c>
    </row>
    <row r="2580" spans="1:19" hidden="1" x14ac:dyDescent="0.35">
      <c r="A2580" s="22">
        <v>2</v>
      </c>
      <c r="B2580" t="s">
        <v>5624</v>
      </c>
      <c r="C2580" t="s">
        <v>802</v>
      </c>
      <c r="D2580" t="s">
        <v>1688</v>
      </c>
      <c r="E2580" t="s">
        <v>1689</v>
      </c>
      <c r="F2580">
        <v>4018117</v>
      </c>
      <c r="G2580" t="s">
        <v>1690</v>
      </c>
      <c r="H2580" t="s">
        <v>805</v>
      </c>
      <c r="I2580">
        <v>510</v>
      </c>
      <c r="J2580">
        <v>0</v>
      </c>
      <c r="K2580">
        <v>0</v>
      </c>
      <c r="L2580">
        <v>5</v>
      </c>
      <c r="M2580">
        <v>5</v>
      </c>
      <c r="N2580">
        <v>0</v>
      </c>
      <c r="O2580">
        <v>500</v>
      </c>
      <c r="P2580" s="44" t="e">
        <f>_xlfn.XLOOKUP(Tabla5[[#This Row],[EAN CORREGIDO]],'Tabla Articulos'!B:B,'Tabla Articulos'!D:D)</f>
        <v>#N/A</v>
      </c>
      <c r="Q2580" s="44" t="e">
        <f>_xlfn.XLOOKUP(S2580,'Tabla Articulos'!B:B,'Tabla Articulos'!E:E)</f>
        <v>#N/A</v>
      </c>
      <c r="R2580" s="44" t="e">
        <f t="shared" si="80"/>
        <v>#N/A</v>
      </c>
      <c r="S2580" s="45" t="str">
        <f t="shared" si="81"/>
        <v>7791435000248</v>
      </c>
    </row>
    <row r="2581" spans="1:19" hidden="1" x14ac:dyDescent="0.35">
      <c r="A2581" s="22">
        <v>2</v>
      </c>
      <c r="B2581" t="s">
        <v>5624</v>
      </c>
      <c r="C2581" t="s">
        <v>802</v>
      </c>
      <c r="D2581" t="s">
        <v>1697</v>
      </c>
      <c r="E2581" t="s">
        <v>1698</v>
      </c>
      <c r="F2581">
        <v>4021153</v>
      </c>
      <c r="G2581" t="s">
        <v>1699</v>
      </c>
      <c r="H2581" t="s">
        <v>805</v>
      </c>
      <c r="I2581">
        <v>2242</v>
      </c>
      <c r="J2581">
        <v>0</v>
      </c>
      <c r="K2581">
        <v>572</v>
      </c>
      <c r="L2581">
        <v>4</v>
      </c>
      <c r="M2581">
        <v>4</v>
      </c>
      <c r="N2581">
        <v>0</v>
      </c>
      <c r="O2581">
        <v>1662</v>
      </c>
      <c r="P2581" s="44" t="e">
        <f>_xlfn.XLOOKUP(Tabla5[[#This Row],[EAN CORREGIDO]],'Tabla Articulos'!B:B,'Tabla Articulos'!D:D)</f>
        <v>#N/A</v>
      </c>
      <c r="Q2581" s="44" t="e">
        <f>_xlfn.XLOOKUP(S2581,'Tabla Articulos'!B:B,'Tabla Articulos'!E:E)</f>
        <v>#N/A</v>
      </c>
      <c r="R2581" s="44" t="e">
        <f t="shared" si="80"/>
        <v>#N/A</v>
      </c>
      <c r="S2581" s="45" t="str">
        <f t="shared" si="81"/>
        <v>7798092900102</v>
      </c>
    </row>
    <row r="2582" spans="1:19" hidden="1" x14ac:dyDescent="0.35">
      <c r="A2582" s="22">
        <v>2</v>
      </c>
      <c r="B2582" t="s">
        <v>5624</v>
      </c>
      <c r="C2582" t="s">
        <v>802</v>
      </c>
      <c r="D2582" t="s">
        <v>5854</v>
      </c>
      <c r="E2582" t="s">
        <v>5855</v>
      </c>
      <c r="F2582">
        <v>4020230</v>
      </c>
      <c r="G2582" t="s">
        <v>5856</v>
      </c>
      <c r="H2582" t="s">
        <v>805</v>
      </c>
      <c r="I2582">
        <v>179</v>
      </c>
      <c r="J2582">
        <v>0</v>
      </c>
      <c r="K2582">
        <v>0</v>
      </c>
      <c r="L2582">
        <v>2</v>
      </c>
      <c r="M2582">
        <v>2</v>
      </c>
      <c r="N2582">
        <v>0</v>
      </c>
      <c r="O2582">
        <v>175</v>
      </c>
      <c r="P2582" s="44" t="e">
        <f>_xlfn.XLOOKUP(Tabla5[[#This Row],[EAN CORREGIDO]],'Tabla Articulos'!B:B,'Tabla Articulos'!D:D)</f>
        <v>#N/A</v>
      </c>
      <c r="Q2582" s="44" t="e">
        <f>_xlfn.XLOOKUP(S2582,'Tabla Articulos'!B:B,'Tabla Articulos'!E:E)</f>
        <v>#N/A</v>
      </c>
      <c r="R2582" s="44" t="e">
        <f t="shared" si="80"/>
        <v>#N/A</v>
      </c>
      <c r="S2582" s="45" t="str">
        <f t="shared" si="81"/>
        <v>7794000599468</v>
      </c>
    </row>
    <row r="2583" spans="1:19" hidden="1" x14ac:dyDescent="0.35">
      <c r="A2583" s="22">
        <v>2</v>
      </c>
      <c r="B2583" t="s">
        <v>5624</v>
      </c>
      <c r="C2583" t="s">
        <v>802</v>
      </c>
      <c r="D2583" t="s">
        <v>5857</v>
      </c>
      <c r="E2583" t="s">
        <v>5858</v>
      </c>
      <c r="F2583">
        <v>4077505</v>
      </c>
      <c r="G2583" t="s">
        <v>5859</v>
      </c>
      <c r="H2583" t="s">
        <v>805</v>
      </c>
      <c r="I2583">
        <v>12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12</v>
      </c>
      <c r="P2583" s="44" t="e">
        <f>_xlfn.XLOOKUP(Tabla5[[#This Row],[EAN CORREGIDO]],'Tabla Articulos'!B:B,'Tabla Articulos'!D:D)</f>
        <v>#N/A</v>
      </c>
      <c r="Q2583" s="44" t="e">
        <f>_xlfn.XLOOKUP(S2583,'Tabla Articulos'!B:B,'Tabla Articulos'!E:E)</f>
        <v>#N/A</v>
      </c>
      <c r="R2583" s="44" t="e">
        <f t="shared" si="80"/>
        <v>#N/A</v>
      </c>
      <c r="S2583" s="45" t="str">
        <f t="shared" si="81"/>
        <v>7791351138087</v>
      </c>
    </row>
    <row r="2584" spans="1:19" hidden="1" x14ac:dyDescent="0.35">
      <c r="A2584" s="22">
        <v>2</v>
      </c>
      <c r="B2584" t="s">
        <v>5624</v>
      </c>
      <c r="C2584" t="s">
        <v>802</v>
      </c>
      <c r="D2584" t="s">
        <v>5461</v>
      </c>
      <c r="E2584" t="s">
        <v>5915</v>
      </c>
      <c r="F2584">
        <v>4019755</v>
      </c>
      <c r="G2584" t="s">
        <v>5916</v>
      </c>
      <c r="H2584" t="s">
        <v>805</v>
      </c>
      <c r="I2584">
        <v>8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8</v>
      </c>
      <c r="P2584" s="44" t="e">
        <f>_xlfn.XLOOKUP(Tabla5[[#This Row],[EAN CORREGIDO]],'Tabla Articulos'!B:B,'Tabla Articulos'!D:D)</f>
        <v>#N/A</v>
      </c>
      <c r="Q2584" s="44" t="e">
        <f>_xlfn.XLOOKUP(S2584,'Tabla Articulos'!B:B,'Tabla Articulos'!E:E)</f>
        <v>#N/A</v>
      </c>
      <c r="R2584" s="44" t="e">
        <f t="shared" si="80"/>
        <v>#N/A</v>
      </c>
      <c r="S2584" s="45" t="str">
        <f t="shared" si="81"/>
        <v>7790279000551</v>
      </c>
    </row>
    <row r="2585" spans="1:19" hidden="1" x14ac:dyDescent="0.35">
      <c r="A2585" s="22">
        <v>2</v>
      </c>
      <c r="B2585" t="s">
        <v>5624</v>
      </c>
      <c r="C2585" t="s">
        <v>802</v>
      </c>
      <c r="D2585" t="s">
        <v>1887</v>
      </c>
      <c r="E2585" t="s">
        <v>1888</v>
      </c>
      <c r="F2585">
        <v>4049008</v>
      </c>
      <c r="G2585" t="s">
        <v>1889</v>
      </c>
      <c r="H2585" t="s">
        <v>805</v>
      </c>
      <c r="I2585">
        <v>87</v>
      </c>
      <c r="J2585">
        <v>0</v>
      </c>
      <c r="K2585">
        <v>0</v>
      </c>
      <c r="L2585">
        <v>4</v>
      </c>
      <c r="M2585">
        <v>4</v>
      </c>
      <c r="N2585">
        <v>0</v>
      </c>
      <c r="O2585">
        <v>79</v>
      </c>
      <c r="P2585" s="44" t="e">
        <f>_xlfn.XLOOKUP(Tabla5[[#This Row],[EAN CORREGIDO]],'Tabla Articulos'!B:B,'Tabla Articulos'!D:D)</f>
        <v>#N/A</v>
      </c>
      <c r="Q2585" s="44" t="e">
        <f>_xlfn.XLOOKUP(S2585,'Tabla Articulos'!B:B,'Tabla Articulos'!E:E)</f>
        <v>#N/A</v>
      </c>
      <c r="R2585" s="44" t="e">
        <f t="shared" si="80"/>
        <v>#N/A</v>
      </c>
      <c r="S2585" s="45" t="str">
        <f t="shared" si="81"/>
        <v>7794000006027</v>
      </c>
    </row>
    <row r="2586" spans="1:19" hidden="1" x14ac:dyDescent="0.35">
      <c r="A2586" s="22">
        <v>2</v>
      </c>
      <c r="B2586" t="s">
        <v>5624</v>
      </c>
      <c r="C2586" t="s">
        <v>802</v>
      </c>
      <c r="D2586" t="s">
        <v>1025</v>
      </c>
      <c r="E2586" t="s">
        <v>4403</v>
      </c>
      <c r="F2586">
        <v>4024759</v>
      </c>
      <c r="G2586" t="s">
        <v>4404</v>
      </c>
      <c r="H2586" t="s">
        <v>805</v>
      </c>
      <c r="I2586">
        <v>14</v>
      </c>
      <c r="J2586">
        <v>0</v>
      </c>
      <c r="K2586">
        <v>0</v>
      </c>
      <c r="L2586">
        <v>5</v>
      </c>
      <c r="M2586">
        <v>5</v>
      </c>
      <c r="N2586">
        <v>0</v>
      </c>
      <c r="O2586">
        <v>4</v>
      </c>
      <c r="P2586" s="44" t="e">
        <f>_xlfn.XLOOKUP(Tabla5[[#This Row],[EAN CORREGIDO]],'Tabla Articulos'!B:B,'Tabla Articulos'!D:D)</f>
        <v>#N/A</v>
      </c>
      <c r="Q2586" s="44" t="e">
        <f>_xlfn.XLOOKUP(S2586,'Tabla Articulos'!B:B,'Tabla Articulos'!E:E)</f>
        <v>#N/A</v>
      </c>
      <c r="R2586" s="44" t="e">
        <f t="shared" si="80"/>
        <v>#N/A</v>
      </c>
      <c r="S2586" s="45" t="str">
        <f t="shared" si="81"/>
        <v>17792180009361</v>
      </c>
    </row>
    <row r="2587" spans="1:19" hidden="1" x14ac:dyDescent="0.35">
      <c r="A2587" s="22">
        <v>2</v>
      </c>
      <c r="B2587" t="s">
        <v>5624</v>
      </c>
      <c r="C2587" t="s">
        <v>802</v>
      </c>
      <c r="D2587" t="s">
        <v>6530</v>
      </c>
      <c r="E2587" t="s">
        <v>6531</v>
      </c>
      <c r="F2587">
        <v>4021962</v>
      </c>
      <c r="G2587" t="s">
        <v>6532</v>
      </c>
      <c r="H2587" t="s">
        <v>805</v>
      </c>
      <c r="I2587">
        <v>28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28</v>
      </c>
      <c r="P2587" s="44" t="e">
        <f>_xlfn.XLOOKUP(Tabla5[[#This Row],[EAN CORREGIDO]],'Tabla Articulos'!B:B,'Tabla Articulos'!D:D)</f>
        <v>#N/A</v>
      </c>
      <c r="Q2587" s="44" t="e">
        <f>_xlfn.XLOOKUP(S2587,'Tabla Articulos'!B:B,'Tabla Articulos'!E:E)</f>
        <v>#N/A</v>
      </c>
      <c r="R2587" s="44" t="e">
        <f t="shared" si="80"/>
        <v>#N/A</v>
      </c>
      <c r="S2587" s="45" t="str">
        <f t="shared" si="81"/>
        <v>7630236784664</v>
      </c>
    </row>
    <row r="2588" spans="1:19" hidden="1" x14ac:dyDescent="0.35">
      <c r="A2588" s="22">
        <v>2</v>
      </c>
      <c r="B2588" t="s">
        <v>5624</v>
      </c>
      <c r="C2588" t="s">
        <v>802</v>
      </c>
      <c r="D2588" t="s">
        <v>6125</v>
      </c>
      <c r="E2588" t="s">
        <v>6533</v>
      </c>
      <c r="F2588">
        <v>4022395</v>
      </c>
      <c r="G2588" t="s">
        <v>6534</v>
      </c>
      <c r="H2588" t="s">
        <v>805</v>
      </c>
      <c r="I2588">
        <v>69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69</v>
      </c>
      <c r="P2588" s="44" t="e">
        <f>_xlfn.XLOOKUP(Tabla5[[#This Row],[EAN CORREGIDO]],'Tabla Articulos'!B:B,'Tabla Articulos'!D:D)</f>
        <v>#N/A</v>
      </c>
      <c r="Q2588" s="44" t="e">
        <f>_xlfn.XLOOKUP(S2588,'Tabla Articulos'!B:B,'Tabla Articulos'!E:E)</f>
        <v>#N/A</v>
      </c>
      <c r="R2588" s="44" t="e">
        <f t="shared" si="80"/>
        <v>#N/A</v>
      </c>
      <c r="S2588" s="45" t="str">
        <f t="shared" si="81"/>
        <v>7791218000144</v>
      </c>
    </row>
    <row r="2589" spans="1:19" hidden="1" x14ac:dyDescent="0.35">
      <c r="A2589" s="22">
        <v>2</v>
      </c>
      <c r="B2589" t="s">
        <v>5624</v>
      </c>
      <c r="C2589" t="s">
        <v>802</v>
      </c>
      <c r="D2589" t="s">
        <v>6535</v>
      </c>
      <c r="E2589" t="s">
        <v>6536</v>
      </c>
      <c r="F2589">
        <v>4077228</v>
      </c>
      <c r="G2589" t="s">
        <v>6537</v>
      </c>
      <c r="H2589" t="s">
        <v>805</v>
      </c>
      <c r="I2589">
        <v>16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16</v>
      </c>
      <c r="P2589" s="44" t="e">
        <f>_xlfn.XLOOKUP(Tabla5[[#This Row],[EAN CORREGIDO]],'Tabla Articulos'!B:B,'Tabla Articulos'!D:D)</f>
        <v>#N/A</v>
      </c>
      <c r="Q2589" s="44" t="e">
        <f>_xlfn.XLOOKUP(S2589,'Tabla Articulos'!B:B,'Tabla Articulos'!E:E)</f>
        <v>#N/A</v>
      </c>
      <c r="R2589" s="44" t="e">
        <f t="shared" si="80"/>
        <v>#N/A</v>
      </c>
      <c r="S2589" s="45" t="str">
        <f t="shared" si="81"/>
        <v>7790742358509</v>
      </c>
    </row>
    <row r="2590" spans="1:19" hidden="1" x14ac:dyDescent="0.35">
      <c r="A2590" s="22">
        <v>2</v>
      </c>
      <c r="B2590" t="s">
        <v>5624</v>
      </c>
      <c r="C2590" t="s">
        <v>802</v>
      </c>
      <c r="D2590" t="s">
        <v>1252</v>
      </c>
      <c r="E2590" t="s">
        <v>6538</v>
      </c>
      <c r="F2590">
        <v>4018604</v>
      </c>
      <c r="G2590" t="s">
        <v>6539</v>
      </c>
      <c r="H2590" t="s">
        <v>805</v>
      </c>
      <c r="I2590">
        <v>3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3</v>
      </c>
      <c r="P2590" s="44" t="e">
        <f>_xlfn.XLOOKUP(Tabla5[[#This Row],[EAN CORREGIDO]],'Tabla Articulos'!B:B,'Tabla Articulos'!D:D)</f>
        <v>#N/A</v>
      </c>
      <c r="Q2590" s="44" t="e">
        <f>_xlfn.XLOOKUP(S2590,'Tabla Articulos'!B:B,'Tabla Articulos'!E:E)</f>
        <v>#N/A</v>
      </c>
      <c r="R2590" s="44" t="e">
        <f t="shared" si="80"/>
        <v>#N/A</v>
      </c>
      <c r="S2590" s="45" t="str">
        <f t="shared" si="81"/>
        <v>7799132966562</v>
      </c>
    </row>
    <row r="2591" spans="1:19" hidden="1" x14ac:dyDescent="0.35">
      <c r="A2591" s="22">
        <v>2</v>
      </c>
      <c r="B2591" t="s">
        <v>5624</v>
      </c>
      <c r="C2591" t="s">
        <v>802</v>
      </c>
      <c r="D2591" t="s">
        <v>2035</v>
      </c>
      <c r="E2591" t="s">
        <v>6540</v>
      </c>
      <c r="F2591">
        <v>4020207</v>
      </c>
      <c r="G2591" t="s">
        <v>6541</v>
      </c>
      <c r="H2591" t="s">
        <v>805</v>
      </c>
      <c r="I2591">
        <v>24</v>
      </c>
      <c r="J2591">
        <v>0</v>
      </c>
      <c r="K2591">
        <v>0</v>
      </c>
      <c r="L2591">
        <v>1</v>
      </c>
      <c r="M2591">
        <v>1</v>
      </c>
      <c r="N2591">
        <v>0</v>
      </c>
      <c r="O2591">
        <v>22</v>
      </c>
      <c r="P2591" s="44" t="e">
        <f>_xlfn.XLOOKUP(Tabla5[[#This Row],[EAN CORREGIDO]],'Tabla Articulos'!B:B,'Tabla Articulos'!D:D)</f>
        <v>#N/A</v>
      </c>
      <c r="Q2591" s="44" t="e">
        <f>_xlfn.XLOOKUP(S2591,'Tabla Articulos'!B:B,'Tabla Articulos'!E:E)</f>
        <v>#N/A</v>
      </c>
      <c r="R2591" s="44" t="e">
        <f t="shared" si="80"/>
        <v>#N/A</v>
      </c>
      <c r="S2591" s="45" t="str">
        <f t="shared" si="81"/>
        <v>7797234082096</v>
      </c>
    </row>
    <row r="2592" spans="1:19" hidden="1" x14ac:dyDescent="0.35">
      <c r="A2592" s="22">
        <v>2</v>
      </c>
      <c r="B2592" t="s">
        <v>5624</v>
      </c>
      <c r="C2592" t="s">
        <v>802</v>
      </c>
      <c r="D2592" t="s">
        <v>6542</v>
      </c>
      <c r="E2592" t="s">
        <v>6543</v>
      </c>
      <c r="F2592">
        <v>4024245</v>
      </c>
      <c r="G2592" t="s">
        <v>6544</v>
      </c>
      <c r="H2592" t="s">
        <v>805</v>
      </c>
      <c r="I2592">
        <v>8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8</v>
      </c>
      <c r="P2592" s="44" t="e">
        <f>_xlfn.XLOOKUP(Tabla5[[#This Row],[EAN CORREGIDO]],'Tabla Articulos'!B:B,'Tabla Articulos'!D:D)</f>
        <v>#N/A</v>
      </c>
      <c r="Q2592" s="44" t="e">
        <f>_xlfn.XLOOKUP(S2592,'Tabla Articulos'!B:B,'Tabla Articulos'!E:E)</f>
        <v>#N/A</v>
      </c>
      <c r="R2592" s="44" t="e">
        <f t="shared" si="80"/>
        <v>#N/A</v>
      </c>
      <c r="S2592" s="45" t="str">
        <f t="shared" si="81"/>
        <v>7798186161679</v>
      </c>
    </row>
    <row r="2593" spans="1:19" hidden="1" x14ac:dyDescent="0.35">
      <c r="A2593" s="22">
        <v>2</v>
      </c>
      <c r="B2593" t="s">
        <v>5624</v>
      </c>
      <c r="C2593" t="s">
        <v>802</v>
      </c>
      <c r="D2593" t="s">
        <v>1497</v>
      </c>
      <c r="E2593" t="s">
        <v>2665</v>
      </c>
      <c r="F2593">
        <v>4022532</v>
      </c>
      <c r="G2593" t="s">
        <v>2666</v>
      </c>
      <c r="H2593" t="s">
        <v>805</v>
      </c>
      <c r="I2593">
        <v>132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132</v>
      </c>
      <c r="P2593" s="44" t="e">
        <f>_xlfn.XLOOKUP(Tabla5[[#This Row],[EAN CORREGIDO]],'Tabla Articulos'!B:B,'Tabla Articulos'!D:D)</f>
        <v>#N/A</v>
      </c>
      <c r="Q2593" s="44" t="e">
        <f>_xlfn.XLOOKUP(S2593,'Tabla Articulos'!B:B,'Tabla Articulos'!E:E)</f>
        <v>#N/A</v>
      </c>
      <c r="R2593" s="44" t="e">
        <f t="shared" si="80"/>
        <v>#N/A</v>
      </c>
      <c r="S2593" s="45" t="str">
        <f t="shared" si="81"/>
        <v>790757899650</v>
      </c>
    </row>
    <row r="2594" spans="1:19" hidden="1" x14ac:dyDescent="0.35">
      <c r="A2594" s="22">
        <v>2</v>
      </c>
      <c r="B2594" t="s">
        <v>5624</v>
      </c>
      <c r="C2594" t="s">
        <v>802</v>
      </c>
      <c r="D2594" t="s">
        <v>2667</v>
      </c>
      <c r="E2594" t="s">
        <v>2668</v>
      </c>
      <c r="F2594">
        <v>4017989</v>
      </c>
      <c r="G2594" t="s">
        <v>2669</v>
      </c>
      <c r="H2594" t="s">
        <v>816</v>
      </c>
      <c r="I2594">
        <v>66.91</v>
      </c>
      <c r="J2594">
        <v>0</v>
      </c>
      <c r="K2594">
        <v>0</v>
      </c>
      <c r="L2594">
        <v>15</v>
      </c>
      <c r="M2594">
        <v>15</v>
      </c>
      <c r="N2594">
        <v>0</v>
      </c>
      <c r="O2594">
        <v>36.909999999999997</v>
      </c>
      <c r="P2594" s="44" t="e">
        <f>_xlfn.XLOOKUP(Tabla5[[#This Row],[EAN CORREGIDO]],'Tabla Articulos'!B:B,'Tabla Articulos'!D:D)</f>
        <v>#N/A</v>
      </c>
      <c r="Q2594" s="44" t="e">
        <f>_xlfn.XLOOKUP(S2594,'Tabla Articulos'!B:B,'Tabla Articulos'!E:E)</f>
        <v>#N/A</v>
      </c>
      <c r="R2594" s="44" t="e">
        <f t="shared" si="80"/>
        <v>#N/A</v>
      </c>
      <c r="S2594" s="45" t="str">
        <f t="shared" si="81"/>
        <v>7790216012616</v>
      </c>
    </row>
    <row r="2595" spans="1:19" hidden="1" x14ac:dyDescent="0.35">
      <c r="A2595" s="22">
        <v>2</v>
      </c>
      <c r="B2595" t="s">
        <v>5624</v>
      </c>
      <c r="C2595" t="s">
        <v>802</v>
      </c>
      <c r="D2595" t="s">
        <v>5678</v>
      </c>
      <c r="E2595" t="s">
        <v>6149</v>
      </c>
      <c r="F2595">
        <v>4019869</v>
      </c>
      <c r="G2595" t="s">
        <v>6150</v>
      </c>
      <c r="H2595" t="s">
        <v>805</v>
      </c>
      <c r="I2595">
        <v>5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5</v>
      </c>
      <c r="P2595" s="44" t="e">
        <f>_xlfn.XLOOKUP(Tabla5[[#This Row],[EAN CORREGIDO]],'Tabla Articulos'!B:B,'Tabla Articulos'!D:D)</f>
        <v>#N/A</v>
      </c>
      <c r="Q2595" s="44" t="e">
        <f>_xlfn.XLOOKUP(S2595,'Tabla Articulos'!B:B,'Tabla Articulos'!E:E)</f>
        <v>#N/A</v>
      </c>
      <c r="R2595" s="44" t="e">
        <f t="shared" si="80"/>
        <v>#N/A</v>
      </c>
      <c r="S2595" s="45" t="str">
        <f t="shared" si="81"/>
        <v>7790499017575</v>
      </c>
    </row>
    <row r="2596" spans="1:19" hidden="1" x14ac:dyDescent="0.35">
      <c r="A2596" s="22">
        <v>2</v>
      </c>
      <c r="B2596" t="s">
        <v>5624</v>
      </c>
      <c r="C2596" t="s">
        <v>802</v>
      </c>
      <c r="D2596" t="s">
        <v>2674</v>
      </c>
      <c r="E2596" t="s">
        <v>2675</v>
      </c>
      <c r="F2596">
        <v>4017725</v>
      </c>
      <c r="G2596" t="s">
        <v>2676</v>
      </c>
      <c r="H2596" t="s">
        <v>816</v>
      </c>
      <c r="I2596">
        <v>669.75</v>
      </c>
      <c r="J2596">
        <v>0</v>
      </c>
      <c r="K2596">
        <v>0</v>
      </c>
      <c r="L2596">
        <v>3</v>
      </c>
      <c r="M2596">
        <v>3</v>
      </c>
      <c r="N2596">
        <v>0</v>
      </c>
      <c r="O2596">
        <v>663.75</v>
      </c>
      <c r="P2596" s="44" t="e">
        <f>_xlfn.XLOOKUP(Tabla5[[#This Row],[EAN CORREGIDO]],'Tabla Articulos'!B:B,'Tabla Articulos'!D:D)</f>
        <v>#N/A</v>
      </c>
      <c r="Q2596" s="44" t="e">
        <f>_xlfn.XLOOKUP(S2596,'Tabla Articulos'!B:B,'Tabla Articulos'!E:E)</f>
        <v>#N/A</v>
      </c>
      <c r="R2596" s="44" t="e">
        <f t="shared" si="80"/>
        <v>#N/A</v>
      </c>
      <c r="S2596" s="45" t="str">
        <f t="shared" si="81"/>
        <v>7790212050103</v>
      </c>
    </row>
    <row r="2597" spans="1:19" hidden="1" x14ac:dyDescent="0.35">
      <c r="A2597" s="22">
        <v>2</v>
      </c>
      <c r="B2597" t="s">
        <v>5624</v>
      </c>
      <c r="C2597" t="s">
        <v>802</v>
      </c>
      <c r="D2597" t="s">
        <v>3733</v>
      </c>
      <c r="E2597" t="s">
        <v>6653</v>
      </c>
      <c r="F2597">
        <v>4077450</v>
      </c>
      <c r="G2597" t="s">
        <v>6654</v>
      </c>
      <c r="H2597" t="s">
        <v>805</v>
      </c>
      <c r="I2597">
        <v>0</v>
      </c>
      <c r="J2597">
        <v>198</v>
      </c>
      <c r="K2597">
        <v>0</v>
      </c>
      <c r="L2597">
        <v>0</v>
      </c>
      <c r="M2597">
        <v>0</v>
      </c>
      <c r="N2597">
        <v>0</v>
      </c>
      <c r="O2597">
        <v>198</v>
      </c>
      <c r="P2597" s="44" t="e">
        <f>_xlfn.XLOOKUP(Tabla5[[#This Row],[EAN CORREGIDO]],'Tabla Articulos'!B:B,'Tabla Articulos'!D:D)</f>
        <v>#N/A</v>
      </c>
      <c r="Q2597" s="44" t="e">
        <f>_xlfn.XLOOKUP(S2597,'Tabla Articulos'!B:B,'Tabla Articulos'!E:E)</f>
        <v>#N/A</v>
      </c>
      <c r="R2597" s="44" t="e">
        <f t="shared" si="80"/>
        <v>#N/A</v>
      </c>
      <c r="S2597" s="45" t="str">
        <f t="shared" si="81"/>
        <v>7791113000959</v>
      </c>
    </row>
    <row r="2598" spans="1:19" hidden="1" x14ac:dyDescent="0.35">
      <c r="A2598" s="22">
        <v>2</v>
      </c>
      <c r="B2598" t="s">
        <v>5624</v>
      </c>
      <c r="C2598" t="s">
        <v>802</v>
      </c>
      <c r="D2598" t="s">
        <v>5812</v>
      </c>
      <c r="E2598" t="s">
        <v>5813</v>
      </c>
      <c r="F2598">
        <v>4022795</v>
      </c>
      <c r="G2598" t="s">
        <v>5814</v>
      </c>
      <c r="H2598" t="s">
        <v>837</v>
      </c>
      <c r="I2598">
        <v>290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290</v>
      </c>
      <c r="P2598" s="44" t="e">
        <f>_xlfn.XLOOKUP(Tabla5[[#This Row],[EAN CORREGIDO]],'Tabla Articulos'!B:B,'Tabla Articulos'!D:D)</f>
        <v>#N/A</v>
      </c>
      <c r="Q2598" s="44" t="e">
        <f>_xlfn.XLOOKUP(S2598,'Tabla Articulos'!B:B,'Tabla Articulos'!E:E)</f>
        <v>#N/A</v>
      </c>
      <c r="R2598" s="44" t="e">
        <f t="shared" si="80"/>
        <v>#N/A</v>
      </c>
      <c r="S2598" s="45" t="str">
        <f t="shared" si="81"/>
        <v>7795735000106</v>
      </c>
    </row>
    <row r="2599" spans="1:19" hidden="1" x14ac:dyDescent="0.35">
      <c r="A2599" s="22">
        <v>2</v>
      </c>
      <c r="B2599" t="s">
        <v>5624</v>
      </c>
      <c r="C2599" t="s">
        <v>802</v>
      </c>
      <c r="D2599" t="s">
        <v>1440</v>
      </c>
      <c r="E2599" t="s">
        <v>1441</v>
      </c>
      <c r="F2599">
        <v>4020553</v>
      </c>
      <c r="G2599" t="s">
        <v>1442</v>
      </c>
      <c r="H2599" t="s">
        <v>805</v>
      </c>
      <c r="I2599">
        <v>80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80</v>
      </c>
      <c r="P2599" s="44" t="e">
        <f>_xlfn.XLOOKUP(Tabla5[[#This Row],[EAN CORREGIDO]],'Tabla Articulos'!B:B,'Tabla Articulos'!D:D)</f>
        <v>#N/A</v>
      </c>
      <c r="Q2599" s="44" t="e">
        <f>_xlfn.XLOOKUP(S2599,'Tabla Articulos'!B:B,'Tabla Articulos'!E:E)</f>
        <v>#N/A</v>
      </c>
      <c r="R2599" s="44" t="e">
        <f t="shared" si="80"/>
        <v>#N/A</v>
      </c>
      <c r="S2599" s="45" t="str">
        <f t="shared" si="81"/>
        <v>7798011976492</v>
      </c>
    </row>
    <row r="2600" spans="1:19" hidden="1" x14ac:dyDescent="0.35">
      <c r="A2600" s="22">
        <v>2</v>
      </c>
      <c r="B2600" t="s">
        <v>5624</v>
      </c>
      <c r="C2600" t="s">
        <v>802</v>
      </c>
      <c r="D2600" t="s">
        <v>2026</v>
      </c>
      <c r="E2600" t="s">
        <v>2027</v>
      </c>
      <c r="F2600">
        <v>4020716</v>
      </c>
      <c r="G2600" t="s">
        <v>2028</v>
      </c>
      <c r="H2600" t="s">
        <v>805</v>
      </c>
      <c r="I2600">
        <v>37106</v>
      </c>
      <c r="J2600">
        <v>0</v>
      </c>
      <c r="K2600">
        <v>0</v>
      </c>
      <c r="L2600">
        <v>648</v>
      </c>
      <c r="M2600">
        <v>648</v>
      </c>
      <c r="N2600">
        <v>0</v>
      </c>
      <c r="O2600">
        <v>35810</v>
      </c>
      <c r="P2600" s="44" t="e">
        <f>_xlfn.XLOOKUP(Tabla5[[#This Row],[EAN CORREGIDO]],'Tabla Articulos'!B:B,'Tabla Articulos'!D:D)</f>
        <v>#N/A</v>
      </c>
      <c r="Q2600" s="44" t="e">
        <f>_xlfn.XLOOKUP(S2600,'Tabla Articulos'!B:B,'Tabla Articulos'!E:E)</f>
        <v>#N/A</v>
      </c>
      <c r="R2600" s="44" t="e">
        <f t="shared" si="80"/>
        <v>#N/A</v>
      </c>
      <c r="S2600" s="45" t="str">
        <f t="shared" si="81"/>
        <v>7798028020546</v>
      </c>
    </row>
    <row r="2601" spans="1:19" hidden="1" x14ac:dyDescent="0.35">
      <c r="A2601" s="22">
        <v>2</v>
      </c>
      <c r="B2601" t="s">
        <v>5624</v>
      </c>
      <c r="C2601" t="s">
        <v>802</v>
      </c>
      <c r="D2601" t="s">
        <v>4645</v>
      </c>
      <c r="E2601" t="s">
        <v>4646</v>
      </c>
      <c r="F2601">
        <v>4022788</v>
      </c>
      <c r="G2601" t="s">
        <v>4647</v>
      </c>
      <c r="H2601" t="s">
        <v>805</v>
      </c>
      <c r="I2601">
        <v>62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62</v>
      </c>
      <c r="P2601" s="44" t="e">
        <f>_xlfn.XLOOKUP(Tabla5[[#This Row],[EAN CORREGIDO]],'Tabla Articulos'!B:B,'Tabla Articulos'!D:D)</f>
        <v>#N/A</v>
      </c>
      <c r="Q2601" s="44" t="e">
        <f>_xlfn.XLOOKUP(S2601,'Tabla Articulos'!B:B,'Tabla Articulos'!E:E)</f>
        <v>#N/A</v>
      </c>
      <c r="R2601" s="44" t="e">
        <f t="shared" si="80"/>
        <v>#N/A</v>
      </c>
      <c r="S2601" s="45" t="str">
        <f t="shared" si="81"/>
        <v>7793875329718</v>
      </c>
    </row>
    <row r="2602" spans="1:19" hidden="1" x14ac:dyDescent="0.35">
      <c r="A2602" s="22">
        <v>2</v>
      </c>
      <c r="B2602" t="s">
        <v>5624</v>
      </c>
      <c r="C2602" t="s">
        <v>802</v>
      </c>
      <c r="D2602" t="s">
        <v>6567</v>
      </c>
      <c r="E2602" t="s">
        <v>6568</v>
      </c>
      <c r="F2602">
        <v>4024018</v>
      </c>
      <c r="G2602" t="s">
        <v>6569</v>
      </c>
      <c r="H2602" t="s">
        <v>805</v>
      </c>
      <c r="I2602">
        <v>10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10</v>
      </c>
      <c r="P2602" s="44" t="e">
        <f>_xlfn.XLOOKUP(Tabla5[[#This Row],[EAN CORREGIDO]],'Tabla Articulos'!B:B,'Tabla Articulos'!D:D)</f>
        <v>#N/A</v>
      </c>
      <c r="Q2602" s="44" t="e">
        <f>_xlfn.XLOOKUP(S2602,'Tabla Articulos'!B:B,'Tabla Articulos'!E:E)</f>
        <v>#N/A</v>
      </c>
      <c r="R2602" s="44" t="e">
        <f t="shared" si="80"/>
        <v>#N/A</v>
      </c>
      <c r="S2602" s="45" t="str">
        <f t="shared" si="81"/>
        <v>7798184271356</v>
      </c>
    </row>
    <row r="2603" spans="1:19" hidden="1" x14ac:dyDescent="0.35">
      <c r="A2603" s="22">
        <v>2</v>
      </c>
      <c r="B2603" t="s">
        <v>5624</v>
      </c>
      <c r="C2603" t="s">
        <v>802</v>
      </c>
      <c r="D2603" t="s">
        <v>2045</v>
      </c>
      <c r="E2603" t="s">
        <v>2046</v>
      </c>
      <c r="F2603">
        <v>4020292</v>
      </c>
      <c r="G2603" t="s">
        <v>2047</v>
      </c>
      <c r="H2603" t="s">
        <v>805</v>
      </c>
      <c r="I2603">
        <v>78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78</v>
      </c>
      <c r="P2603" s="44" t="e">
        <f>_xlfn.XLOOKUP(Tabla5[[#This Row],[EAN CORREGIDO]],'Tabla Articulos'!B:B,'Tabla Articulos'!D:D)</f>
        <v>#N/A</v>
      </c>
      <c r="Q2603" s="44" t="e">
        <f>_xlfn.XLOOKUP(S2603,'Tabla Articulos'!B:B,'Tabla Articulos'!E:E)</f>
        <v>#N/A</v>
      </c>
      <c r="R2603" s="44" t="e">
        <f t="shared" si="80"/>
        <v>#N/A</v>
      </c>
      <c r="S2603" s="45" t="str">
        <f t="shared" si="81"/>
        <v>7797234000311</v>
      </c>
    </row>
    <row r="2604" spans="1:19" hidden="1" x14ac:dyDescent="0.35">
      <c r="A2604" s="22">
        <v>2</v>
      </c>
      <c r="B2604" t="s">
        <v>5624</v>
      </c>
      <c r="C2604" t="s">
        <v>802</v>
      </c>
      <c r="D2604" t="s">
        <v>2054</v>
      </c>
      <c r="E2604" t="s">
        <v>2055</v>
      </c>
      <c r="F2604">
        <v>4018403</v>
      </c>
      <c r="G2604" t="s">
        <v>2056</v>
      </c>
      <c r="H2604" t="s">
        <v>805</v>
      </c>
      <c r="I2604">
        <v>3523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3523</v>
      </c>
      <c r="P2604" s="44" t="e">
        <f>_xlfn.XLOOKUP(Tabla5[[#This Row],[EAN CORREGIDO]],'Tabla Articulos'!B:B,'Tabla Articulos'!D:D)</f>
        <v>#N/A</v>
      </c>
      <c r="Q2604" s="44" t="e">
        <f>_xlfn.XLOOKUP(S2604,'Tabla Articulos'!B:B,'Tabla Articulos'!E:E)</f>
        <v>#N/A</v>
      </c>
      <c r="R2604" s="44" t="e">
        <f t="shared" si="80"/>
        <v>#N/A</v>
      </c>
      <c r="S2604" s="45" t="str">
        <f t="shared" si="81"/>
        <v>7798290581936</v>
      </c>
    </row>
    <row r="2605" spans="1:19" hidden="1" x14ac:dyDescent="0.35">
      <c r="A2605" s="22">
        <v>2</v>
      </c>
      <c r="B2605" t="s">
        <v>5624</v>
      </c>
      <c r="C2605" t="s">
        <v>802</v>
      </c>
      <c r="D2605" t="s">
        <v>2057</v>
      </c>
      <c r="E2605" t="s">
        <v>2058</v>
      </c>
      <c r="F2605">
        <v>4023934</v>
      </c>
      <c r="G2605" t="s">
        <v>2059</v>
      </c>
      <c r="H2605" t="s">
        <v>805</v>
      </c>
      <c r="I2605">
        <v>2276</v>
      </c>
      <c r="J2605">
        <v>0</v>
      </c>
      <c r="K2605">
        <v>0</v>
      </c>
      <c r="L2605">
        <v>150</v>
      </c>
      <c r="M2605">
        <v>150</v>
      </c>
      <c r="N2605">
        <v>0</v>
      </c>
      <c r="O2605">
        <v>1976</v>
      </c>
      <c r="P2605" s="44" t="e">
        <f>_xlfn.XLOOKUP(Tabla5[[#This Row],[EAN CORREGIDO]],'Tabla Articulos'!B:B,'Tabla Articulos'!D:D)</f>
        <v>#N/A</v>
      </c>
      <c r="Q2605" s="44" t="e">
        <f>_xlfn.XLOOKUP(S2605,'Tabla Articulos'!B:B,'Tabla Articulos'!E:E)</f>
        <v>#N/A</v>
      </c>
      <c r="R2605" s="44" t="e">
        <f t="shared" si="80"/>
        <v>#N/A</v>
      </c>
      <c r="S2605" s="45" t="str">
        <f t="shared" si="81"/>
        <v>7790895647758</v>
      </c>
    </row>
    <row r="2606" spans="1:19" hidden="1" x14ac:dyDescent="0.35">
      <c r="A2606" s="22">
        <v>2</v>
      </c>
      <c r="B2606" t="s">
        <v>5624</v>
      </c>
      <c r="C2606" t="s">
        <v>802</v>
      </c>
      <c r="D2606" t="s">
        <v>6254</v>
      </c>
      <c r="E2606" t="s">
        <v>6255</v>
      </c>
      <c r="F2606">
        <v>4018227</v>
      </c>
      <c r="G2606" t="s">
        <v>6256</v>
      </c>
      <c r="H2606" t="s">
        <v>805</v>
      </c>
      <c r="I2606">
        <v>24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24</v>
      </c>
      <c r="P2606" s="44" t="e">
        <f>_xlfn.XLOOKUP(Tabla5[[#This Row],[EAN CORREGIDO]],'Tabla Articulos'!B:B,'Tabla Articulos'!D:D)</f>
        <v>#N/A</v>
      </c>
      <c r="Q2606" s="44" t="e">
        <f>_xlfn.XLOOKUP(S2606,'Tabla Articulos'!B:B,'Tabla Articulos'!E:E)</f>
        <v>#N/A</v>
      </c>
      <c r="R2606" s="44" t="e">
        <f t="shared" si="80"/>
        <v>#N/A</v>
      </c>
      <c r="S2606" s="45" t="str">
        <f t="shared" si="81"/>
        <v>7795323772804</v>
      </c>
    </row>
    <row r="2607" spans="1:19" hidden="1" x14ac:dyDescent="0.35">
      <c r="A2607" s="22">
        <v>2</v>
      </c>
      <c r="B2607" t="s">
        <v>5624</v>
      </c>
      <c r="C2607" t="s">
        <v>802</v>
      </c>
      <c r="D2607" t="s">
        <v>1091</v>
      </c>
      <c r="E2607" t="s">
        <v>3049</v>
      </c>
      <c r="F2607">
        <v>2016660</v>
      </c>
      <c r="G2607" t="s">
        <v>3050</v>
      </c>
      <c r="H2607" t="s">
        <v>805</v>
      </c>
      <c r="I2607">
        <v>0</v>
      </c>
      <c r="J2607">
        <v>150</v>
      </c>
      <c r="K2607">
        <v>0</v>
      </c>
      <c r="L2607">
        <v>0</v>
      </c>
      <c r="M2607">
        <v>0</v>
      </c>
      <c r="N2607">
        <v>0</v>
      </c>
      <c r="O2607">
        <v>150</v>
      </c>
      <c r="P2607" s="44" t="str">
        <f>_xlfn.XLOOKUP(Tabla5[[#This Row],[EAN CORREGIDO]],'Tabla Articulos'!B:B,'Tabla Articulos'!D:D)</f>
        <v>CUCHARA HELADO BIO</v>
      </c>
      <c r="Q2607" s="44">
        <f>_xlfn.XLOOKUP(S2607,'Tabla Articulos'!B:B,'Tabla Articulos'!E:E)</f>
        <v>100</v>
      </c>
      <c r="R2607" s="44">
        <f t="shared" si="80"/>
        <v>15000</v>
      </c>
      <c r="S2607" s="45" t="str">
        <f t="shared" si="81"/>
        <v>7790900031725</v>
      </c>
    </row>
    <row r="2608" spans="1:19" hidden="1" x14ac:dyDescent="0.35">
      <c r="A2608" s="22">
        <v>2</v>
      </c>
      <c r="B2608" t="s">
        <v>5624</v>
      </c>
      <c r="C2608" t="s">
        <v>802</v>
      </c>
      <c r="D2608" t="s">
        <v>3051</v>
      </c>
      <c r="E2608" t="s">
        <v>3052</v>
      </c>
      <c r="F2608">
        <v>4020704</v>
      </c>
      <c r="G2608" t="s">
        <v>3053</v>
      </c>
      <c r="H2608" t="s">
        <v>805</v>
      </c>
      <c r="I2608">
        <v>180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180</v>
      </c>
      <c r="P2608" s="44" t="e">
        <f>_xlfn.XLOOKUP(Tabla5[[#This Row],[EAN CORREGIDO]],'Tabla Articulos'!B:B,'Tabla Articulos'!D:D)</f>
        <v>#N/A</v>
      </c>
      <c r="Q2608" s="44" t="e">
        <f>_xlfn.XLOOKUP(S2608,'Tabla Articulos'!B:B,'Tabla Articulos'!E:E)</f>
        <v>#N/A</v>
      </c>
      <c r="R2608" s="44" t="e">
        <f t="shared" si="80"/>
        <v>#N/A</v>
      </c>
      <c r="S2608" s="45" t="str">
        <f t="shared" si="81"/>
        <v>7797234000380</v>
      </c>
    </row>
    <row r="2609" spans="1:19" hidden="1" x14ac:dyDescent="0.35">
      <c r="A2609" s="22">
        <v>2</v>
      </c>
      <c r="B2609" t="s">
        <v>5624</v>
      </c>
      <c r="C2609" t="s">
        <v>802</v>
      </c>
      <c r="D2609" t="s">
        <v>1050</v>
      </c>
      <c r="E2609" t="s">
        <v>3058</v>
      </c>
      <c r="F2609">
        <v>4017287</v>
      </c>
      <c r="G2609" t="s">
        <v>3059</v>
      </c>
      <c r="H2609" t="s">
        <v>805</v>
      </c>
      <c r="I2609">
        <v>4290</v>
      </c>
      <c r="J2609">
        <v>3000</v>
      </c>
      <c r="K2609">
        <v>0</v>
      </c>
      <c r="L2609">
        <v>25</v>
      </c>
      <c r="M2609">
        <v>25</v>
      </c>
      <c r="N2609">
        <v>0</v>
      </c>
      <c r="O2609">
        <v>7240</v>
      </c>
      <c r="P2609" s="44" t="e">
        <f>_xlfn.XLOOKUP(Tabla5[[#This Row],[EAN CORREGIDO]],'Tabla Articulos'!B:B,'Tabla Articulos'!D:D)</f>
        <v>#N/A</v>
      </c>
      <c r="Q2609" s="44" t="e">
        <f>_xlfn.XLOOKUP(S2609,'Tabla Articulos'!B:B,'Tabla Articulos'!E:E)</f>
        <v>#N/A</v>
      </c>
      <c r="R2609" s="44" t="e">
        <f t="shared" si="80"/>
        <v>#N/A</v>
      </c>
      <c r="S2609" s="45" t="str">
        <f t="shared" si="81"/>
        <v>7790895649301</v>
      </c>
    </row>
    <row r="2610" spans="1:19" hidden="1" x14ac:dyDescent="0.35">
      <c r="A2610" s="22">
        <v>2</v>
      </c>
      <c r="B2610" t="s">
        <v>5624</v>
      </c>
      <c r="C2610" t="s">
        <v>802</v>
      </c>
      <c r="D2610" t="s">
        <v>1271</v>
      </c>
      <c r="E2610" t="s">
        <v>3060</v>
      </c>
      <c r="F2610">
        <v>4019455</v>
      </c>
      <c r="G2610" t="s">
        <v>3061</v>
      </c>
      <c r="H2610" t="s">
        <v>805</v>
      </c>
      <c r="I2610">
        <v>1533</v>
      </c>
      <c r="J2610">
        <v>0</v>
      </c>
      <c r="K2610">
        <v>0</v>
      </c>
      <c r="L2610">
        <v>27</v>
      </c>
      <c r="M2610">
        <v>27</v>
      </c>
      <c r="N2610">
        <v>0</v>
      </c>
      <c r="O2610">
        <v>1479</v>
      </c>
      <c r="P2610" s="44" t="e">
        <f>_xlfn.XLOOKUP(Tabla5[[#This Row],[EAN CORREGIDO]],'Tabla Articulos'!B:B,'Tabla Articulos'!D:D)</f>
        <v>#N/A</v>
      </c>
      <c r="Q2610" s="44" t="e">
        <f>_xlfn.XLOOKUP(S2610,'Tabla Articulos'!B:B,'Tabla Articulos'!E:E)</f>
        <v>#N/A</v>
      </c>
      <c r="R2610" s="44" t="e">
        <f t="shared" si="80"/>
        <v>#N/A</v>
      </c>
      <c r="S2610" s="45" t="str">
        <f t="shared" si="81"/>
        <v>7790070336385</v>
      </c>
    </row>
    <row r="2611" spans="1:19" hidden="1" x14ac:dyDescent="0.35">
      <c r="A2611" s="22">
        <v>2</v>
      </c>
      <c r="B2611" t="s">
        <v>5624</v>
      </c>
      <c r="C2611" t="s">
        <v>802</v>
      </c>
      <c r="D2611" t="s">
        <v>1257</v>
      </c>
      <c r="E2611" t="s">
        <v>1258</v>
      </c>
      <c r="F2611">
        <v>2016742</v>
      </c>
      <c r="G2611" t="s">
        <v>1259</v>
      </c>
      <c r="H2611" t="s">
        <v>805</v>
      </c>
      <c r="I2611">
        <v>0</v>
      </c>
      <c r="J2611">
        <v>29</v>
      </c>
      <c r="K2611">
        <v>0</v>
      </c>
      <c r="L2611">
        <v>0</v>
      </c>
      <c r="M2611">
        <v>0</v>
      </c>
      <c r="N2611">
        <v>0</v>
      </c>
      <c r="O2611">
        <v>29</v>
      </c>
      <c r="P2611" s="44" t="str">
        <f>_xlfn.XLOOKUP(Tabla5[[#This Row],[EAN CORREGIDO]],'Tabla Articulos'!B:B,'Tabla Articulos'!D:D)</f>
        <v>SORBETE C/ FUNDA</v>
      </c>
      <c r="Q2611" s="44">
        <f>_xlfn.XLOOKUP(S2611,'Tabla Articulos'!B:B,'Tabla Articulos'!E:E)</f>
        <v>1000</v>
      </c>
      <c r="R2611" s="44">
        <f t="shared" si="80"/>
        <v>29000</v>
      </c>
      <c r="S2611" s="45" t="str">
        <f t="shared" si="81"/>
        <v>7790000000894</v>
      </c>
    </row>
    <row r="2612" spans="1:19" hidden="1" x14ac:dyDescent="0.35">
      <c r="A2612" s="22">
        <v>2</v>
      </c>
      <c r="B2612" t="s">
        <v>5624</v>
      </c>
      <c r="C2612" t="s">
        <v>802</v>
      </c>
      <c r="D2612" t="s">
        <v>369</v>
      </c>
      <c r="E2612" t="s">
        <v>5742</v>
      </c>
      <c r="F2612">
        <v>2006661</v>
      </c>
      <c r="G2612" t="s">
        <v>5743</v>
      </c>
      <c r="H2612" t="s">
        <v>1034</v>
      </c>
      <c r="I2612">
        <v>8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8</v>
      </c>
      <c r="P2612" s="44" t="str">
        <f>_xlfn.XLOOKUP(Tabla5[[#This Row],[EAN CORREGIDO]],'Tabla Articulos'!B:B,'Tabla Articulos'!D:D)</f>
        <v>PAPEL HAMBURGUESA</v>
      </c>
      <c r="Q2612" s="44">
        <f>_xlfn.XLOOKUP(S2612,'Tabla Articulos'!B:B,'Tabla Articulos'!E:E)</f>
        <v>116</v>
      </c>
      <c r="R2612" s="44">
        <f t="shared" si="80"/>
        <v>928</v>
      </c>
      <c r="S2612" s="45" t="str">
        <f t="shared" si="81"/>
        <v>7798188651181</v>
      </c>
    </row>
    <row r="2613" spans="1:19" hidden="1" x14ac:dyDescent="0.35">
      <c r="A2613" s="22">
        <v>2</v>
      </c>
      <c r="B2613" t="s">
        <v>5624</v>
      </c>
      <c r="C2613" t="s">
        <v>802</v>
      </c>
      <c r="D2613" t="s">
        <v>5744</v>
      </c>
      <c r="E2613" t="s">
        <v>5745</v>
      </c>
      <c r="F2613">
        <v>4018375</v>
      </c>
      <c r="G2613" t="s">
        <v>5746</v>
      </c>
      <c r="H2613" t="s">
        <v>805</v>
      </c>
      <c r="I2613">
        <v>37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37</v>
      </c>
      <c r="P2613" s="44" t="e">
        <f>_xlfn.XLOOKUP(Tabla5[[#This Row],[EAN CORREGIDO]],'Tabla Articulos'!B:B,'Tabla Articulos'!D:D)</f>
        <v>#N/A</v>
      </c>
      <c r="Q2613" s="44" t="e">
        <f>_xlfn.XLOOKUP(S2613,'Tabla Articulos'!B:B,'Tabla Articulos'!E:E)</f>
        <v>#N/A</v>
      </c>
      <c r="R2613" s="44" t="e">
        <f t="shared" si="80"/>
        <v>#N/A</v>
      </c>
      <c r="S2613" s="45" t="str">
        <f t="shared" si="81"/>
        <v>4008976413400</v>
      </c>
    </row>
    <row r="2614" spans="1:19" hidden="1" x14ac:dyDescent="0.35">
      <c r="A2614" s="22">
        <v>2</v>
      </c>
      <c r="B2614" t="s">
        <v>5624</v>
      </c>
      <c r="C2614" t="s">
        <v>802</v>
      </c>
      <c r="D2614" t="s">
        <v>1266</v>
      </c>
      <c r="E2614" t="s">
        <v>1267</v>
      </c>
      <c r="F2614">
        <v>4077226</v>
      </c>
      <c r="G2614" t="s">
        <v>1268</v>
      </c>
      <c r="H2614" t="s">
        <v>816</v>
      </c>
      <c r="I2614">
        <v>0</v>
      </c>
      <c r="J2614">
        <v>2056.16</v>
      </c>
      <c r="K2614">
        <v>0</v>
      </c>
      <c r="L2614">
        <v>0</v>
      </c>
      <c r="M2614">
        <v>0</v>
      </c>
      <c r="N2614">
        <v>0</v>
      </c>
      <c r="O2614">
        <v>2056.16</v>
      </c>
      <c r="P2614" s="44" t="e">
        <f>_xlfn.XLOOKUP(Tabla5[[#This Row],[EAN CORREGIDO]],'Tabla Articulos'!B:B,'Tabla Articulos'!D:D)</f>
        <v>#N/A</v>
      </c>
      <c r="Q2614" s="44" t="e">
        <f>_xlfn.XLOOKUP(S2614,'Tabla Articulos'!B:B,'Tabla Articulos'!E:E)</f>
        <v>#N/A</v>
      </c>
      <c r="R2614" s="44" t="e">
        <f t="shared" si="80"/>
        <v>#N/A</v>
      </c>
      <c r="S2614" s="45" t="str">
        <f t="shared" si="81"/>
        <v>7790000000826</v>
      </c>
    </row>
    <row r="2615" spans="1:19" hidden="1" x14ac:dyDescent="0.35">
      <c r="A2615" s="22">
        <v>2</v>
      </c>
      <c r="B2615" t="s">
        <v>5624</v>
      </c>
      <c r="C2615" t="s">
        <v>802</v>
      </c>
      <c r="D2615" t="s">
        <v>5747</v>
      </c>
      <c r="E2615" t="s">
        <v>5748</v>
      </c>
      <c r="F2615">
        <v>4020512</v>
      </c>
      <c r="G2615" t="s">
        <v>5749</v>
      </c>
      <c r="H2615" t="s">
        <v>805</v>
      </c>
      <c r="I2615">
        <v>64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64</v>
      </c>
      <c r="P2615" s="44" t="e">
        <f>_xlfn.XLOOKUP(Tabla5[[#This Row],[EAN CORREGIDO]],'Tabla Articulos'!B:B,'Tabla Articulos'!D:D)</f>
        <v>#N/A</v>
      </c>
      <c r="Q2615" s="44" t="e">
        <f>_xlfn.XLOOKUP(S2615,'Tabla Articulos'!B:B,'Tabla Articulos'!E:E)</f>
        <v>#N/A</v>
      </c>
      <c r="R2615" s="44" t="e">
        <f t="shared" si="80"/>
        <v>#N/A</v>
      </c>
      <c r="S2615" s="45" t="str">
        <f t="shared" si="81"/>
        <v>7798132920442</v>
      </c>
    </row>
    <row r="2616" spans="1:19" hidden="1" x14ac:dyDescent="0.35">
      <c r="A2616" s="22">
        <v>2</v>
      </c>
      <c r="B2616" t="s">
        <v>5624</v>
      </c>
      <c r="C2616" t="s">
        <v>802</v>
      </c>
      <c r="D2616" t="s">
        <v>3391</v>
      </c>
      <c r="E2616" t="s">
        <v>6442</v>
      </c>
      <c r="F2616">
        <v>4019748</v>
      </c>
      <c r="G2616" t="s">
        <v>6443</v>
      </c>
      <c r="H2616" t="s">
        <v>805</v>
      </c>
      <c r="I2616">
        <v>282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282</v>
      </c>
      <c r="P2616" s="44" t="e">
        <f>_xlfn.XLOOKUP(Tabla5[[#This Row],[EAN CORREGIDO]],'Tabla Articulos'!B:B,'Tabla Articulos'!D:D)</f>
        <v>#N/A</v>
      </c>
      <c r="Q2616" s="44" t="e">
        <f>_xlfn.XLOOKUP(S2616,'Tabla Articulos'!B:B,'Tabla Articulos'!E:E)</f>
        <v>#N/A</v>
      </c>
      <c r="R2616" s="44" t="e">
        <f t="shared" si="80"/>
        <v>#N/A</v>
      </c>
      <c r="S2616" s="45" t="str">
        <f t="shared" si="81"/>
        <v>7790802000010</v>
      </c>
    </row>
    <row r="2617" spans="1:19" hidden="1" x14ac:dyDescent="0.35">
      <c r="A2617" s="22">
        <v>2</v>
      </c>
      <c r="B2617" t="s">
        <v>5624</v>
      </c>
      <c r="C2617" t="s">
        <v>802</v>
      </c>
      <c r="D2617" t="s">
        <v>6444</v>
      </c>
      <c r="E2617" t="s">
        <v>6445</v>
      </c>
      <c r="F2617">
        <v>4019068</v>
      </c>
      <c r="G2617" t="s">
        <v>6446</v>
      </c>
      <c r="H2617" t="s">
        <v>805</v>
      </c>
      <c r="I2617">
        <v>1165</v>
      </c>
      <c r="J2617">
        <v>0</v>
      </c>
      <c r="K2617">
        <v>0</v>
      </c>
      <c r="L2617">
        <v>425</v>
      </c>
      <c r="M2617">
        <v>425</v>
      </c>
      <c r="N2617">
        <v>0</v>
      </c>
      <c r="O2617">
        <v>315</v>
      </c>
      <c r="P2617" s="44" t="e">
        <f>_xlfn.XLOOKUP(Tabla5[[#This Row],[EAN CORREGIDO]],'Tabla Articulos'!B:B,'Tabla Articulos'!D:D)</f>
        <v>#N/A</v>
      </c>
      <c r="Q2617" s="44" t="e">
        <f>_xlfn.XLOOKUP(S2617,'Tabla Articulos'!B:B,'Tabla Articulos'!E:E)</f>
        <v>#N/A</v>
      </c>
      <c r="R2617" s="44" t="e">
        <f t="shared" si="80"/>
        <v>#N/A</v>
      </c>
      <c r="S2617" s="45" t="str">
        <f t="shared" si="81"/>
        <v>77940131</v>
      </c>
    </row>
    <row r="2618" spans="1:19" hidden="1" x14ac:dyDescent="0.35">
      <c r="A2618" s="22">
        <v>2</v>
      </c>
      <c r="B2618" t="s">
        <v>5624</v>
      </c>
      <c r="C2618" t="s">
        <v>802</v>
      </c>
      <c r="D2618" t="s">
        <v>4941</v>
      </c>
      <c r="E2618" t="s">
        <v>6447</v>
      </c>
      <c r="F2618">
        <v>4018650</v>
      </c>
      <c r="G2618" t="s">
        <v>6448</v>
      </c>
      <c r="H2618" t="s">
        <v>1534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4</v>
      </c>
      <c r="P2618" s="44" t="e">
        <f>_xlfn.XLOOKUP(Tabla5[[#This Row],[EAN CORREGIDO]],'Tabla Articulos'!B:B,'Tabla Articulos'!D:D)</f>
        <v>#N/A</v>
      </c>
      <c r="Q2618" s="44" t="e">
        <f>_xlfn.XLOOKUP(S2618,'Tabla Articulos'!B:B,'Tabla Articulos'!E:E)</f>
        <v>#N/A</v>
      </c>
      <c r="R2618" s="44" t="e">
        <f t="shared" si="80"/>
        <v>#N/A</v>
      </c>
      <c r="S2618" s="45" t="str">
        <f t="shared" si="81"/>
        <v>7799132966522</v>
      </c>
    </row>
    <row r="2619" spans="1:19" hidden="1" x14ac:dyDescent="0.35">
      <c r="A2619" s="22">
        <v>2</v>
      </c>
      <c r="B2619" t="s">
        <v>5624</v>
      </c>
      <c r="C2619" t="s">
        <v>802</v>
      </c>
      <c r="D2619" t="s">
        <v>5939</v>
      </c>
      <c r="E2619" t="s">
        <v>5940</v>
      </c>
      <c r="F2619">
        <v>4018470</v>
      </c>
      <c r="G2619" t="s">
        <v>5941</v>
      </c>
      <c r="H2619" t="s">
        <v>805</v>
      </c>
      <c r="I2619">
        <v>2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2</v>
      </c>
      <c r="P2619" s="44" t="e">
        <f>_xlfn.XLOOKUP(Tabla5[[#This Row],[EAN CORREGIDO]],'Tabla Articulos'!B:B,'Tabla Articulos'!D:D)</f>
        <v>#N/A</v>
      </c>
      <c r="Q2619" s="44" t="e">
        <f>_xlfn.XLOOKUP(S2619,'Tabla Articulos'!B:B,'Tabla Articulos'!E:E)</f>
        <v>#N/A</v>
      </c>
      <c r="R2619" s="44" t="e">
        <f t="shared" si="80"/>
        <v>#N/A</v>
      </c>
      <c r="S2619" s="45" t="str">
        <f t="shared" si="81"/>
        <v>7799132966558</v>
      </c>
    </row>
    <row r="2620" spans="1:19" hidden="1" x14ac:dyDescent="0.35">
      <c r="A2620" s="22">
        <v>2</v>
      </c>
      <c r="B2620" t="s">
        <v>5624</v>
      </c>
      <c r="C2620" t="s">
        <v>802</v>
      </c>
      <c r="D2620" t="s">
        <v>1759</v>
      </c>
      <c r="E2620" t="s">
        <v>1995</v>
      </c>
      <c r="F2620">
        <v>4022479</v>
      </c>
      <c r="G2620" t="s">
        <v>1996</v>
      </c>
      <c r="H2620" t="s">
        <v>805</v>
      </c>
      <c r="I2620">
        <v>695</v>
      </c>
      <c r="J2620">
        <v>0</v>
      </c>
      <c r="K2620">
        <v>0</v>
      </c>
      <c r="L2620">
        <v>20</v>
      </c>
      <c r="M2620">
        <v>20</v>
      </c>
      <c r="N2620">
        <v>0</v>
      </c>
      <c r="O2620">
        <v>655</v>
      </c>
      <c r="P2620" s="44" t="e">
        <f>_xlfn.XLOOKUP(Tabla5[[#This Row],[EAN CORREGIDO]],'Tabla Articulos'!B:B,'Tabla Articulos'!D:D)</f>
        <v>#N/A</v>
      </c>
      <c r="Q2620" s="44" t="e">
        <f>_xlfn.XLOOKUP(S2620,'Tabla Articulos'!B:B,'Tabla Articulos'!E:E)</f>
        <v>#N/A</v>
      </c>
      <c r="R2620" s="44" t="e">
        <f t="shared" si="80"/>
        <v>#N/A</v>
      </c>
      <c r="S2620" s="45" t="str">
        <f t="shared" si="81"/>
        <v>7798156760666</v>
      </c>
    </row>
    <row r="2621" spans="1:19" hidden="1" x14ac:dyDescent="0.35">
      <c r="A2621" s="22">
        <v>2</v>
      </c>
      <c r="B2621" t="s">
        <v>5624</v>
      </c>
      <c r="C2621" t="s">
        <v>802</v>
      </c>
      <c r="D2621" t="s">
        <v>1997</v>
      </c>
      <c r="E2621" t="s">
        <v>1998</v>
      </c>
      <c r="F2621">
        <v>4020609</v>
      </c>
      <c r="G2621" t="s">
        <v>1999</v>
      </c>
      <c r="H2621" t="s">
        <v>805</v>
      </c>
      <c r="I2621">
        <v>566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566</v>
      </c>
      <c r="P2621" s="44" t="e">
        <f>_xlfn.XLOOKUP(Tabla5[[#This Row],[EAN CORREGIDO]],'Tabla Articulos'!B:B,'Tabla Articulos'!D:D)</f>
        <v>#N/A</v>
      </c>
      <c r="Q2621" s="44" t="e">
        <f>_xlfn.XLOOKUP(S2621,'Tabla Articulos'!B:B,'Tabla Articulos'!E:E)</f>
        <v>#N/A</v>
      </c>
      <c r="R2621" s="44" t="e">
        <f t="shared" si="80"/>
        <v>#N/A</v>
      </c>
      <c r="S2621" s="45" t="str">
        <f t="shared" si="81"/>
        <v>7792378000852</v>
      </c>
    </row>
    <row r="2622" spans="1:19" hidden="1" x14ac:dyDescent="0.35">
      <c r="A2622" s="22">
        <v>2</v>
      </c>
      <c r="B2622" t="s">
        <v>5624</v>
      </c>
      <c r="C2622" t="s">
        <v>802</v>
      </c>
      <c r="D2622" t="s">
        <v>5942</v>
      </c>
      <c r="E2622" t="s">
        <v>5943</v>
      </c>
      <c r="F2622">
        <v>4022518</v>
      </c>
      <c r="G2622" t="s">
        <v>5944</v>
      </c>
      <c r="H2622" t="s">
        <v>805</v>
      </c>
      <c r="I2622">
        <v>5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5</v>
      </c>
      <c r="P2622" s="44" t="e">
        <f>_xlfn.XLOOKUP(Tabla5[[#This Row],[EAN CORREGIDO]],'Tabla Articulos'!B:B,'Tabla Articulos'!D:D)</f>
        <v>#N/A</v>
      </c>
      <c r="Q2622" s="44" t="e">
        <f>_xlfn.XLOOKUP(S2622,'Tabla Articulos'!B:B,'Tabla Articulos'!E:E)</f>
        <v>#N/A</v>
      </c>
      <c r="R2622" s="44" t="e">
        <f t="shared" si="80"/>
        <v>#N/A</v>
      </c>
      <c r="S2622" s="45" t="str">
        <f t="shared" si="81"/>
        <v>790757899537</v>
      </c>
    </row>
    <row r="2623" spans="1:19" hidden="1" x14ac:dyDescent="0.35">
      <c r="A2623" s="22">
        <v>2</v>
      </c>
      <c r="B2623" t="s">
        <v>5624</v>
      </c>
      <c r="C2623" t="s">
        <v>802</v>
      </c>
      <c r="D2623" t="s">
        <v>2010</v>
      </c>
      <c r="E2623" t="s">
        <v>2011</v>
      </c>
      <c r="F2623">
        <v>4020810</v>
      </c>
      <c r="G2623" t="s">
        <v>2012</v>
      </c>
      <c r="H2623" t="s">
        <v>805</v>
      </c>
      <c r="I2623">
        <v>86</v>
      </c>
      <c r="J2623">
        <v>0</v>
      </c>
      <c r="K2623">
        <v>0</v>
      </c>
      <c r="L2623">
        <v>5</v>
      </c>
      <c r="M2623">
        <v>5</v>
      </c>
      <c r="N2623">
        <v>0</v>
      </c>
      <c r="O2623">
        <v>76</v>
      </c>
      <c r="P2623" s="44" t="e">
        <f>_xlfn.XLOOKUP(Tabla5[[#This Row],[EAN CORREGIDO]],'Tabla Articulos'!B:B,'Tabla Articulos'!D:D)</f>
        <v>#N/A</v>
      </c>
      <c r="Q2623" s="44" t="e">
        <f>_xlfn.XLOOKUP(S2623,'Tabla Articulos'!B:B,'Tabla Articulos'!E:E)</f>
        <v>#N/A</v>
      </c>
      <c r="R2623" s="44" t="e">
        <f t="shared" si="80"/>
        <v>#N/A</v>
      </c>
      <c r="S2623" s="45" t="str">
        <f t="shared" si="81"/>
        <v>7798186164717</v>
      </c>
    </row>
    <row r="2624" spans="1:19" hidden="1" x14ac:dyDescent="0.35">
      <c r="A2624" s="22">
        <v>2</v>
      </c>
      <c r="B2624" t="s">
        <v>5624</v>
      </c>
      <c r="C2624" t="s">
        <v>802</v>
      </c>
      <c r="D2624" t="s">
        <v>2015</v>
      </c>
      <c r="E2624" t="s">
        <v>2016</v>
      </c>
      <c r="F2624">
        <v>4020378</v>
      </c>
      <c r="G2624" t="s">
        <v>2017</v>
      </c>
      <c r="H2624" t="s">
        <v>805</v>
      </c>
      <c r="I2624">
        <v>3686</v>
      </c>
      <c r="J2624">
        <v>0</v>
      </c>
      <c r="K2624">
        <v>0</v>
      </c>
      <c r="L2624">
        <v>64</v>
      </c>
      <c r="M2624">
        <v>64</v>
      </c>
      <c r="N2624">
        <v>0</v>
      </c>
      <c r="O2624">
        <v>3558</v>
      </c>
      <c r="P2624" s="44" t="e">
        <f>_xlfn.XLOOKUP(Tabla5[[#This Row],[EAN CORREGIDO]],'Tabla Articulos'!B:B,'Tabla Articulos'!D:D)</f>
        <v>#N/A</v>
      </c>
      <c r="Q2624" s="44" t="e">
        <f>_xlfn.XLOOKUP(S2624,'Tabla Articulos'!B:B,'Tabla Articulos'!E:E)</f>
        <v>#N/A</v>
      </c>
      <c r="R2624" s="44" t="e">
        <f t="shared" si="80"/>
        <v>#N/A</v>
      </c>
      <c r="S2624" s="45" t="str">
        <f t="shared" si="81"/>
        <v>7797470199121</v>
      </c>
    </row>
    <row r="2625" spans="1:19" hidden="1" x14ac:dyDescent="0.35">
      <c r="A2625" s="22">
        <v>2</v>
      </c>
      <c r="B2625" t="s">
        <v>5624</v>
      </c>
      <c r="C2625" t="s">
        <v>802</v>
      </c>
      <c r="D2625" t="s">
        <v>1822</v>
      </c>
      <c r="E2625" t="s">
        <v>2257</v>
      </c>
      <c r="F2625">
        <v>4018835</v>
      </c>
      <c r="G2625" t="s">
        <v>2258</v>
      </c>
      <c r="H2625" t="s">
        <v>805</v>
      </c>
      <c r="I2625">
        <v>100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100</v>
      </c>
      <c r="P2625" s="44" t="e">
        <f>_xlfn.XLOOKUP(Tabla5[[#This Row],[EAN CORREGIDO]],'Tabla Articulos'!B:B,'Tabla Articulos'!D:D)</f>
        <v>#N/A</v>
      </c>
      <c r="Q2625" s="44" t="e">
        <f>_xlfn.XLOOKUP(S2625,'Tabla Articulos'!B:B,'Tabla Articulos'!E:E)</f>
        <v>#N/A</v>
      </c>
      <c r="R2625" s="44" t="e">
        <f t="shared" ref="R2625:R2688" si="82">O2625*Q2625</f>
        <v>#N/A</v>
      </c>
      <c r="S2625" s="45" t="str">
        <f t="shared" ref="S2625:S2688" si="83">TRIM(E2625)</f>
        <v>7790726120177</v>
      </c>
    </row>
    <row r="2626" spans="1:19" hidden="1" x14ac:dyDescent="0.35">
      <c r="A2626" s="22">
        <v>2</v>
      </c>
      <c r="B2626" t="s">
        <v>5624</v>
      </c>
      <c r="C2626" t="s">
        <v>802</v>
      </c>
      <c r="D2626" t="s">
        <v>2415</v>
      </c>
      <c r="E2626" t="s">
        <v>2416</v>
      </c>
      <c r="F2626">
        <v>4020081</v>
      </c>
      <c r="G2626" t="s">
        <v>2417</v>
      </c>
      <c r="H2626" t="s">
        <v>805</v>
      </c>
      <c r="I2626">
        <v>258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258</v>
      </c>
      <c r="P2626" s="44" t="e">
        <f>_xlfn.XLOOKUP(Tabla5[[#This Row],[EAN CORREGIDO]],'Tabla Articulos'!B:B,'Tabla Articulos'!D:D)</f>
        <v>#N/A</v>
      </c>
      <c r="Q2626" s="44" t="e">
        <f>_xlfn.XLOOKUP(S2626,'Tabla Articulos'!B:B,'Tabla Articulos'!E:E)</f>
        <v>#N/A</v>
      </c>
      <c r="R2626" s="44" t="e">
        <f t="shared" si="82"/>
        <v>#N/A</v>
      </c>
      <c r="S2626" s="45" t="str">
        <f t="shared" si="83"/>
        <v>7797234000397</v>
      </c>
    </row>
    <row r="2627" spans="1:19" hidden="1" x14ac:dyDescent="0.35">
      <c r="A2627" s="22">
        <v>2</v>
      </c>
      <c r="B2627" t="s">
        <v>5624</v>
      </c>
      <c r="C2627" t="s">
        <v>802</v>
      </c>
      <c r="D2627" t="s">
        <v>333</v>
      </c>
      <c r="E2627" t="s">
        <v>6059</v>
      </c>
      <c r="F2627">
        <v>2006656</v>
      </c>
      <c r="G2627" t="s">
        <v>6060</v>
      </c>
      <c r="H2627" t="s">
        <v>805</v>
      </c>
      <c r="I2627">
        <v>26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26</v>
      </c>
      <c r="P2627" s="44" t="str">
        <f>_xlfn.XLOOKUP(Tabla5[[#This Row],[EAN CORREGIDO]],'Tabla Articulos'!B:B,'Tabla Articulos'!D:D)</f>
        <v>VASO TERMICO 300</v>
      </c>
      <c r="Q2627" s="44">
        <f>_xlfn.XLOOKUP(S2627,'Tabla Articulos'!B:B,'Tabla Articulos'!E:E)</f>
        <v>1000</v>
      </c>
      <c r="R2627" s="44">
        <f t="shared" si="82"/>
        <v>26000</v>
      </c>
      <c r="S2627" s="45" t="str">
        <f t="shared" si="83"/>
        <v>7798934234563</v>
      </c>
    </row>
    <row r="2628" spans="1:19" hidden="1" x14ac:dyDescent="0.35">
      <c r="A2628" s="22">
        <v>2</v>
      </c>
      <c r="B2628" t="s">
        <v>5624</v>
      </c>
      <c r="C2628" t="s">
        <v>802</v>
      </c>
      <c r="D2628" t="s">
        <v>5831</v>
      </c>
      <c r="E2628" t="s">
        <v>5896</v>
      </c>
      <c r="F2628">
        <v>4018833</v>
      </c>
      <c r="G2628" t="s">
        <v>5897</v>
      </c>
      <c r="H2628" t="s">
        <v>805</v>
      </c>
      <c r="I2628">
        <v>10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10</v>
      </c>
      <c r="P2628" s="44" t="e">
        <f>_xlfn.XLOOKUP(Tabla5[[#This Row],[EAN CORREGIDO]],'Tabla Articulos'!B:B,'Tabla Articulos'!D:D)</f>
        <v>#N/A</v>
      </c>
      <c r="Q2628" s="44" t="e">
        <f>_xlfn.XLOOKUP(S2628,'Tabla Articulos'!B:B,'Tabla Articulos'!E:E)</f>
        <v>#N/A</v>
      </c>
      <c r="R2628" s="44" t="e">
        <f t="shared" si="82"/>
        <v>#N/A</v>
      </c>
      <c r="S2628" s="45" t="str">
        <f t="shared" si="83"/>
        <v>7791324157022</v>
      </c>
    </row>
    <row r="2629" spans="1:19" hidden="1" x14ac:dyDescent="0.35">
      <c r="A2629" s="22">
        <v>2</v>
      </c>
      <c r="B2629" t="s">
        <v>5624</v>
      </c>
      <c r="C2629" t="s">
        <v>802</v>
      </c>
      <c r="D2629" t="s">
        <v>1843</v>
      </c>
      <c r="E2629" t="s">
        <v>1844</v>
      </c>
      <c r="F2629">
        <v>4020655</v>
      </c>
      <c r="G2629" t="s">
        <v>1845</v>
      </c>
      <c r="H2629" t="s">
        <v>805</v>
      </c>
      <c r="I2629">
        <v>188</v>
      </c>
      <c r="J2629">
        <v>0</v>
      </c>
      <c r="K2629">
        <v>0</v>
      </c>
      <c r="L2629">
        <v>3</v>
      </c>
      <c r="M2629">
        <v>3</v>
      </c>
      <c r="N2629">
        <v>0</v>
      </c>
      <c r="O2629">
        <v>182</v>
      </c>
      <c r="P2629" s="44" t="e">
        <f>_xlfn.XLOOKUP(Tabla5[[#This Row],[EAN CORREGIDO]],'Tabla Articulos'!B:B,'Tabla Articulos'!D:D)</f>
        <v>#N/A</v>
      </c>
      <c r="Q2629" s="44" t="e">
        <f>_xlfn.XLOOKUP(S2629,'Tabla Articulos'!B:B,'Tabla Articulos'!E:E)</f>
        <v>#N/A</v>
      </c>
      <c r="R2629" s="44" t="e">
        <f t="shared" si="82"/>
        <v>#N/A</v>
      </c>
      <c r="S2629" s="45" t="str">
        <f t="shared" si="83"/>
        <v>7791113003271</v>
      </c>
    </row>
    <row r="2630" spans="1:19" hidden="1" x14ac:dyDescent="0.35">
      <c r="A2630" s="22">
        <v>2</v>
      </c>
      <c r="B2630" t="s">
        <v>5624</v>
      </c>
      <c r="C2630" t="s">
        <v>802</v>
      </c>
      <c r="D2630" t="s">
        <v>5898</v>
      </c>
      <c r="E2630" t="s">
        <v>5899</v>
      </c>
      <c r="F2630">
        <v>4021561</v>
      </c>
      <c r="G2630" t="s">
        <v>5900</v>
      </c>
      <c r="H2630" t="s">
        <v>816</v>
      </c>
      <c r="I2630">
        <v>122.3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122.3</v>
      </c>
      <c r="P2630" s="44" t="e">
        <f>_xlfn.XLOOKUP(Tabla5[[#This Row],[EAN CORREGIDO]],'Tabla Articulos'!B:B,'Tabla Articulos'!D:D)</f>
        <v>#N/A</v>
      </c>
      <c r="Q2630" s="44" t="e">
        <f>_xlfn.XLOOKUP(S2630,'Tabla Articulos'!B:B,'Tabla Articulos'!E:E)</f>
        <v>#N/A</v>
      </c>
      <c r="R2630" s="44" t="e">
        <f t="shared" si="82"/>
        <v>#N/A</v>
      </c>
      <c r="S2630" s="45" t="str">
        <f t="shared" si="83"/>
        <v>7790625001220</v>
      </c>
    </row>
    <row r="2631" spans="1:19" hidden="1" x14ac:dyDescent="0.35">
      <c r="A2631" s="22">
        <v>2</v>
      </c>
      <c r="B2631" t="s">
        <v>5624</v>
      </c>
      <c r="C2631" t="s">
        <v>802</v>
      </c>
      <c r="D2631" t="s">
        <v>18</v>
      </c>
      <c r="E2631" t="s">
        <v>1846</v>
      </c>
      <c r="F2631">
        <v>2006151</v>
      </c>
      <c r="G2631" t="s">
        <v>1847</v>
      </c>
      <c r="H2631" t="s">
        <v>805</v>
      </c>
      <c r="I2631">
        <v>66</v>
      </c>
      <c r="J2631">
        <v>0</v>
      </c>
      <c r="K2631">
        <v>0</v>
      </c>
      <c r="L2631">
        <v>3</v>
      </c>
      <c r="M2631">
        <v>3</v>
      </c>
      <c r="N2631">
        <v>0</v>
      </c>
      <c r="O2631">
        <v>60</v>
      </c>
      <c r="P2631" s="44" t="str">
        <f>_xlfn.XLOOKUP(Tabla5[[#This Row],[EAN CORREGIDO]],'Tabla Articulos'!B:B,'Tabla Articulos'!D:D)</f>
        <v>AGITADOR</v>
      </c>
      <c r="Q2631" s="44">
        <f>_xlfn.XLOOKUP(S2631,'Tabla Articulos'!B:B,'Tabla Articulos'!E:E)</f>
        <v>1000</v>
      </c>
      <c r="R2631" s="44">
        <f t="shared" si="82"/>
        <v>60000</v>
      </c>
      <c r="S2631" s="45" t="str">
        <f t="shared" si="83"/>
        <v>13069000A</v>
      </c>
    </row>
    <row r="2632" spans="1:19" hidden="1" x14ac:dyDescent="0.35">
      <c r="A2632" s="22">
        <v>2</v>
      </c>
      <c r="B2632" t="s">
        <v>5624</v>
      </c>
      <c r="C2632" t="s">
        <v>802</v>
      </c>
      <c r="D2632" t="s">
        <v>69</v>
      </c>
      <c r="E2632" t="s">
        <v>5901</v>
      </c>
      <c r="F2632">
        <v>2006684</v>
      </c>
      <c r="G2632" t="s">
        <v>5902</v>
      </c>
      <c r="H2632" t="s">
        <v>805</v>
      </c>
      <c r="I2632">
        <v>163</v>
      </c>
      <c r="J2632">
        <v>0</v>
      </c>
      <c r="K2632">
        <v>0</v>
      </c>
      <c r="L2632">
        <v>14</v>
      </c>
      <c r="M2632">
        <v>14</v>
      </c>
      <c r="N2632">
        <v>0</v>
      </c>
      <c r="O2632">
        <v>135</v>
      </c>
      <c r="P2632" s="44" t="str">
        <f>_xlfn.XLOOKUP(Tabla5[[#This Row],[EAN CORREGIDO]],'Tabla Articulos'!B:B,'Tabla Articulos'!D:D)</f>
        <v>TAPA 105</v>
      </c>
      <c r="Q2632" s="44">
        <f>_xlfn.XLOOKUP(S2632,'Tabla Articulos'!B:B,'Tabla Articulos'!E:E)</f>
        <v>50</v>
      </c>
      <c r="R2632" s="44">
        <f t="shared" si="82"/>
        <v>6750</v>
      </c>
      <c r="S2632" s="45" t="str">
        <f t="shared" si="83"/>
        <v>7790321020286</v>
      </c>
    </row>
    <row r="2633" spans="1:19" hidden="1" x14ac:dyDescent="0.35">
      <c r="A2633" s="22">
        <v>2</v>
      </c>
      <c r="B2633" t="s">
        <v>5624</v>
      </c>
      <c r="C2633" t="s">
        <v>802</v>
      </c>
      <c r="D2633" t="s">
        <v>824</v>
      </c>
      <c r="E2633" t="s">
        <v>3387</v>
      </c>
      <c r="F2633">
        <v>4020190</v>
      </c>
      <c r="G2633" t="s">
        <v>3388</v>
      </c>
      <c r="H2633" t="s">
        <v>805</v>
      </c>
      <c r="I2633">
        <v>156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156</v>
      </c>
      <c r="P2633" s="44" t="e">
        <f>_xlfn.XLOOKUP(Tabla5[[#This Row],[EAN CORREGIDO]],'Tabla Articulos'!B:B,'Tabla Articulos'!D:D)</f>
        <v>#N/A</v>
      </c>
      <c r="Q2633" s="44" t="e">
        <f>_xlfn.XLOOKUP(S2633,'Tabla Articulos'!B:B,'Tabla Articulos'!E:E)</f>
        <v>#N/A</v>
      </c>
      <c r="R2633" s="44" t="e">
        <f t="shared" si="82"/>
        <v>#N/A</v>
      </c>
      <c r="S2633" s="45" t="str">
        <f t="shared" si="83"/>
        <v>7793875360012</v>
      </c>
    </row>
    <row r="2634" spans="1:19" hidden="1" x14ac:dyDescent="0.35">
      <c r="A2634" s="22">
        <v>2</v>
      </c>
      <c r="B2634" t="s">
        <v>5624</v>
      </c>
      <c r="C2634" t="s">
        <v>802</v>
      </c>
      <c r="D2634" t="s">
        <v>3391</v>
      </c>
      <c r="E2634" t="s">
        <v>3392</v>
      </c>
      <c r="F2634">
        <v>4020385</v>
      </c>
      <c r="G2634" t="s">
        <v>3393</v>
      </c>
      <c r="H2634" t="s">
        <v>805</v>
      </c>
      <c r="I2634">
        <v>2075</v>
      </c>
      <c r="J2634">
        <v>0</v>
      </c>
      <c r="K2634">
        <v>0</v>
      </c>
      <c r="L2634">
        <v>7</v>
      </c>
      <c r="M2634">
        <v>7</v>
      </c>
      <c r="N2634">
        <v>0</v>
      </c>
      <c r="O2634">
        <v>2061</v>
      </c>
      <c r="P2634" s="44" t="e">
        <f>_xlfn.XLOOKUP(Tabla5[[#This Row],[EAN CORREGIDO]],'Tabla Articulos'!B:B,'Tabla Articulos'!D:D)</f>
        <v>#N/A</v>
      </c>
      <c r="Q2634" s="44" t="e">
        <f>_xlfn.XLOOKUP(S2634,'Tabla Articulos'!B:B,'Tabla Articulos'!E:E)</f>
        <v>#N/A</v>
      </c>
      <c r="R2634" s="44" t="e">
        <f t="shared" si="82"/>
        <v>#N/A</v>
      </c>
      <c r="S2634" s="45" t="str">
        <f t="shared" si="83"/>
        <v>7798028020508</v>
      </c>
    </row>
    <row r="2635" spans="1:19" hidden="1" x14ac:dyDescent="0.35">
      <c r="A2635" s="22">
        <v>2</v>
      </c>
      <c r="B2635" t="s">
        <v>5624</v>
      </c>
      <c r="C2635" t="s">
        <v>802</v>
      </c>
      <c r="D2635" t="s">
        <v>1997</v>
      </c>
      <c r="E2635" t="s">
        <v>6428</v>
      </c>
      <c r="F2635">
        <v>4049032</v>
      </c>
      <c r="G2635" t="s">
        <v>6429</v>
      </c>
      <c r="H2635" t="s">
        <v>805</v>
      </c>
      <c r="I2635">
        <v>27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27</v>
      </c>
      <c r="P2635" s="44" t="e">
        <f>_xlfn.XLOOKUP(Tabla5[[#This Row],[EAN CORREGIDO]],'Tabla Articulos'!B:B,'Tabla Articulos'!D:D)</f>
        <v>#N/A</v>
      </c>
      <c r="Q2635" s="44" t="e">
        <f>_xlfn.XLOOKUP(S2635,'Tabla Articulos'!B:B,'Tabla Articulos'!E:E)</f>
        <v>#N/A</v>
      </c>
      <c r="R2635" s="44" t="e">
        <f t="shared" si="82"/>
        <v>#N/A</v>
      </c>
      <c r="S2635" s="45" t="str">
        <f t="shared" si="83"/>
        <v>7792378001439</v>
      </c>
    </row>
    <row r="2636" spans="1:19" hidden="1" x14ac:dyDescent="0.35">
      <c r="A2636" s="22">
        <v>2</v>
      </c>
      <c r="B2636" t="s">
        <v>5624</v>
      </c>
      <c r="C2636" t="s">
        <v>802</v>
      </c>
      <c r="D2636" t="s">
        <v>6006</v>
      </c>
      <c r="E2636" t="s">
        <v>6007</v>
      </c>
      <c r="F2636">
        <v>4077480</v>
      </c>
      <c r="G2636" t="s">
        <v>6008</v>
      </c>
      <c r="H2636" t="s">
        <v>816</v>
      </c>
      <c r="I2636">
        <v>0</v>
      </c>
      <c r="J2636">
        <v>70.58</v>
      </c>
      <c r="K2636">
        <v>0</v>
      </c>
      <c r="L2636">
        <v>0</v>
      </c>
      <c r="M2636">
        <v>0</v>
      </c>
      <c r="N2636">
        <v>0</v>
      </c>
      <c r="O2636">
        <v>70.58</v>
      </c>
      <c r="P2636" s="44" t="e">
        <f>_xlfn.XLOOKUP(Tabla5[[#This Row],[EAN CORREGIDO]],'Tabla Articulos'!B:B,'Tabla Articulos'!D:D)</f>
        <v>#N/A</v>
      </c>
      <c r="Q2636" s="44" t="e">
        <f>_xlfn.XLOOKUP(S2636,'Tabla Articulos'!B:B,'Tabla Articulos'!E:E)</f>
        <v>#N/A</v>
      </c>
      <c r="R2636" s="44" t="e">
        <f t="shared" si="82"/>
        <v>#N/A</v>
      </c>
      <c r="S2636" s="45" t="str">
        <f t="shared" si="83"/>
        <v>7790000000896</v>
      </c>
    </row>
    <row r="2637" spans="1:19" hidden="1" x14ac:dyDescent="0.35">
      <c r="A2637" s="22">
        <v>2</v>
      </c>
      <c r="B2637" t="s">
        <v>5624</v>
      </c>
      <c r="C2637" t="s">
        <v>802</v>
      </c>
      <c r="D2637" t="s">
        <v>2978</v>
      </c>
      <c r="E2637" t="s">
        <v>3616</v>
      </c>
      <c r="F2637">
        <v>4019834</v>
      </c>
      <c r="G2637" t="s">
        <v>3617</v>
      </c>
      <c r="H2637" t="s">
        <v>805</v>
      </c>
      <c r="I2637">
        <v>1702</v>
      </c>
      <c r="J2637">
        <v>0</v>
      </c>
      <c r="K2637">
        <v>0</v>
      </c>
      <c r="L2637">
        <v>7</v>
      </c>
      <c r="M2637">
        <v>7</v>
      </c>
      <c r="N2637">
        <v>0</v>
      </c>
      <c r="O2637">
        <v>1688</v>
      </c>
      <c r="P2637" s="44" t="e">
        <f>_xlfn.XLOOKUP(Tabla5[[#This Row],[EAN CORREGIDO]],'Tabla Articulos'!B:B,'Tabla Articulos'!D:D)</f>
        <v>#N/A</v>
      </c>
      <c r="Q2637" s="44" t="e">
        <f>_xlfn.XLOOKUP(S2637,'Tabla Articulos'!B:B,'Tabla Articulos'!E:E)</f>
        <v>#N/A</v>
      </c>
      <c r="R2637" s="44" t="e">
        <f t="shared" si="82"/>
        <v>#N/A</v>
      </c>
      <c r="S2637" s="45" t="str">
        <f t="shared" si="83"/>
        <v>7792198006539</v>
      </c>
    </row>
    <row r="2638" spans="1:19" hidden="1" x14ac:dyDescent="0.35">
      <c r="A2638" s="22">
        <v>2</v>
      </c>
      <c r="B2638" t="s">
        <v>5624</v>
      </c>
      <c r="C2638" t="s">
        <v>802</v>
      </c>
      <c r="D2638" t="s">
        <v>6387</v>
      </c>
      <c r="E2638" t="s">
        <v>6388</v>
      </c>
      <c r="F2638">
        <v>4023929</v>
      </c>
      <c r="G2638" t="s">
        <v>6389</v>
      </c>
      <c r="H2638" t="s">
        <v>805</v>
      </c>
      <c r="I2638">
        <v>3809</v>
      </c>
      <c r="J2638">
        <v>0</v>
      </c>
      <c r="K2638">
        <v>0</v>
      </c>
      <c r="L2638">
        <v>162</v>
      </c>
      <c r="M2638">
        <v>162</v>
      </c>
      <c r="N2638">
        <v>0</v>
      </c>
      <c r="O2638">
        <v>3485</v>
      </c>
      <c r="P2638" s="44" t="e">
        <f>_xlfn.XLOOKUP(Tabla5[[#This Row],[EAN CORREGIDO]],'Tabla Articulos'!B:B,'Tabla Articulos'!D:D)</f>
        <v>#N/A</v>
      </c>
      <c r="Q2638" s="44" t="e">
        <f>_xlfn.XLOOKUP(S2638,'Tabla Articulos'!B:B,'Tabla Articulos'!E:E)</f>
        <v>#N/A</v>
      </c>
      <c r="R2638" s="44" t="e">
        <f t="shared" si="82"/>
        <v>#N/A</v>
      </c>
      <c r="S2638" s="45" t="str">
        <f t="shared" si="83"/>
        <v>7790895650840</v>
      </c>
    </row>
    <row r="2639" spans="1:19" hidden="1" x14ac:dyDescent="0.35">
      <c r="A2639" s="22">
        <v>2</v>
      </c>
      <c r="B2639" t="s">
        <v>5624</v>
      </c>
      <c r="C2639" t="s">
        <v>802</v>
      </c>
      <c r="D2639" t="s">
        <v>1237</v>
      </c>
      <c r="E2639" t="s">
        <v>6390</v>
      </c>
      <c r="F2639">
        <v>4024274</v>
      </c>
      <c r="G2639" t="s">
        <v>6391</v>
      </c>
      <c r="H2639" t="s">
        <v>805</v>
      </c>
      <c r="I2639">
        <v>90</v>
      </c>
      <c r="J2639">
        <v>0</v>
      </c>
      <c r="K2639">
        <v>0</v>
      </c>
      <c r="L2639">
        <v>1</v>
      </c>
      <c r="M2639">
        <v>1</v>
      </c>
      <c r="N2639">
        <v>0</v>
      </c>
      <c r="O2639">
        <v>88</v>
      </c>
      <c r="P2639" s="44" t="e">
        <f>_xlfn.XLOOKUP(Tabla5[[#This Row],[EAN CORREGIDO]],'Tabla Articulos'!B:B,'Tabla Articulos'!D:D)</f>
        <v>#N/A</v>
      </c>
      <c r="Q2639" s="44" t="e">
        <f>_xlfn.XLOOKUP(S2639,'Tabla Articulos'!B:B,'Tabla Articulos'!E:E)</f>
        <v>#N/A</v>
      </c>
      <c r="R2639" s="44" t="e">
        <f t="shared" si="82"/>
        <v>#N/A</v>
      </c>
      <c r="S2639" s="45" t="str">
        <f t="shared" si="83"/>
        <v>7790971000798</v>
      </c>
    </row>
    <row r="2640" spans="1:19" hidden="1" x14ac:dyDescent="0.35">
      <c r="A2640" s="22">
        <v>2</v>
      </c>
      <c r="B2640" t="s">
        <v>5624</v>
      </c>
      <c r="C2640" t="s">
        <v>802</v>
      </c>
      <c r="D2640" t="s">
        <v>3493</v>
      </c>
      <c r="E2640" t="s">
        <v>3494</v>
      </c>
      <c r="F2640">
        <v>4021533</v>
      </c>
      <c r="G2640" t="s">
        <v>3495</v>
      </c>
      <c r="H2640" t="s">
        <v>805</v>
      </c>
      <c r="I2640">
        <v>15656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15656</v>
      </c>
      <c r="P2640" s="44" t="e">
        <f>_xlfn.XLOOKUP(Tabla5[[#This Row],[EAN CORREGIDO]],'Tabla Articulos'!B:B,'Tabla Articulos'!D:D)</f>
        <v>#N/A</v>
      </c>
      <c r="Q2640" s="44" t="e">
        <f>_xlfn.XLOOKUP(S2640,'Tabla Articulos'!B:B,'Tabla Articulos'!E:E)</f>
        <v>#N/A</v>
      </c>
      <c r="R2640" s="44" t="e">
        <f t="shared" si="82"/>
        <v>#N/A</v>
      </c>
      <c r="S2640" s="45" t="str">
        <f t="shared" si="83"/>
        <v>7790580144142</v>
      </c>
    </row>
    <row r="2641" spans="1:19" hidden="1" x14ac:dyDescent="0.35">
      <c r="A2641" s="22">
        <v>2</v>
      </c>
      <c r="B2641" t="s">
        <v>5624</v>
      </c>
      <c r="C2641" t="s">
        <v>802</v>
      </c>
      <c r="D2641" t="s">
        <v>322</v>
      </c>
      <c r="E2641" t="s">
        <v>3496</v>
      </c>
      <c r="F2641">
        <v>2006475</v>
      </c>
      <c r="G2641" t="s">
        <v>3497</v>
      </c>
      <c r="H2641" t="s">
        <v>805</v>
      </c>
      <c r="I2641">
        <v>239</v>
      </c>
      <c r="J2641">
        <v>50</v>
      </c>
      <c r="K2641">
        <v>0</v>
      </c>
      <c r="L2641">
        <v>20</v>
      </c>
      <c r="M2641">
        <v>20</v>
      </c>
      <c r="N2641">
        <v>0</v>
      </c>
      <c r="O2641">
        <v>249</v>
      </c>
      <c r="P2641" s="44" t="str">
        <f>_xlfn.XLOOKUP(Tabla5[[#This Row],[EAN CORREGIDO]],'Tabla Articulos'!B:B,'Tabla Articulos'!D:D)</f>
        <v>VASO PLASTICO 180</v>
      </c>
      <c r="Q2641" s="44">
        <f>_xlfn.XLOOKUP(S2641,'Tabla Articulos'!B:B,'Tabla Articulos'!E:E)</f>
        <v>100</v>
      </c>
      <c r="R2641" s="44">
        <f t="shared" si="82"/>
        <v>24900</v>
      </c>
      <c r="S2641" s="45" t="str">
        <f t="shared" si="83"/>
        <v>7790321020346</v>
      </c>
    </row>
    <row r="2642" spans="1:19" hidden="1" x14ac:dyDescent="0.35">
      <c r="A2642" s="22">
        <v>2</v>
      </c>
      <c r="B2642" t="s">
        <v>5624</v>
      </c>
      <c r="C2642" t="s">
        <v>802</v>
      </c>
      <c r="D2642" t="s">
        <v>3502</v>
      </c>
      <c r="E2642" t="s">
        <v>3503</v>
      </c>
      <c r="F2642">
        <v>4020416</v>
      </c>
      <c r="G2642" t="s">
        <v>3504</v>
      </c>
      <c r="H2642" t="s">
        <v>805</v>
      </c>
      <c r="I2642">
        <v>1129</v>
      </c>
      <c r="J2642">
        <v>0</v>
      </c>
      <c r="K2642">
        <v>0</v>
      </c>
      <c r="L2642">
        <v>2</v>
      </c>
      <c r="M2642">
        <v>2</v>
      </c>
      <c r="N2642">
        <v>0</v>
      </c>
      <c r="O2642">
        <v>1125</v>
      </c>
      <c r="P2642" s="44" t="e">
        <f>_xlfn.XLOOKUP(Tabla5[[#This Row],[EAN CORREGIDO]],'Tabla Articulos'!B:B,'Tabla Articulos'!D:D)</f>
        <v>#N/A</v>
      </c>
      <c r="Q2642" s="44" t="e">
        <f>_xlfn.XLOOKUP(S2642,'Tabla Articulos'!B:B,'Tabla Articulos'!E:E)</f>
        <v>#N/A</v>
      </c>
      <c r="R2642" s="44" t="e">
        <f t="shared" si="82"/>
        <v>#N/A</v>
      </c>
      <c r="S2642" s="45" t="str">
        <f t="shared" si="83"/>
        <v>7793875360272</v>
      </c>
    </row>
    <row r="2643" spans="1:19" hidden="1" x14ac:dyDescent="0.35">
      <c r="A2643" s="22">
        <v>2</v>
      </c>
      <c r="B2643" t="s">
        <v>5624</v>
      </c>
      <c r="C2643" t="s">
        <v>802</v>
      </c>
      <c r="D2643" t="s">
        <v>333</v>
      </c>
      <c r="E2643" t="s">
        <v>6353</v>
      </c>
      <c r="F2643">
        <v>2007386</v>
      </c>
      <c r="G2643" t="s">
        <v>6354</v>
      </c>
      <c r="H2643" t="s">
        <v>805</v>
      </c>
      <c r="I2643">
        <v>3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3</v>
      </c>
      <c r="P2643" s="44" t="str">
        <f>_xlfn.XLOOKUP(Tabla5[[#This Row],[EAN CORREGIDO]],'Tabla Articulos'!B:B,'Tabla Articulos'!D:D)</f>
        <v>VASO TERMICO 180</v>
      </c>
      <c r="Q2643" s="44">
        <f>_xlfn.XLOOKUP(S2643,'Tabla Articulos'!B:B,'Tabla Articulos'!E:E)</f>
        <v>1000</v>
      </c>
      <c r="R2643" s="44">
        <f t="shared" si="82"/>
        <v>3000</v>
      </c>
      <c r="S2643" s="45" t="str">
        <f t="shared" si="83"/>
        <v>17798038127096</v>
      </c>
    </row>
    <row r="2644" spans="1:19" hidden="1" x14ac:dyDescent="0.35">
      <c r="A2644" s="22">
        <v>2</v>
      </c>
      <c r="B2644" t="s">
        <v>5624</v>
      </c>
      <c r="C2644" t="s">
        <v>802</v>
      </c>
      <c r="D2644" t="s">
        <v>1266</v>
      </c>
      <c r="E2644" t="s">
        <v>6197</v>
      </c>
      <c r="F2644">
        <v>4017730</v>
      </c>
      <c r="G2644" t="s">
        <v>6198</v>
      </c>
      <c r="H2644" t="s">
        <v>816</v>
      </c>
      <c r="I2644">
        <v>101.16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101.16</v>
      </c>
      <c r="P2644" s="44" t="e">
        <f>_xlfn.XLOOKUP(Tabla5[[#This Row],[EAN CORREGIDO]],'Tabla Articulos'!B:B,'Tabla Articulos'!D:D)</f>
        <v>#N/A</v>
      </c>
      <c r="Q2644" s="44" t="e">
        <f>_xlfn.XLOOKUP(S2644,'Tabla Articulos'!B:B,'Tabla Articulos'!E:E)</f>
        <v>#N/A</v>
      </c>
      <c r="R2644" s="44" t="e">
        <f t="shared" si="82"/>
        <v>#N/A</v>
      </c>
      <c r="S2644" s="45" t="str">
        <f t="shared" si="83"/>
        <v>7790212030082</v>
      </c>
    </row>
    <row r="2645" spans="1:19" hidden="1" x14ac:dyDescent="0.35">
      <c r="A2645" s="22">
        <v>2</v>
      </c>
      <c r="B2645" t="s">
        <v>5624</v>
      </c>
      <c r="C2645" t="s">
        <v>802</v>
      </c>
      <c r="D2645" t="s">
        <v>2226</v>
      </c>
      <c r="E2645" t="s">
        <v>2799</v>
      </c>
      <c r="F2645">
        <v>4018223</v>
      </c>
      <c r="G2645" t="s">
        <v>2800</v>
      </c>
      <c r="H2645" t="s">
        <v>805</v>
      </c>
      <c r="I2645">
        <v>36</v>
      </c>
      <c r="J2645">
        <v>0</v>
      </c>
      <c r="K2645">
        <v>0</v>
      </c>
      <c r="L2645">
        <v>17</v>
      </c>
      <c r="M2645">
        <v>17</v>
      </c>
      <c r="N2645">
        <v>2</v>
      </c>
      <c r="O2645">
        <v>0</v>
      </c>
      <c r="P2645" s="44" t="e">
        <f>_xlfn.XLOOKUP(Tabla5[[#This Row],[EAN CORREGIDO]],'Tabla Articulos'!B:B,'Tabla Articulos'!D:D)</f>
        <v>#N/A</v>
      </c>
      <c r="Q2645" s="44" t="e">
        <f>_xlfn.XLOOKUP(S2645,'Tabla Articulos'!B:B,'Tabla Articulos'!E:E)</f>
        <v>#N/A</v>
      </c>
      <c r="R2645" s="44" t="e">
        <f t="shared" si="82"/>
        <v>#N/A</v>
      </c>
      <c r="S2645" s="45" t="str">
        <f t="shared" si="83"/>
        <v>7794990879731</v>
      </c>
    </row>
    <row r="2646" spans="1:19" hidden="1" x14ac:dyDescent="0.35">
      <c r="A2646" s="22">
        <v>2</v>
      </c>
      <c r="B2646" t="s">
        <v>5624</v>
      </c>
      <c r="C2646" t="s">
        <v>802</v>
      </c>
      <c r="D2646" t="s">
        <v>2158</v>
      </c>
      <c r="E2646" t="s">
        <v>2801</v>
      </c>
      <c r="F2646">
        <v>4019380</v>
      </c>
      <c r="G2646" t="s">
        <v>2802</v>
      </c>
      <c r="H2646" t="s">
        <v>805</v>
      </c>
      <c r="I2646">
        <v>392</v>
      </c>
      <c r="J2646">
        <v>0</v>
      </c>
      <c r="K2646">
        <v>0</v>
      </c>
      <c r="L2646">
        <v>62</v>
      </c>
      <c r="M2646">
        <v>62</v>
      </c>
      <c r="N2646">
        <v>0</v>
      </c>
      <c r="O2646">
        <v>268</v>
      </c>
      <c r="P2646" s="44" t="e">
        <f>_xlfn.XLOOKUP(Tabla5[[#This Row],[EAN CORREGIDO]],'Tabla Articulos'!B:B,'Tabla Articulos'!D:D)</f>
        <v>#N/A</v>
      </c>
      <c r="Q2646" s="44" t="e">
        <f>_xlfn.XLOOKUP(S2646,'Tabla Articulos'!B:B,'Tabla Articulos'!E:E)</f>
        <v>#N/A</v>
      </c>
      <c r="R2646" s="44" t="e">
        <f t="shared" si="82"/>
        <v>#N/A</v>
      </c>
      <c r="S2646" s="45" t="str">
        <f t="shared" si="83"/>
        <v>7790503000029</v>
      </c>
    </row>
    <row r="2647" spans="1:19" hidden="1" x14ac:dyDescent="0.35">
      <c r="A2647" s="22">
        <v>2</v>
      </c>
      <c r="B2647" t="s">
        <v>5624</v>
      </c>
      <c r="C2647" t="s">
        <v>802</v>
      </c>
      <c r="D2647" t="s">
        <v>3482</v>
      </c>
      <c r="E2647" t="s">
        <v>6199</v>
      </c>
      <c r="F2647">
        <v>4019373</v>
      </c>
      <c r="G2647" t="s">
        <v>6200</v>
      </c>
      <c r="H2647" t="s">
        <v>805</v>
      </c>
      <c r="I2647">
        <v>487</v>
      </c>
      <c r="J2647">
        <v>0</v>
      </c>
      <c r="K2647">
        <v>487</v>
      </c>
      <c r="L2647">
        <v>0</v>
      </c>
      <c r="M2647">
        <v>0</v>
      </c>
      <c r="N2647">
        <v>2</v>
      </c>
      <c r="O2647">
        <v>-2</v>
      </c>
      <c r="P2647" s="44" t="e">
        <f>_xlfn.XLOOKUP(Tabla5[[#This Row],[EAN CORREGIDO]],'Tabla Articulos'!B:B,'Tabla Articulos'!D:D)</f>
        <v>#N/A</v>
      </c>
      <c r="Q2647" s="44" t="e">
        <f>_xlfn.XLOOKUP(S2647,'Tabla Articulos'!B:B,'Tabla Articulos'!E:E)</f>
        <v>#N/A</v>
      </c>
      <c r="R2647" s="44" t="e">
        <f t="shared" si="82"/>
        <v>#N/A</v>
      </c>
      <c r="S2647" s="45" t="str">
        <f t="shared" si="83"/>
        <v>7790130002847</v>
      </c>
    </row>
    <row r="2648" spans="1:19" hidden="1" x14ac:dyDescent="0.35">
      <c r="A2648" s="22">
        <v>2</v>
      </c>
      <c r="B2648" t="s">
        <v>5624</v>
      </c>
      <c r="C2648" t="s">
        <v>802</v>
      </c>
      <c r="D2648" t="s">
        <v>2803</v>
      </c>
      <c r="E2648" t="s">
        <v>2804</v>
      </c>
      <c r="F2648">
        <v>4019311</v>
      </c>
      <c r="G2648" t="s">
        <v>2805</v>
      </c>
      <c r="H2648" t="s">
        <v>805</v>
      </c>
      <c r="I2648">
        <v>72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72</v>
      </c>
      <c r="P2648" s="44" t="e">
        <f>_xlfn.XLOOKUP(Tabla5[[#This Row],[EAN CORREGIDO]],'Tabla Articulos'!B:B,'Tabla Articulos'!D:D)</f>
        <v>#N/A</v>
      </c>
      <c r="Q2648" s="44" t="e">
        <f>_xlfn.XLOOKUP(S2648,'Tabla Articulos'!B:B,'Tabla Articulos'!E:E)</f>
        <v>#N/A</v>
      </c>
      <c r="R2648" s="44" t="e">
        <f t="shared" si="82"/>
        <v>#N/A</v>
      </c>
      <c r="S2648" s="45" t="str">
        <f t="shared" si="83"/>
        <v>7790150240175</v>
      </c>
    </row>
    <row r="2649" spans="1:19" hidden="1" x14ac:dyDescent="0.35">
      <c r="A2649" s="22">
        <v>2</v>
      </c>
      <c r="B2649" t="s">
        <v>5624</v>
      </c>
      <c r="C2649" t="s">
        <v>802</v>
      </c>
      <c r="D2649" t="s">
        <v>5966</v>
      </c>
      <c r="E2649" t="s">
        <v>5967</v>
      </c>
      <c r="F2649">
        <v>4018516</v>
      </c>
      <c r="G2649" t="s">
        <v>5968</v>
      </c>
      <c r="H2649" t="s">
        <v>805</v>
      </c>
      <c r="I2649">
        <v>40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40</v>
      </c>
      <c r="P2649" s="44" t="e">
        <f>_xlfn.XLOOKUP(Tabla5[[#This Row],[EAN CORREGIDO]],'Tabla Articulos'!B:B,'Tabla Articulos'!D:D)</f>
        <v>#N/A</v>
      </c>
      <c r="Q2649" s="44" t="e">
        <f>_xlfn.XLOOKUP(S2649,'Tabla Articulos'!B:B,'Tabla Articulos'!E:E)</f>
        <v>#N/A</v>
      </c>
      <c r="R2649" s="44" t="e">
        <f t="shared" si="82"/>
        <v>#N/A</v>
      </c>
      <c r="S2649" s="45" t="str">
        <f t="shared" si="83"/>
        <v>7790213010077</v>
      </c>
    </row>
    <row r="2650" spans="1:19" hidden="1" x14ac:dyDescent="0.35">
      <c r="A2650" s="22">
        <v>2</v>
      </c>
      <c r="B2650" t="s">
        <v>5624</v>
      </c>
      <c r="C2650" t="s">
        <v>802</v>
      </c>
      <c r="D2650" t="s">
        <v>1759</v>
      </c>
      <c r="E2650" t="s">
        <v>5969</v>
      </c>
      <c r="F2650">
        <v>4022894</v>
      </c>
      <c r="G2650" t="s">
        <v>5970</v>
      </c>
      <c r="H2650" t="s">
        <v>805</v>
      </c>
      <c r="I2650">
        <v>30</v>
      </c>
      <c r="J2650">
        <v>0</v>
      </c>
      <c r="K2650">
        <v>0</v>
      </c>
      <c r="L2650">
        <v>4</v>
      </c>
      <c r="M2650">
        <v>4</v>
      </c>
      <c r="N2650">
        <v>0</v>
      </c>
      <c r="O2650">
        <v>22</v>
      </c>
      <c r="P2650" s="44" t="e">
        <f>_xlfn.XLOOKUP(Tabla5[[#This Row],[EAN CORREGIDO]],'Tabla Articulos'!B:B,'Tabla Articulos'!D:D)</f>
        <v>#N/A</v>
      </c>
      <c r="Q2650" s="44" t="e">
        <f>_xlfn.XLOOKUP(S2650,'Tabla Articulos'!B:B,'Tabla Articulos'!E:E)</f>
        <v>#N/A</v>
      </c>
      <c r="R2650" s="44" t="e">
        <f t="shared" si="82"/>
        <v>#N/A</v>
      </c>
      <c r="S2650" s="45" t="str">
        <f t="shared" si="83"/>
        <v>7792350067538</v>
      </c>
    </row>
    <row r="2651" spans="1:19" hidden="1" x14ac:dyDescent="0.35">
      <c r="A2651" s="22">
        <v>2</v>
      </c>
      <c r="B2651" t="s">
        <v>5624</v>
      </c>
      <c r="C2651" t="s">
        <v>802</v>
      </c>
      <c r="D2651" t="s">
        <v>196</v>
      </c>
      <c r="E2651" t="s">
        <v>2558</v>
      </c>
      <c r="F2651">
        <v>2007183</v>
      </c>
      <c r="G2651" t="s">
        <v>2559</v>
      </c>
      <c r="H2651" t="s">
        <v>805</v>
      </c>
      <c r="I2651">
        <v>140</v>
      </c>
      <c r="J2651">
        <v>0</v>
      </c>
      <c r="K2651">
        <v>0</v>
      </c>
      <c r="L2651">
        <v>5</v>
      </c>
      <c r="M2651">
        <v>5</v>
      </c>
      <c r="N2651">
        <v>0</v>
      </c>
      <c r="O2651">
        <v>130</v>
      </c>
      <c r="P2651" s="44" t="str">
        <f>_xlfn.XLOOKUP(Tabla5[[#This Row],[EAN CORREGIDO]],'Tabla Articulos'!B:B,'Tabla Articulos'!D:D)</f>
        <v>FILM PVC 30</v>
      </c>
      <c r="Q2651" s="44">
        <f>_xlfn.XLOOKUP(S2651,'Tabla Articulos'!B:B,'Tabla Articulos'!E:E)</f>
        <v>1</v>
      </c>
      <c r="R2651" s="44">
        <f t="shared" si="82"/>
        <v>130</v>
      </c>
      <c r="S2651" s="45" t="str">
        <f t="shared" si="83"/>
        <v>7790000000227</v>
      </c>
    </row>
    <row r="2652" spans="1:19" hidden="1" x14ac:dyDescent="0.35">
      <c r="A2652" s="22">
        <v>2</v>
      </c>
      <c r="B2652" t="s">
        <v>5624</v>
      </c>
      <c r="C2652" t="s">
        <v>802</v>
      </c>
      <c r="D2652" t="s">
        <v>6295</v>
      </c>
      <c r="E2652" t="s">
        <v>6296</v>
      </c>
      <c r="F2652">
        <v>4023215</v>
      </c>
      <c r="G2652" t="s">
        <v>6297</v>
      </c>
      <c r="H2652" t="s">
        <v>805</v>
      </c>
      <c r="I2652">
        <v>3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3</v>
      </c>
      <c r="P2652" s="44" t="e">
        <f>_xlfn.XLOOKUP(Tabla5[[#This Row],[EAN CORREGIDO]],'Tabla Articulos'!B:B,'Tabla Articulos'!D:D)</f>
        <v>#N/A</v>
      </c>
      <c r="Q2652" s="44" t="e">
        <f>_xlfn.XLOOKUP(S2652,'Tabla Articulos'!B:B,'Tabla Articulos'!E:E)</f>
        <v>#N/A</v>
      </c>
      <c r="R2652" s="44" t="e">
        <f t="shared" si="82"/>
        <v>#N/A</v>
      </c>
      <c r="S2652" s="45" t="str">
        <f t="shared" si="83"/>
        <v>7791113002014</v>
      </c>
    </row>
    <row r="2653" spans="1:19" hidden="1" x14ac:dyDescent="0.35">
      <c r="A2653" s="22">
        <v>2</v>
      </c>
      <c r="B2653" t="s">
        <v>5624</v>
      </c>
      <c r="C2653" t="s">
        <v>802</v>
      </c>
      <c r="D2653" t="s">
        <v>1266</v>
      </c>
      <c r="E2653" t="s">
        <v>3331</v>
      </c>
      <c r="F2653">
        <v>4017687</v>
      </c>
      <c r="G2653" t="s">
        <v>3332</v>
      </c>
      <c r="H2653" t="s">
        <v>816</v>
      </c>
      <c r="I2653">
        <v>994.8</v>
      </c>
      <c r="J2653">
        <v>0</v>
      </c>
      <c r="K2653">
        <v>0</v>
      </c>
      <c r="L2653">
        <v>10</v>
      </c>
      <c r="M2653">
        <v>10</v>
      </c>
      <c r="N2653">
        <v>0</v>
      </c>
      <c r="O2653">
        <v>974.8</v>
      </c>
      <c r="P2653" s="44" t="e">
        <f>_xlfn.XLOOKUP(Tabla5[[#This Row],[EAN CORREGIDO]],'Tabla Articulos'!B:B,'Tabla Articulos'!D:D)</f>
        <v>#N/A</v>
      </c>
      <c r="Q2653" s="44" t="e">
        <f>_xlfn.XLOOKUP(S2653,'Tabla Articulos'!B:B,'Tabla Articulos'!E:E)</f>
        <v>#N/A</v>
      </c>
      <c r="R2653" s="44" t="e">
        <f t="shared" si="82"/>
        <v>#N/A</v>
      </c>
      <c r="S2653" s="45" t="str">
        <f t="shared" si="83"/>
        <v>7790212030022</v>
      </c>
    </row>
    <row r="2654" spans="1:19" hidden="1" x14ac:dyDescent="0.35">
      <c r="A2654" s="22">
        <v>2</v>
      </c>
      <c r="B2654" t="s">
        <v>5624</v>
      </c>
      <c r="C2654" t="s">
        <v>802</v>
      </c>
      <c r="D2654" t="s">
        <v>3391</v>
      </c>
      <c r="E2654" t="s">
        <v>5016</v>
      </c>
      <c r="F2654">
        <v>4020783</v>
      </c>
      <c r="G2654" t="s">
        <v>5017</v>
      </c>
      <c r="H2654" t="s">
        <v>805</v>
      </c>
      <c r="I2654">
        <v>18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18</v>
      </c>
      <c r="P2654" s="44" t="e">
        <f>_xlfn.XLOOKUP(Tabla5[[#This Row],[EAN CORREGIDO]],'Tabla Articulos'!B:B,'Tabla Articulos'!D:D)</f>
        <v>#N/A</v>
      </c>
      <c r="Q2654" s="44" t="e">
        <f>_xlfn.XLOOKUP(S2654,'Tabla Articulos'!B:B,'Tabla Articulos'!E:E)</f>
        <v>#N/A</v>
      </c>
      <c r="R2654" s="44" t="e">
        <f t="shared" si="82"/>
        <v>#N/A</v>
      </c>
      <c r="S2654" s="45" t="str">
        <f t="shared" si="83"/>
        <v>7798028021598</v>
      </c>
    </row>
    <row r="2655" spans="1:19" hidden="1" x14ac:dyDescent="0.35">
      <c r="A2655" s="22">
        <v>2</v>
      </c>
      <c r="B2655" t="s">
        <v>5624</v>
      </c>
      <c r="C2655" t="s">
        <v>802</v>
      </c>
      <c r="D2655" t="s">
        <v>2722</v>
      </c>
      <c r="E2655" t="s">
        <v>6635</v>
      </c>
      <c r="F2655">
        <v>4017428</v>
      </c>
      <c r="G2655" t="s">
        <v>6636</v>
      </c>
      <c r="H2655" t="s">
        <v>805</v>
      </c>
      <c r="I2655">
        <v>1492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1492</v>
      </c>
      <c r="P2655" s="44" t="e">
        <f>_xlfn.XLOOKUP(Tabla5[[#This Row],[EAN CORREGIDO]],'Tabla Articulos'!B:B,'Tabla Articulos'!D:D)</f>
        <v>#N/A</v>
      </c>
      <c r="Q2655" s="44" t="e">
        <f>_xlfn.XLOOKUP(S2655,'Tabla Articulos'!B:B,'Tabla Articulos'!E:E)</f>
        <v>#N/A</v>
      </c>
      <c r="R2655" s="44" t="e">
        <f t="shared" si="82"/>
        <v>#N/A</v>
      </c>
      <c r="S2655" s="45" t="str">
        <f t="shared" si="83"/>
        <v>7790036000572</v>
      </c>
    </row>
    <row r="2656" spans="1:19" hidden="1" x14ac:dyDescent="0.35">
      <c r="A2656" s="22">
        <v>2</v>
      </c>
      <c r="B2656" t="s">
        <v>5624</v>
      </c>
      <c r="C2656" t="s">
        <v>802</v>
      </c>
      <c r="D2656" t="s">
        <v>1769</v>
      </c>
      <c r="E2656" t="s">
        <v>6637</v>
      </c>
      <c r="F2656">
        <v>4024164</v>
      </c>
      <c r="G2656" t="s">
        <v>6638</v>
      </c>
      <c r="H2656" t="s">
        <v>805</v>
      </c>
      <c r="I2656">
        <v>2393</v>
      </c>
      <c r="J2656">
        <v>0</v>
      </c>
      <c r="K2656">
        <v>0</v>
      </c>
      <c r="L2656">
        <v>110</v>
      </c>
      <c r="M2656">
        <v>110</v>
      </c>
      <c r="N2656">
        <v>0</v>
      </c>
      <c r="O2656">
        <v>2173</v>
      </c>
      <c r="P2656" s="44" t="e">
        <f>_xlfn.XLOOKUP(Tabla5[[#This Row],[EAN CORREGIDO]],'Tabla Articulos'!B:B,'Tabla Articulos'!D:D)</f>
        <v>#N/A</v>
      </c>
      <c r="Q2656" s="44" t="e">
        <f>_xlfn.XLOOKUP(S2656,'Tabla Articulos'!B:B,'Tabla Articulos'!E:E)</f>
        <v>#N/A</v>
      </c>
      <c r="R2656" s="44" t="e">
        <f t="shared" si="82"/>
        <v>#N/A</v>
      </c>
      <c r="S2656" s="45" t="str">
        <f t="shared" si="83"/>
        <v>7790499000744</v>
      </c>
    </row>
    <row r="2657" spans="1:19" hidden="1" x14ac:dyDescent="0.35">
      <c r="A2657" s="22">
        <v>2</v>
      </c>
      <c r="B2657" t="s">
        <v>5624</v>
      </c>
      <c r="C2657" t="s">
        <v>802</v>
      </c>
      <c r="D2657" t="s">
        <v>1207</v>
      </c>
      <c r="E2657" t="s">
        <v>5024</v>
      </c>
      <c r="F2657">
        <v>4019486</v>
      </c>
      <c r="G2657" t="s">
        <v>5025</v>
      </c>
      <c r="H2657" t="s">
        <v>805</v>
      </c>
      <c r="I2657">
        <v>139</v>
      </c>
      <c r="J2657">
        <v>0</v>
      </c>
      <c r="K2657">
        <v>0</v>
      </c>
      <c r="L2657">
        <v>12</v>
      </c>
      <c r="M2657">
        <v>12</v>
      </c>
      <c r="N2657">
        <v>0</v>
      </c>
      <c r="O2657">
        <v>115</v>
      </c>
      <c r="P2657" s="44" t="e">
        <f>_xlfn.XLOOKUP(Tabla5[[#This Row],[EAN CORREGIDO]],'Tabla Articulos'!B:B,'Tabla Articulos'!D:D)</f>
        <v>#N/A</v>
      </c>
      <c r="Q2657" s="44" t="e">
        <f>_xlfn.XLOOKUP(S2657,'Tabla Articulos'!B:B,'Tabla Articulos'!E:E)</f>
        <v>#N/A</v>
      </c>
      <c r="R2657" s="44" t="e">
        <f t="shared" si="82"/>
        <v>#N/A</v>
      </c>
      <c r="S2657" s="45" t="str">
        <f t="shared" si="83"/>
        <v>7790503199082</v>
      </c>
    </row>
    <row r="2658" spans="1:19" hidden="1" x14ac:dyDescent="0.35">
      <c r="A2658" s="22">
        <v>2</v>
      </c>
      <c r="B2658" t="s">
        <v>5624</v>
      </c>
      <c r="C2658" t="s">
        <v>802</v>
      </c>
      <c r="D2658" t="s">
        <v>5036</v>
      </c>
      <c r="E2658" t="s">
        <v>5037</v>
      </c>
      <c r="F2658">
        <v>4021665</v>
      </c>
      <c r="G2658" t="s">
        <v>5038</v>
      </c>
      <c r="H2658" t="s">
        <v>805</v>
      </c>
      <c r="I2658">
        <v>4844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4844</v>
      </c>
      <c r="P2658" s="44" t="e">
        <f>_xlfn.XLOOKUP(Tabla5[[#This Row],[EAN CORREGIDO]],'Tabla Articulos'!B:B,'Tabla Articulos'!D:D)</f>
        <v>#N/A</v>
      </c>
      <c r="Q2658" s="44" t="e">
        <f>_xlfn.XLOOKUP(S2658,'Tabla Articulos'!B:B,'Tabla Articulos'!E:E)</f>
        <v>#N/A</v>
      </c>
      <c r="R2658" s="44" t="e">
        <f t="shared" si="82"/>
        <v>#N/A</v>
      </c>
      <c r="S2658" s="45" t="str">
        <f t="shared" si="83"/>
        <v>7790580129972</v>
      </c>
    </row>
    <row r="2659" spans="1:19" hidden="1" x14ac:dyDescent="0.35">
      <c r="A2659" s="22">
        <v>2</v>
      </c>
      <c r="B2659" t="s">
        <v>5624</v>
      </c>
      <c r="C2659" t="s">
        <v>802</v>
      </c>
      <c r="D2659" t="s">
        <v>5867</v>
      </c>
      <c r="E2659" t="s">
        <v>5868</v>
      </c>
      <c r="F2659">
        <v>2006634</v>
      </c>
      <c r="G2659" t="s">
        <v>5869</v>
      </c>
      <c r="H2659" t="s">
        <v>1034</v>
      </c>
      <c r="I2659">
        <v>49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49</v>
      </c>
      <c r="P2659" s="44" t="str">
        <f>_xlfn.XLOOKUP(Tabla5[[#This Row],[EAN CORREGIDO]],'Tabla Articulos'!B:B,'Tabla Articulos'!D:D)</f>
        <v>INDIVIDUAL SLL</v>
      </c>
      <c r="Q2659" s="44">
        <f>_xlfn.XLOOKUP(S2659,'Tabla Articulos'!B:B,'Tabla Articulos'!E:E)</f>
        <v>1000</v>
      </c>
      <c r="R2659" s="44">
        <f t="shared" si="82"/>
        <v>49000</v>
      </c>
      <c r="S2659" s="45" t="str">
        <f t="shared" si="83"/>
        <v>7790321190588</v>
      </c>
    </row>
    <row r="2660" spans="1:19" hidden="1" x14ac:dyDescent="0.35">
      <c r="A2660" s="22">
        <v>2</v>
      </c>
      <c r="B2660" t="s">
        <v>5624</v>
      </c>
      <c r="C2660" t="s">
        <v>802</v>
      </c>
      <c r="D2660" t="s">
        <v>6035</v>
      </c>
      <c r="E2660" t="s">
        <v>6036</v>
      </c>
      <c r="F2660">
        <v>4020302</v>
      </c>
      <c r="G2660" t="s">
        <v>6037</v>
      </c>
      <c r="H2660" t="s">
        <v>805</v>
      </c>
      <c r="I2660">
        <v>83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83</v>
      </c>
      <c r="P2660" s="44" t="e">
        <f>_xlfn.XLOOKUP(Tabla5[[#This Row],[EAN CORREGIDO]],'Tabla Articulos'!B:B,'Tabla Articulos'!D:D)</f>
        <v>#N/A</v>
      </c>
      <c r="Q2660" s="44" t="e">
        <f>_xlfn.XLOOKUP(S2660,'Tabla Articulos'!B:B,'Tabla Articulos'!E:E)</f>
        <v>#N/A</v>
      </c>
      <c r="R2660" s="44" t="e">
        <f t="shared" si="82"/>
        <v>#N/A</v>
      </c>
      <c r="S2660" s="45" t="str">
        <f t="shared" si="83"/>
        <v>7798011977253</v>
      </c>
    </row>
    <row r="2661" spans="1:19" hidden="1" x14ac:dyDescent="0.35">
      <c r="A2661" s="22">
        <v>2</v>
      </c>
      <c r="B2661" t="s">
        <v>5624</v>
      </c>
      <c r="C2661" t="s">
        <v>802</v>
      </c>
      <c r="D2661" t="s">
        <v>6038</v>
      </c>
      <c r="E2661" t="s">
        <v>6039</v>
      </c>
      <c r="F2661">
        <v>4017441</v>
      </c>
      <c r="G2661" t="s">
        <v>6040</v>
      </c>
      <c r="H2661" t="s">
        <v>805</v>
      </c>
      <c r="I2661">
        <v>63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63</v>
      </c>
      <c r="P2661" s="44" t="e">
        <f>_xlfn.XLOOKUP(Tabla5[[#This Row],[EAN CORREGIDO]],'Tabla Articulos'!B:B,'Tabla Articulos'!D:D)</f>
        <v>#N/A</v>
      </c>
      <c r="Q2661" s="44" t="e">
        <f>_xlfn.XLOOKUP(S2661,'Tabla Articulos'!B:B,'Tabla Articulos'!E:E)</f>
        <v>#N/A</v>
      </c>
      <c r="R2661" s="44" t="e">
        <f t="shared" si="82"/>
        <v>#N/A</v>
      </c>
      <c r="S2661" s="45" t="str">
        <f t="shared" si="83"/>
        <v>7790895012327</v>
      </c>
    </row>
    <row r="2662" spans="1:19" hidden="1" x14ac:dyDescent="0.35">
      <c r="A2662" s="22">
        <v>2</v>
      </c>
      <c r="B2662" t="s">
        <v>5624</v>
      </c>
      <c r="C2662" t="s">
        <v>802</v>
      </c>
      <c r="D2662" t="s">
        <v>2337</v>
      </c>
      <c r="E2662" t="s">
        <v>2338</v>
      </c>
      <c r="F2662">
        <v>4019427</v>
      </c>
      <c r="G2662" t="s">
        <v>2339</v>
      </c>
      <c r="H2662" t="s">
        <v>805</v>
      </c>
      <c r="I2662">
        <v>5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5</v>
      </c>
      <c r="P2662" s="44" t="e">
        <f>_xlfn.XLOOKUP(Tabla5[[#This Row],[EAN CORREGIDO]],'Tabla Articulos'!B:B,'Tabla Articulos'!D:D)</f>
        <v>#N/A</v>
      </c>
      <c r="Q2662" s="44" t="e">
        <f>_xlfn.XLOOKUP(S2662,'Tabla Articulos'!B:B,'Tabla Articulos'!E:E)</f>
        <v>#N/A</v>
      </c>
      <c r="R2662" s="44" t="e">
        <f t="shared" si="82"/>
        <v>#N/A</v>
      </c>
      <c r="S2662" s="45" t="str">
        <f t="shared" si="83"/>
        <v>7790150555446</v>
      </c>
    </row>
    <row r="2663" spans="1:19" hidden="1" x14ac:dyDescent="0.35">
      <c r="A2663" s="22">
        <v>2</v>
      </c>
      <c r="B2663" t="s">
        <v>5624</v>
      </c>
      <c r="C2663" t="s">
        <v>802</v>
      </c>
      <c r="D2663" t="s">
        <v>246</v>
      </c>
      <c r="E2663" t="s">
        <v>6041</v>
      </c>
      <c r="F2663">
        <v>2011472</v>
      </c>
      <c r="G2663" t="s">
        <v>6042</v>
      </c>
      <c r="H2663" t="s">
        <v>805</v>
      </c>
      <c r="I2663">
        <v>54</v>
      </c>
      <c r="J2663">
        <v>0</v>
      </c>
      <c r="K2663">
        <v>0</v>
      </c>
      <c r="L2663">
        <v>2</v>
      </c>
      <c r="M2663">
        <v>2</v>
      </c>
      <c r="N2663">
        <v>0</v>
      </c>
      <c r="O2663">
        <v>50</v>
      </c>
      <c r="P2663" s="44" t="str">
        <f>_xlfn.XLOOKUP(Tabla5[[#This Row],[EAN CORREGIDO]],'Tabla Articulos'!B:B,'Tabla Articulos'!D:D)</f>
        <v>ROLLO ALUMINIO 40</v>
      </c>
      <c r="Q2663" s="44">
        <f>_xlfn.XLOOKUP(S2663,'Tabla Articulos'!B:B,'Tabla Articulos'!E:E)</f>
        <v>1</v>
      </c>
      <c r="R2663" s="44">
        <f t="shared" si="82"/>
        <v>50</v>
      </c>
      <c r="S2663" s="45" t="str">
        <f t="shared" si="83"/>
        <v>9992015000094</v>
      </c>
    </row>
    <row r="2664" spans="1:19" hidden="1" x14ac:dyDescent="0.35">
      <c r="A2664" s="22">
        <v>2</v>
      </c>
      <c r="B2664" t="s">
        <v>5624</v>
      </c>
      <c r="C2664" t="s">
        <v>802</v>
      </c>
      <c r="D2664" t="s">
        <v>2340</v>
      </c>
      <c r="E2664" t="s">
        <v>2341</v>
      </c>
      <c r="F2664">
        <v>4023363</v>
      </c>
      <c r="G2664" t="s">
        <v>2342</v>
      </c>
      <c r="H2664" t="s">
        <v>805</v>
      </c>
      <c r="I2664">
        <v>132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132</v>
      </c>
      <c r="P2664" s="44" t="e">
        <f>_xlfn.XLOOKUP(Tabla5[[#This Row],[EAN CORREGIDO]],'Tabla Articulos'!B:B,'Tabla Articulos'!D:D)</f>
        <v>#N/A</v>
      </c>
      <c r="Q2664" s="44" t="e">
        <f>_xlfn.XLOOKUP(S2664,'Tabla Articulos'!B:B,'Tabla Articulos'!E:E)</f>
        <v>#N/A</v>
      </c>
      <c r="R2664" s="44" t="e">
        <f t="shared" si="82"/>
        <v>#N/A</v>
      </c>
      <c r="S2664" s="45" t="str">
        <f t="shared" si="83"/>
        <v>7790971000811</v>
      </c>
    </row>
    <row r="2665" spans="1:19" hidden="1" x14ac:dyDescent="0.35">
      <c r="A2665" s="22">
        <v>2</v>
      </c>
      <c r="B2665" t="s">
        <v>5624</v>
      </c>
      <c r="C2665" t="s">
        <v>802</v>
      </c>
      <c r="D2665" t="s">
        <v>2158</v>
      </c>
      <c r="E2665" t="s">
        <v>2343</v>
      </c>
      <c r="F2665">
        <v>4019353</v>
      </c>
      <c r="G2665" t="s">
        <v>2344</v>
      </c>
      <c r="H2665" t="s">
        <v>805</v>
      </c>
      <c r="I2665">
        <v>596</v>
      </c>
      <c r="J2665">
        <v>0</v>
      </c>
      <c r="K2665">
        <v>0</v>
      </c>
      <c r="L2665">
        <v>8</v>
      </c>
      <c r="M2665">
        <v>8</v>
      </c>
      <c r="N2665">
        <v>0</v>
      </c>
      <c r="O2665">
        <v>580</v>
      </c>
      <c r="P2665" s="44" t="e">
        <f>_xlfn.XLOOKUP(Tabla5[[#This Row],[EAN CORREGIDO]],'Tabla Articulos'!B:B,'Tabla Articulos'!D:D)</f>
        <v>#N/A</v>
      </c>
      <c r="Q2665" s="44" t="e">
        <f>_xlfn.XLOOKUP(S2665,'Tabla Articulos'!B:B,'Tabla Articulos'!E:E)</f>
        <v>#N/A</v>
      </c>
      <c r="R2665" s="44" t="e">
        <f t="shared" si="82"/>
        <v>#N/A</v>
      </c>
      <c r="S2665" s="45" t="str">
        <f t="shared" si="83"/>
        <v>7790503199099</v>
      </c>
    </row>
    <row r="2666" spans="1:19" hidden="1" x14ac:dyDescent="0.35">
      <c r="A2666" s="22">
        <v>2</v>
      </c>
      <c r="B2666" t="s">
        <v>5624</v>
      </c>
      <c r="C2666" t="s">
        <v>802</v>
      </c>
      <c r="D2666" t="s">
        <v>2191</v>
      </c>
      <c r="E2666" t="s">
        <v>2695</v>
      </c>
      <c r="F2666">
        <v>4019384</v>
      </c>
      <c r="G2666" t="s">
        <v>2696</v>
      </c>
      <c r="H2666" t="s">
        <v>805</v>
      </c>
      <c r="I2666">
        <v>19793</v>
      </c>
      <c r="J2666">
        <v>0</v>
      </c>
      <c r="K2666">
        <v>0</v>
      </c>
      <c r="L2666">
        <v>2250</v>
      </c>
      <c r="M2666">
        <v>2250</v>
      </c>
      <c r="N2666">
        <v>0</v>
      </c>
      <c r="O2666">
        <v>15293</v>
      </c>
      <c r="P2666" s="44" t="e">
        <f>_xlfn.XLOOKUP(Tabla5[[#This Row],[EAN CORREGIDO]],'Tabla Articulos'!B:B,'Tabla Articulos'!D:D)</f>
        <v>#N/A</v>
      </c>
      <c r="Q2666" s="44" t="e">
        <f>_xlfn.XLOOKUP(S2666,'Tabla Articulos'!B:B,'Tabla Articulos'!E:E)</f>
        <v>#N/A</v>
      </c>
      <c r="R2666" s="44" t="e">
        <f t="shared" si="82"/>
        <v>#N/A</v>
      </c>
      <c r="S2666" s="45" t="str">
        <f t="shared" si="83"/>
        <v>7790530085303</v>
      </c>
    </row>
    <row r="2667" spans="1:19" hidden="1" x14ac:dyDescent="0.35">
      <c r="A2667" s="22">
        <v>2</v>
      </c>
      <c r="B2667" t="s">
        <v>5624</v>
      </c>
      <c r="C2667" t="s">
        <v>802</v>
      </c>
      <c r="D2667" t="s">
        <v>5942</v>
      </c>
      <c r="E2667" t="s">
        <v>6154</v>
      </c>
      <c r="F2667">
        <v>4019578</v>
      </c>
      <c r="G2667" t="s">
        <v>6155</v>
      </c>
      <c r="H2667" t="s">
        <v>1034</v>
      </c>
      <c r="I2667">
        <v>35</v>
      </c>
      <c r="J2667">
        <v>0</v>
      </c>
      <c r="K2667">
        <v>0</v>
      </c>
      <c r="L2667">
        <v>7</v>
      </c>
      <c r="M2667">
        <v>7</v>
      </c>
      <c r="N2667">
        <v>0</v>
      </c>
      <c r="O2667">
        <v>21</v>
      </c>
      <c r="P2667" s="44" t="e">
        <f>_xlfn.XLOOKUP(Tabla5[[#This Row],[EAN CORREGIDO]],'Tabla Articulos'!B:B,'Tabla Articulos'!D:D)</f>
        <v>#N/A</v>
      </c>
      <c r="Q2667" s="44" t="e">
        <f>_xlfn.XLOOKUP(S2667,'Tabla Articulos'!B:B,'Tabla Articulos'!E:E)</f>
        <v>#N/A</v>
      </c>
      <c r="R2667" s="44" t="e">
        <f t="shared" si="82"/>
        <v>#N/A</v>
      </c>
      <c r="S2667" s="45" t="str">
        <f t="shared" si="83"/>
        <v>7790530850208</v>
      </c>
    </row>
    <row r="2668" spans="1:19" hidden="1" x14ac:dyDescent="0.35">
      <c r="A2668" s="22">
        <v>2</v>
      </c>
      <c r="B2668" t="s">
        <v>5624</v>
      </c>
      <c r="C2668" t="s">
        <v>802</v>
      </c>
      <c r="D2668" t="s">
        <v>1266</v>
      </c>
      <c r="E2668" t="s">
        <v>2697</v>
      </c>
      <c r="F2668">
        <v>4076854</v>
      </c>
      <c r="G2668" t="s">
        <v>2698</v>
      </c>
      <c r="H2668" t="s">
        <v>816</v>
      </c>
      <c r="I2668">
        <v>398.45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398.45</v>
      </c>
      <c r="P2668" s="44" t="e">
        <f>_xlfn.XLOOKUP(Tabla5[[#This Row],[EAN CORREGIDO]],'Tabla Articulos'!B:B,'Tabla Articulos'!D:D)</f>
        <v>#N/A</v>
      </c>
      <c r="Q2668" s="44" t="e">
        <f>_xlfn.XLOOKUP(S2668,'Tabla Articulos'!B:B,'Tabla Articulos'!E:E)</f>
        <v>#N/A</v>
      </c>
      <c r="R2668" s="44" t="e">
        <f t="shared" si="82"/>
        <v>#N/A</v>
      </c>
      <c r="S2668" s="45" t="str">
        <f t="shared" si="83"/>
        <v>00213902645824</v>
      </c>
    </row>
    <row r="2669" spans="1:19" hidden="1" x14ac:dyDescent="0.35">
      <c r="A2669" s="22">
        <v>2</v>
      </c>
      <c r="B2669" t="s">
        <v>5624</v>
      </c>
      <c r="C2669" t="s">
        <v>802</v>
      </c>
      <c r="D2669" t="s">
        <v>1912</v>
      </c>
      <c r="E2669" t="s">
        <v>6156</v>
      </c>
      <c r="F2669">
        <v>4018480</v>
      </c>
      <c r="G2669" t="s">
        <v>6157</v>
      </c>
      <c r="H2669" t="s">
        <v>805</v>
      </c>
      <c r="I2669">
        <v>47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47</v>
      </c>
      <c r="P2669" s="44" t="e">
        <f>_xlfn.XLOOKUP(Tabla5[[#This Row],[EAN CORREGIDO]],'Tabla Articulos'!B:B,'Tabla Articulos'!D:D)</f>
        <v>#N/A</v>
      </c>
      <c r="Q2669" s="44" t="e">
        <f>_xlfn.XLOOKUP(S2669,'Tabla Articulos'!B:B,'Tabla Articulos'!E:E)</f>
        <v>#N/A</v>
      </c>
      <c r="R2669" s="44" t="e">
        <f t="shared" si="82"/>
        <v>#N/A</v>
      </c>
      <c r="S2669" s="45" t="str">
        <f t="shared" si="83"/>
        <v>7793890258752</v>
      </c>
    </row>
    <row r="2670" spans="1:19" hidden="1" x14ac:dyDescent="0.35">
      <c r="A2670" s="22">
        <v>2</v>
      </c>
      <c r="B2670" t="s">
        <v>5624</v>
      </c>
      <c r="C2670" t="s">
        <v>802</v>
      </c>
      <c r="D2670" t="s">
        <v>2606</v>
      </c>
      <c r="E2670" t="s">
        <v>6158</v>
      </c>
      <c r="F2670">
        <v>4018195</v>
      </c>
      <c r="G2670" t="s">
        <v>6159</v>
      </c>
      <c r="H2670" t="s">
        <v>805</v>
      </c>
      <c r="I2670">
        <v>1595</v>
      </c>
      <c r="J2670">
        <v>0</v>
      </c>
      <c r="K2670">
        <v>0</v>
      </c>
      <c r="L2670">
        <v>24</v>
      </c>
      <c r="M2670">
        <v>24</v>
      </c>
      <c r="N2670">
        <v>0</v>
      </c>
      <c r="O2670">
        <v>1547</v>
      </c>
      <c r="P2670" s="44" t="e">
        <f>_xlfn.XLOOKUP(Tabla5[[#This Row],[EAN CORREGIDO]],'Tabla Articulos'!B:B,'Tabla Articulos'!D:D)</f>
        <v>#N/A</v>
      </c>
      <c r="Q2670" s="44" t="e">
        <f>_xlfn.XLOOKUP(S2670,'Tabla Articulos'!B:B,'Tabla Articulos'!E:E)</f>
        <v>#N/A</v>
      </c>
      <c r="R2670" s="44" t="e">
        <f t="shared" si="82"/>
        <v>#N/A</v>
      </c>
      <c r="S2670" s="45" t="str">
        <f t="shared" si="83"/>
        <v>7794820902257</v>
      </c>
    </row>
    <row r="2671" spans="1:19" hidden="1" x14ac:dyDescent="0.35">
      <c r="A2671" s="22">
        <v>2</v>
      </c>
      <c r="B2671" t="s">
        <v>5624</v>
      </c>
      <c r="C2671" t="s">
        <v>802</v>
      </c>
      <c r="D2671" t="s">
        <v>6160</v>
      </c>
      <c r="E2671" t="s">
        <v>6161</v>
      </c>
      <c r="F2671">
        <v>4018250</v>
      </c>
      <c r="G2671" t="s">
        <v>6162</v>
      </c>
      <c r="H2671" t="s">
        <v>805</v>
      </c>
      <c r="I2671">
        <v>20</v>
      </c>
      <c r="J2671">
        <v>0</v>
      </c>
      <c r="K2671">
        <v>0</v>
      </c>
      <c r="L2671">
        <v>5</v>
      </c>
      <c r="M2671">
        <v>5</v>
      </c>
      <c r="N2671">
        <v>0</v>
      </c>
      <c r="O2671">
        <v>10</v>
      </c>
      <c r="P2671" s="44" t="e">
        <f>_xlfn.XLOOKUP(Tabla5[[#This Row],[EAN CORREGIDO]],'Tabla Articulos'!B:B,'Tabla Articulos'!D:D)</f>
        <v>#N/A</v>
      </c>
      <c r="Q2671" s="44" t="e">
        <f>_xlfn.XLOOKUP(S2671,'Tabla Articulos'!B:B,'Tabla Articulos'!E:E)</f>
        <v>#N/A</v>
      </c>
      <c r="R2671" s="44" t="e">
        <f t="shared" si="82"/>
        <v>#N/A</v>
      </c>
      <c r="S2671" s="45" t="str">
        <f t="shared" si="83"/>
        <v>7790742374004</v>
      </c>
    </row>
    <row r="2672" spans="1:19" hidden="1" x14ac:dyDescent="0.35">
      <c r="A2672" s="22">
        <v>2</v>
      </c>
      <c r="B2672" t="s">
        <v>5624</v>
      </c>
      <c r="C2672" t="s">
        <v>802</v>
      </c>
      <c r="D2672" t="s">
        <v>6070</v>
      </c>
      <c r="E2672" t="s">
        <v>6071</v>
      </c>
      <c r="F2672">
        <v>4018771</v>
      </c>
      <c r="G2672" t="s">
        <v>6072</v>
      </c>
      <c r="H2672" t="s">
        <v>805</v>
      </c>
      <c r="I2672">
        <v>935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935</v>
      </c>
      <c r="P2672" s="44" t="e">
        <f>_xlfn.XLOOKUP(Tabla5[[#This Row],[EAN CORREGIDO]],'Tabla Articulos'!B:B,'Tabla Articulos'!D:D)</f>
        <v>#N/A</v>
      </c>
      <c r="Q2672" s="44" t="e">
        <f>_xlfn.XLOOKUP(S2672,'Tabla Articulos'!B:B,'Tabla Articulos'!E:E)</f>
        <v>#N/A</v>
      </c>
      <c r="R2672" s="44" t="e">
        <f t="shared" si="82"/>
        <v>#N/A</v>
      </c>
      <c r="S2672" s="45" t="str">
        <f t="shared" si="83"/>
        <v>7790040003569</v>
      </c>
    </row>
    <row r="2673" spans="1:19" hidden="1" x14ac:dyDescent="0.35">
      <c r="A2673" s="22">
        <v>2</v>
      </c>
      <c r="B2673" t="s">
        <v>5624</v>
      </c>
      <c r="C2673" t="s">
        <v>802</v>
      </c>
      <c r="D2673" t="s">
        <v>6073</v>
      </c>
      <c r="E2673" t="s">
        <v>6074</v>
      </c>
      <c r="F2673">
        <v>4018424</v>
      </c>
      <c r="G2673" t="s">
        <v>6075</v>
      </c>
      <c r="H2673" t="s">
        <v>805</v>
      </c>
      <c r="I2673">
        <v>0</v>
      </c>
      <c r="J2673">
        <v>6</v>
      </c>
      <c r="K2673">
        <v>0</v>
      </c>
      <c r="L2673">
        <v>0</v>
      </c>
      <c r="M2673">
        <v>0</v>
      </c>
      <c r="N2673">
        <v>0</v>
      </c>
      <c r="O2673">
        <v>6</v>
      </c>
      <c r="P2673" s="44" t="e">
        <f>_xlfn.XLOOKUP(Tabla5[[#This Row],[EAN CORREGIDO]],'Tabla Articulos'!B:B,'Tabla Articulos'!D:D)</f>
        <v>#N/A</v>
      </c>
      <c r="Q2673" s="44" t="e">
        <f>_xlfn.XLOOKUP(S2673,'Tabla Articulos'!B:B,'Tabla Articulos'!E:E)</f>
        <v>#N/A</v>
      </c>
      <c r="R2673" s="44" t="e">
        <f t="shared" si="82"/>
        <v>#N/A</v>
      </c>
      <c r="S2673" s="45" t="str">
        <f t="shared" si="83"/>
        <v>7790606000360</v>
      </c>
    </row>
    <row r="2674" spans="1:19" hidden="1" x14ac:dyDescent="0.35">
      <c r="A2674" s="22">
        <v>2</v>
      </c>
      <c r="B2674" t="s">
        <v>5624</v>
      </c>
      <c r="C2674" t="s">
        <v>802</v>
      </c>
      <c r="D2674" t="s">
        <v>6076</v>
      </c>
      <c r="E2674" t="s">
        <v>6077</v>
      </c>
      <c r="F2674">
        <v>4017326</v>
      </c>
      <c r="G2674" t="s">
        <v>6078</v>
      </c>
      <c r="H2674" t="s">
        <v>805</v>
      </c>
      <c r="I2674">
        <v>19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19</v>
      </c>
      <c r="P2674" s="44" t="e">
        <f>_xlfn.XLOOKUP(Tabla5[[#This Row],[EAN CORREGIDO]],'Tabla Articulos'!B:B,'Tabla Articulos'!D:D)</f>
        <v>#N/A</v>
      </c>
      <c r="Q2674" s="44" t="e">
        <f>_xlfn.XLOOKUP(S2674,'Tabla Articulos'!B:B,'Tabla Articulos'!E:E)</f>
        <v>#N/A</v>
      </c>
      <c r="R2674" s="44" t="e">
        <f t="shared" si="82"/>
        <v>#N/A</v>
      </c>
      <c r="S2674" s="45" t="str">
        <f t="shared" si="83"/>
        <v>7798290580090</v>
      </c>
    </row>
    <row r="2675" spans="1:19" hidden="1" x14ac:dyDescent="0.35">
      <c r="A2675" s="22">
        <v>2</v>
      </c>
      <c r="B2675" t="s">
        <v>5624</v>
      </c>
      <c r="C2675" t="s">
        <v>802</v>
      </c>
      <c r="D2675" t="s">
        <v>2461</v>
      </c>
      <c r="E2675" t="s">
        <v>2462</v>
      </c>
      <c r="F2675">
        <v>4020320</v>
      </c>
      <c r="G2675" t="s">
        <v>2463</v>
      </c>
      <c r="H2675" t="s">
        <v>805</v>
      </c>
      <c r="I2675">
        <v>301</v>
      </c>
      <c r="J2675">
        <v>0</v>
      </c>
      <c r="K2675">
        <v>0</v>
      </c>
      <c r="L2675">
        <v>41</v>
      </c>
      <c r="M2675">
        <v>41</v>
      </c>
      <c r="N2675">
        <v>0</v>
      </c>
      <c r="O2675">
        <v>219</v>
      </c>
      <c r="P2675" s="44" t="e">
        <f>_xlfn.XLOOKUP(Tabla5[[#This Row],[EAN CORREGIDO]],'Tabla Articulos'!B:B,'Tabla Articulos'!D:D)</f>
        <v>#N/A</v>
      </c>
      <c r="Q2675" s="44" t="e">
        <f>_xlfn.XLOOKUP(S2675,'Tabla Articulos'!B:B,'Tabla Articulos'!E:E)</f>
        <v>#N/A</v>
      </c>
      <c r="R2675" s="44" t="e">
        <f t="shared" si="82"/>
        <v>#N/A</v>
      </c>
      <c r="S2675" s="45" t="str">
        <f t="shared" si="83"/>
        <v>7798011976683</v>
      </c>
    </row>
    <row r="2676" spans="1:19" hidden="1" x14ac:dyDescent="0.35">
      <c r="A2676" s="22">
        <v>2</v>
      </c>
      <c r="B2676" t="s">
        <v>5624</v>
      </c>
      <c r="C2676" t="s">
        <v>802</v>
      </c>
      <c r="D2676" t="s">
        <v>874</v>
      </c>
      <c r="E2676" t="s">
        <v>2464</v>
      </c>
      <c r="F2676">
        <v>4024049</v>
      </c>
      <c r="G2676" t="s">
        <v>2465</v>
      </c>
      <c r="H2676" t="s">
        <v>805</v>
      </c>
      <c r="I2676">
        <v>74</v>
      </c>
      <c r="J2676">
        <v>0</v>
      </c>
      <c r="K2676">
        <v>0</v>
      </c>
      <c r="L2676">
        <v>7</v>
      </c>
      <c r="M2676">
        <v>7</v>
      </c>
      <c r="N2676">
        <v>0</v>
      </c>
      <c r="O2676">
        <v>60</v>
      </c>
      <c r="P2676" s="44" t="e">
        <f>_xlfn.XLOOKUP(Tabla5[[#This Row],[EAN CORREGIDO]],'Tabla Articulos'!B:B,'Tabla Articulos'!D:D)</f>
        <v>#N/A</v>
      </c>
      <c r="Q2676" s="44" t="e">
        <f>_xlfn.XLOOKUP(S2676,'Tabla Articulos'!B:B,'Tabla Articulos'!E:E)</f>
        <v>#N/A</v>
      </c>
      <c r="R2676" s="44" t="e">
        <f t="shared" si="82"/>
        <v>#N/A</v>
      </c>
      <c r="S2676" s="45" t="str">
        <f t="shared" si="83"/>
        <v>7798016190701</v>
      </c>
    </row>
    <row r="2677" spans="1:19" hidden="1" x14ac:dyDescent="0.35">
      <c r="A2677" s="22">
        <v>2</v>
      </c>
      <c r="B2677" t="s">
        <v>5624</v>
      </c>
      <c r="C2677" t="s">
        <v>802</v>
      </c>
      <c r="D2677" t="s">
        <v>6079</v>
      </c>
      <c r="E2677" t="s">
        <v>6080</v>
      </c>
      <c r="F2677">
        <v>4017952</v>
      </c>
      <c r="G2677" t="s">
        <v>6081</v>
      </c>
      <c r="H2677" t="s">
        <v>805</v>
      </c>
      <c r="I2677">
        <v>18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18</v>
      </c>
      <c r="P2677" s="44" t="e">
        <f>_xlfn.XLOOKUP(Tabla5[[#This Row],[EAN CORREGIDO]],'Tabla Articulos'!B:B,'Tabla Articulos'!D:D)</f>
        <v>#N/A</v>
      </c>
      <c r="Q2677" s="44" t="e">
        <f>_xlfn.XLOOKUP(S2677,'Tabla Articulos'!B:B,'Tabla Articulos'!E:E)</f>
        <v>#N/A</v>
      </c>
      <c r="R2677" s="44" t="e">
        <f t="shared" si="82"/>
        <v>#N/A</v>
      </c>
      <c r="S2677" s="45" t="str">
        <f t="shared" si="83"/>
        <v>7797906001028</v>
      </c>
    </row>
    <row r="2678" spans="1:19" hidden="1" x14ac:dyDescent="0.35">
      <c r="A2678" s="22">
        <v>2</v>
      </c>
      <c r="B2678" t="s">
        <v>5624</v>
      </c>
      <c r="C2678" t="s">
        <v>802</v>
      </c>
      <c r="D2678" t="s">
        <v>5864</v>
      </c>
      <c r="E2678" t="s">
        <v>6382</v>
      </c>
      <c r="F2678">
        <v>4076768</v>
      </c>
      <c r="G2678" t="s">
        <v>6383</v>
      </c>
      <c r="H2678" t="s">
        <v>805</v>
      </c>
      <c r="I2678">
        <v>33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33</v>
      </c>
      <c r="P2678" s="44" t="e">
        <f>_xlfn.XLOOKUP(Tabla5[[#This Row],[EAN CORREGIDO]],'Tabla Articulos'!B:B,'Tabla Articulos'!D:D)</f>
        <v>#N/A</v>
      </c>
      <c r="Q2678" s="44" t="e">
        <f>_xlfn.XLOOKUP(S2678,'Tabla Articulos'!B:B,'Tabla Articulos'!E:E)</f>
        <v>#N/A</v>
      </c>
      <c r="R2678" s="44" t="e">
        <f t="shared" si="82"/>
        <v>#N/A</v>
      </c>
      <c r="S2678" s="45" t="str">
        <f t="shared" si="83"/>
        <v>7790040140929</v>
      </c>
    </row>
    <row r="2679" spans="1:19" hidden="1" x14ac:dyDescent="0.35">
      <c r="A2679" s="22">
        <v>2</v>
      </c>
      <c r="B2679" t="s">
        <v>5624</v>
      </c>
      <c r="C2679" t="s">
        <v>802</v>
      </c>
      <c r="D2679" t="s">
        <v>3579</v>
      </c>
      <c r="E2679" t="s">
        <v>3580</v>
      </c>
      <c r="F2679">
        <v>4019413</v>
      </c>
      <c r="G2679" t="s">
        <v>3581</v>
      </c>
      <c r="H2679" t="s">
        <v>805</v>
      </c>
      <c r="I2679">
        <v>34090</v>
      </c>
      <c r="J2679">
        <v>0</v>
      </c>
      <c r="K2679">
        <v>0</v>
      </c>
      <c r="L2679">
        <v>1419</v>
      </c>
      <c r="M2679">
        <v>1419</v>
      </c>
      <c r="N2679">
        <v>0</v>
      </c>
      <c r="O2679">
        <v>31252</v>
      </c>
      <c r="P2679" s="44" t="e">
        <f>_xlfn.XLOOKUP(Tabla5[[#This Row],[EAN CORREGIDO]],'Tabla Articulos'!B:B,'Tabla Articulos'!D:D)</f>
        <v>#N/A</v>
      </c>
      <c r="Q2679" s="44" t="e">
        <f>_xlfn.XLOOKUP(S2679,'Tabla Articulos'!B:B,'Tabla Articulos'!E:E)</f>
        <v>#N/A</v>
      </c>
      <c r="R2679" s="44" t="e">
        <f t="shared" si="82"/>
        <v>#N/A</v>
      </c>
      <c r="S2679" s="45" t="str">
        <f t="shared" si="83"/>
        <v>47790726000392</v>
      </c>
    </row>
    <row r="2680" spans="1:19" hidden="1" x14ac:dyDescent="0.35">
      <c r="A2680" s="22">
        <v>2</v>
      </c>
      <c r="B2680" t="s">
        <v>5624</v>
      </c>
      <c r="C2680" t="s">
        <v>802</v>
      </c>
      <c r="D2680" t="s">
        <v>363</v>
      </c>
      <c r="E2680" t="s">
        <v>6655</v>
      </c>
      <c r="F2680">
        <v>2016664</v>
      </c>
      <c r="G2680" t="s">
        <v>6656</v>
      </c>
      <c r="H2680" t="s">
        <v>1034</v>
      </c>
      <c r="I2680">
        <v>87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87</v>
      </c>
      <c r="P2680" s="44" t="e">
        <f>_xlfn.XLOOKUP(Tabla5[[#This Row],[EAN CORREGIDO]],'Tabla Articulos'!B:B,'Tabla Articulos'!D:D)</f>
        <v>#N/A</v>
      </c>
      <c r="Q2680" s="44" t="e">
        <f>_xlfn.XLOOKUP(S2680,'Tabla Articulos'!B:B,'Tabla Articulos'!E:E)</f>
        <v>#N/A</v>
      </c>
      <c r="R2680" s="44" t="e">
        <f t="shared" si="82"/>
        <v>#N/A</v>
      </c>
      <c r="S2680" s="45" t="str">
        <f t="shared" si="83"/>
        <v>7790000000802</v>
      </c>
    </row>
    <row r="2681" spans="1:19" hidden="1" x14ac:dyDescent="0.35">
      <c r="A2681" s="22">
        <v>2</v>
      </c>
      <c r="B2681" t="s">
        <v>5624</v>
      </c>
      <c r="C2681" t="s">
        <v>802</v>
      </c>
      <c r="D2681" t="s">
        <v>991</v>
      </c>
      <c r="E2681" t="s">
        <v>5166</v>
      </c>
      <c r="F2681">
        <v>4018351</v>
      </c>
      <c r="G2681" t="s">
        <v>5167</v>
      </c>
      <c r="H2681" t="s">
        <v>816</v>
      </c>
      <c r="I2681">
        <v>3898.9</v>
      </c>
      <c r="J2681">
        <v>0</v>
      </c>
      <c r="K2681">
        <v>0</v>
      </c>
      <c r="L2681">
        <v>156.99600000000001</v>
      </c>
      <c r="M2681">
        <v>156.99600000000001</v>
      </c>
      <c r="N2681">
        <v>0</v>
      </c>
      <c r="O2681">
        <v>3584.9079999999999</v>
      </c>
      <c r="P2681" s="44" t="e">
        <f>_xlfn.XLOOKUP(Tabla5[[#This Row],[EAN CORREGIDO]],'Tabla Articulos'!B:B,'Tabla Articulos'!D:D)</f>
        <v>#N/A</v>
      </c>
      <c r="Q2681" s="44" t="e">
        <f>_xlfn.XLOOKUP(S2681,'Tabla Articulos'!B:B,'Tabla Articulos'!E:E)</f>
        <v>#N/A</v>
      </c>
      <c r="R2681" s="44" t="e">
        <f t="shared" si="82"/>
        <v>#N/A</v>
      </c>
      <c r="S2681" s="45" t="str">
        <f t="shared" si="83"/>
        <v>7790212060879</v>
      </c>
    </row>
    <row r="2682" spans="1:19" hidden="1" x14ac:dyDescent="0.35">
      <c r="A2682" s="22">
        <v>2</v>
      </c>
      <c r="B2682" t="s">
        <v>5624</v>
      </c>
      <c r="C2682" t="s">
        <v>802</v>
      </c>
      <c r="D2682" t="s">
        <v>6502</v>
      </c>
      <c r="E2682" t="s">
        <v>6657</v>
      </c>
      <c r="F2682">
        <v>4023964</v>
      </c>
      <c r="G2682" t="s">
        <v>6658</v>
      </c>
      <c r="H2682" t="s">
        <v>816</v>
      </c>
      <c r="I2682">
        <v>8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8</v>
      </c>
      <c r="P2682" s="44" t="e">
        <f>_xlfn.XLOOKUP(Tabla5[[#This Row],[EAN CORREGIDO]],'Tabla Articulos'!B:B,'Tabla Articulos'!D:D)</f>
        <v>#N/A</v>
      </c>
      <c r="Q2682" s="44" t="e">
        <f>_xlfn.XLOOKUP(S2682,'Tabla Articulos'!B:B,'Tabla Articulos'!E:E)</f>
        <v>#N/A</v>
      </c>
      <c r="R2682" s="44" t="e">
        <f t="shared" si="82"/>
        <v>#N/A</v>
      </c>
      <c r="S2682" s="45" t="str">
        <f t="shared" si="83"/>
        <v>4023964</v>
      </c>
    </row>
    <row r="2683" spans="1:19" hidden="1" x14ac:dyDescent="0.35">
      <c r="A2683" s="22">
        <v>2</v>
      </c>
      <c r="B2683" t="s">
        <v>5624</v>
      </c>
      <c r="C2683" t="s">
        <v>802</v>
      </c>
      <c r="D2683" t="s">
        <v>2124</v>
      </c>
      <c r="E2683" t="s">
        <v>5171</v>
      </c>
      <c r="F2683">
        <v>4020191</v>
      </c>
      <c r="G2683" t="s">
        <v>5172</v>
      </c>
      <c r="H2683" t="s">
        <v>805</v>
      </c>
      <c r="I2683">
        <v>4177</v>
      </c>
      <c r="J2683">
        <v>0</v>
      </c>
      <c r="K2683">
        <v>0</v>
      </c>
      <c r="L2683">
        <v>140</v>
      </c>
      <c r="M2683">
        <v>140</v>
      </c>
      <c r="N2683">
        <v>0</v>
      </c>
      <c r="O2683">
        <v>3897</v>
      </c>
      <c r="P2683" s="44" t="e">
        <f>_xlfn.XLOOKUP(Tabla5[[#This Row],[EAN CORREGIDO]],'Tabla Articulos'!B:B,'Tabla Articulos'!D:D)</f>
        <v>#N/A</v>
      </c>
      <c r="Q2683" s="44" t="e">
        <f>_xlfn.XLOOKUP(S2683,'Tabla Articulos'!B:B,'Tabla Articulos'!E:E)</f>
        <v>#N/A</v>
      </c>
      <c r="R2683" s="44" t="e">
        <f t="shared" si="82"/>
        <v>#N/A</v>
      </c>
      <c r="S2683" s="45" t="str">
        <f t="shared" si="83"/>
        <v>7793875360050</v>
      </c>
    </row>
    <row r="2684" spans="1:19" hidden="1" x14ac:dyDescent="0.35">
      <c r="A2684" s="22">
        <v>2</v>
      </c>
      <c r="B2684" t="s">
        <v>5624</v>
      </c>
      <c r="C2684" t="s">
        <v>802</v>
      </c>
      <c r="D2684" t="s">
        <v>6659</v>
      </c>
      <c r="E2684" t="s">
        <v>6660</v>
      </c>
      <c r="F2684">
        <v>4017411</v>
      </c>
      <c r="G2684" t="s">
        <v>6661</v>
      </c>
      <c r="H2684" t="s">
        <v>805</v>
      </c>
      <c r="I2684">
        <v>392</v>
      </c>
      <c r="J2684">
        <v>0</v>
      </c>
      <c r="K2684">
        <v>0</v>
      </c>
      <c r="L2684">
        <v>24</v>
      </c>
      <c r="M2684">
        <v>24</v>
      </c>
      <c r="N2684">
        <v>0</v>
      </c>
      <c r="O2684">
        <v>344</v>
      </c>
      <c r="P2684" s="44" t="e">
        <f>_xlfn.XLOOKUP(Tabla5[[#This Row],[EAN CORREGIDO]],'Tabla Articulos'!B:B,'Tabla Articulos'!D:D)</f>
        <v>#N/A</v>
      </c>
      <c r="Q2684" s="44" t="e">
        <f>_xlfn.XLOOKUP(S2684,'Tabla Articulos'!B:B,'Tabla Articulos'!E:E)</f>
        <v>#N/A</v>
      </c>
      <c r="R2684" s="44" t="e">
        <f t="shared" si="82"/>
        <v>#N/A</v>
      </c>
      <c r="S2684" s="45" t="str">
        <f t="shared" si="83"/>
        <v>7791813420385</v>
      </c>
    </row>
    <row r="2685" spans="1:19" hidden="1" x14ac:dyDescent="0.35">
      <c r="A2685" s="22">
        <v>2</v>
      </c>
      <c r="B2685" t="s">
        <v>5624</v>
      </c>
      <c r="C2685" t="s">
        <v>802</v>
      </c>
      <c r="D2685" t="s">
        <v>1348</v>
      </c>
      <c r="E2685" t="s">
        <v>1349</v>
      </c>
      <c r="F2685">
        <v>4020554</v>
      </c>
      <c r="G2685" t="s">
        <v>1350</v>
      </c>
      <c r="H2685" t="s">
        <v>805</v>
      </c>
      <c r="I2685">
        <v>174</v>
      </c>
      <c r="J2685">
        <v>0</v>
      </c>
      <c r="K2685">
        <v>0</v>
      </c>
      <c r="L2685">
        <v>24</v>
      </c>
      <c r="M2685">
        <v>24</v>
      </c>
      <c r="N2685">
        <v>0</v>
      </c>
      <c r="O2685">
        <v>126</v>
      </c>
      <c r="P2685" s="44" t="e">
        <f>_xlfn.XLOOKUP(Tabla5[[#This Row],[EAN CORREGIDO]],'Tabla Articulos'!B:B,'Tabla Articulos'!D:D)</f>
        <v>#N/A</v>
      </c>
      <c r="Q2685" s="44" t="e">
        <f>_xlfn.XLOOKUP(S2685,'Tabla Articulos'!B:B,'Tabla Articulos'!E:E)</f>
        <v>#N/A</v>
      </c>
      <c r="R2685" s="44" t="e">
        <f t="shared" si="82"/>
        <v>#N/A</v>
      </c>
      <c r="S2685" s="45" t="str">
        <f t="shared" si="83"/>
        <v>7798011976676</v>
      </c>
    </row>
    <row r="2686" spans="1:19" hidden="1" x14ac:dyDescent="0.35">
      <c r="A2686" s="22">
        <v>2</v>
      </c>
      <c r="B2686" t="s">
        <v>5624</v>
      </c>
      <c r="C2686" t="s">
        <v>802</v>
      </c>
      <c r="D2686" t="s">
        <v>5776</v>
      </c>
      <c r="E2686" t="s">
        <v>5777</v>
      </c>
      <c r="F2686">
        <v>4017457</v>
      </c>
      <c r="G2686" t="s">
        <v>5778</v>
      </c>
      <c r="H2686" t="s">
        <v>805</v>
      </c>
      <c r="I2686">
        <v>50</v>
      </c>
      <c r="J2686">
        <v>0</v>
      </c>
      <c r="K2686">
        <v>0</v>
      </c>
      <c r="L2686">
        <v>12</v>
      </c>
      <c r="M2686">
        <v>12</v>
      </c>
      <c r="N2686">
        <v>0</v>
      </c>
      <c r="O2686">
        <v>26</v>
      </c>
      <c r="P2686" s="44" t="e">
        <f>_xlfn.XLOOKUP(Tabla5[[#This Row],[EAN CORREGIDO]],'Tabla Articulos'!B:B,'Tabla Articulos'!D:D)</f>
        <v>#N/A</v>
      </c>
      <c r="Q2686" s="44" t="e">
        <f>_xlfn.XLOOKUP(S2686,'Tabla Articulos'!B:B,'Tabla Articulos'!E:E)</f>
        <v>#N/A</v>
      </c>
      <c r="R2686" s="44" t="e">
        <f t="shared" si="82"/>
        <v>#N/A</v>
      </c>
      <c r="S2686" s="45" t="str">
        <f t="shared" si="83"/>
        <v>7790670050681</v>
      </c>
    </row>
    <row r="2687" spans="1:19" hidden="1" x14ac:dyDescent="0.35">
      <c r="A2687" s="22">
        <v>2</v>
      </c>
      <c r="B2687" t="s">
        <v>5624</v>
      </c>
      <c r="C2687" t="s">
        <v>802</v>
      </c>
      <c r="D2687" t="s">
        <v>2143</v>
      </c>
      <c r="E2687" t="s">
        <v>5175</v>
      </c>
      <c r="F2687">
        <v>4020627</v>
      </c>
      <c r="G2687" t="s">
        <v>5176</v>
      </c>
      <c r="H2687" t="s">
        <v>805</v>
      </c>
      <c r="I2687">
        <v>9240</v>
      </c>
      <c r="J2687">
        <v>2000</v>
      </c>
      <c r="K2687">
        <v>0</v>
      </c>
      <c r="L2687">
        <v>177</v>
      </c>
      <c r="M2687">
        <v>177</v>
      </c>
      <c r="N2687">
        <v>0</v>
      </c>
      <c r="O2687">
        <v>10886</v>
      </c>
      <c r="P2687" s="44" t="e">
        <f>_xlfn.XLOOKUP(Tabla5[[#This Row],[EAN CORREGIDO]],'Tabla Articulos'!B:B,'Tabla Articulos'!D:D)</f>
        <v>#N/A</v>
      </c>
      <c r="Q2687" s="44" t="e">
        <f>_xlfn.XLOOKUP(S2687,'Tabla Articulos'!B:B,'Tabla Articulos'!E:E)</f>
        <v>#N/A</v>
      </c>
      <c r="R2687" s="44" t="e">
        <f t="shared" si="82"/>
        <v>#N/A</v>
      </c>
      <c r="S2687" s="45" t="str">
        <f t="shared" si="83"/>
        <v>7793875360074</v>
      </c>
    </row>
    <row r="2688" spans="1:19" hidden="1" x14ac:dyDescent="0.35">
      <c r="A2688" s="22">
        <v>2</v>
      </c>
      <c r="B2688" t="s">
        <v>5624</v>
      </c>
      <c r="C2688" t="s">
        <v>802</v>
      </c>
      <c r="D2688" t="s">
        <v>1025</v>
      </c>
      <c r="E2688" t="s">
        <v>2064</v>
      </c>
      <c r="F2688">
        <v>4077140</v>
      </c>
      <c r="G2688" t="s">
        <v>2065</v>
      </c>
      <c r="H2688" t="s">
        <v>805</v>
      </c>
      <c r="I2688">
        <v>2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2</v>
      </c>
      <c r="P2688" s="44" t="e">
        <f>_xlfn.XLOOKUP(Tabla5[[#This Row],[EAN CORREGIDO]],'Tabla Articulos'!B:B,'Tabla Articulos'!D:D)</f>
        <v>#N/A</v>
      </c>
      <c r="Q2688" s="44" t="e">
        <f>_xlfn.XLOOKUP(S2688,'Tabla Articulos'!B:B,'Tabla Articulos'!E:E)</f>
        <v>#N/A</v>
      </c>
      <c r="R2688" s="44" t="e">
        <f t="shared" si="82"/>
        <v>#N/A</v>
      </c>
      <c r="S2688" s="45" t="str">
        <f t="shared" si="83"/>
        <v>17792180007022</v>
      </c>
    </row>
    <row r="2689" spans="1:19" hidden="1" x14ac:dyDescent="0.35">
      <c r="A2689" s="22">
        <v>2</v>
      </c>
      <c r="B2689" t="s">
        <v>5624</v>
      </c>
      <c r="C2689" t="s">
        <v>802</v>
      </c>
      <c r="D2689" t="s">
        <v>4615</v>
      </c>
      <c r="E2689" t="s">
        <v>4616</v>
      </c>
      <c r="F2689">
        <v>4019213</v>
      </c>
      <c r="G2689" t="s">
        <v>4617</v>
      </c>
      <c r="H2689" t="s">
        <v>805</v>
      </c>
      <c r="I2689">
        <v>439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439</v>
      </c>
      <c r="P2689" s="44" t="e">
        <f>_xlfn.XLOOKUP(Tabla5[[#This Row],[EAN CORREGIDO]],'Tabla Articulos'!B:B,'Tabla Articulos'!D:D)</f>
        <v>#N/A</v>
      </c>
      <c r="Q2689" s="44" t="e">
        <f>_xlfn.XLOOKUP(S2689,'Tabla Articulos'!B:B,'Tabla Articulos'!E:E)</f>
        <v>#N/A</v>
      </c>
      <c r="R2689" s="44" t="e">
        <f t="shared" ref="R2689:R2752" si="84">O2689*Q2689</f>
        <v>#N/A</v>
      </c>
      <c r="S2689" s="45" t="str">
        <f t="shared" ref="S2689:S2752" si="85">TRIM(E2689)</f>
        <v>7790580697303</v>
      </c>
    </row>
    <row r="2690" spans="1:19" hidden="1" x14ac:dyDescent="0.35">
      <c r="A2690" s="22">
        <v>2</v>
      </c>
      <c r="B2690" t="s">
        <v>5624</v>
      </c>
      <c r="C2690" t="s">
        <v>802</v>
      </c>
      <c r="D2690" t="s">
        <v>6557</v>
      </c>
      <c r="E2690" t="s">
        <v>6558</v>
      </c>
      <c r="F2690">
        <v>4018923</v>
      </c>
      <c r="G2690" t="s">
        <v>6559</v>
      </c>
      <c r="H2690" t="s">
        <v>805</v>
      </c>
      <c r="I2690">
        <v>5808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5808</v>
      </c>
      <c r="P2690" s="44" t="e">
        <f>_xlfn.XLOOKUP(Tabla5[[#This Row],[EAN CORREGIDO]],'Tabla Articulos'!B:B,'Tabla Articulos'!D:D)</f>
        <v>#N/A</v>
      </c>
      <c r="Q2690" s="44" t="e">
        <f>_xlfn.XLOOKUP(S2690,'Tabla Articulos'!B:B,'Tabla Articulos'!E:E)</f>
        <v>#N/A</v>
      </c>
      <c r="R2690" s="44" t="e">
        <f t="shared" si="84"/>
        <v>#N/A</v>
      </c>
      <c r="S2690" s="45" t="str">
        <f t="shared" si="85"/>
        <v>7798004240111</v>
      </c>
    </row>
    <row r="2691" spans="1:19" hidden="1" x14ac:dyDescent="0.35">
      <c r="A2691" s="22">
        <v>2</v>
      </c>
      <c r="B2691" t="s">
        <v>5624</v>
      </c>
      <c r="C2691" t="s">
        <v>802</v>
      </c>
      <c r="D2691" t="s">
        <v>351</v>
      </c>
      <c r="E2691" t="s">
        <v>6694</v>
      </c>
      <c r="F2691">
        <v>2007577</v>
      </c>
      <c r="G2691" t="s">
        <v>6695</v>
      </c>
      <c r="H2691" t="s">
        <v>805</v>
      </c>
      <c r="I2691">
        <v>10</v>
      </c>
      <c r="J2691">
        <v>100</v>
      </c>
      <c r="K2691">
        <v>0</v>
      </c>
      <c r="L2691">
        <v>0</v>
      </c>
      <c r="M2691">
        <v>0</v>
      </c>
      <c r="N2691">
        <v>0</v>
      </c>
      <c r="O2691">
        <v>110</v>
      </c>
      <c r="P2691" s="44" t="str">
        <f>_xlfn.XLOOKUP(Tabla5[[#This Row],[EAN CORREGIDO]],'Tabla Articulos'!B:B,'Tabla Articulos'!D:D)</f>
        <v>TENEDOR COMPOSTABLE</v>
      </c>
      <c r="Q2691" s="44">
        <f>_xlfn.XLOOKUP(S2691,'Tabla Articulos'!B:B,'Tabla Articulos'!E:E)</f>
        <v>100</v>
      </c>
      <c r="R2691" s="44">
        <f t="shared" si="84"/>
        <v>11000</v>
      </c>
      <c r="S2691" s="45" t="str">
        <f t="shared" si="85"/>
        <v>7790000000523</v>
      </c>
    </row>
    <row r="2692" spans="1:19" hidden="1" x14ac:dyDescent="0.35">
      <c r="A2692" s="22">
        <v>2</v>
      </c>
      <c r="B2692" t="s">
        <v>5624</v>
      </c>
      <c r="C2692" t="s">
        <v>802</v>
      </c>
      <c r="D2692" t="s">
        <v>6696</v>
      </c>
      <c r="E2692" t="s">
        <v>6697</v>
      </c>
      <c r="F2692">
        <v>4018379</v>
      </c>
      <c r="G2692" t="s">
        <v>6698</v>
      </c>
      <c r="H2692" t="s">
        <v>816</v>
      </c>
      <c r="I2692">
        <v>19.420000000000002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19.420000000000002</v>
      </c>
      <c r="P2692" s="44" t="e">
        <f>_xlfn.XLOOKUP(Tabla5[[#This Row],[EAN CORREGIDO]],'Tabla Articulos'!B:B,'Tabla Articulos'!D:D)</f>
        <v>#N/A</v>
      </c>
      <c r="Q2692" s="44" t="e">
        <f>_xlfn.XLOOKUP(S2692,'Tabla Articulos'!B:B,'Tabla Articulos'!E:E)</f>
        <v>#N/A</v>
      </c>
      <c r="R2692" s="44" t="e">
        <f t="shared" si="84"/>
        <v>#N/A</v>
      </c>
      <c r="S2692" s="45" t="str">
        <f t="shared" si="85"/>
        <v>7790212060893</v>
      </c>
    </row>
    <row r="2693" spans="1:19" hidden="1" x14ac:dyDescent="0.35">
      <c r="A2693" s="22">
        <v>2</v>
      </c>
      <c r="B2693" t="s">
        <v>5624</v>
      </c>
      <c r="C2693" t="s">
        <v>802</v>
      </c>
      <c r="D2693" t="s">
        <v>2613</v>
      </c>
      <c r="E2693" t="s">
        <v>5331</v>
      </c>
      <c r="F2693">
        <v>4018036</v>
      </c>
      <c r="G2693" t="s">
        <v>5332</v>
      </c>
      <c r="H2693" t="s">
        <v>816</v>
      </c>
      <c r="I2693">
        <v>1746.65</v>
      </c>
      <c r="J2693">
        <v>0</v>
      </c>
      <c r="K2693">
        <v>0</v>
      </c>
      <c r="L2693">
        <v>136.69999999999999</v>
      </c>
      <c r="M2693">
        <v>136.69999999999999</v>
      </c>
      <c r="N2693">
        <v>0</v>
      </c>
      <c r="O2693">
        <v>1473.25</v>
      </c>
      <c r="P2693" s="44" t="e">
        <f>_xlfn.XLOOKUP(Tabla5[[#This Row],[EAN CORREGIDO]],'Tabla Articulos'!B:B,'Tabla Articulos'!D:D)</f>
        <v>#N/A</v>
      </c>
      <c r="Q2693" s="44" t="e">
        <f>_xlfn.XLOOKUP(S2693,'Tabla Articulos'!B:B,'Tabla Articulos'!E:E)</f>
        <v>#N/A</v>
      </c>
      <c r="R2693" s="44" t="e">
        <f t="shared" si="84"/>
        <v>#N/A</v>
      </c>
      <c r="S2693" s="45" t="str">
        <f t="shared" si="85"/>
        <v>7790216020080</v>
      </c>
    </row>
    <row r="2694" spans="1:19" hidden="1" x14ac:dyDescent="0.35">
      <c r="A2694" s="22">
        <v>2</v>
      </c>
      <c r="B2694" t="s">
        <v>5624</v>
      </c>
      <c r="C2694" t="s">
        <v>802</v>
      </c>
      <c r="D2694" t="s">
        <v>375</v>
      </c>
      <c r="E2694" t="s">
        <v>6714</v>
      </c>
      <c r="F2694">
        <v>2006432</v>
      </c>
      <c r="G2694" t="s">
        <v>6715</v>
      </c>
      <c r="H2694" t="s">
        <v>805</v>
      </c>
      <c r="I2694">
        <v>65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65</v>
      </c>
      <c r="P2694" s="44" t="str">
        <f>_xlfn.XLOOKUP(Tabla5[[#This Row],[EAN CORREGIDO]],'Tabla Articulos'!B:B,'Tabla Articulos'!D:D)</f>
        <v>BASE ENSALADERA CRISTAL</v>
      </c>
      <c r="Q2694" s="44">
        <f>_xlfn.XLOOKUP(S2694,'Tabla Articulos'!B:B,'Tabla Articulos'!E:E)</f>
        <v>600</v>
      </c>
      <c r="R2694" s="44">
        <f t="shared" si="84"/>
        <v>39000</v>
      </c>
      <c r="S2694" s="45" t="str">
        <f t="shared" si="85"/>
        <v>105445B</v>
      </c>
    </row>
    <row r="2695" spans="1:19" hidden="1" x14ac:dyDescent="0.35">
      <c r="A2695" s="22">
        <v>2</v>
      </c>
      <c r="B2695" t="s">
        <v>5624</v>
      </c>
      <c r="C2695" t="s">
        <v>802</v>
      </c>
      <c r="D2695" t="s">
        <v>4051</v>
      </c>
      <c r="E2695" t="s">
        <v>5416</v>
      </c>
      <c r="F2695">
        <v>4023248</v>
      </c>
      <c r="G2695" t="s">
        <v>5417</v>
      </c>
      <c r="H2695" t="s">
        <v>805</v>
      </c>
      <c r="I2695">
        <v>55</v>
      </c>
      <c r="J2695">
        <v>0</v>
      </c>
      <c r="K2695">
        <v>0</v>
      </c>
      <c r="L2695">
        <v>0</v>
      </c>
      <c r="M2695">
        <v>0</v>
      </c>
      <c r="N2695">
        <v>28</v>
      </c>
      <c r="O2695">
        <v>27</v>
      </c>
      <c r="P2695" s="44" t="e">
        <f>_xlfn.XLOOKUP(Tabla5[[#This Row],[EAN CORREGIDO]],'Tabla Articulos'!B:B,'Tabla Articulos'!D:D)</f>
        <v>#N/A</v>
      </c>
      <c r="Q2695" s="44" t="e">
        <f>_xlfn.XLOOKUP(S2695,'Tabla Articulos'!B:B,'Tabla Articulos'!E:E)</f>
        <v>#N/A</v>
      </c>
      <c r="R2695" s="44" t="e">
        <f t="shared" si="84"/>
        <v>#N/A</v>
      </c>
      <c r="S2695" s="45" t="str">
        <f t="shared" si="85"/>
        <v>7797906054482</v>
      </c>
    </row>
    <row r="2696" spans="1:19" hidden="1" x14ac:dyDescent="0.35">
      <c r="A2696" s="22">
        <v>2</v>
      </c>
      <c r="B2696" t="s">
        <v>5624</v>
      </c>
      <c r="C2696" t="s">
        <v>802</v>
      </c>
      <c r="D2696" t="s">
        <v>977</v>
      </c>
      <c r="E2696" t="s">
        <v>5420</v>
      </c>
      <c r="F2696">
        <v>4017756</v>
      </c>
      <c r="G2696" t="s">
        <v>5421</v>
      </c>
      <c r="H2696" t="s">
        <v>816</v>
      </c>
      <c r="I2696">
        <v>622.47</v>
      </c>
      <c r="J2696">
        <v>0</v>
      </c>
      <c r="K2696">
        <v>0</v>
      </c>
      <c r="L2696">
        <v>65.7</v>
      </c>
      <c r="M2696">
        <v>65.7</v>
      </c>
      <c r="N2696">
        <v>0</v>
      </c>
      <c r="O2696">
        <v>491.07</v>
      </c>
      <c r="P2696" s="44" t="e">
        <f>_xlfn.XLOOKUP(Tabla5[[#This Row],[EAN CORREGIDO]],'Tabla Articulos'!B:B,'Tabla Articulos'!D:D)</f>
        <v>#N/A</v>
      </c>
      <c r="Q2696" s="44" t="e">
        <f>_xlfn.XLOOKUP(S2696,'Tabla Articulos'!B:B,'Tabla Articulos'!E:E)</f>
        <v>#N/A</v>
      </c>
      <c r="R2696" s="44" t="e">
        <f t="shared" si="84"/>
        <v>#N/A</v>
      </c>
      <c r="S2696" s="45" t="str">
        <f t="shared" si="85"/>
        <v>7798256423459</v>
      </c>
    </row>
    <row r="2697" spans="1:19" hidden="1" x14ac:dyDescent="0.35">
      <c r="A2697" s="22">
        <v>2</v>
      </c>
      <c r="B2697" t="s">
        <v>5624</v>
      </c>
      <c r="C2697" t="s">
        <v>802</v>
      </c>
      <c r="D2697" t="s">
        <v>5422</v>
      </c>
      <c r="E2697" t="s">
        <v>5423</v>
      </c>
      <c r="F2697">
        <v>4022365</v>
      </c>
      <c r="G2697" t="s">
        <v>5424</v>
      </c>
      <c r="H2697" t="s">
        <v>805</v>
      </c>
      <c r="I2697">
        <v>122</v>
      </c>
      <c r="J2697">
        <v>0</v>
      </c>
      <c r="K2697">
        <v>0</v>
      </c>
      <c r="L2697">
        <v>3</v>
      </c>
      <c r="M2697">
        <v>3</v>
      </c>
      <c r="N2697">
        <v>0</v>
      </c>
      <c r="O2697">
        <v>116</v>
      </c>
      <c r="P2697" s="44" t="e">
        <f>_xlfn.XLOOKUP(Tabla5[[#This Row],[EAN CORREGIDO]],'Tabla Articulos'!B:B,'Tabla Articulos'!D:D)</f>
        <v>#N/A</v>
      </c>
      <c r="Q2697" s="44" t="e">
        <f>_xlfn.XLOOKUP(S2697,'Tabla Articulos'!B:B,'Tabla Articulos'!E:E)</f>
        <v>#N/A</v>
      </c>
      <c r="R2697" s="44" t="e">
        <f t="shared" si="84"/>
        <v>#N/A</v>
      </c>
      <c r="S2697" s="45" t="str">
        <f t="shared" si="85"/>
        <v>724751080226</v>
      </c>
    </row>
    <row r="2698" spans="1:19" hidden="1" x14ac:dyDescent="0.35">
      <c r="A2698" s="22">
        <v>2</v>
      </c>
      <c r="B2698" t="s">
        <v>5624</v>
      </c>
      <c r="C2698" t="s">
        <v>802</v>
      </c>
      <c r="D2698" t="s">
        <v>3384</v>
      </c>
      <c r="E2698" t="s">
        <v>5427</v>
      </c>
      <c r="F2698">
        <v>4076726</v>
      </c>
      <c r="G2698" t="s">
        <v>5428</v>
      </c>
      <c r="H2698" t="s">
        <v>805</v>
      </c>
      <c r="I2698">
        <v>3642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3642</v>
      </c>
      <c r="P2698" s="44" t="e">
        <f>_xlfn.XLOOKUP(Tabla5[[#This Row],[EAN CORREGIDO]],'Tabla Articulos'!B:B,'Tabla Articulos'!D:D)</f>
        <v>#N/A</v>
      </c>
      <c r="Q2698" s="44" t="e">
        <f>_xlfn.XLOOKUP(S2698,'Tabla Articulos'!B:B,'Tabla Articulos'!E:E)</f>
        <v>#N/A</v>
      </c>
      <c r="R2698" s="44" t="e">
        <f t="shared" si="84"/>
        <v>#N/A</v>
      </c>
      <c r="S2698" s="45" t="str">
        <f t="shared" si="85"/>
        <v>7796236000961</v>
      </c>
    </row>
    <row r="2699" spans="1:19" hidden="1" x14ac:dyDescent="0.35">
      <c r="A2699" s="22">
        <v>2</v>
      </c>
      <c r="B2699" t="s">
        <v>5624</v>
      </c>
      <c r="C2699" t="s">
        <v>802</v>
      </c>
      <c r="D2699" t="s">
        <v>6459</v>
      </c>
      <c r="E2699" t="s">
        <v>6460</v>
      </c>
      <c r="F2699">
        <v>4018031</v>
      </c>
      <c r="G2699" t="s">
        <v>6461</v>
      </c>
      <c r="H2699" t="s">
        <v>805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</v>
      </c>
      <c r="P2699" s="44" t="e">
        <f>_xlfn.XLOOKUP(Tabla5[[#This Row],[EAN CORREGIDO]],'Tabla Articulos'!B:B,'Tabla Articulos'!D:D)</f>
        <v>#N/A</v>
      </c>
      <c r="Q2699" s="44" t="e">
        <f>_xlfn.XLOOKUP(S2699,'Tabla Articulos'!B:B,'Tabla Articulos'!E:E)</f>
        <v>#N/A</v>
      </c>
      <c r="R2699" s="44" t="e">
        <f t="shared" si="84"/>
        <v>#N/A</v>
      </c>
      <c r="S2699" s="45" t="str">
        <f t="shared" si="85"/>
        <v>7790216012622</v>
      </c>
    </row>
    <row r="2700" spans="1:19" hidden="1" x14ac:dyDescent="0.35">
      <c r="A2700" s="22">
        <v>2</v>
      </c>
      <c r="B2700" t="s">
        <v>5624</v>
      </c>
      <c r="C2700" t="s">
        <v>802</v>
      </c>
      <c r="D2700" t="s">
        <v>1363</v>
      </c>
      <c r="E2700" t="s">
        <v>6462</v>
      </c>
      <c r="F2700">
        <v>4024265</v>
      </c>
      <c r="G2700" t="s">
        <v>6463</v>
      </c>
      <c r="H2700" t="s">
        <v>805</v>
      </c>
      <c r="I2700">
        <v>9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9</v>
      </c>
      <c r="P2700" s="44" t="e">
        <f>_xlfn.XLOOKUP(Tabla5[[#This Row],[EAN CORREGIDO]],'Tabla Articulos'!B:B,'Tabla Articulos'!D:D)</f>
        <v>#N/A</v>
      </c>
      <c r="Q2700" s="44" t="e">
        <f>_xlfn.XLOOKUP(S2700,'Tabla Articulos'!B:B,'Tabla Articulos'!E:E)</f>
        <v>#N/A</v>
      </c>
      <c r="R2700" s="44" t="e">
        <f t="shared" si="84"/>
        <v>#N/A</v>
      </c>
      <c r="S2700" s="45" t="str">
        <f t="shared" si="85"/>
        <v>7793875321327</v>
      </c>
    </row>
    <row r="2701" spans="1:19" hidden="1" x14ac:dyDescent="0.35">
      <c r="A2701" s="22">
        <v>2</v>
      </c>
      <c r="B2701" t="s">
        <v>5624</v>
      </c>
      <c r="C2701" t="s">
        <v>802</v>
      </c>
      <c r="D2701" t="s">
        <v>4044</v>
      </c>
      <c r="E2701" t="s">
        <v>4045</v>
      </c>
      <c r="F2701">
        <v>4020380</v>
      </c>
      <c r="G2701" t="s">
        <v>4046</v>
      </c>
      <c r="H2701" t="s">
        <v>805</v>
      </c>
      <c r="I2701">
        <v>51</v>
      </c>
      <c r="J2701">
        <v>0</v>
      </c>
      <c r="K2701">
        <v>0</v>
      </c>
      <c r="L2701">
        <v>15</v>
      </c>
      <c r="M2701">
        <v>15</v>
      </c>
      <c r="N2701">
        <v>0</v>
      </c>
      <c r="O2701">
        <v>21</v>
      </c>
      <c r="P2701" s="44" t="e">
        <f>_xlfn.XLOOKUP(Tabla5[[#This Row],[EAN CORREGIDO]],'Tabla Articulos'!B:B,'Tabla Articulos'!D:D)</f>
        <v>#N/A</v>
      </c>
      <c r="Q2701" s="44" t="e">
        <f>_xlfn.XLOOKUP(S2701,'Tabla Articulos'!B:B,'Tabla Articulos'!E:E)</f>
        <v>#N/A</v>
      </c>
      <c r="R2701" s="44" t="e">
        <f t="shared" si="84"/>
        <v>#N/A</v>
      </c>
      <c r="S2701" s="45" t="str">
        <f t="shared" si="85"/>
        <v>7798011976690</v>
      </c>
    </row>
    <row r="2702" spans="1:19" hidden="1" x14ac:dyDescent="0.35">
      <c r="A2702" s="22">
        <v>2</v>
      </c>
      <c r="B2702" t="s">
        <v>5624</v>
      </c>
      <c r="C2702" t="s">
        <v>802</v>
      </c>
      <c r="D2702" t="s">
        <v>2522</v>
      </c>
      <c r="E2702" t="s">
        <v>4054</v>
      </c>
      <c r="F2702">
        <v>4020530</v>
      </c>
      <c r="G2702" t="s">
        <v>4055</v>
      </c>
      <c r="H2702" t="s">
        <v>805</v>
      </c>
      <c r="I2702">
        <v>3249</v>
      </c>
      <c r="J2702">
        <v>0</v>
      </c>
      <c r="K2702">
        <v>0</v>
      </c>
      <c r="L2702">
        <v>45</v>
      </c>
      <c r="M2702">
        <v>45</v>
      </c>
      <c r="N2702">
        <v>0</v>
      </c>
      <c r="O2702">
        <v>3159</v>
      </c>
      <c r="P2702" s="44" t="e">
        <f>_xlfn.XLOOKUP(Tabla5[[#This Row],[EAN CORREGIDO]],'Tabla Articulos'!B:B,'Tabla Articulos'!D:D)</f>
        <v>#N/A</v>
      </c>
      <c r="Q2702" s="44" t="e">
        <f>_xlfn.XLOOKUP(S2702,'Tabla Articulos'!B:B,'Tabla Articulos'!E:E)</f>
        <v>#N/A</v>
      </c>
      <c r="R2702" s="44" t="e">
        <f t="shared" si="84"/>
        <v>#N/A</v>
      </c>
      <c r="S2702" s="45" t="str">
        <f t="shared" si="85"/>
        <v>7798156760024</v>
      </c>
    </row>
    <row r="2703" spans="1:19" hidden="1" x14ac:dyDescent="0.35">
      <c r="A2703" s="22">
        <v>2</v>
      </c>
      <c r="B2703" t="s">
        <v>5624</v>
      </c>
      <c r="C2703" t="s">
        <v>802</v>
      </c>
      <c r="D2703" t="s">
        <v>5661</v>
      </c>
      <c r="E2703" t="s">
        <v>5662</v>
      </c>
      <c r="F2703">
        <v>4019010</v>
      </c>
      <c r="G2703" t="s">
        <v>5663</v>
      </c>
      <c r="H2703" t="s">
        <v>805</v>
      </c>
      <c r="I2703">
        <v>16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16</v>
      </c>
      <c r="P2703" s="44" t="e">
        <f>_xlfn.XLOOKUP(Tabla5[[#This Row],[EAN CORREGIDO]],'Tabla Articulos'!B:B,'Tabla Articulos'!D:D)</f>
        <v>#N/A</v>
      </c>
      <c r="Q2703" s="44" t="e">
        <f>_xlfn.XLOOKUP(S2703,'Tabla Articulos'!B:B,'Tabla Articulos'!E:E)</f>
        <v>#N/A</v>
      </c>
      <c r="R2703" s="44" t="e">
        <f t="shared" si="84"/>
        <v>#N/A</v>
      </c>
      <c r="S2703" s="45" t="str">
        <f t="shared" si="85"/>
        <v>7790580468002</v>
      </c>
    </row>
    <row r="2704" spans="1:19" hidden="1" x14ac:dyDescent="0.35">
      <c r="A2704" s="22">
        <v>2</v>
      </c>
      <c r="B2704" t="s">
        <v>5624</v>
      </c>
      <c r="C2704" t="s">
        <v>802</v>
      </c>
      <c r="D2704" t="s">
        <v>950</v>
      </c>
      <c r="E2704" t="s">
        <v>951</v>
      </c>
      <c r="F2704">
        <v>4048893</v>
      </c>
      <c r="G2704" t="s">
        <v>952</v>
      </c>
      <c r="H2704" t="s">
        <v>805</v>
      </c>
      <c r="I2704">
        <v>337</v>
      </c>
      <c r="J2704">
        <v>0</v>
      </c>
      <c r="K2704">
        <v>0</v>
      </c>
      <c r="L2704">
        <v>13</v>
      </c>
      <c r="M2704">
        <v>13</v>
      </c>
      <c r="N2704">
        <v>0</v>
      </c>
      <c r="O2704">
        <v>311</v>
      </c>
      <c r="P2704" s="44" t="e">
        <f>_xlfn.XLOOKUP(Tabla5[[#This Row],[EAN CORREGIDO]],'Tabla Articulos'!B:B,'Tabla Articulos'!D:D)</f>
        <v>#N/A</v>
      </c>
      <c r="Q2704" s="44" t="e">
        <f>_xlfn.XLOOKUP(S2704,'Tabla Articulos'!B:B,'Tabla Articulos'!E:E)</f>
        <v>#N/A</v>
      </c>
      <c r="R2704" s="44" t="e">
        <f t="shared" si="84"/>
        <v>#N/A</v>
      </c>
      <c r="S2704" s="45" t="str">
        <f t="shared" si="85"/>
        <v>7790787150632</v>
      </c>
    </row>
    <row r="2705" spans="1:19" hidden="1" x14ac:dyDescent="0.35">
      <c r="A2705" s="22">
        <v>2</v>
      </c>
      <c r="B2705" t="s">
        <v>5624</v>
      </c>
      <c r="C2705" t="s">
        <v>802</v>
      </c>
      <c r="D2705" t="s">
        <v>218</v>
      </c>
      <c r="E2705" t="s">
        <v>953</v>
      </c>
      <c r="F2705">
        <v>2016626</v>
      </c>
      <c r="G2705" t="s">
        <v>482</v>
      </c>
      <c r="H2705" t="s">
        <v>805</v>
      </c>
      <c r="I2705">
        <v>95</v>
      </c>
      <c r="J2705">
        <v>0</v>
      </c>
      <c r="K2705">
        <v>0</v>
      </c>
      <c r="L2705">
        <v>24</v>
      </c>
      <c r="M2705">
        <v>24</v>
      </c>
      <c r="N2705">
        <v>0</v>
      </c>
      <c r="O2705">
        <v>47</v>
      </c>
      <c r="P2705" s="44" t="str">
        <f>_xlfn.XLOOKUP(Tabla5[[#This Row],[EAN CORREGIDO]],'Tabla Articulos'!B:B,'Tabla Articulos'!D:D)</f>
        <v>SERVILLETA 30X30 S/LOGO</v>
      </c>
      <c r="Q2705" s="44">
        <f>_xlfn.XLOOKUP(S2705,'Tabla Articulos'!B:B,'Tabla Articulos'!E:E)</f>
        <v>1000</v>
      </c>
      <c r="R2705" s="44">
        <f t="shared" si="84"/>
        <v>47000</v>
      </c>
      <c r="S2705" s="45" t="str">
        <f t="shared" si="85"/>
        <v>7798188651727</v>
      </c>
    </row>
    <row r="2706" spans="1:19" hidden="1" x14ac:dyDescent="0.35">
      <c r="A2706" s="22">
        <v>2</v>
      </c>
      <c r="B2706" t="s">
        <v>5624</v>
      </c>
      <c r="C2706" t="s">
        <v>802</v>
      </c>
      <c r="D2706" t="s">
        <v>1252</v>
      </c>
      <c r="E2706" t="s">
        <v>3857</v>
      </c>
      <c r="F2706">
        <v>4024758</v>
      </c>
      <c r="G2706" t="s">
        <v>3858</v>
      </c>
      <c r="H2706" t="s">
        <v>805</v>
      </c>
      <c r="I2706">
        <v>4</v>
      </c>
      <c r="J2706">
        <v>0</v>
      </c>
      <c r="K2706">
        <v>0</v>
      </c>
      <c r="L2706">
        <v>2</v>
      </c>
      <c r="M2706">
        <v>2</v>
      </c>
      <c r="N2706">
        <v>0</v>
      </c>
      <c r="O2706">
        <v>0</v>
      </c>
      <c r="P2706" s="44" t="e">
        <f>_xlfn.XLOOKUP(Tabla5[[#This Row],[EAN CORREGIDO]],'Tabla Articulos'!B:B,'Tabla Articulos'!D:D)</f>
        <v>#N/A</v>
      </c>
      <c r="Q2706" s="44" t="e">
        <f>_xlfn.XLOOKUP(S2706,'Tabla Articulos'!B:B,'Tabla Articulos'!E:E)</f>
        <v>#N/A</v>
      </c>
      <c r="R2706" s="44" t="e">
        <f t="shared" si="84"/>
        <v>#N/A</v>
      </c>
      <c r="S2706" s="45" t="str">
        <f t="shared" si="85"/>
        <v>17792180006117</v>
      </c>
    </row>
    <row r="2707" spans="1:19" hidden="1" x14ac:dyDescent="0.35">
      <c r="A2707" s="22">
        <v>2</v>
      </c>
      <c r="B2707" t="s">
        <v>5624</v>
      </c>
      <c r="C2707" t="s">
        <v>802</v>
      </c>
      <c r="D2707" t="s">
        <v>75</v>
      </c>
      <c r="E2707" t="s">
        <v>870</v>
      </c>
      <c r="F2707">
        <v>2006652</v>
      </c>
      <c r="G2707" t="s">
        <v>871</v>
      </c>
      <c r="H2707" t="s">
        <v>805</v>
      </c>
      <c r="I2707">
        <v>105</v>
      </c>
      <c r="J2707">
        <v>0</v>
      </c>
      <c r="K2707">
        <v>0</v>
      </c>
      <c r="L2707">
        <v>48</v>
      </c>
      <c r="M2707">
        <v>48</v>
      </c>
      <c r="N2707">
        <v>0</v>
      </c>
      <c r="O2707">
        <v>9</v>
      </c>
      <c r="P2707" s="44" t="str">
        <f>_xlfn.XLOOKUP(Tabla5[[#This Row],[EAN CORREGIDO]],'Tabla Articulos'!B:B,'Tabla Articulos'!D:D)</f>
        <v>TAPA 102</v>
      </c>
      <c r="Q2707" s="44">
        <f>_xlfn.XLOOKUP(S2707,'Tabla Articulos'!B:B,'Tabla Articulos'!E:E)</f>
        <v>50</v>
      </c>
      <c r="R2707" s="44">
        <f t="shared" si="84"/>
        <v>450</v>
      </c>
      <c r="S2707" s="45" t="str">
        <f t="shared" si="85"/>
        <v>7790321020266</v>
      </c>
    </row>
    <row r="2708" spans="1:19" hidden="1" x14ac:dyDescent="0.35">
      <c r="A2708" s="22">
        <v>2</v>
      </c>
      <c r="B2708" t="s">
        <v>5624</v>
      </c>
      <c r="C2708" t="s">
        <v>802</v>
      </c>
      <c r="D2708" t="s">
        <v>5647</v>
      </c>
      <c r="E2708" t="s">
        <v>5648</v>
      </c>
      <c r="F2708">
        <v>5002915</v>
      </c>
      <c r="G2708" t="s">
        <v>5649</v>
      </c>
      <c r="H2708" t="s">
        <v>805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 s="44" t="e">
        <f>_xlfn.XLOOKUP(Tabla5[[#This Row],[EAN CORREGIDO]],'Tabla Articulos'!B:B,'Tabla Articulos'!D:D)</f>
        <v>#N/A</v>
      </c>
      <c r="Q2708" s="44" t="e">
        <f>_xlfn.XLOOKUP(S2708,'Tabla Articulos'!B:B,'Tabla Articulos'!E:E)</f>
        <v>#N/A</v>
      </c>
      <c r="R2708" s="44" t="e">
        <f t="shared" si="84"/>
        <v>#N/A</v>
      </c>
      <c r="S2708" s="45" t="str">
        <f t="shared" si="85"/>
        <v>LIB000427</v>
      </c>
    </row>
    <row r="2709" spans="1:19" hidden="1" x14ac:dyDescent="0.35">
      <c r="A2709" s="22">
        <v>2</v>
      </c>
      <c r="B2709" t="s">
        <v>5624</v>
      </c>
      <c r="C2709" t="s">
        <v>802</v>
      </c>
      <c r="D2709" t="s">
        <v>1975</v>
      </c>
      <c r="E2709" t="s">
        <v>3868</v>
      </c>
      <c r="F2709">
        <v>4020628</v>
      </c>
      <c r="G2709" t="s">
        <v>3869</v>
      </c>
      <c r="H2709" t="s">
        <v>805</v>
      </c>
      <c r="I2709">
        <v>4571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4571</v>
      </c>
      <c r="P2709" s="44" t="e">
        <f>_xlfn.XLOOKUP(Tabla5[[#This Row],[EAN CORREGIDO]],'Tabla Articulos'!B:B,'Tabla Articulos'!D:D)</f>
        <v>#N/A</v>
      </c>
      <c r="Q2709" s="44" t="e">
        <f>_xlfn.XLOOKUP(S2709,'Tabla Articulos'!B:B,'Tabla Articulos'!E:E)</f>
        <v>#N/A</v>
      </c>
      <c r="R2709" s="44" t="e">
        <f t="shared" si="84"/>
        <v>#N/A</v>
      </c>
      <c r="S2709" s="45" t="str">
        <f t="shared" si="85"/>
        <v>7793875360104</v>
      </c>
    </row>
    <row r="2710" spans="1:19" hidden="1" x14ac:dyDescent="0.35">
      <c r="A2710" s="22">
        <v>2</v>
      </c>
      <c r="B2710" t="s">
        <v>5624</v>
      </c>
      <c r="C2710" t="s">
        <v>802</v>
      </c>
      <c r="D2710" t="s">
        <v>6430</v>
      </c>
      <c r="E2710" t="s">
        <v>6431</v>
      </c>
      <c r="F2710">
        <v>4023434</v>
      </c>
      <c r="G2710" t="s">
        <v>6432</v>
      </c>
      <c r="H2710" t="s">
        <v>805</v>
      </c>
      <c r="I2710">
        <v>23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23</v>
      </c>
      <c r="P2710" s="44" t="e">
        <f>_xlfn.XLOOKUP(Tabla5[[#This Row],[EAN CORREGIDO]],'Tabla Articulos'!B:B,'Tabla Articulos'!D:D)</f>
        <v>#N/A</v>
      </c>
      <c r="Q2710" s="44" t="e">
        <f>_xlfn.XLOOKUP(S2710,'Tabla Articulos'!B:B,'Tabla Articulos'!E:E)</f>
        <v>#N/A</v>
      </c>
      <c r="R2710" s="44" t="e">
        <f t="shared" si="84"/>
        <v>#N/A</v>
      </c>
      <c r="S2710" s="45" t="str">
        <f t="shared" si="85"/>
        <v>7793890259995</v>
      </c>
    </row>
    <row r="2711" spans="1:19" hidden="1" x14ac:dyDescent="0.35">
      <c r="A2711" s="22">
        <v>2</v>
      </c>
      <c r="B2711" t="s">
        <v>5624</v>
      </c>
      <c r="C2711" t="s">
        <v>802</v>
      </c>
      <c r="D2711" t="s">
        <v>6433</v>
      </c>
      <c r="E2711" t="s">
        <v>6434</v>
      </c>
      <c r="F2711">
        <v>4017438</v>
      </c>
      <c r="G2711" t="s">
        <v>6435</v>
      </c>
      <c r="H2711" t="s">
        <v>805</v>
      </c>
      <c r="I2711">
        <v>671</v>
      </c>
      <c r="J2711">
        <v>0</v>
      </c>
      <c r="K2711">
        <v>0</v>
      </c>
      <c r="L2711">
        <v>67</v>
      </c>
      <c r="M2711">
        <v>67</v>
      </c>
      <c r="N2711">
        <v>0</v>
      </c>
      <c r="O2711">
        <v>537</v>
      </c>
      <c r="P2711" s="44" t="e">
        <f>_xlfn.XLOOKUP(Tabla5[[#This Row],[EAN CORREGIDO]],'Tabla Articulos'!B:B,'Tabla Articulos'!D:D)</f>
        <v>#N/A</v>
      </c>
      <c r="Q2711" s="44" t="e">
        <f>_xlfn.XLOOKUP(S2711,'Tabla Articulos'!B:B,'Tabla Articulos'!E:E)</f>
        <v>#N/A</v>
      </c>
      <c r="R2711" s="44" t="e">
        <f t="shared" si="84"/>
        <v>#N/A</v>
      </c>
      <c r="S2711" s="45" t="str">
        <f t="shared" si="85"/>
        <v>7790895007217</v>
      </c>
    </row>
    <row r="2712" spans="1:19" hidden="1" x14ac:dyDescent="0.35">
      <c r="A2712" s="22">
        <v>2</v>
      </c>
      <c r="B2712" t="s">
        <v>5624</v>
      </c>
      <c r="C2712" t="s">
        <v>802</v>
      </c>
      <c r="D2712" t="s">
        <v>6436</v>
      </c>
      <c r="E2712" t="s">
        <v>6437</v>
      </c>
      <c r="F2712">
        <v>4020502</v>
      </c>
      <c r="G2712" t="s">
        <v>6438</v>
      </c>
      <c r="H2712" t="s">
        <v>805</v>
      </c>
      <c r="I2712">
        <v>356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356</v>
      </c>
      <c r="P2712" s="44" t="e">
        <f>_xlfn.XLOOKUP(Tabla5[[#This Row],[EAN CORREGIDO]],'Tabla Articulos'!B:B,'Tabla Articulos'!D:D)</f>
        <v>#N/A</v>
      </c>
      <c r="Q2712" s="44" t="e">
        <f>_xlfn.XLOOKUP(S2712,'Tabla Articulos'!B:B,'Tabla Articulos'!E:E)</f>
        <v>#N/A</v>
      </c>
      <c r="R2712" s="44" t="e">
        <f t="shared" si="84"/>
        <v>#N/A</v>
      </c>
      <c r="S2712" s="45" t="str">
        <f t="shared" si="85"/>
        <v>7798011977246</v>
      </c>
    </row>
    <row r="2713" spans="1:19" hidden="1" x14ac:dyDescent="0.35">
      <c r="A2713" s="22">
        <v>2</v>
      </c>
      <c r="B2713" t="s">
        <v>5624</v>
      </c>
      <c r="C2713" t="s">
        <v>802</v>
      </c>
      <c r="D2713" t="s">
        <v>4225</v>
      </c>
      <c r="E2713" t="s">
        <v>4348</v>
      </c>
      <c r="F2713">
        <v>4017997</v>
      </c>
      <c r="G2713" t="s">
        <v>4349</v>
      </c>
      <c r="H2713" t="s">
        <v>816</v>
      </c>
      <c r="I2713">
        <v>1532.05</v>
      </c>
      <c r="J2713">
        <v>0</v>
      </c>
      <c r="K2713">
        <v>0</v>
      </c>
      <c r="L2713">
        <v>588.48500000000001</v>
      </c>
      <c r="M2713">
        <v>588.48500000000001</v>
      </c>
      <c r="N2713">
        <v>159.52000000000001</v>
      </c>
      <c r="O2713">
        <v>195.56</v>
      </c>
      <c r="P2713" s="44" t="e">
        <f>_xlfn.XLOOKUP(Tabla5[[#This Row],[EAN CORREGIDO]],'Tabla Articulos'!B:B,'Tabla Articulos'!D:D)</f>
        <v>#N/A</v>
      </c>
      <c r="Q2713" s="44" t="e">
        <f>_xlfn.XLOOKUP(S2713,'Tabla Articulos'!B:B,'Tabla Articulos'!E:E)</f>
        <v>#N/A</v>
      </c>
      <c r="R2713" s="44" t="e">
        <f t="shared" si="84"/>
        <v>#N/A</v>
      </c>
      <c r="S2713" s="45" t="str">
        <f t="shared" si="85"/>
        <v>7790216010032</v>
      </c>
    </row>
    <row r="2714" spans="1:19" hidden="1" x14ac:dyDescent="0.35">
      <c r="A2714" s="22">
        <v>2</v>
      </c>
      <c r="B2714" t="s">
        <v>5624</v>
      </c>
      <c r="C2714" t="s">
        <v>802</v>
      </c>
      <c r="D2714" t="s">
        <v>3108</v>
      </c>
      <c r="E2714" t="s">
        <v>4350</v>
      </c>
      <c r="F2714">
        <v>4020056</v>
      </c>
      <c r="G2714" t="s">
        <v>4351</v>
      </c>
      <c r="H2714" t="s">
        <v>805</v>
      </c>
      <c r="I2714">
        <v>2224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2224</v>
      </c>
      <c r="P2714" s="44" t="e">
        <f>_xlfn.XLOOKUP(Tabla5[[#This Row],[EAN CORREGIDO]],'Tabla Articulos'!B:B,'Tabla Articulos'!D:D)</f>
        <v>#N/A</v>
      </c>
      <c r="Q2714" s="44" t="e">
        <f>_xlfn.XLOOKUP(S2714,'Tabla Articulos'!B:B,'Tabla Articulos'!E:E)</f>
        <v>#N/A</v>
      </c>
      <c r="R2714" s="44" t="e">
        <f t="shared" si="84"/>
        <v>#N/A</v>
      </c>
      <c r="S2714" s="45" t="str">
        <f t="shared" si="85"/>
        <v>7793875314206</v>
      </c>
    </row>
    <row r="2715" spans="1:19" hidden="1" x14ac:dyDescent="0.35">
      <c r="A2715" s="22">
        <v>2</v>
      </c>
      <c r="B2715" t="s">
        <v>5624</v>
      </c>
      <c r="C2715" t="s">
        <v>802</v>
      </c>
      <c r="D2715" t="s">
        <v>3626</v>
      </c>
      <c r="E2715" t="s">
        <v>4352</v>
      </c>
      <c r="F2715">
        <v>4020096</v>
      </c>
      <c r="G2715" t="s">
        <v>4353</v>
      </c>
      <c r="H2715" t="s">
        <v>805</v>
      </c>
      <c r="I2715">
        <v>412</v>
      </c>
      <c r="J2715">
        <v>0</v>
      </c>
      <c r="K2715">
        <v>0</v>
      </c>
      <c r="L2715">
        <v>4</v>
      </c>
      <c r="M2715">
        <v>4</v>
      </c>
      <c r="N2715">
        <v>0</v>
      </c>
      <c r="O2715">
        <v>404</v>
      </c>
      <c r="P2715" s="44" t="e">
        <f>_xlfn.XLOOKUP(Tabla5[[#This Row],[EAN CORREGIDO]],'Tabla Articulos'!B:B,'Tabla Articulos'!D:D)</f>
        <v>#N/A</v>
      </c>
      <c r="Q2715" s="44" t="e">
        <f>_xlfn.XLOOKUP(S2715,'Tabla Articulos'!B:B,'Tabla Articulos'!E:E)</f>
        <v>#N/A</v>
      </c>
      <c r="R2715" s="44" t="e">
        <f t="shared" si="84"/>
        <v>#N/A</v>
      </c>
      <c r="S2715" s="45" t="str">
        <f t="shared" si="85"/>
        <v>7793875316934</v>
      </c>
    </row>
    <row r="2716" spans="1:19" hidden="1" x14ac:dyDescent="0.35">
      <c r="A2716" s="22">
        <v>2</v>
      </c>
      <c r="B2716" t="s">
        <v>5624</v>
      </c>
      <c r="C2716" t="s">
        <v>802</v>
      </c>
      <c r="D2716" t="s">
        <v>6589</v>
      </c>
      <c r="E2716" t="s">
        <v>6590</v>
      </c>
      <c r="F2716">
        <v>4019003</v>
      </c>
      <c r="G2716" t="s">
        <v>6591</v>
      </c>
      <c r="H2716" t="s">
        <v>805</v>
      </c>
      <c r="I2716">
        <v>5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5</v>
      </c>
      <c r="P2716" s="44" t="e">
        <f>_xlfn.XLOOKUP(Tabla5[[#This Row],[EAN CORREGIDO]],'Tabla Articulos'!B:B,'Tabla Articulos'!D:D)</f>
        <v>#N/A</v>
      </c>
      <c r="Q2716" s="44" t="e">
        <f>_xlfn.XLOOKUP(S2716,'Tabla Articulos'!B:B,'Tabla Articulos'!E:E)</f>
        <v>#N/A</v>
      </c>
      <c r="R2716" s="44" t="e">
        <f t="shared" si="84"/>
        <v>#N/A</v>
      </c>
      <c r="S2716" s="45" t="str">
        <f t="shared" si="85"/>
        <v>7790580119133</v>
      </c>
    </row>
    <row r="2717" spans="1:19" hidden="1" x14ac:dyDescent="0.35">
      <c r="A2717" s="22">
        <v>2</v>
      </c>
      <c r="B2717" t="s">
        <v>5624</v>
      </c>
      <c r="C2717" t="s">
        <v>802</v>
      </c>
      <c r="D2717" t="s">
        <v>1252</v>
      </c>
      <c r="E2717" t="s">
        <v>6592</v>
      </c>
      <c r="F2717">
        <v>4018525</v>
      </c>
      <c r="G2717" t="s">
        <v>6593</v>
      </c>
      <c r="H2717" t="s">
        <v>805</v>
      </c>
      <c r="I2717">
        <v>3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3</v>
      </c>
      <c r="P2717" s="44" t="e">
        <f>_xlfn.XLOOKUP(Tabla5[[#This Row],[EAN CORREGIDO]],'Tabla Articulos'!B:B,'Tabla Articulos'!D:D)</f>
        <v>#N/A</v>
      </c>
      <c r="Q2717" s="44" t="e">
        <f>_xlfn.XLOOKUP(S2717,'Tabla Articulos'!B:B,'Tabla Articulos'!E:E)</f>
        <v>#N/A</v>
      </c>
      <c r="R2717" s="44" t="e">
        <f t="shared" si="84"/>
        <v>#N/A</v>
      </c>
      <c r="S2717" s="45" t="str">
        <f t="shared" si="85"/>
        <v>7799132966511</v>
      </c>
    </row>
    <row r="2718" spans="1:19" hidden="1" x14ac:dyDescent="0.35">
      <c r="A2718" s="22">
        <v>2</v>
      </c>
      <c r="B2718" t="s">
        <v>5624</v>
      </c>
      <c r="C2718" t="s">
        <v>802</v>
      </c>
      <c r="D2718" t="s">
        <v>4718</v>
      </c>
      <c r="E2718" t="s">
        <v>6594</v>
      </c>
      <c r="F2718">
        <v>4024105</v>
      </c>
      <c r="G2718" t="s">
        <v>6595</v>
      </c>
      <c r="H2718" t="s">
        <v>805</v>
      </c>
      <c r="I2718">
        <v>268</v>
      </c>
      <c r="J2718">
        <v>0</v>
      </c>
      <c r="K2718">
        <v>0</v>
      </c>
      <c r="L2718">
        <v>3</v>
      </c>
      <c r="M2718">
        <v>3</v>
      </c>
      <c r="N2718">
        <v>0</v>
      </c>
      <c r="O2718">
        <v>262</v>
      </c>
      <c r="P2718" s="44" t="e">
        <f>_xlfn.XLOOKUP(Tabla5[[#This Row],[EAN CORREGIDO]],'Tabla Articulos'!B:B,'Tabla Articulos'!D:D)</f>
        <v>#N/A</v>
      </c>
      <c r="Q2718" s="44" t="e">
        <f>_xlfn.XLOOKUP(S2718,'Tabla Articulos'!B:B,'Tabla Articulos'!E:E)</f>
        <v>#N/A</v>
      </c>
      <c r="R2718" s="44" t="e">
        <f t="shared" si="84"/>
        <v>#N/A</v>
      </c>
      <c r="S2718" s="45" t="str">
        <f t="shared" si="85"/>
        <v>7793360131417</v>
      </c>
    </row>
    <row r="2719" spans="1:19" hidden="1" x14ac:dyDescent="0.35">
      <c r="A2719" s="22">
        <v>2</v>
      </c>
      <c r="B2719" t="s">
        <v>5624</v>
      </c>
      <c r="C2719" t="s">
        <v>802</v>
      </c>
      <c r="D2719" t="s">
        <v>1252</v>
      </c>
      <c r="E2719" t="s">
        <v>6596</v>
      </c>
      <c r="F2719">
        <v>4018471</v>
      </c>
      <c r="G2719" t="s">
        <v>6597</v>
      </c>
      <c r="H2719" t="s">
        <v>805</v>
      </c>
      <c r="I2719">
        <v>2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2</v>
      </c>
      <c r="P2719" s="44" t="e">
        <f>_xlfn.XLOOKUP(Tabla5[[#This Row],[EAN CORREGIDO]],'Tabla Articulos'!B:B,'Tabla Articulos'!D:D)</f>
        <v>#N/A</v>
      </c>
      <c r="Q2719" s="44" t="e">
        <f>_xlfn.XLOOKUP(S2719,'Tabla Articulos'!B:B,'Tabla Articulos'!E:E)</f>
        <v>#N/A</v>
      </c>
      <c r="R2719" s="44" t="e">
        <f t="shared" si="84"/>
        <v>#N/A</v>
      </c>
      <c r="S2719" s="45" t="str">
        <f t="shared" si="85"/>
        <v>7799132966561</v>
      </c>
    </row>
    <row r="2720" spans="1:19" hidden="1" x14ac:dyDescent="0.35">
      <c r="A2720" s="22">
        <v>2</v>
      </c>
      <c r="B2720" t="s">
        <v>5624</v>
      </c>
      <c r="C2720" t="s">
        <v>802</v>
      </c>
      <c r="D2720" t="s">
        <v>6598</v>
      </c>
      <c r="E2720" t="s">
        <v>6599</v>
      </c>
      <c r="F2720">
        <v>4019190</v>
      </c>
      <c r="G2720" t="s">
        <v>6600</v>
      </c>
      <c r="H2720" t="s">
        <v>805</v>
      </c>
      <c r="I2720">
        <v>16308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16308</v>
      </c>
      <c r="P2720" s="44" t="e">
        <f>_xlfn.XLOOKUP(Tabla5[[#This Row],[EAN CORREGIDO]],'Tabla Articulos'!B:B,'Tabla Articulos'!D:D)</f>
        <v>#N/A</v>
      </c>
      <c r="Q2720" s="44" t="e">
        <f>_xlfn.XLOOKUP(S2720,'Tabla Articulos'!B:B,'Tabla Articulos'!E:E)</f>
        <v>#N/A</v>
      </c>
      <c r="R2720" s="44" t="e">
        <f t="shared" si="84"/>
        <v>#N/A</v>
      </c>
      <c r="S2720" s="45" t="str">
        <f t="shared" si="85"/>
        <v>7798120180742</v>
      </c>
    </row>
    <row r="2721" spans="1:19" hidden="1" x14ac:dyDescent="0.35">
      <c r="A2721" s="22">
        <v>2</v>
      </c>
      <c r="B2721" t="s">
        <v>5624</v>
      </c>
      <c r="C2721" t="s">
        <v>802</v>
      </c>
      <c r="D2721" t="s">
        <v>6601</v>
      </c>
      <c r="E2721" t="s">
        <v>6602</v>
      </c>
      <c r="F2721">
        <v>4018468</v>
      </c>
      <c r="G2721" t="s">
        <v>6603</v>
      </c>
      <c r="H2721" t="s">
        <v>805</v>
      </c>
      <c r="I2721">
        <v>4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4</v>
      </c>
      <c r="P2721" s="44" t="e">
        <f>_xlfn.XLOOKUP(Tabla5[[#This Row],[EAN CORREGIDO]],'Tabla Articulos'!B:B,'Tabla Articulos'!D:D)</f>
        <v>#N/A</v>
      </c>
      <c r="Q2721" s="44" t="e">
        <f>_xlfn.XLOOKUP(S2721,'Tabla Articulos'!B:B,'Tabla Articulos'!E:E)</f>
        <v>#N/A</v>
      </c>
      <c r="R2721" s="44" t="e">
        <f t="shared" si="84"/>
        <v>#N/A</v>
      </c>
      <c r="S2721" s="45" t="str">
        <f t="shared" si="85"/>
        <v>7799132966519</v>
      </c>
    </row>
    <row r="2722" spans="1:19" hidden="1" x14ac:dyDescent="0.35">
      <c r="A2722" s="22">
        <v>2</v>
      </c>
      <c r="B2722" t="s">
        <v>5624</v>
      </c>
      <c r="C2722" t="s">
        <v>802</v>
      </c>
      <c r="D2722" t="s">
        <v>5820</v>
      </c>
      <c r="E2722" t="s">
        <v>5821</v>
      </c>
      <c r="F2722">
        <v>4023193</v>
      </c>
      <c r="G2722" t="s">
        <v>5822</v>
      </c>
      <c r="H2722" t="s">
        <v>805</v>
      </c>
      <c r="I2722">
        <v>5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5</v>
      </c>
      <c r="P2722" s="44" t="e">
        <f>_xlfn.XLOOKUP(Tabla5[[#This Row],[EAN CORREGIDO]],'Tabla Articulos'!B:B,'Tabla Articulos'!D:D)</f>
        <v>#N/A</v>
      </c>
      <c r="Q2722" s="44" t="e">
        <f>_xlfn.XLOOKUP(S2722,'Tabla Articulos'!B:B,'Tabla Articulos'!E:E)</f>
        <v>#N/A</v>
      </c>
      <c r="R2722" s="44" t="e">
        <f t="shared" si="84"/>
        <v>#N/A</v>
      </c>
      <c r="S2722" s="45" t="str">
        <f t="shared" si="85"/>
        <v>7793275000457</v>
      </c>
    </row>
    <row r="2723" spans="1:19" hidden="1" x14ac:dyDescent="0.35">
      <c r="A2723" s="22">
        <v>2</v>
      </c>
      <c r="B2723" t="s">
        <v>5624</v>
      </c>
      <c r="C2723" t="s">
        <v>802</v>
      </c>
      <c r="D2723" t="s">
        <v>5823</v>
      </c>
      <c r="E2723" t="s">
        <v>5824</v>
      </c>
      <c r="F2723">
        <v>4019101</v>
      </c>
      <c r="G2723" t="s">
        <v>5825</v>
      </c>
      <c r="H2723" t="s">
        <v>805</v>
      </c>
      <c r="I2723">
        <v>338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338</v>
      </c>
      <c r="P2723" s="44" t="e">
        <f>_xlfn.XLOOKUP(Tabla5[[#This Row],[EAN CORREGIDO]],'Tabla Articulos'!B:B,'Tabla Articulos'!D:D)</f>
        <v>#N/A</v>
      </c>
      <c r="Q2723" s="44" t="e">
        <f>_xlfn.XLOOKUP(S2723,'Tabla Articulos'!B:B,'Tabla Articulos'!E:E)</f>
        <v>#N/A</v>
      </c>
      <c r="R2723" s="44" t="e">
        <f t="shared" si="84"/>
        <v>#N/A</v>
      </c>
      <c r="S2723" s="45" t="str">
        <f t="shared" si="85"/>
        <v>7790580423414</v>
      </c>
    </row>
    <row r="2724" spans="1:19" hidden="1" x14ac:dyDescent="0.35">
      <c r="A2724" s="22">
        <v>2</v>
      </c>
      <c r="B2724" t="s">
        <v>5624</v>
      </c>
      <c r="C2724" t="s">
        <v>802</v>
      </c>
      <c r="D2724" t="s">
        <v>2674</v>
      </c>
      <c r="E2724" t="s">
        <v>5826</v>
      </c>
      <c r="F2724">
        <v>4017711</v>
      </c>
      <c r="G2724" t="s">
        <v>5827</v>
      </c>
      <c r="H2724" t="s">
        <v>816</v>
      </c>
      <c r="I2724">
        <v>57.2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57.2</v>
      </c>
      <c r="P2724" s="44" t="e">
        <f>_xlfn.XLOOKUP(Tabla5[[#This Row],[EAN CORREGIDO]],'Tabla Articulos'!B:B,'Tabla Articulos'!D:D)</f>
        <v>#N/A</v>
      </c>
      <c r="Q2724" s="44" t="e">
        <f>_xlfn.XLOOKUP(S2724,'Tabla Articulos'!B:B,'Tabla Articulos'!E:E)</f>
        <v>#N/A</v>
      </c>
      <c r="R2724" s="44" t="e">
        <f t="shared" si="84"/>
        <v>#N/A</v>
      </c>
      <c r="S2724" s="45" t="str">
        <f t="shared" si="85"/>
        <v>7790212050104</v>
      </c>
    </row>
    <row r="2725" spans="1:19" hidden="1" x14ac:dyDescent="0.35">
      <c r="A2725" s="22">
        <v>2</v>
      </c>
      <c r="B2725" t="s">
        <v>5624</v>
      </c>
      <c r="C2725" t="s">
        <v>802</v>
      </c>
      <c r="D2725" t="s">
        <v>2299</v>
      </c>
      <c r="E2725" t="s">
        <v>2512</v>
      </c>
      <c r="F2725">
        <v>4019771</v>
      </c>
      <c r="G2725" t="s">
        <v>2513</v>
      </c>
      <c r="H2725" t="s">
        <v>805</v>
      </c>
      <c r="I2725">
        <v>2150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2150</v>
      </c>
      <c r="P2725" s="44" t="e">
        <f>_xlfn.XLOOKUP(Tabla5[[#This Row],[EAN CORREGIDO]],'Tabla Articulos'!B:B,'Tabla Articulos'!D:D)</f>
        <v>#N/A</v>
      </c>
      <c r="Q2725" s="44" t="e">
        <f>_xlfn.XLOOKUP(S2725,'Tabla Articulos'!B:B,'Tabla Articulos'!E:E)</f>
        <v>#N/A</v>
      </c>
      <c r="R2725" s="44" t="e">
        <f t="shared" si="84"/>
        <v>#N/A</v>
      </c>
      <c r="S2725" s="45" t="str">
        <f t="shared" si="85"/>
        <v>7790580132774</v>
      </c>
    </row>
    <row r="2726" spans="1:19" hidden="1" x14ac:dyDescent="0.35">
      <c r="A2726" s="22">
        <v>2</v>
      </c>
      <c r="B2726" t="s">
        <v>5624</v>
      </c>
      <c r="C2726" t="s">
        <v>802</v>
      </c>
      <c r="D2726" t="s">
        <v>2978</v>
      </c>
      <c r="E2726" t="s">
        <v>6092</v>
      </c>
      <c r="F2726">
        <v>4019717</v>
      </c>
      <c r="G2726" t="s">
        <v>6093</v>
      </c>
      <c r="H2726" t="s">
        <v>805</v>
      </c>
      <c r="I2726">
        <v>3705</v>
      </c>
      <c r="J2726">
        <v>0</v>
      </c>
      <c r="K2726">
        <v>0</v>
      </c>
      <c r="L2726">
        <v>8</v>
      </c>
      <c r="M2726">
        <v>8</v>
      </c>
      <c r="N2726">
        <v>0</v>
      </c>
      <c r="O2726">
        <v>3689</v>
      </c>
      <c r="P2726" s="44" t="e">
        <f>_xlfn.XLOOKUP(Tabla5[[#This Row],[EAN CORREGIDO]],'Tabla Articulos'!B:B,'Tabla Articulos'!D:D)</f>
        <v>#N/A</v>
      </c>
      <c r="Q2726" s="44" t="e">
        <f>_xlfn.XLOOKUP(S2726,'Tabla Articulos'!B:B,'Tabla Articulos'!E:E)</f>
        <v>#N/A</v>
      </c>
      <c r="R2726" s="44" t="e">
        <f t="shared" si="84"/>
        <v>#N/A</v>
      </c>
      <c r="S2726" s="45" t="str">
        <f t="shared" si="85"/>
        <v>7792198005341</v>
      </c>
    </row>
    <row r="2727" spans="1:19" hidden="1" x14ac:dyDescent="0.35">
      <c r="A2727" s="22">
        <v>2</v>
      </c>
      <c r="B2727" t="s">
        <v>5624</v>
      </c>
      <c r="C2727" t="s">
        <v>802</v>
      </c>
      <c r="D2727" t="s">
        <v>2519</v>
      </c>
      <c r="E2727" t="s">
        <v>2520</v>
      </c>
      <c r="F2727">
        <v>4020208</v>
      </c>
      <c r="G2727" t="s">
        <v>2521</v>
      </c>
      <c r="H2727" t="s">
        <v>805</v>
      </c>
      <c r="I2727">
        <v>1492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1492</v>
      </c>
      <c r="P2727" s="44" t="e">
        <f>_xlfn.XLOOKUP(Tabla5[[#This Row],[EAN CORREGIDO]],'Tabla Articulos'!B:B,'Tabla Articulos'!D:D)</f>
        <v>#N/A</v>
      </c>
      <c r="Q2727" s="44" t="e">
        <f>_xlfn.XLOOKUP(S2727,'Tabla Articulos'!B:B,'Tabla Articulos'!E:E)</f>
        <v>#N/A</v>
      </c>
      <c r="R2727" s="44" t="e">
        <f t="shared" si="84"/>
        <v>#N/A</v>
      </c>
      <c r="S2727" s="45" t="str">
        <f t="shared" si="85"/>
        <v>7797470004708</v>
      </c>
    </row>
    <row r="2728" spans="1:19" hidden="1" x14ac:dyDescent="0.35">
      <c r="A2728" s="22">
        <v>2</v>
      </c>
      <c r="B2728" t="s">
        <v>5624</v>
      </c>
      <c r="C2728" t="s">
        <v>802</v>
      </c>
      <c r="D2728" t="s">
        <v>1252</v>
      </c>
      <c r="E2728" t="s">
        <v>6094</v>
      </c>
      <c r="F2728">
        <v>4018478</v>
      </c>
      <c r="G2728" t="s">
        <v>6095</v>
      </c>
      <c r="H2728" t="s">
        <v>805</v>
      </c>
      <c r="I2728">
        <v>5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5</v>
      </c>
      <c r="P2728" s="44" t="e">
        <f>_xlfn.XLOOKUP(Tabla5[[#This Row],[EAN CORREGIDO]],'Tabla Articulos'!B:B,'Tabla Articulos'!D:D)</f>
        <v>#N/A</v>
      </c>
      <c r="Q2728" s="44" t="e">
        <f>_xlfn.XLOOKUP(S2728,'Tabla Articulos'!B:B,'Tabla Articulos'!E:E)</f>
        <v>#N/A</v>
      </c>
      <c r="R2728" s="44" t="e">
        <f t="shared" si="84"/>
        <v>#N/A</v>
      </c>
      <c r="S2728" s="45" t="str">
        <f t="shared" si="85"/>
        <v>7799132966513</v>
      </c>
    </row>
    <row r="2729" spans="1:19" hidden="1" x14ac:dyDescent="0.35">
      <c r="A2729" s="22">
        <v>2</v>
      </c>
      <c r="B2729" t="s">
        <v>5624</v>
      </c>
      <c r="C2729" t="s">
        <v>802</v>
      </c>
      <c r="D2729" t="s">
        <v>2165</v>
      </c>
      <c r="E2729" t="s">
        <v>2818</v>
      </c>
      <c r="F2729">
        <v>4018402</v>
      </c>
      <c r="G2729" t="s">
        <v>2819</v>
      </c>
      <c r="H2729" t="s">
        <v>805</v>
      </c>
      <c r="I2729">
        <v>40592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40592</v>
      </c>
      <c r="P2729" s="44" t="e">
        <f>_xlfn.XLOOKUP(Tabla5[[#This Row],[EAN CORREGIDO]],'Tabla Articulos'!B:B,'Tabla Articulos'!D:D)</f>
        <v>#N/A</v>
      </c>
      <c r="Q2729" s="44" t="e">
        <f>_xlfn.XLOOKUP(S2729,'Tabla Articulos'!B:B,'Tabla Articulos'!E:E)</f>
        <v>#N/A</v>
      </c>
      <c r="R2729" s="44" t="e">
        <f t="shared" si="84"/>
        <v>#N/A</v>
      </c>
      <c r="S2729" s="45" t="str">
        <f t="shared" si="85"/>
        <v>7798181641435</v>
      </c>
    </row>
    <row r="2730" spans="1:19" hidden="1" x14ac:dyDescent="0.35">
      <c r="A2730" s="22">
        <v>2</v>
      </c>
      <c r="B2730" t="s">
        <v>5624</v>
      </c>
      <c r="C2730" t="s">
        <v>802</v>
      </c>
      <c r="D2730" t="s">
        <v>1363</v>
      </c>
      <c r="E2730" t="s">
        <v>1364</v>
      </c>
      <c r="F2730">
        <v>4020625</v>
      </c>
      <c r="G2730" t="s">
        <v>1365</v>
      </c>
      <c r="H2730" t="s">
        <v>805</v>
      </c>
      <c r="I2730">
        <v>369</v>
      </c>
      <c r="J2730">
        <v>0</v>
      </c>
      <c r="K2730">
        <v>0</v>
      </c>
      <c r="L2730">
        <v>2</v>
      </c>
      <c r="M2730">
        <v>2</v>
      </c>
      <c r="N2730">
        <v>0</v>
      </c>
      <c r="O2730">
        <v>365</v>
      </c>
      <c r="P2730" s="44" t="e">
        <f>_xlfn.XLOOKUP(Tabla5[[#This Row],[EAN CORREGIDO]],'Tabla Articulos'!B:B,'Tabla Articulos'!D:D)</f>
        <v>#N/A</v>
      </c>
      <c r="Q2730" s="44" t="e">
        <f>_xlfn.XLOOKUP(S2730,'Tabla Articulos'!B:B,'Tabla Articulos'!E:E)</f>
        <v>#N/A</v>
      </c>
      <c r="R2730" s="44" t="e">
        <f t="shared" si="84"/>
        <v>#N/A</v>
      </c>
      <c r="S2730" s="45" t="str">
        <f t="shared" si="85"/>
        <v>7793875321341</v>
      </c>
    </row>
    <row r="2731" spans="1:19" hidden="1" x14ac:dyDescent="0.35">
      <c r="A2731" s="22">
        <v>2</v>
      </c>
      <c r="B2731" t="s">
        <v>5624</v>
      </c>
      <c r="C2731" t="s">
        <v>802</v>
      </c>
      <c r="D2731" t="s">
        <v>5785</v>
      </c>
      <c r="E2731" t="s">
        <v>5786</v>
      </c>
      <c r="F2731">
        <v>4023573</v>
      </c>
      <c r="G2731" t="s">
        <v>5787</v>
      </c>
      <c r="H2731" t="s">
        <v>805</v>
      </c>
      <c r="I2731">
        <v>26</v>
      </c>
      <c r="J2731">
        <v>0</v>
      </c>
      <c r="K2731">
        <v>0</v>
      </c>
      <c r="L2731">
        <v>5</v>
      </c>
      <c r="M2731">
        <v>5</v>
      </c>
      <c r="N2731">
        <v>0</v>
      </c>
      <c r="O2731">
        <v>16</v>
      </c>
      <c r="P2731" s="44" t="e">
        <f>_xlfn.XLOOKUP(Tabla5[[#This Row],[EAN CORREGIDO]],'Tabla Articulos'!B:B,'Tabla Articulos'!D:D)</f>
        <v>#N/A</v>
      </c>
      <c r="Q2731" s="44" t="e">
        <f>_xlfn.XLOOKUP(S2731,'Tabla Articulos'!B:B,'Tabla Articulos'!E:E)</f>
        <v>#N/A</v>
      </c>
      <c r="R2731" s="44" t="e">
        <f t="shared" si="84"/>
        <v>#N/A</v>
      </c>
      <c r="S2731" s="45" t="str">
        <f t="shared" si="85"/>
        <v>7790000000406</v>
      </c>
    </row>
    <row r="2732" spans="1:19" hidden="1" x14ac:dyDescent="0.35">
      <c r="A2732" s="22">
        <v>2</v>
      </c>
      <c r="B2732" t="s">
        <v>5624</v>
      </c>
      <c r="C2732" t="s">
        <v>802</v>
      </c>
      <c r="D2732" t="s">
        <v>5788</v>
      </c>
      <c r="E2732" t="s">
        <v>5789</v>
      </c>
      <c r="F2732">
        <v>4018555</v>
      </c>
      <c r="G2732" t="s">
        <v>5790</v>
      </c>
      <c r="H2732" t="s">
        <v>816</v>
      </c>
      <c r="I2732">
        <v>30672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30672</v>
      </c>
      <c r="P2732" s="44" t="e">
        <f>_xlfn.XLOOKUP(Tabla5[[#This Row],[EAN CORREGIDO]],'Tabla Articulos'!B:B,'Tabla Articulos'!D:D)</f>
        <v>#N/A</v>
      </c>
      <c r="Q2732" s="44" t="e">
        <f>_xlfn.XLOOKUP(S2732,'Tabla Articulos'!B:B,'Tabla Articulos'!E:E)</f>
        <v>#N/A</v>
      </c>
      <c r="R2732" s="44" t="e">
        <f t="shared" si="84"/>
        <v>#N/A</v>
      </c>
      <c r="S2732" s="45" t="str">
        <f t="shared" si="85"/>
        <v>7790213012183</v>
      </c>
    </row>
    <row r="2733" spans="1:19" hidden="1" x14ac:dyDescent="0.35">
      <c r="A2733" s="22">
        <v>2</v>
      </c>
      <c r="B2733" t="s">
        <v>5624</v>
      </c>
      <c r="C2733" t="s">
        <v>802</v>
      </c>
      <c r="D2733" t="s">
        <v>1369</v>
      </c>
      <c r="E2733" t="s">
        <v>1370</v>
      </c>
      <c r="F2733">
        <v>4020219</v>
      </c>
      <c r="G2733" t="s">
        <v>1371</v>
      </c>
      <c r="H2733" t="s">
        <v>805</v>
      </c>
      <c r="I2733">
        <v>83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83</v>
      </c>
      <c r="P2733" s="44" t="e">
        <f>_xlfn.XLOOKUP(Tabla5[[#This Row],[EAN CORREGIDO]],'Tabla Articulos'!B:B,'Tabla Articulos'!D:D)</f>
        <v>#N/A</v>
      </c>
      <c r="Q2733" s="44" t="e">
        <f>_xlfn.XLOOKUP(S2733,'Tabla Articulos'!B:B,'Tabla Articulos'!E:E)</f>
        <v>#N/A</v>
      </c>
      <c r="R2733" s="44" t="e">
        <f t="shared" si="84"/>
        <v>#N/A</v>
      </c>
      <c r="S2733" s="45" t="str">
        <f t="shared" si="85"/>
        <v>7793875312103</v>
      </c>
    </row>
    <row r="2734" spans="1:19" hidden="1" x14ac:dyDescent="0.35">
      <c r="A2734" s="22">
        <v>2</v>
      </c>
      <c r="B2734" t="s">
        <v>5624</v>
      </c>
      <c r="C2734" t="s">
        <v>802</v>
      </c>
      <c r="D2734" t="s">
        <v>1377</v>
      </c>
      <c r="E2734" t="s">
        <v>1378</v>
      </c>
      <c r="F2734">
        <v>4076839</v>
      </c>
      <c r="G2734" t="s">
        <v>1379</v>
      </c>
      <c r="H2734" t="s">
        <v>805</v>
      </c>
      <c r="I2734">
        <v>132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132</v>
      </c>
      <c r="P2734" s="44" t="e">
        <f>_xlfn.XLOOKUP(Tabla5[[#This Row],[EAN CORREGIDO]],'Tabla Articulos'!B:B,'Tabla Articulos'!D:D)</f>
        <v>#N/A</v>
      </c>
      <c r="Q2734" s="44" t="e">
        <f>_xlfn.XLOOKUP(S2734,'Tabla Articulos'!B:B,'Tabla Articulos'!E:E)</f>
        <v>#N/A</v>
      </c>
      <c r="R2734" s="44" t="e">
        <f t="shared" si="84"/>
        <v>#N/A</v>
      </c>
      <c r="S2734" s="45" t="str">
        <f t="shared" si="85"/>
        <v>7790150600344</v>
      </c>
    </row>
    <row r="2735" spans="1:19" hidden="1" x14ac:dyDescent="0.35">
      <c r="A2735" s="22">
        <v>2</v>
      </c>
      <c r="B2735" t="s">
        <v>5624</v>
      </c>
      <c r="C2735" t="s">
        <v>802</v>
      </c>
      <c r="D2735" t="s">
        <v>1025</v>
      </c>
      <c r="E2735" t="s">
        <v>5875</v>
      </c>
      <c r="F2735">
        <v>4018457</v>
      </c>
      <c r="G2735" t="s">
        <v>5876</v>
      </c>
      <c r="H2735" t="s">
        <v>805</v>
      </c>
      <c r="I2735">
        <v>2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2</v>
      </c>
      <c r="P2735" s="44" t="e">
        <f>_xlfn.XLOOKUP(Tabla5[[#This Row],[EAN CORREGIDO]],'Tabla Articulos'!B:B,'Tabla Articulos'!D:D)</f>
        <v>#N/A</v>
      </c>
      <c r="Q2735" s="44" t="e">
        <f>_xlfn.XLOOKUP(S2735,'Tabla Articulos'!B:B,'Tabla Articulos'!E:E)</f>
        <v>#N/A</v>
      </c>
      <c r="R2735" s="44" t="e">
        <f t="shared" si="84"/>
        <v>#N/A</v>
      </c>
      <c r="S2735" s="45" t="str">
        <f t="shared" si="85"/>
        <v>T748</v>
      </c>
    </row>
    <row r="2736" spans="1:19" hidden="1" x14ac:dyDescent="0.35">
      <c r="A2736" s="22">
        <v>2</v>
      </c>
      <c r="B2736" t="s">
        <v>5624</v>
      </c>
      <c r="C2736" t="s">
        <v>802</v>
      </c>
      <c r="D2736" t="s">
        <v>5877</v>
      </c>
      <c r="E2736" t="s">
        <v>5878</v>
      </c>
      <c r="F2736">
        <v>4024231</v>
      </c>
      <c r="G2736" t="s">
        <v>5879</v>
      </c>
      <c r="H2736" t="s">
        <v>805</v>
      </c>
      <c r="I2736">
        <v>67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67</v>
      </c>
      <c r="P2736" s="44" t="e">
        <f>_xlfn.XLOOKUP(Tabla5[[#This Row],[EAN CORREGIDO]],'Tabla Articulos'!B:B,'Tabla Articulos'!D:D)</f>
        <v>#N/A</v>
      </c>
      <c r="Q2736" s="44" t="e">
        <f>_xlfn.XLOOKUP(S2736,'Tabla Articulos'!B:B,'Tabla Articulos'!E:E)</f>
        <v>#N/A</v>
      </c>
      <c r="R2736" s="44" t="e">
        <f t="shared" si="84"/>
        <v>#N/A</v>
      </c>
      <c r="S2736" s="45" t="str">
        <f t="shared" si="85"/>
        <v>724751080318</v>
      </c>
    </row>
    <row r="2737" spans="1:19" hidden="1" x14ac:dyDescent="0.35">
      <c r="A2737" s="22">
        <v>2</v>
      </c>
      <c r="B2737" t="s">
        <v>5624</v>
      </c>
      <c r="C2737" t="s">
        <v>802</v>
      </c>
      <c r="D2737" t="s">
        <v>1769</v>
      </c>
      <c r="E2737" t="s">
        <v>1770</v>
      </c>
      <c r="F2737">
        <v>4024533</v>
      </c>
      <c r="G2737" t="s">
        <v>1771</v>
      </c>
      <c r="H2737" t="s">
        <v>805</v>
      </c>
      <c r="I2737">
        <v>1231</v>
      </c>
      <c r="J2737">
        <v>0</v>
      </c>
      <c r="K2737">
        <v>0</v>
      </c>
      <c r="L2737">
        <v>14</v>
      </c>
      <c r="M2737">
        <v>14</v>
      </c>
      <c r="N2737">
        <v>0</v>
      </c>
      <c r="O2737">
        <v>1203</v>
      </c>
      <c r="P2737" s="44" t="e">
        <f>_xlfn.XLOOKUP(Tabla5[[#This Row],[EAN CORREGIDO]],'Tabla Articulos'!B:B,'Tabla Articulos'!D:D)</f>
        <v>#N/A</v>
      </c>
      <c r="Q2737" s="44" t="e">
        <f>_xlfn.XLOOKUP(S2737,'Tabla Articulos'!B:B,'Tabla Articulos'!E:E)</f>
        <v>#N/A</v>
      </c>
      <c r="R2737" s="44" t="e">
        <f t="shared" si="84"/>
        <v>#N/A</v>
      </c>
      <c r="S2737" s="45" t="str">
        <f t="shared" si="85"/>
        <v>7790199605690</v>
      </c>
    </row>
    <row r="2738" spans="1:19" hidden="1" x14ac:dyDescent="0.35">
      <c r="A2738" s="22">
        <v>2</v>
      </c>
      <c r="B2738" t="s">
        <v>5624</v>
      </c>
      <c r="C2738" t="s">
        <v>802</v>
      </c>
      <c r="D2738" t="s">
        <v>5880</v>
      </c>
      <c r="E2738" t="s">
        <v>5881</v>
      </c>
      <c r="F2738">
        <v>4018072</v>
      </c>
      <c r="G2738" t="s">
        <v>5882</v>
      </c>
      <c r="H2738" t="s">
        <v>816</v>
      </c>
      <c r="I2738">
        <v>940.58</v>
      </c>
      <c r="J2738">
        <v>0</v>
      </c>
      <c r="K2738">
        <v>0</v>
      </c>
      <c r="L2738">
        <v>211.63499999999999</v>
      </c>
      <c r="M2738">
        <v>236.63499999999999</v>
      </c>
      <c r="N2738">
        <v>8.0500000000000007</v>
      </c>
      <c r="O2738">
        <v>484.26</v>
      </c>
      <c r="P2738" s="44" t="e">
        <f>_xlfn.XLOOKUP(Tabla5[[#This Row],[EAN CORREGIDO]],'Tabla Articulos'!B:B,'Tabla Articulos'!D:D)</f>
        <v>#N/A</v>
      </c>
      <c r="Q2738" s="44" t="e">
        <f>_xlfn.XLOOKUP(S2738,'Tabla Articulos'!B:B,'Tabla Articulos'!E:E)</f>
        <v>#N/A</v>
      </c>
      <c r="R2738" s="44" t="e">
        <f t="shared" si="84"/>
        <v>#N/A</v>
      </c>
      <c r="S2738" s="45" t="str">
        <f t="shared" si="85"/>
        <v>7790216012615</v>
      </c>
    </row>
    <row r="2739" spans="1:19" hidden="1" x14ac:dyDescent="0.35">
      <c r="A2739" s="22">
        <v>2</v>
      </c>
      <c r="B2739" t="s">
        <v>5624</v>
      </c>
      <c r="C2739" t="s">
        <v>802</v>
      </c>
      <c r="D2739" t="s">
        <v>5854</v>
      </c>
      <c r="E2739" t="s">
        <v>5883</v>
      </c>
      <c r="F2739">
        <v>4020197</v>
      </c>
      <c r="G2739" t="s">
        <v>5884</v>
      </c>
      <c r="H2739" t="s">
        <v>805</v>
      </c>
      <c r="I2739">
        <v>225</v>
      </c>
      <c r="J2739">
        <v>0</v>
      </c>
      <c r="K2739">
        <v>0</v>
      </c>
      <c r="L2739">
        <v>15</v>
      </c>
      <c r="M2739">
        <v>15</v>
      </c>
      <c r="N2739">
        <v>0</v>
      </c>
      <c r="O2739">
        <v>195</v>
      </c>
      <c r="P2739" s="44" t="e">
        <f>_xlfn.XLOOKUP(Tabla5[[#This Row],[EAN CORREGIDO]],'Tabla Articulos'!B:B,'Tabla Articulos'!D:D)</f>
        <v>#N/A</v>
      </c>
      <c r="Q2739" s="44" t="e">
        <f>_xlfn.XLOOKUP(S2739,'Tabla Articulos'!B:B,'Tabla Articulos'!E:E)</f>
        <v>#N/A</v>
      </c>
      <c r="R2739" s="44" t="e">
        <f t="shared" si="84"/>
        <v>#N/A</v>
      </c>
      <c r="S2739" s="45" t="str">
        <f t="shared" si="85"/>
        <v>7794000599475</v>
      </c>
    </row>
    <row r="2740" spans="1:19" hidden="1" x14ac:dyDescent="0.35">
      <c r="A2740" s="22">
        <v>2</v>
      </c>
      <c r="B2740" t="s">
        <v>5624</v>
      </c>
      <c r="C2740" t="s">
        <v>802</v>
      </c>
      <c r="D2740" t="s">
        <v>2992</v>
      </c>
      <c r="E2740" t="s">
        <v>5885</v>
      </c>
      <c r="F2740">
        <v>4019323</v>
      </c>
      <c r="G2740" t="s">
        <v>5886</v>
      </c>
      <c r="H2740" t="s">
        <v>805</v>
      </c>
      <c r="I2740">
        <v>194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194</v>
      </c>
      <c r="P2740" s="44" t="e">
        <f>_xlfn.XLOOKUP(Tabla5[[#This Row],[EAN CORREGIDO]],'Tabla Articulos'!B:B,'Tabla Articulos'!D:D)</f>
        <v>#N/A</v>
      </c>
      <c r="Q2740" s="44" t="e">
        <f>_xlfn.XLOOKUP(S2740,'Tabla Articulos'!B:B,'Tabla Articulos'!E:E)</f>
        <v>#N/A</v>
      </c>
      <c r="R2740" s="44" t="e">
        <f t="shared" si="84"/>
        <v>#N/A</v>
      </c>
      <c r="S2740" s="45" t="str">
        <f t="shared" si="85"/>
        <v>7790490998309</v>
      </c>
    </row>
    <row r="2741" spans="1:19" hidden="1" x14ac:dyDescent="0.35">
      <c r="A2741" s="22">
        <v>2</v>
      </c>
      <c r="B2741" t="s">
        <v>5624</v>
      </c>
      <c r="C2741" t="s">
        <v>802</v>
      </c>
      <c r="D2741" t="s">
        <v>2897</v>
      </c>
      <c r="E2741" t="s">
        <v>5625</v>
      </c>
      <c r="F2741">
        <v>4077164</v>
      </c>
      <c r="G2741" t="s">
        <v>5626</v>
      </c>
      <c r="H2741" t="s">
        <v>805</v>
      </c>
      <c r="I2741">
        <v>104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104</v>
      </c>
      <c r="P2741" s="44" t="e">
        <f>_xlfn.XLOOKUP(Tabla5[[#This Row],[EAN CORREGIDO]],'Tabla Articulos'!B:B,'Tabla Articulos'!D:D)</f>
        <v>#N/A</v>
      </c>
      <c r="Q2741" s="44" t="e">
        <f>_xlfn.XLOOKUP(S2741,'Tabla Articulos'!B:B,'Tabla Articulos'!E:E)</f>
        <v>#N/A</v>
      </c>
      <c r="R2741" s="44" t="e">
        <f t="shared" si="84"/>
        <v>#N/A</v>
      </c>
      <c r="S2741" s="45" t="str">
        <f t="shared" si="85"/>
        <v>7790387800050</v>
      </c>
    </row>
    <row r="2742" spans="1:19" hidden="1" x14ac:dyDescent="0.35">
      <c r="A2742" s="22">
        <v>2</v>
      </c>
      <c r="B2742" t="s">
        <v>5624</v>
      </c>
      <c r="C2742" t="s">
        <v>802</v>
      </c>
      <c r="D2742" t="s">
        <v>5627</v>
      </c>
      <c r="E2742" t="s">
        <v>5628</v>
      </c>
      <c r="F2742">
        <v>4017961</v>
      </c>
      <c r="G2742" t="s">
        <v>5629</v>
      </c>
      <c r="H2742" t="s">
        <v>816</v>
      </c>
      <c r="I2742">
        <v>1654.67</v>
      </c>
      <c r="J2742">
        <v>0</v>
      </c>
      <c r="K2742">
        <v>0</v>
      </c>
      <c r="L2742">
        <v>678.85500000000002</v>
      </c>
      <c r="M2742">
        <v>858.85500000000002</v>
      </c>
      <c r="N2742">
        <v>248.53</v>
      </c>
      <c r="O2742">
        <v>-131.57</v>
      </c>
      <c r="P2742" s="44" t="e">
        <f>_xlfn.XLOOKUP(Tabla5[[#This Row],[EAN CORREGIDO]],'Tabla Articulos'!B:B,'Tabla Articulos'!D:D)</f>
        <v>#N/A</v>
      </c>
      <c r="Q2742" s="44" t="e">
        <f>_xlfn.XLOOKUP(S2742,'Tabla Articulos'!B:B,'Tabla Articulos'!E:E)</f>
        <v>#N/A</v>
      </c>
      <c r="R2742" s="44" t="e">
        <f t="shared" si="84"/>
        <v>#N/A</v>
      </c>
      <c r="S2742" s="45" t="str">
        <f t="shared" si="85"/>
        <v>7790216010112</v>
      </c>
    </row>
    <row r="2743" spans="1:19" hidden="1" x14ac:dyDescent="0.35">
      <c r="A2743" s="22">
        <v>2</v>
      </c>
      <c r="B2743" t="s">
        <v>5624</v>
      </c>
      <c r="C2743" t="s">
        <v>802</v>
      </c>
      <c r="D2743" t="s">
        <v>813</v>
      </c>
      <c r="E2743" t="s">
        <v>814</v>
      </c>
      <c r="F2743">
        <v>4018032</v>
      </c>
      <c r="G2743" t="s">
        <v>815</v>
      </c>
      <c r="H2743" t="s">
        <v>816</v>
      </c>
      <c r="I2743">
        <v>113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113</v>
      </c>
      <c r="P2743" s="44" t="e">
        <f>_xlfn.XLOOKUP(Tabla5[[#This Row],[EAN CORREGIDO]],'Tabla Articulos'!B:B,'Tabla Articulos'!D:D)</f>
        <v>#N/A</v>
      </c>
      <c r="Q2743" s="44" t="e">
        <f>_xlfn.XLOOKUP(S2743,'Tabla Articulos'!B:B,'Tabla Articulos'!E:E)</f>
        <v>#N/A</v>
      </c>
      <c r="R2743" s="44" t="e">
        <f t="shared" si="84"/>
        <v>#N/A</v>
      </c>
      <c r="S2743" s="45" t="str">
        <f t="shared" si="85"/>
        <v>7790216012641</v>
      </c>
    </row>
    <row r="2744" spans="1:19" hidden="1" x14ac:dyDescent="0.35">
      <c r="A2744" s="22">
        <v>2</v>
      </c>
      <c r="B2744" t="s">
        <v>5624</v>
      </c>
      <c r="C2744" t="s">
        <v>802</v>
      </c>
      <c r="D2744" t="s">
        <v>2751</v>
      </c>
      <c r="E2744" t="s">
        <v>2752</v>
      </c>
      <c r="F2744">
        <v>4020654</v>
      </c>
      <c r="G2744" t="s">
        <v>2753</v>
      </c>
      <c r="H2744" t="s">
        <v>805</v>
      </c>
      <c r="I2744">
        <v>1637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1637</v>
      </c>
      <c r="P2744" s="44" t="e">
        <f>_xlfn.XLOOKUP(Tabla5[[#This Row],[EAN CORREGIDO]],'Tabla Articulos'!B:B,'Tabla Articulos'!D:D)</f>
        <v>#N/A</v>
      </c>
      <c r="Q2744" s="44" t="e">
        <f>_xlfn.XLOOKUP(S2744,'Tabla Articulos'!B:B,'Tabla Articulos'!E:E)</f>
        <v>#N/A</v>
      </c>
      <c r="R2744" s="44" t="e">
        <f t="shared" si="84"/>
        <v>#N/A</v>
      </c>
      <c r="S2744" s="45" t="str">
        <f t="shared" si="85"/>
        <v>7791113001178</v>
      </c>
    </row>
    <row r="2745" spans="1:19" hidden="1" x14ac:dyDescent="0.35">
      <c r="A2745" s="22">
        <v>2</v>
      </c>
      <c r="B2745" t="s">
        <v>5624</v>
      </c>
      <c r="C2745" t="s">
        <v>802</v>
      </c>
      <c r="D2745" t="s">
        <v>6186</v>
      </c>
      <c r="E2745" t="s">
        <v>6187</v>
      </c>
      <c r="F2745">
        <v>4017199</v>
      </c>
      <c r="G2745" t="s">
        <v>6188</v>
      </c>
      <c r="H2745" t="s">
        <v>805</v>
      </c>
      <c r="I2745">
        <v>116</v>
      </c>
      <c r="J2745">
        <v>0</v>
      </c>
      <c r="K2745">
        <v>0</v>
      </c>
      <c r="L2745">
        <v>8</v>
      </c>
      <c r="M2745">
        <v>8</v>
      </c>
      <c r="N2745">
        <v>0</v>
      </c>
      <c r="O2745">
        <v>100</v>
      </c>
      <c r="P2745" s="44" t="e">
        <f>_xlfn.XLOOKUP(Tabla5[[#This Row],[EAN CORREGIDO]],'Tabla Articulos'!B:B,'Tabla Articulos'!D:D)</f>
        <v>#N/A</v>
      </c>
      <c r="Q2745" s="44" t="e">
        <f>_xlfn.XLOOKUP(S2745,'Tabla Articulos'!B:B,'Tabla Articulos'!E:E)</f>
        <v>#N/A</v>
      </c>
      <c r="R2745" s="44" t="e">
        <f t="shared" si="84"/>
        <v>#N/A</v>
      </c>
      <c r="S2745" s="45" t="str">
        <f t="shared" si="85"/>
        <v>7790895640483</v>
      </c>
    </row>
    <row r="2746" spans="1:19" hidden="1" x14ac:dyDescent="0.35">
      <c r="A2746" s="22">
        <v>2</v>
      </c>
      <c r="B2746" t="s">
        <v>5624</v>
      </c>
      <c r="C2746" t="s">
        <v>802</v>
      </c>
      <c r="D2746" t="s">
        <v>1975</v>
      </c>
      <c r="E2746" t="s">
        <v>2754</v>
      </c>
      <c r="F2746">
        <v>4020225</v>
      </c>
      <c r="G2746" t="s">
        <v>2755</v>
      </c>
      <c r="H2746" t="s">
        <v>805</v>
      </c>
      <c r="I2746">
        <v>273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273</v>
      </c>
      <c r="P2746" s="44" t="e">
        <f>_xlfn.XLOOKUP(Tabla5[[#This Row],[EAN CORREGIDO]],'Tabla Articulos'!B:B,'Tabla Articulos'!D:D)</f>
        <v>#N/A</v>
      </c>
      <c r="Q2746" s="44" t="e">
        <f>_xlfn.XLOOKUP(S2746,'Tabla Articulos'!B:B,'Tabla Articulos'!E:E)</f>
        <v>#N/A</v>
      </c>
      <c r="R2746" s="44" t="e">
        <f t="shared" si="84"/>
        <v>#N/A</v>
      </c>
      <c r="S2746" s="45" t="str">
        <f t="shared" si="85"/>
        <v>7793875360319</v>
      </c>
    </row>
    <row r="2747" spans="1:19" hidden="1" x14ac:dyDescent="0.35">
      <c r="A2747" s="22">
        <v>2</v>
      </c>
      <c r="B2747" t="s">
        <v>5624</v>
      </c>
      <c r="C2747" t="s">
        <v>802</v>
      </c>
      <c r="D2747" t="s">
        <v>213</v>
      </c>
      <c r="E2747" t="s">
        <v>1218</v>
      </c>
      <c r="F2747">
        <v>2007310</v>
      </c>
      <c r="G2747" t="s">
        <v>1219</v>
      </c>
      <c r="H2747" t="s">
        <v>816</v>
      </c>
      <c r="I2747">
        <v>163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163</v>
      </c>
      <c r="P2747" s="44" t="str">
        <f>_xlfn.XLOOKUP(Tabla5[[#This Row],[EAN CORREGIDO]],'Tabla Articulos'!B:B,'Tabla Articulos'!D:D)</f>
        <v>FOLEX</v>
      </c>
      <c r="Q2747" s="44">
        <f>_xlfn.XLOOKUP(S2747,'Tabla Articulos'!B:B,'Tabla Articulos'!E:E)</f>
        <v>1</v>
      </c>
      <c r="R2747" s="44">
        <f t="shared" si="84"/>
        <v>163</v>
      </c>
      <c r="S2747" s="45" t="str">
        <f t="shared" si="85"/>
        <v>7791101002132</v>
      </c>
    </row>
    <row r="2748" spans="1:19" hidden="1" x14ac:dyDescent="0.35">
      <c r="A2748" s="22">
        <v>2</v>
      </c>
      <c r="B2748" t="s">
        <v>5624</v>
      </c>
      <c r="C2748" t="s">
        <v>802</v>
      </c>
      <c r="D2748" t="s">
        <v>1232</v>
      </c>
      <c r="E2748" t="s">
        <v>1233</v>
      </c>
      <c r="F2748">
        <v>4019633</v>
      </c>
      <c r="G2748" t="s">
        <v>1234</v>
      </c>
      <c r="H2748" t="s">
        <v>805</v>
      </c>
      <c r="I2748">
        <v>1838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1838</v>
      </c>
      <c r="P2748" s="44" t="e">
        <f>_xlfn.XLOOKUP(Tabla5[[#This Row],[EAN CORREGIDO]],'Tabla Articulos'!B:B,'Tabla Articulos'!D:D)</f>
        <v>#N/A</v>
      </c>
      <c r="Q2748" s="44" t="e">
        <f>_xlfn.XLOOKUP(S2748,'Tabla Articulos'!B:B,'Tabla Articulos'!E:E)</f>
        <v>#N/A</v>
      </c>
      <c r="R2748" s="44" t="e">
        <f t="shared" si="84"/>
        <v>#N/A</v>
      </c>
      <c r="S2748" s="45" t="str">
        <f t="shared" si="85"/>
        <v>7790279000193</v>
      </c>
    </row>
    <row r="2749" spans="1:19" hidden="1" x14ac:dyDescent="0.35">
      <c r="A2749" s="22">
        <v>2</v>
      </c>
      <c r="B2749" t="s">
        <v>5624</v>
      </c>
      <c r="C2749" t="s">
        <v>802</v>
      </c>
      <c r="D2749" t="s">
        <v>2529</v>
      </c>
      <c r="E2749" t="s">
        <v>3163</v>
      </c>
      <c r="F2749">
        <v>4018870</v>
      </c>
      <c r="G2749" t="s">
        <v>2531</v>
      </c>
      <c r="H2749" t="s">
        <v>805</v>
      </c>
      <c r="I2749">
        <v>21396</v>
      </c>
      <c r="J2749">
        <v>0</v>
      </c>
      <c r="K2749">
        <v>0</v>
      </c>
      <c r="L2749">
        <v>2646</v>
      </c>
      <c r="M2749">
        <v>2646</v>
      </c>
      <c r="N2749">
        <v>0</v>
      </c>
      <c r="O2749">
        <v>16104</v>
      </c>
      <c r="P2749" s="44" t="e">
        <f>_xlfn.XLOOKUP(Tabla5[[#This Row],[EAN CORREGIDO]],'Tabla Articulos'!B:B,'Tabla Articulos'!D:D)</f>
        <v>#N/A</v>
      </c>
      <c r="Q2749" s="44" t="e">
        <f>_xlfn.XLOOKUP(S2749,'Tabla Articulos'!B:B,'Tabla Articulos'!E:E)</f>
        <v>#N/A</v>
      </c>
      <c r="R2749" s="44" t="e">
        <f t="shared" si="84"/>
        <v>#N/A</v>
      </c>
      <c r="S2749" s="45" t="str">
        <f t="shared" si="85"/>
        <v>7796624012026</v>
      </c>
    </row>
    <row r="2750" spans="1:19" hidden="1" x14ac:dyDescent="0.35">
      <c r="A2750" s="22">
        <v>2</v>
      </c>
      <c r="B2750" t="s">
        <v>5624</v>
      </c>
      <c r="C2750" t="s">
        <v>802</v>
      </c>
      <c r="D2750" t="s">
        <v>3166</v>
      </c>
      <c r="E2750" t="s">
        <v>3167</v>
      </c>
      <c r="F2750">
        <v>4020408</v>
      </c>
      <c r="G2750" t="s">
        <v>3168</v>
      </c>
      <c r="H2750" t="s">
        <v>805</v>
      </c>
      <c r="I2750">
        <v>83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83</v>
      </c>
      <c r="P2750" s="44" t="e">
        <f>_xlfn.XLOOKUP(Tabla5[[#This Row],[EAN CORREGIDO]],'Tabla Articulos'!B:B,'Tabla Articulos'!D:D)</f>
        <v>#N/A</v>
      </c>
      <c r="Q2750" s="44" t="e">
        <f>_xlfn.XLOOKUP(S2750,'Tabla Articulos'!B:B,'Tabla Articulos'!E:E)</f>
        <v>#N/A</v>
      </c>
      <c r="R2750" s="44" t="e">
        <f t="shared" si="84"/>
        <v>#N/A</v>
      </c>
      <c r="S2750" s="45" t="str">
        <f t="shared" si="85"/>
        <v>7793323003553</v>
      </c>
    </row>
    <row r="2751" spans="1:19" hidden="1" x14ac:dyDescent="0.35">
      <c r="A2751" s="22">
        <v>2</v>
      </c>
      <c r="B2751" t="s">
        <v>5624</v>
      </c>
      <c r="C2751" t="s">
        <v>802</v>
      </c>
      <c r="D2751" t="s">
        <v>459</v>
      </c>
      <c r="E2751" t="s">
        <v>6275</v>
      </c>
      <c r="F2751">
        <v>2007132</v>
      </c>
      <c r="G2751" t="s">
        <v>6276</v>
      </c>
      <c r="H2751" t="s">
        <v>805</v>
      </c>
      <c r="I2751">
        <v>10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10</v>
      </c>
      <c r="P2751" s="44" t="str">
        <f>_xlfn.XLOOKUP(Tabla5[[#This Row],[EAN CORREGIDO]],'Tabla Articulos'!B:B,'Tabla Articulos'!D:D)</f>
        <v>BOWL COMPOSTABLE 960</v>
      </c>
      <c r="Q2751" s="44">
        <f>_xlfn.XLOOKUP(S2751,'Tabla Articulos'!B:B,'Tabla Articulos'!E:E)</f>
        <v>600</v>
      </c>
      <c r="R2751" s="44">
        <f t="shared" si="84"/>
        <v>6000</v>
      </c>
      <c r="S2751" s="45" t="str">
        <f t="shared" si="85"/>
        <v>7790000000218</v>
      </c>
    </row>
    <row r="2752" spans="1:19" hidden="1" x14ac:dyDescent="0.35">
      <c r="A2752" s="22">
        <v>2</v>
      </c>
      <c r="B2752" t="s">
        <v>5624</v>
      </c>
      <c r="C2752" t="s">
        <v>802</v>
      </c>
      <c r="D2752" t="s">
        <v>2886</v>
      </c>
      <c r="E2752" t="s">
        <v>6120</v>
      </c>
      <c r="F2752">
        <v>4076554</v>
      </c>
      <c r="G2752" t="s">
        <v>6121</v>
      </c>
      <c r="H2752" t="s">
        <v>805</v>
      </c>
      <c r="I2752">
        <v>29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29</v>
      </c>
      <c r="P2752" s="44" t="e">
        <f>_xlfn.XLOOKUP(Tabla5[[#This Row],[EAN CORREGIDO]],'Tabla Articulos'!B:B,'Tabla Articulos'!D:D)</f>
        <v>#N/A</v>
      </c>
      <c r="Q2752" s="44" t="e">
        <f>_xlfn.XLOOKUP(S2752,'Tabla Articulos'!B:B,'Tabla Articulos'!E:E)</f>
        <v>#N/A</v>
      </c>
      <c r="R2752" s="44" t="e">
        <f t="shared" si="84"/>
        <v>#N/A</v>
      </c>
      <c r="S2752" s="45" t="str">
        <f t="shared" si="85"/>
        <v>7798131130798</v>
      </c>
    </row>
    <row r="2753" spans="1:19" hidden="1" x14ac:dyDescent="0.35">
      <c r="A2753" s="22">
        <v>2</v>
      </c>
      <c r="B2753" t="s">
        <v>5624</v>
      </c>
      <c r="C2753" t="s">
        <v>802</v>
      </c>
      <c r="D2753" t="s">
        <v>6122</v>
      </c>
      <c r="E2753" t="s">
        <v>6123</v>
      </c>
      <c r="F2753">
        <v>4018570</v>
      </c>
      <c r="G2753" t="s">
        <v>6124</v>
      </c>
      <c r="H2753" t="s">
        <v>805</v>
      </c>
      <c r="I2753">
        <v>5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5</v>
      </c>
      <c r="P2753" s="44" t="e">
        <f>_xlfn.XLOOKUP(Tabla5[[#This Row],[EAN CORREGIDO]],'Tabla Articulos'!B:B,'Tabla Articulos'!D:D)</f>
        <v>#N/A</v>
      </c>
      <c r="Q2753" s="44" t="e">
        <f>_xlfn.XLOOKUP(S2753,'Tabla Articulos'!B:B,'Tabla Articulos'!E:E)</f>
        <v>#N/A</v>
      </c>
      <c r="R2753" s="44" t="e">
        <f t="shared" ref="R2753:R2816" si="86">O2753*Q2753</f>
        <v>#N/A</v>
      </c>
      <c r="S2753" s="45" t="str">
        <f t="shared" ref="S2753:S2816" si="87">TRIM(E2753)</f>
        <v>7798088625419</v>
      </c>
    </row>
    <row r="2754" spans="1:19" hidden="1" x14ac:dyDescent="0.35">
      <c r="A2754" s="22">
        <v>2</v>
      </c>
      <c r="B2754" t="s">
        <v>5624</v>
      </c>
      <c r="C2754" t="s">
        <v>802</v>
      </c>
      <c r="D2754" t="s">
        <v>6125</v>
      </c>
      <c r="E2754" t="s">
        <v>6126</v>
      </c>
      <c r="F2754">
        <v>4022370</v>
      </c>
      <c r="G2754" t="s">
        <v>6127</v>
      </c>
      <c r="H2754" t="s">
        <v>805</v>
      </c>
      <c r="I2754">
        <v>0</v>
      </c>
      <c r="J2754">
        <v>100</v>
      </c>
      <c r="K2754">
        <v>0</v>
      </c>
      <c r="L2754">
        <v>0</v>
      </c>
      <c r="M2754">
        <v>0</v>
      </c>
      <c r="N2754">
        <v>0</v>
      </c>
      <c r="O2754">
        <v>100</v>
      </c>
      <c r="P2754" s="44" t="e">
        <f>_xlfn.XLOOKUP(Tabla5[[#This Row],[EAN CORREGIDO]],'Tabla Articulos'!B:B,'Tabla Articulos'!D:D)</f>
        <v>#N/A</v>
      </c>
      <c r="Q2754" s="44" t="e">
        <f>_xlfn.XLOOKUP(S2754,'Tabla Articulos'!B:B,'Tabla Articulos'!E:E)</f>
        <v>#N/A</v>
      </c>
      <c r="R2754" s="44" t="e">
        <f t="shared" si="86"/>
        <v>#N/A</v>
      </c>
      <c r="S2754" s="45" t="str">
        <f t="shared" si="87"/>
        <v>7795711000113</v>
      </c>
    </row>
    <row r="2755" spans="1:19" hidden="1" x14ac:dyDescent="0.35">
      <c r="A2755" s="22">
        <v>2</v>
      </c>
      <c r="B2755" t="s">
        <v>5624</v>
      </c>
      <c r="C2755" t="s">
        <v>802</v>
      </c>
      <c r="D2755" t="s">
        <v>5666</v>
      </c>
      <c r="E2755" t="s">
        <v>5681</v>
      </c>
      <c r="F2755">
        <v>4024588</v>
      </c>
      <c r="G2755" t="s">
        <v>5682</v>
      </c>
      <c r="H2755" t="s">
        <v>805</v>
      </c>
      <c r="I2755">
        <v>31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31</v>
      </c>
      <c r="P2755" s="44" t="e">
        <f>_xlfn.XLOOKUP(Tabla5[[#This Row],[EAN CORREGIDO]],'Tabla Articulos'!B:B,'Tabla Articulos'!D:D)</f>
        <v>#N/A</v>
      </c>
      <c r="Q2755" s="44" t="e">
        <f>_xlfn.XLOOKUP(S2755,'Tabla Articulos'!B:B,'Tabla Articulos'!E:E)</f>
        <v>#N/A</v>
      </c>
      <c r="R2755" s="44" t="e">
        <f t="shared" si="86"/>
        <v>#N/A</v>
      </c>
      <c r="S2755" s="45" t="str">
        <f t="shared" si="87"/>
        <v>7791270010280</v>
      </c>
    </row>
    <row r="2756" spans="1:19" hidden="1" x14ac:dyDescent="0.35">
      <c r="A2756" s="22">
        <v>2</v>
      </c>
      <c r="B2756" t="s">
        <v>5624</v>
      </c>
      <c r="C2756" t="s">
        <v>802</v>
      </c>
      <c r="D2756" t="s">
        <v>463</v>
      </c>
      <c r="E2756" t="s">
        <v>5683</v>
      </c>
      <c r="F2756">
        <v>2006443</v>
      </c>
      <c r="G2756" t="s">
        <v>5684</v>
      </c>
      <c r="H2756" t="s">
        <v>805</v>
      </c>
      <c r="I2756">
        <v>335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335</v>
      </c>
      <c r="P2756" s="44" t="str">
        <f>_xlfn.XLOOKUP(Tabla5[[#This Row],[EAN CORREGIDO]],'Tabla Articulos'!B:B,'Tabla Articulos'!D:D)</f>
        <v>FILM STRECH</v>
      </c>
      <c r="Q2756" s="44">
        <f>_xlfn.XLOOKUP(S2756,'Tabla Articulos'!B:B,'Tabla Articulos'!E:E)</f>
        <v>1</v>
      </c>
      <c r="R2756" s="44">
        <f t="shared" si="86"/>
        <v>335</v>
      </c>
      <c r="S2756" s="45" t="str">
        <f t="shared" si="87"/>
        <v>16110000A</v>
      </c>
    </row>
    <row r="2757" spans="1:19" hidden="1" x14ac:dyDescent="0.35">
      <c r="A2757" s="22">
        <v>2</v>
      </c>
      <c r="B2757" t="s">
        <v>5624</v>
      </c>
      <c r="C2757" t="s">
        <v>802</v>
      </c>
      <c r="D2757" t="s">
        <v>5685</v>
      </c>
      <c r="E2757" t="s">
        <v>5686</v>
      </c>
      <c r="F2757">
        <v>4017195</v>
      </c>
      <c r="G2757" t="s">
        <v>5687</v>
      </c>
      <c r="H2757" t="s">
        <v>805</v>
      </c>
      <c r="I2757">
        <v>2681</v>
      </c>
      <c r="J2757">
        <v>0</v>
      </c>
      <c r="K2757">
        <v>0</v>
      </c>
      <c r="L2757">
        <v>56</v>
      </c>
      <c r="M2757">
        <v>56</v>
      </c>
      <c r="N2757">
        <v>0</v>
      </c>
      <c r="O2757">
        <v>2569</v>
      </c>
      <c r="P2757" s="44" t="e">
        <f>_xlfn.XLOOKUP(Tabla5[[#This Row],[EAN CORREGIDO]],'Tabla Articulos'!B:B,'Tabla Articulos'!D:D)</f>
        <v>#N/A</v>
      </c>
      <c r="Q2757" s="44" t="e">
        <f>_xlfn.XLOOKUP(S2757,'Tabla Articulos'!B:B,'Tabla Articulos'!E:E)</f>
        <v>#N/A</v>
      </c>
      <c r="R2757" s="44" t="e">
        <f t="shared" si="86"/>
        <v>#N/A</v>
      </c>
      <c r="S2757" s="45" t="str">
        <f t="shared" si="87"/>
        <v>7790895009228</v>
      </c>
    </row>
    <row r="2758" spans="1:19" hidden="1" x14ac:dyDescent="0.35">
      <c r="A2758" s="22">
        <v>2</v>
      </c>
      <c r="B2758" t="s">
        <v>5624</v>
      </c>
      <c r="C2758" t="s">
        <v>802</v>
      </c>
      <c r="D2758" t="s">
        <v>6616</v>
      </c>
      <c r="E2758" t="s">
        <v>6617</v>
      </c>
      <c r="F2758">
        <v>4019067</v>
      </c>
      <c r="G2758" t="s">
        <v>6618</v>
      </c>
      <c r="H2758" t="s">
        <v>805</v>
      </c>
      <c r="I2758">
        <v>938</v>
      </c>
      <c r="J2758">
        <v>0</v>
      </c>
      <c r="K2758">
        <v>0</v>
      </c>
      <c r="L2758">
        <v>60</v>
      </c>
      <c r="M2758">
        <v>60</v>
      </c>
      <c r="N2758">
        <v>0</v>
      </c>
      <c r="O2758">
        <v>818</v>
      </c>
      <c r="P2758" s="44" t="e">
        <f>_xlfn.XLOOKUP(Tabla5[[#This Row],[EAN CORREGIDO]],'Tabla Articulos'!B:B,'Tabla Articulos'!D:D)</f>
        <v>#N/A</v>
      </c>
      <c r="Q2758" s="44" t="e">
        <f>_xlfn.XLOOKUP(S2758,'Tabla Articulos'!B:B,'Tabla Articulos'!E:E)</f>
        <v>#N/A</v>
      </c>
      <c r="R2758" s="44" t="e">
        <f t="shared" si="86"/>
        <v>#N/A</v>
      </c>
      <c r="S2758" s="45" t="str">
        <f t="shared" si="87"/>
        <v>77915818</v>
      </c>
    </row>
    <row r="2759" spans="1:19" hidden="1" x14ac:dyDescent="0.35">
      <c r="A2759" s="22">
        <v>2</v>
      </c>
      <c r="B2759" t="s">
        <v>5624</v>
      </c>
      <c r="C2759" t="s">
        <v>802</v>
      </c>
      <c r="D2759" t="s">
        <v>371</v>
      </c>
      <c r="E2759" t="s">
        <v>4920</v>
      </c>
      <c r="F2759">
        <v>2011502</v>
      </c>
      <c r="G2759" t="s">
        <v>4921</v>
      </c>
      <c r="H2759" t="s">
        <v>805</v>
      </c>
      <c r="I2759">
        <v>104</v>
      </c>
      <c r="J2759">
        <v>0</v>
      </c>
      <c r="K2759">
        <v>0</v>
      </c>
      <c r="L2759">
        <v>36</v>
      </c>
      <c r="M2759">
        <v>36</v>
      </c>
      <c r="N2759">
        <v>0</v>
      </c>
      <c r="O2759">
        <v>32</v>
      </c>
      <c r="P2759" s="44" t="str">
        <f>_xlfn.XLOOKUP(Tabla5[[#This Row],[EAN CORREGIDO]],'Tabla Articulos'!B:B,'Tabla Articulos'!D:D)</f>
        <v>BANDEJA 103</v>
      </c>
      <c r="Q2759" s="44">
        <f>_xlfn.XLOOKUP(S2759,'Tabla Articulos'!B:B,'Tabla Articulos'!E:E)</f>
        <v>100</v>
      </c>
      <c r="R2759" s="44">
        <f t="shared" si="86"/>
        <v>3200</v>
      </c>
      <c r="S2759" s="45" t="str">
        <f t="shared" si="87"/>
        <v>7798011210053</v>
      </c>
    </row>
    <row r="2760" spans="1:19" hidden="1" x14ac:dyDescent="0.35">
      <c r="A2760" s="22">
        <v>2</v>
      </c>
      <c r="B2760" t="s">
        <v>5624</v>
      </c>
      <c r="C2760" t="s">
        <v>802</v>
      </c>
      <c r="D2760" t="s">
        <v>6619</v>
      </c>
      <c r="E2760" t="s">
        <v>6620</v>
      </c>
      <c r="F2760">
        <v>4021194</v>
      </c>
      <c r="G2760" t="s">
        <v>6621</v>
      </c>
      <c r="H2760" t="s">
        <v>816</v>
      </c>
      <c r="I2760">
        <v>442</v>
      </c>
      <c r="J2760">
        <v>0</v>
      </c>
      <c r="K2760">
        <v>0</v>
      </c>
      <c r="L2760">
        <v>155</v>
      </c>
      <c r="M2760">
        <v>155</v>
      </c>
      <c r="N2760">
        <v>0</v>
      </c>
      <c r="O2760">
        <v>132</v>
      </c>
      <c r="P2760" s="44" t="e">
        <f>_xlfn.XLOOKUP(Tabla5[[#This Row],[EAN CORREGIDO]],'Tabla Articulos'!B:B,'Tabla Articulos'!D:D)</f>
        <v>#N/A</v>
      </c>
      <c r="Q2760" s="44" t="e">
        <f>_xlfn.XLOOKUP(S2760,'Tabla Articulos'!B:B,'Tabla Articulos'!E:E)</f>
        <v>#N/A</v>
      </c>
      <c r="R2760" s="44" t="e">
        <f t="shared" si="86"/>
        <v>#N/A</v>
      </c>
      <c r="S2760" s="45" t="str">
        <f t="shared" si="87"/>
        <v>7798132273166</v>
      </c>
    </row>
    <row r="2761" spans="1:19" hidden="1" x14ac:dyDescent="0.35">
      <c r="A2761" s="22">
        <v>2</v>
      </c>
      <c r="B2761" t="s">
        <v>5624</v>
      </c>
      <c r="C2761" t="s">
        <v>802</v>
      </c>
      <c r="D2761" t="s">
        <v>4922</v>
      </c>
      <c r="E2761" t="s">
        <v>4923</v>
      </c>
      <c r="F2761">
        <v>4022436</v>
      </c>
      <c r="G2761" t="s">
        <v>4924</v>
      </c>
      <c r="H2761" t="s">
        <v>805</v>
      </c>
      <c r="I2761">
        <v>272</v>
      </c>
      <c r="J2761">
        <v>0</v>
      </c>
      <c r="K2761">
        <v>0</v>
      </c>
      <c r="L2761">
        <v>40</v>
      </c>
      <c r="M2761">
        <v>40</v>
      </c>
      <c r="N2761">
        <v>0</v>
      </c>
      <c r="O2761">
        <v>192</v>
      </c>
      <c r="P2761" s="44" t="e">
        <f>_xlfn.XLOOKUP(Tabla5[[#This Row],[EAN CORREGIDO]],'Tabla Articulos'!B:B,'Tabla Articulos'!D:D)</f>
        <v>#N/A</v>
      </c>
      <c r="Q2761" s="44" t="e">
        <f>_xlfn.XLOOKUP(S2761,'Tabla Articulos'!B:B,'Tabla Articulos'!E:E)</f>
        <v>#N/A</v>
      </c>
      <c r="R2761" s="44" t="e">
        <f t="shared" si="86"/>
        <v>#N/A</v>
      </c>
      <c r="S2761" s="45" t="str">
        <f t="shared" si="87"/>
        <v>7794000007826</v>
      </c>
    </row>
    <row r="2762" spans="1:19" hidden="1" x14ac:dyDescent="0.35">
      <c r="A2762" s="22">
        <v>2</v>
      </c>
      <c r="B2762" t="s">
        <v>5624</v>
      </c>
      <c r="C2762" t="s">
        <v>802</v>
      </c>
      <c r="D2762" t="s">
        <v>5984</v>
      </c>
      <c r="E2762" t="s">
        <v>5985</v>
      </c>
      <c r="F2762">
        <v>4017748</v>
      </c>
      <c r="G2762" t="s">
        <v>5986</v>
      </c>
      <c r="H2762" t="s">
        <v>816</v>
      </c>
      <c r="I2762">
        <v>500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500</v>
      </c>
      <c r="P2762" s="44" t="e">
        <f>_xlfn.XLOOKUP(Tabla5[[#This Row],[EAN CORREGIDO]],'Tabla Articulos'!B:B,'Tabla Articulos'!D:D)</f>
        <v>#N/A</v>
      </c>
      <c r="Q2762" s="44" t="e">
        <f>_xlfn.XLOOKUP(S2762,'Tabla Articulos'!B:B,'Tabla Articulos'!E:E)</f>
        <v>#N/A</v>
      </c>
      <c r="R2762" s="44" t="e">
        <f t="shared" si="86"/>
        <v>#N/A</v>
      </c>
      <c r="S2762" s="45" t="str">
        <f t="shared" si="87"/>
        <v>7790212031266</v>
      </c>
    </row>
    <row r="2763" spans="1:19" hidden="1" x14ac:dyDescent="0.35">
      <c r="A2763" s="22">
        <v>2</v>
      </c>
      <c r="B2763" t="s">
        <v>5624</v>
      </c>
      <c r="C2763" t="s">
        <v>802</v>
      </c>
      <c r="D2763" t="s">
        <v>5542</v>
      </c>
      <c r="E2763" t="s">
        <v>6096</v>
      </c>
      <c r="F2763">
        <v>4020402</v>
      </c>
      <c r="G2763" t="s">
        <v>5390</v>
      </c>
      <c r="H2763" t="s">
        <v>805</v>
      </c>
      <c r="I2763">
        <v>731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731</v>
      </c>
      <c r="P2763" s="44" t="e">
        <f>_xlfn.XLOOKUP(Tabla5[[#This Row],[EAN CORREGIDO]],'Tabla Articulos'!B:B,'Tabla Articulos'!D:D)</f>
        <v>#N/A</v>
      </c>
      <c r="Q2763" s="44" t="e">
        <f>_xlfn.XLOOKUP(S2763,'Tabla Articulos'!B:B,'Tabla Articulos'!E:E)</f>
        <v>#N/A</v>
      </c>
      <c r="R2763" s="44" t="e">
        <f t="shared" si="86"/>
        <v>#N/A</v>
      </c>
      <c r="S2763" s="45" t="str">
        <f t="shared" si="87"/>
        <v>7792900006949</v>
      </c>
    </row>
    <row r="2764" spans="1:19" hidden="1" x14ac:dyDescent="0.35">
      <c r="A2764" s="22">
        <v>2</v>
      </c>
      <c r="B2764" t="s">
        <v>5624</v>
      </c>
      <c r="C2764" t="s">
        <v>802</v>
      </c>
      <c r="D2764" t="s">
        <v>2522</v>
      </c>
      <c r="E2764" t="s">
        <v>2523</v>
      </c>
      <c r="F2764">
        <v>4019665</v>
      </c>
      <c r="G2764" t="s">
        <v>2524</v>
      </c>
      <c r="H2764" t="s">
        <v>805</v>
      </c>
      <c r="I2764">
        <v>10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10</v>
      </c>
      <c r="P2764" s="44" t="e">
        <f>_xlfn.XLOOKUP(Tabla5[[#This Row],[EAN CORREGIDO]],'Tabla Articulos'!B:B,'Tabla Articulos'!D:D)</f>
        <v>#N/A</v>
      </c>
      <c r="Q2764" s="44" t="e">
        <f>_xlfn.XLOOKUP(S2764,'Tabla Articulos'!B:B,'Tabla Articulos'!E:E)</f>
        <v>#N/A</v>
      </c>
      <c r="R2764" s="44" t="e">
        <f t="shared" si="86"/>
        <v>#N/A</v>
      </c>
      <c r="S2764" s="45" t="str">
        <f t="shared" si="87"/>
        <v>7790790120257</v>
      </c>
    </row>
    <row r="2765" spans="1:19" hidden="1" x14ac:dyDescent="0.35">
      <c r="A2765" s="22">
        <v>2</v>
      </c>
      <c r="B2765" t="s">
        <v>5624</v>
      </c>
      <c r="C2765" t="s">
        <v>802</v>
      </c>
      <c r="D2765" t="s">
        <v>1266</v>
      </c>
      <c r="E2765" t="s">
        <v>6097</v>
      </c>
      <c r="F2765">
        <v>4017744</v>
      </c>
      <c r="G2765" t="s">
        <v>6098</v>
      </c>
      <c r="H2765" t="s">
        <v>816</v>
      </c>
      <c r="I2765">
        <v>294.68</v>
      </c>
      <c r="J2765">
        <v>0</v>
      </c>
      <c r="K2765">
        <v>0</v>
      </c>
      <c r="L2765">
        <v>15</v>
      </c>
      <c r="M2765">
        <v>15</v>
      </c>
      <c r="N2765">
        <v>45</v>
      </c>
      <c r="O2765">
        <v>219.68</v>
      </c>
      <c r="P2765" s="44" t="e">
        <f>_xlfn.XLOOKUP(Tabla5[[#This Row],[EAN CORREGIDO]],'Tabla Articulos'!B:B,'Tabla Articulos'!D:D)</f>
        <v>#N/A</v>
      </c>
      <c r="Q2765" s="44" t="e">
        <f>_xlfn.XLOOKUP(S2765,'Tabla Articulos'!B:B,'Tabla Articulos'!E:E)</f>
        <v>#N/A</v>
      </c>
      <c r="R2765" s="44" t="e">
        <f t="shared" si="86"/>
        <v>#N/A</v>
      </c>
      <c r="S2765" s="45" t="str">
        <f t="shared" si="87"/>
        <v>7790212030062</v>
      </c>
    </row>
    <row r="2766" spans="1:19" hidden="1" x14ac:dyDescent="0.35">
      <c r="A2766" s="22">
        <v>2</v>
      </c>
      <c r="B2766" t="s">
        <v>5624</v>
      </c>
      <c r="C2766" t="s">
        <v>802</v>
      </c>
      <c r="D2766" t="s">
        <v>1437</v>
      </c>
      <c r="E2766" t="s">
        <v>5695</v>
      </c>
      <c r="F2766">
        <v>4017202</v>
      </c>
      <c r="G2766" t="s">
        <v>5696</v>
      </c>
      <c r="H2766" t="s">
        <v>805</v>
      </c>
      <c r="I2766">
        <v>3468</v>
      </c>
      <c r="J2766">
        <v>0</v>
      </c>
      <c r="K2766">
        <v>0</v>
      </c>
      <c r="L2766">
        <v>1000</v>
      </c>
      <c r="M2766">
        <v>1000</v>
      </c>
      <c r="N2766">
        <v>0</v>
      </c>
      <c r="O2766">
        <v>1468</v>
      </c>
      <c r="P2766" s="44" t="e">
        <f>_xlfn.XLOOKUP(Tabla5[[#This Row],[EAN CORREGIDO]],'Tabla Articulos'!B:B,'Tabla Articulos'!D:D)</f>
        <v>#N/A</v>
      </c>
      <c r="Q2766" s="44" t="e">
        <f>_xlfn.XLOOKUP(S2766,'Tabla Articulos'!B:B,'Tabla Articulos'!E:E)</f>
        <v>#N/A</v>
      </c>
      <c r="R2766" s="44" t="e">
        <f t="shared" si="86"/>
        <v>#N/A</v>
      </c>
      <c r="S2766" s="45" t="str">
        <f t="shared" si="87"/>
        <v>7790895645778</v>
      </c>
    </row>
    <row r="2767" spans="1:19" hidden="1" x14ac:dyDescent="0.35">
      <c r="A2767" s="22">
        <v>2</v>
      </c>
      <c r="B2767" t="s">
        <v>5624</v>
      </c>
      <c r="C2767" t="s">
        <v>802</v>
      </c>
      <c r="D2767" t="s">
        <v>5697</v>
      </c>
      <c r="E2767" t="s">
        <v>5698</v>
      </c>
      <c r="F2767">
        <v>2016500</v>
      </c>
      <c r="G2767" t="s">
        <v>5699</v>
      </c>
      <c r="H2767" t="s">
        <v>805</v>
      </c>
      <c r="I2767">
        <v>52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52</v>
      </c>
      <c r="P2767" s="44" t="str">
        <f>_xlfn.XLOOKUP(Tabla5[[#This Row],[EAN CORREGIDO]],'Tabla Articulos'!B:B,'Tabla Articulos'!D:D)</f>
        <v>SERVILLETA 33X33 NUTRIRE</v>
      </c>
      <c r="Q2767" s="44">
        <f>_xlfn.XLOOKUP(S2767,'Tabla Articulos'!B:B,'Tabla Articulos'!E:E)</f>
        <v>1000</v>
      </c>
      <c r="R2767" s="44">
        <f t="shared" si="86"/>
        <v>52000</v>
      </c>
      <c r="S2767" s="45" t="str">
        <f t="shared" si="87"/>
        <v>7790000000709</v>
      </c>
    </row>
    <row r="2768" spans="1:19" hidden="1" x14ac:dyDescent="0.35">
      <c r="A2768" s="22">
        <v>2</v>
      </c>
      <c r="B2768" t="s">
        <v>5624</v>
      </c>
      <c r="C2768" t="s">
        <v>802</v>
      </c>
      <c r="D2768" t="s">
        <v>1063</v>
      </c>
      <c r="E2768" t="s">
        <v>1064</v>
      </c>
      <c r="F2768">
        <v>4019727</v>
      </c>
      <c r="G2768" t="s">
        <v>1065</v>
      </c>
      <c r="H2768" t="s">
        <v>805</v>
      </c>
      <c r="I2768">
        <v>680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680</v>
      </c>
      <c r="P2768" s="44" t="e">
        <f>_xlfn.XLOOKUP(Tabla5[[#This Row],[EAN CORREGIDO]],'Tabla Articulos'!B:B,'Tabla Articulos'!D:D)</f>
        <v>#N/A</v>
      </c>
      <c r="Q2768" s="44" t="e">
        <f>_xlfn.XLOOKUP(S2768,'Tabla Articulos'!B:B,'Tabla Articulos'!E:E)</f>
        <v>#N/A</v>
      </c>
      <c r="R2768" s="44" t="e">
        <f t="shared" si="86"/>
        <v>#N/A</v>
      </c>
      <c r="S2768" s="45" t="str">
        <f t="shared" si="87"/>
        <v>7790398000326</v>
      </c>
    </row>
    <row r="2769" spans="1:19" hidden="1" x14ac:dyDescent="0.35">
      <c r="A2769" s="22">
        <v>2</v>
      </c>
      <c r="B2769" t="s">
        <v>5624</v>
      </c>
      <c r="C2769" t="s">
        <v>802</v>
      </c>
      <c r="D2769" t="s">
        <v>4512</v>
      </c>
      <c r="E2769" t="s">
        <v>5700</v>
      </c>
      <c r="F2769">
        <v>4020047</v>
      </c>
      <c r="G2769" t="s">
        <v>5701</v>
      </c>
      <c r="H2769" t="s">
        <v>805</v>
      </c>
      <c r="I2769">
        <v>21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21</v>
      </c>
      <c r="P2769" s="44" t="e">
        <f>_xlfn.XLOOKUP(Tabla5[[#This Row],[EAN CORREGIDO]],'Tabla Articulos'!B:B,'Tabla Articulos'!D:D)</f>
        <v>#N/A</v>
      </c>
      <c r="Q2769" s="44" t="e">
        <f>_xlfn.XLOOKUP(S2769,'Tabla Articulos'!B:B,'Tabla Articulos'!E:E)</f>
        <v>#N/A</v>
      </c>
      <c r="R2769" s="44" t="e">
        <f t="shared" si="86"/>
        <v>#N/A</v>
      </c>
      <c r="S2769" s="45" t="str">
        <f t="shared" si="87"/>
        <v>7792900950006</v>
      </c>
    </row>
    <row r="2770" spans="1:19" hidden="1" x14ac:dyDescent="0.35">
      <c r="A2770" s="22">
        <v>2</v>
      </c>
      <c r="B2770" t="s">
        <v>5624</v>
      </c>
      <c r="C2770" t="s">
        <v>802</v>
      </c>
      <c r="D2770" t="s">
        <v>2284</v>
      </c>
      <c r="E2770" t="s">
        <v>3729</v>
      </c>
      <c r="F2770">
        <v>4018656</v>
      </c>
      <c r="G2770" t="s">
        <v>3730</v>
      </c>
      <c r="H2770" t="s">
        <v>805</v>
      </c>
      <c r="I2770">
        <v>901</v>
      </c>
      <c r="J2770">
        <v>0</v>
      </c>
      <c r="K2770">
        <v>0</v>
      </c>
      <c r="L2770">
        <v>118</v>
      </c>
      <c r="M2770">
        <v>118</v>
      </c>
      <c r="N2770">
        <v>0</v>
      </c>
      <c r="O2770">
        <v>665</v>
      </c>
      <c r="P2770" s="44" t="e">
        <f>_xlfn.XLOOKUP(Tabla5[[#This Row],[EAN CORREGIDO]],'Tabla Articulos'!B:B,'Tabla Articulos'!D:D)</f>
        <v>#N/A</v>
      </c>
      <c r="Q2770" s="44" t="e">
        <f>_xlfn.XLOOKUP(S2770,'Tabla Articulos'!B:B,'Tabla Articulos'!E:E)</f>
        <v>#N/A</v>
      </c>
      <c r="R2770" s="44" t="e">
        <f t="shared" si="86"/>
        <v>#N/A</v>
      </c>
      <c r="S2770" s="45" t="str">
        <f t="shared" si="87"/>
        <v>7791218122624</v>
      </c>
    </row>
    <row r="2771" spans="1:19" hidden="1" x14ac:dyDescent="0.35">
      <c r="A2771" s="22">
        <v>2</v>
      </c>
      <c r="B2771" t="s">
        <v>5624</v>
      </c>
      <c r="C2771" t="s">
        <v>802</v>
      </c>
      <c r="D2771" t="s">
        <v>2347</v>
      </c>
      <c r="E2771" t="s">
        <v>3731</v>
      </c>
      <c r="F2771">
        <v>4017579</v>
      </c>
      <c r="G2771" t="s">
        <v>3732</v>
      </c>
      <c r="H2771" t="s">
        <v>805</v>
      </c>
      <c r="I2771">
        <v>143</v>
      </c>
      <c r="J2771">
        <v>0</v>
      </c>
      <c r="K2771">
        <v>0</v>
      </c>
      <c r="L2771">
        <v>0</v>
      </c>
      <c r="M2771">
        <v>0</v>
      </c>
      <c r="N2771">
        <v>34</v>
      </c>
      <c r="O2771">
        <v>109</v>
      </c>
      <c r="P2771" s="44" t="e">
        <f>_xlfn.XLOOKUP(Tabla5[[#This Row],[EAN CORREGIDO]],'Tabla Articulos'!B:B,'Tabla Articulos'!D:D)</f>
        <v>#N/A</v>
      </c>
      <c r="Q2771" s="44" t="e">
        <f>_xlfn.XLOOKUP(S2771,'Tabla Articulos'!B:B,'Tabla Articulos'!E:E)</f>
        <v>#N/A</v>
      </c>
      <c r="R2771" s="44" t="e">
        <f t="shared" si="86"/>
        <v>#N/A</v>
      </c>
      <c r="S2771" s="45" t="str">
        <f t="shared" si="87"/>
        <v>2304631000001</v>
      </c>
    </row>
    <row r="2772" spans="1:19" hidden="1" x14ac:dyDescent="0.35">
      <c r="A2772" s="22">
        <v>2</v>
      </c>
      <c r="B2772" t="s">
        <v>5624</v>
      </c>
      <c r="C2772" t="s">
        <v>802</v>
      </c>
      <c r="D2772" t="s">
        <v>3733</v>
      </c>
      <c r="E2772" t="s">
        <v>3734</v>
      </c>
      <c r="F2772">
        <v>4020151</v>
      </c>
      <c r="G2772" t="s">
        <v>3735</v>
      </c>
      <c r="H2772" t="s">
        <v>805</v>
      </c>
      <c r="I2772">
        <v>227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227</v>
      </c>
      <c r="P2772" s="44" t="e">
        <f>_xlfn.XLOOKUP(Tabla5[[#This Row],[EAN CORREGIDO]],'Tabla Articulos'!B:B,'Tabla Articulos'!D:D)</f>
        <v>#N/A</v>
      </c>
      <c r="Q2772" s="44" t="e">
        <f>_xlfn.XLOOKUP(S2772,'Tabla Articulos'!B:B,'Tabla Articulos'!E:E)</f>
        <v>#N/A</v>
      </c>
      <c r="R2772" s="44" t="e">
        <f t="shared" si="86"/>
        <v>#N/A</v>
      </c>
      <c r="S2772" s="45" t="str">
        <f t="shared" si="87"/>
        <v>7791113000904</v>
      </c>
    </row>
    <row r="2773" spans="1:19" hidden="1" x14ac:dyDescent="0.35">
      <c r="A2773" s="22">
        <v>2</v>
      </c>
      <c r="B2773" t="s">
        <v>5624</v>
      </c>
      <c r="C2773" t="s">
        <v>802</v>
      </c>
      <c r="D2773" t="s">
        <v>358</v>
      </c>
      <c r="E2773" t="s">
        <v>3736</v>
      </c>
      <c r="F2773">
        <v>2006633</v>
      </c>
      <c r="G2773" t="s">
        <v>3737</v>
      </c>
      <c r="H2773" t="s">
        <v>805</v>
      </c>
      <c r="I2773">
        <v>13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13</v>
      </c>
      <c r="P2773" s="44" t="str">
        <f>_xlfn.XLOOKUP(Tabla5[[#This Row],[EAN CORREGIDO]],'Tabla Articulos'!B:B,'Tabla Articulos'!D:D)</f>
        <v>BROCHETTE</v>
      </c>
      <c r="Q2773" s="44">
        <f>_xlfn.XLOOKUP(S2773,'Tabla Articulos'!B:B,'Tabla Articulos'!E:E)</f>
        <v>80</v>
      </c>
      <c r="R2773" s="44">
        <f t="shared" si="86"/>
        <v>1040</v>
      </c>
      <c r="S2773" s="45" t="str">
        <f t="shared" si="87"/>
        <v>7790321123456</v>
      </c>
    </row>
    <row r="2774" spans="1:19" hidden="1" x14ac:dyDescent="0.35">
      <c r="A2774" s="22">
        <v>2</v>
      </c>
      <c r="B2774" t="s">
        <v>5624</v>
      </c>
      <c r="C2774" t="s">
        <v>802</v>
      </c>
      <c r="D2774" t="s">
        <v>6176</v>
      </c>
      <c r="E2774" t="s">
        <v>6177</v>
      </c>
      <c r="F2774">
        <v>4017197</v>
      </c>
      <c r="G2774" t="s">
        <v>6178</v>
      </c>
      <c r="H2774" t="s">
        <v>805</v>
      </c>
      <c r="I2774">
        <v>585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585</v>
      </c>
      <c r="P2774" s="44" t="e">
        <f>_xlfn.XLOOKUP(Tabla5[[#This Row],[EAN CORREGIDO]],'Tabla Articulos'!B:B,'Tabla Articulos'!D:D)</f>
        <v>#N/A</v>
      </c>
      <c r="Q2774" s="44" t="e">
        <f>_xlfn.XLOOKUP(S2774,'Tabla Articulos'!B:B,'Tabla Articulos'!E:E)</f>
        <v>#N/A</v>
      </c>
      <c r="R2774" s="44" t="e">
        <f t="shared" si="86"/>
        <v>#N/A</v>
      </c>
      <c r="S2774" s="45" t="str">
        <f t="shared" si="87"/>
        <v>7790895640025</v>
      </c>
    </row>
    <row r="2775" spans="1:19" hidden="1" x14ac:dyDescent="0.35">
      <c r="A2775" s="22">
        <v>2</v>
      </c>
      <c r="B2775" t="s">
        <v>5624</v>
      </c>
      <c r="C2775" t="s">
        <v>802</v>
      </c>
      <c r="D2775" t="s">
        <v>5442</v>
      </c>
      <c r="E2775" t="s">
        <v>6179</v>
      </c>
      <c r="F2775">
        <v>4076546</v>
      </c>
      <c r="G2775" t="s">
        <v>6180</v>
      </c>
      <c r="H2775" t="s">
        <v>805</v>
      </c>
      <c r="I2775">
        <v>97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97</v>
      </c>
      <c r="P2775" s="44" t="e">
        <f>_xlfn.XLOOKUP(Tabla5[[#This Row],[EAN CORREGIDO]],'Tabla Articulos'!B:B,'Tabla Articulos'!D:D)</f>
        <v>#N/A</v>
      </c>
      <c r="Q2775" s="44" t="e">
        <f>_xlfn.XLOOKUP(S2775,'Tabla Articulos'!B:B,'Tabla Articulos'!E:E)</f>
        <v>#N/A</v>
      </c>
      <c r="R2775" s="44" t="e">
        <f t="shared" si="86"/>
        <v>#N/A</v>
      </c>
      <c r="S2775" s="45" t="str">
        <f t="shared" si="87"/>
        <v>7798011977703</v>
      </c>
    </row>
    <row r="2776" spans="1:19" hidden="1" x14ac:dyDescent="0.35">
      <c r="A2776" s="22">
        <v>2</v>
      </c>
      <c r="B2776" t="s">
        <v>5624</v>
      </c>
      <c r="C2776" t="s">
        <v>802</v>
      </c>
      <c r="D2776" t="s">
        <v>5987</v>
      </c>
      <c r="E2776" t="s">
        <v>5988</v>
      </c>
      <c r="F2776">
        <v>4018382</v>
      </c>
      <c r="G2776" t="s">
        <v>5989</v>
      </c>
      <c r="H2776" t="s">
        <v>805</v>
      </c>
      <c r="I2776">
        <v>1399</v>
      </c>
      <c r="J2776">
        <v>0</v>
      </c>
      <c r="K2776">
        <v>0</v>
      </c>
      <c r="L2776">
        <v>250</v>
      </c>
      <c r="M2776">
        <v>250</v>
      </c>
      <c r="N2776">
        <v>0</v>
      </c>
      <c r="O2776">
        <v>899</v>
      </c>
      <c r="P2776" s="44" t="e">
        <f>_xlfn.XLOOKUP(Tabla5[[#This Row],[EAN CORREGIDO]],'Tabla Articulos'!B:B,'Tabla Articulos'!D:D)</f>
        <v>#N/A</v>
      </c>
      <c r="Q2776" s="44" t="e">
        <f>_xlfn.XLOOKUP(S2776,'Tabla Articulos'!B:B,'Tabla Articulos'!E:E)</f>
        <v>#N/A</v>
      </c>
      <c r="R2776" s="44" t="e">
        <f t="shared" si="86"/>
        <v>#N/A</v>
      </c>
      <c r="S2776" s="45" t="str">
        <f t="shared" si="87"/>
        <v>7790787110513</v>
      </c>
    </row>
    <row r="2777" spans="1:19" hidden="1" x14ac:dyDescent="0.35">
      <c r="A2777" s="22">
        <v>2</v>
      </c>
      <c r="B2777" t="s">
        <v>5624</v>
      </c>
      <c r="C2777" t="s">
        <v>802</v>
      </c>
      <c r="D2777" t="s">
        <v>1717</v>
      </c>
      <c r="E2777" t="s">
        <v>5990</v>
      </c>
      <c r="F2777">
        <v>4018784</v>
      </c>
      <c r="G2777" t="s">
        <v>5991</v>
      </c>
      <c r="H2777" t="s">
        <v>805</v>
      </c>
      <c r="I2777">
        <v>44</v>
      </c>
      <c r="J2777">
        <v>0</v>
      </c>
      <c r="K2777">
        <v>30</v>
      </c>
      <c r="L2777">
        <v>0</v>
      </c>
      <c r="M2777">
        <v>0</v>
      </c>
      <c r="N2777">
        <v>0</v>
      </c>
      <c r="O2777">
        <v>14</v>
      </c>
      <c r="P2777" s="44" t="e">
        <f>_xlfn.XLOOKUP(Tabla5[[#This Row],[EAN CORREGIDO]],'Tabla Articulos'!B:B,'Tabla Articulos'!D:D)</f>
        <v>#N/A</v>
      </c>
      <c r="Q2777" s="44" t="e">
        <f>_xlfn.XLOOKUP(S2777,'Tabla Articulos'!B:B,'Tabla Articulos'!E:E)</f>
        <v>#N/A</v>
      </c>
      <c r="R2777" s="44" t="e">
        <f t="shared" si="86"/>
        <v>#N/A</v>
      </c>
      <c r="S2777" s="45" t="str">
        <f t="shared" si="87"/>
        <v>7790040116955</v>
      </c>
    </row>
    <row r="2778" spans="1:19" hidden="1" x14ac:dyDescent="0.35">
      <c r="A2778" s="22">
        <v>2</v>
      </c>
      <c r="B2778" t="s">
        <v>5624</v>
      </c>
      <c r="C2778" t="s">
        <v>802</v>
      </c>
      <c r="D2778" t="s">
        <v>1858</v>
      </c>
      <c r="E2778" t="s">
        <v>5992</v>
      </c>
      <c r="F2778">
        <v>4018060</v>
      </c>
      <c r="G2778" t="s">
        <v>5993</v>
      </c>
      <c r="H2778" t="s">
        <v>816</v>
      </c>
      <c r="I2778">
        <v>6872.4049999999997</v>
      </c>
      <c r="J2778">
        <v>0</v>
      </c>
      <c r="K2778">
        <v>0</v>
      </c>
      <c r="L2778">
        <v>13.68</v>
      </c>
      <c r="M2778">
        <v>13.68</v>
      </c>
      <c r="N2778">
        <v>11.5</v>
      </c>
      <c r="O2778">
        <v>6833.5450000000001</v>
      </c>
      <c r="P2778" s="44" t="e">
        <f>_xlfn.XLOOKUP(Tabla5[[#This Row],[EAN CORREGIDO]],'Tabla Articulos'!B:B,'Tabla Articulos'!D:D)</f>
        <v>#N/A</v>
      </c>
      <c r="Q2778" s="44" t="e">
        <f>_xlfn.XLOOKUP(S2778,'Tabla Articulos'!B:B,'Tabla Articulos'!E:E)</f>
        <v>#N/A</v>
      </c>
      <c r="R2778" s="44" t="e">
        <f t="shared" si="86"/>
        <v>#N/A</v>
      </c>
      <c r="S2778" s="45" t="str">
        <f t="shared" si="87"/>
        <v>7790216020084</v>
      </c>
    </row>
    <row r="2779" spans="1:19" hidden="1" x14ac:dyDescent="0.35">
      <c r="A2779" s="22">
        <v>2</v>
      </c>
      <c r="B2779" t="s">
        <v>5624</v>
      </c>
      <c r="C2779" t="s">
        <v>802</v>
      </c>
      <c r="D2779" t="s">
        <v>2191</v>
      </c>
      <c r="E2779" t="s">
        <v>2192</v>
      </c>
      <c r="F2779">
        <v>4020604</v>
      </c>
      <c r="G2779" t="s">
        <v>2193</v>
      </c>
      <c r="H2779" t="s">
        <v>805</v>
      </c>
      <c r="I2779">
        <v>37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37</v>
      </c>
      <c r="P2779" s="44" t="e">
        <f>_xlfn.XLOOKUP(Tabla5[[#This Row],[EAN CORREGIDO]],'Tabla Articulos'!B:B,'Tabla Articulos'!D:D)</f>
        <v>#N/A</v>
      </c>
      <c r="Q2779" s="44" t="e">
        <f>_xlfn.XLOOKUP(S2779,'Tabla Articulos'!B:B,'Tabla Articulos'!E:E)</f>
        <v>#N/A</v>
      </c>
      <c r="R2779" s="44" t="e">
        <f t="shared" si="86"/>
        <v>#N/A</v>
      </c>
      <c r="S2779" s="45" t="str">
        <f t="shared" si="87"/>
        <v>8445291388062</v>
      </c>
    </row>
    <row r="2780" spans="1:19" hidden="1" x14ac:dyDescent="0.35">
      <c r="A2780" s="22">
        <v>2</v>
      </c>
      <c r="B2780" t="s">
        <v>5624</v>
      </c>
      <c r="C2780" t="s">
        <v>802</v>
      </c>
      <c r="D2780" t="s">
        <v>2606</v>
      </c>
      <c r="E2780" t="s">
        <v>5994</v>
      </c>
      <c r="F2780">
        <v>4018317</v>
      </c>
      <c r="G2780" t="s">
        <v>5995</v>
      </c>
      <c r="H2780" t="s">
        <v>805</v>
      </c>
      <c r="I2780">
        <v>5618</v>
      </c>
      <c r="J2780">
        <v>0</v>
      </c>
      <c r="K2780">
        <v>0</v>
      </c>
      <c r="L2780">
        <v>17</v>
      </c>
      <c r="M2780">
        <v>17</v>
      </c>
      <c r="N2780">
        <v>0</v>
      </c>
      <c r="O2780">
        <v>5584</v>
      </c>
      <c r="P2780" s="44" t="e">
        <f>_xlfn.XLOOKUP(Tabla5[[#This Row],[EAN CORREGIDO]],'Tabla Articulos'!B:B,'Tabla Articulos'!D:D)</f>
        <v>#N/A</v>
      </c>
      <c r="Q2780" s="44" t="e">
        <f>_xlfn.XLOOKUP(S2780,'Tabla Articulos'!B:B,'Tabla Articulos'!E:E)</f>
        <v>#N/A</v>
      </c>
      <c r="R2780" s="44" t="e">
        <f t="shared" si="86"/>
        <v>#N/A</v>
      </c>
      <c r="S2780" s="45" t="str">
        <f t="shared" si="87"/>
        <v>7790787960521</v>
      </c>
    </row>
    <row r="2781" spans="1:19" hidden="1" x14ac:dyDescent="0.35">
      <c r="A2781" s="22">
        <v>2</v>
      </c>
      <c r="B2781" t="s">
        <v>5624</v>
      </c>
      <c r="C2781" t="s">
        <v>802</v>
      </c>
      <c r="D2781" t="s">
        <v>3473</v>
      </c>
      <c r="E2781" t="s">
        <v>3474</v>
      </c>
      <c r="F2781">
        <v>4019906</v>
      </c>
      <c r="G2781" t="s">
        <v>3475</v>
      </c>
      <c r="H2781" t="s">
        <v>805</v>
      </c>
      <c r="I2781">
        <v>10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10</v>
      </c>
      <c r="P2781" s="44" t="e">
        <f>_xlfn.XLOOKUP(Tabla5[[#This Row],[EAN CORREGIDO]],'Tabla Articulos'!B:B,'Tabla Articulos'!D:D)</f>
        <v>#N/A</v>
      </c>
      <c r="Q2781" s="44" t="e">
        <f>_xlfn.XLOOKUP(S2781,'Tabla Articulos'!B:B,'Tabla Articulos'!E:E)</f>
        <v>#N/A</v>
      </c>
      <c r="R2781" s="44" t="e">
        <f t="shared" si="86"/>
        <v>#N/A</v>
      </c>
      <c r="S2781" s="45" t="str">
        <f t="shared" si="87"/>
        <v>7791885005459</v>
      </c>
    </row>
    <row r="2782" spans="1:19" hidden="1" x14ac:dyDescent="0.35">
      <c r="A2782" s="22">
        <v>2</v>
      </c>
      <c r="B2782" t="s">
        <v>5624</v>
      </c>
      <c r="C2782" t="s">
        <v>802</v>
      </c>
      <c r="D2782" t="s">
        <v>6298</v>
      </c>
      <c r="E2782" t="s">
        <v>6349</v>
      </c>
      <c r="F2782">
        <v>4021338</v>
      </c>
      <c r="G2782" t="s">
        <v>6350</v>
      </c>
      <c r="H2782" t="s">
        <v>805</v>
      </c>
      <c r="I2782">
        <v>32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32</v>
      </c>
      <c r="P2782" s="44" t="e">
        <f>_xlfn.XLOOKUP(Tabla5[[#This Row],[EAN CORREGIDO]],'Tabla Articulos'!B:B,'Tabla Articulos'!D:D)</f>
        <v>#N/A</v>
      </c>
      <c r="Q2782" s="44" t="e">
        <f>_xlfn.XLOOKUP(S2782,'Tabla Articulos'!B:B,'Tabla Articulos'!E:E)</f>
        <v>#N/A</v>
      </c>
      <c r="R2782" s="44" t="e">
        <f t="shared" si="86"/>
        <v>#N/A</v>
      </c>
      <c r="S2782" s="45" t="str">
        <f t="shared" si="87"/>
        <v>78600010</v>
      </c>
    </row>
    <row r="2783" spans="1:19" hidden="1" x14ac:dyDescent="0.35">
      <c r="A2783" s="22">
        <v>2</v>
      </c>
      <c r="B2783" t="s">
        <v>5624</v>
      </c>
      <c r="C2783" t="s">
        <v>802</v>
      </c>
      <c r="D2783" t="s">
        <v>3335</v>
      </c>
      <c r="E2783" t="s">
        <v>3336</v>
      </c>
      <c r="F2783">
        <v>4022811</v>
      </c>
      <c r="G2783" t="s">
        <v>3337</v>
      </c>
      <c r="H2783" t="s">
        <v>805</v>
      </c>
      <c r="I2783">
        <v>78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78</v>
      </c>
      <c r="P2783" s="44" t="e">
        <f>_xlfn.XLOOKUP(Tabla5[[#This Row],[EAN CORREGIDO]],'Tabla Articulos'!B:B,'Tabla Articulos'!D:D)</f>
        <v>#N/A</v>
      </c>
      <c r="Q2783" s="44" t="e">
        <f>_xlfn.XLOOKUP(S2783,'Tabla Articulos'!B:B,'Tabla Articulos'!E:E)</f>
        <v>#N/A</v>
      </c>
      <c r="R2783" s="44" t="e">
        <f t="shared" si="86"/>
        <v>#N/A</v>
      </c>
      <c r="S2783" s="45" t="str">
        <f t="shared" si="87"/>
        <v>7793323024886</v>
      </c>
    </row>
    <row r="2784" spans="1:19" hidden="1" x14ac:dyDescent="0.35">
      <c r="A2784" s="22">
        <v>2</v>
      </c>
      <c r="B2784" t="s">
        <v>5624</v>
      </c>
      <c r="C2784" t="s">
        <v>802</v>
      </c>
      <c r="D2784" t="s">
        <v>991</v>
      </c>
      <c r="E2784" t="s">
        <v>3348</v>
      </c>
      <c r="F2784">
        <v>4018209</v>
      </c>
      <c r="G2784" t="s">
        <v>3349</v>
      </c>
      <c r="H2784" t="s">
        <v>816</v>
      </c>
      <c r="I2784">
        <v>1069.8050000000001</v>
      </c>
      <c r="J2784">
        <v>5057.24</v>
      </c>
      <c r="K2784">
        <v>0</v>
      </c>
      <c r="L2784">
        <v>42.5</v>
      </c>
      <c r="M2784">
        <v>42.5</v>
      </c>
      <c r="N2784">
        <v>0</v>
      </c>
      <c r="O2784">
        <v>6042.0450000000001</v>
      </c>
      <c r="P2784" s="44" t="e">
        <f>_xlfn.XLOOKUP(Tabla5[[#This Row],[EAN CORREGIDO]],'Tabla Articulos'!B:B,'Tabla Articulos'!D:D)</f>
        <v>#N/A</v>
      </c>
      <c r="Q2784" s="44" t="e">
        <f>_xlfn.XLOOKUP(S2784,'Tabla Articulos'!B:B,'Tabla Articulos'!E:E)</f>
        <v>#N/A</v>
      </c>
      <c r="R2784" s="44" t="e">
        <f t="shared" si="86"/>
        <v>#N/A</v>
      </c>
      <c r="S2784" s="45" t="str">
        <f t="shared" si="87"/>
        <v>7798041132476</v>
      </c>
    </row>
    <row r="2785" spans="1:19" hidden="1" x14ac:dyDescent="0.35">
      <c r="A2785" s="22">
        <v>2</v>
      </c>
      <c r="B2785" t="s">
        <v>5624</v>
      </c>
      <c r="C2785" t="s">
        <v>802</v>
      </c>
      <c r="D2785" t="s">
        <v>1832</v>
      </c>
      <c r="E2785" t="s">
        <v>6548</v>
      </c>
      <c r="F2785">
        <v>4022306</v>
      </c>
      <c r="G2785" t="s">
        <v>6549</v>
      </c>
      <c r="H2785" t="s">
        <v>805</v>
      </c>
      <c r="I2785">
        <v>194</v>
      </c>
      <c r="J2785">
        <v>0</v>
      </c>
      <c r="K2785">
        <v>0</v>
      </c>
      <c r="L2785">
        <v>50</v>
      </c>
      <c r="M2785">
        <v>50</v>
      </c>
      <c r="N2785">
        <v>0</v>
      </c>
      <c r="O2785">
        <v>94</v>
      </c>
      <c r="P2785" s="44" t="e">
        <f>_xlfn.XLOOKUP(Tabla5[[#This Row],[EAN CORREGIDO]],'Tabla Articulos'!B:B,'Tabla Articulos'!D:D)</f>
        <v>#N/A</v>
      </c>
      <c r="Q2785" s="44" t="e">
        <f>_xlfn.XLOOKUP(S2785,'Tabla Articulos'!B:B,'Tabla Articulos'!E:E)</f>
        <v>#N/A</v>
      </c>
      <c r="R2785" s="44" t="e">
        <f t="shared" si="86"/>
        <v>#N/A</v>
      </c>
      <c r="S2785" s="45" t="str">
        <f t="shared" si="87"/>
        <v>7790971002358</v>
      </c>
    </row>
    <row r="2786" spans="1:19" hidden="1" x14ac:dyDescent="0.35">
      <c r="A2786" s="22">
        <v>2</v>
      </c>
      <c r="B2786" t="s">
        <v>5624</v>
      </c>
      <c r="C2786" t="s">
        <v>802</v>
      </c>
      <c r="D2786" t="s">
        <v>6550</v>
      </c>
      <c r="E2786" t="s">
        <v>6551</v>
      </c>
      <c r="F2786">
        <v>4024580</v>
      </c>
      <c r="G2786" t="s">
        <v>6552</v>
      </c>
      <c r="H2786" t="s">
        <v>805</v>
      </c>
      <c r="I2786">
        <v>111</v>
      </c>
      <c r="J2786">
        <v>0</v>
      </c>
      <c r="K2786">
        <v>0</v>
      </c>
      <c r="L2786">
        <v>9</v>
      </c>
      <c r="M2786">
        <v>9</v>
      </c>
      <c r="N2786">
        <v>0</v>
      </c>
      <c r="O2786">
        <v>93</v>
      </c>
      <c r="P2786" s="44" t="e">
        <f>_xlfn.XLOOKUP(Tabla5[[#This Row],[EAN CORREGIDO]],'Tabla Articulos'!B:B,'Tabla Articulos'!D:D)</f>
        <v>#N/A</v>
      </c>
      <c r="Q2786" s="44" t="e">
        <f>_xlfn.XLOOKUP(S2786,'Tabla Articulos'!B:B,'Tabla Articulos'!E:E)</f>
        <v>#N/A</v>
      </c>
      <c r="R2786" s="44" t="e">
        <f t="shared" si="86"/>
        <v>#N/A</v>
      </c>
      <c r="S2786" s="45" t="str">
        <f t="shared" si="87"/>
        <v>7798001562742</v>
      </c>
    </row>
    <row r="2787" spans="1:19" hidden="1" x14ac:dyDescent="0.35">
      <c r="A2787" s="22">
        <v>2</v>
      </c>
      <c r="B2787" t="s">
        <v>5624</v>
      </c>
      <c r="C2787" t="s">
        <v>802</v>
      </c>
      <c r="D2787" t="s">
        <v>4187</v>
      </c>
      <c r="E2787" t="s">
        <v>6553</v>
      </c>
      <c r="F2787">
        <v>4017360</v>
      </c>
      <c r="G2787" t="s">
        <v>6554</v>
      </c>
      <c r="H2787" t="s">
        <v>805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2</v>
      </c>
      <c r="P2787" s="44" t="e">
        <f>_xlfn.XLOOKUP(Tabla5[[#This Row],[EAN CORREGIDO]],'Tabla Articulos'!B:B,'Tabla Articulos'!D:D)</f>
        <v>#N/A</v>
      </c>
      <c r="Q2787" s="44" t="e">
        <f>_xlfn.XLOOKUP(S2787,'Tabla Articulos'!B:B,'Tabla Articulos'!E:E)</f>
        <v>#N/A</v>
      </c>
      <c r="R2787" s="44" t="e">
        <f t="shared" si="86"/>
        <v>#N/A</v>
      </c>
      <c r="S2787" s="45" t="str">
        <f t="shared" si="87"/>
        <v>7798039590229</v>
      </c>
    </row>
    <row r="2788" spans="1:19" hidden="1" x14ac:dyDescent="0.35">
      <c r="A2788" s="22">
        <v>2</v>
      </c>
      <c r="B2788" t="s">
        <v>5624</v>
      </c>
      <c r="C2788" t="s">
        <v>802</v>
      </c>
      <c r="D2788" t="s">
        <v>4523</v>
      </c>
      <c r="E2788" t="s">
        <v>4524</v>
      </c>
      <c r="F2788">
        <v>4023830</v>
      </c>
      <c r="G2788" t="s">
        <v>4525</v>
      </c>
      <c r="H2788" t="s">
        <v>805</v>
      </c>
      <c r="I2788">
        <v>106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106</v>
      </c>
      <c r="P2788" s="44" t="e">
        <f>_xlfn.XLOOKUP(Tabla5[[#This Row],[EAN CORREGIDO]],'Tabla Articulos'!B:B,'Tabla Articulos'!D:D)</f>
        <v>#N/A</v>
      </c>
      <c r="Q2788" s="44" t="e">
        <f>_xlfn.XLOOKUP(S2788,'Tabla Articulos'!B:B,'Tabla Articulos'!E:E)</f>
        <v>#N/A</v>
      </c>
      <c r="R2788" s="44" t="e">
        <f t="shared" si="86"/>
        <v>#N/A</v>
      </c>
      <c r="S2788" s="45" t="str">
        <f t="shared" si="87"/>
        <v>7792260640227</v>
      </c>
    </row>
    <row r="2789" spans="1:19" hidden="1" x14ac:dyDescent="0.35">
      <c r="A2789" s="22">
        <v>2</v>
      </c>
      <c r="B2789" t="s">
        <v>5624</v>
      </c>
      <c r="C2789" t="s">
        <v>802</v>
      </c>
      <c r="D2789" t="s">
        <v>1615</v>
      </c>
      <c r="E2789" t="s">
        <v>4534</v>
      </c>
      <c r="F2789">
        <v>4019886</v>
      </c>
      <c r="G2789" t="s">
        <v>4535</v>
      </c>
      <c r="H2789" t="s">
        <v>805</v>
      </c>
      <c r="I2789">
        <v>518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518</v>
      </c>
      <c r="P2789" s="44" t="e">
        <f>_xlfn.XLOOKUP(Tabla5[[#This Row],[EAN CORREGIDO]],'Tabla Articulos'!B:B,'Tabla Articulos'!D:D)</f>
        <v>#N/A</v>
      </c>
      <c r="Q2789" s="44" t="e">
        <f>_xlfn.XLOOKUP(S2789,'Tabla Articulos'!B:B,'Tabla Articulos'!E:E)</f>
        <v>#N/A</v>
      </c>
      <c r="R2789" s="44" t="e">
        <f t="shared" si="86"/>
        <v>#N/A</v>
      </c>
      <c r="S2789" s="45" t="str">
        <f t="shared" si="87"/>
        <v>7790645002363</v>
      </c>
    </row>
    <row r="2790" spans="1:19" hidden="1" x14ac:dyDescent="0.35">
      <c r="A2790" s="22">
        <v>2</v>
      </c>
      <c r="B2790" t="s">
        <v>5624</v>
      </c>
      <c r="C2790" t="s">
        <v>802</v>
      </c>
      <c r="D2790" t="s">
        <v>5828</v>
      </c>
      <c r="E2790" t="s">
        <v>6555</v>
      </c>
      <c r="F2790">
        <v>4019134</v>
      </c>
      <c r="G2790" t="s">
        <v>6556</v>
      </c>
      <c r="H2790" t="s">
        <v>805</v>
      </c>
      <c r="I2790">
        <v>535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535</v>
      </c>
      <c r="P2790" s="44" t="e">
        <f>_xlfn.XLOOKUP(Tabla5[[#This Row],[EAN CORREGIDO]],'Tabla Articulos'!B:B,'Tabla Articulos'!D:D)</f>
        <v>#N/A</v>
      </c>
      <c r="Q2790" s="44" t="e">
        <f>_xlfn.XLOOKUP(S2790,'Tabla Articulos'!B:B,'Tabla Articulos'!E:E)</f>
        <v>#N/A</v>
      </c>
      <c r="R2790" s="44" t="e">
        <f t="shared" si="86"/>
        <v>#N/A</v>
      </c>
      <c r="S2790" s="45" t="str">
        <f t="shared" si="87"/>
        <v>7790040173200</v>
      </c>
    </row>
    <row r="2791" spans="1:19" hidden="1" x14ac:dyDescent="0.35">
      <c r="A2791" s="22">
        <v>2</v>
      </c>
      <c r="B2791" t="s">
        <v>5624</v>
      </c>
      <c r="C2791" t="s">
        <v>802</v>
      </c>
      <c r="D2791" t="s">
        <v>4542</v>
      </c>
      <c r="E2791" t="s">
        <v>4543</v>
      </c>
      <c r="F2791">
        <v>4018838</v>
      </c>
      <c r="G2791" t="s">
        <v>4544</v>
      </c>
      <c r="H2791" t="s">
        <v>805</v>
      </c>
      <c r="I2791">
        <v>64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64</v>
      </c>
      <c r="P2791" s="44" t="e">
        <f>_xlfn.XLOOKUP(Tabla5[[#This Row],[EAN CORREGIDO]],'Tabla Articulos'!B:B,'Tabla Articulos'!D:D)</f>
        <v>#N/A</v>
      </c>
      <c r="Q2791" s="44" t="e">
        <f>_xlfn.XLOOKUP(S2791,'Tabla Articulos'!B:B,'Tabla Articulos'!E:E)</f>
        <v>#N/A</v>
      </c>
      <c r="R2791" s="44" t="e">
        <f t="shared" si="86"/>
        <v>#N/A</v>
      </c>
      <c r="S2791" s="45" t="str">
        <f t="shared" si="87"/>
        <v>7790726120023</v>
      </c>
    </row>
    <row r="2792" spans="1:19" hidden="1" x14ac:dyDescent="0.35">
      <c r="A2792" s="22">
        <v>2</v>
      </c>
      <c r="B2792" t="s">
        <v>5624</v>
      </c>
      <c r="C2792" t="s">
        <v>802</v>
      </c>
      <c r="D2792" t="s">
        <v>3313</v>
      </c>
      <c r="E2792" t="s">
        <v>3314</v>
      </c>
      <c r="F2792">
        <v>4023366</v>
      </c>
      <c r="G2792" t="s">
        <v>3315</v>
      </c>
      <c r="H2792" t="s">
        <v>805</v>
      </c>
      <c r="I2792">
        <v>54</v>
      </c>
      <c r="J2792">
        <v>0</v>
      </c>
      <c r="K2792">
        <v>0</v>
      </c>
      <c r="L2792">
        <v>1</v>
      </c>
      <c r="M2792">
        <v>1</v>
      </c>
      <c r="N2792">
        <v>0</v>
      </c>
      <c r="O2792">
        <v>52</v>
      </c>
      <c r="P2792" s="44" t="e">
        <f>_xlfn.XLOOKUP(Tabla5[[#This Row],[EAN CORREGIDO]],'Tabla Articulos'!B:B,'Tabla Articulos'!D:D)</f>
        <v>#N/A</v>
      </c>
      <c r="Q2792" s="44" t="e">
        <f>_xlfn.XLOOKUP(S2792,'Tabla Articulos'!B:B,'Tabla Articulos'!E:E)</f>
        <v>#N/A</v>
      </c>
      <c r="R2792" s="44" t="e">
        <f t="shared" si="86"/>
        <v>#N/A</v>
      </c>
      <c r="S2792" s="45" t="str">
        <f t="shared" si="87"/>
        <v>67794000006012</v>
      </c>
    </row>
    <row r="2793" spans="1:19" hidden="1" x14ac:dyDescent="0.35">
      <c r="A2793" s="22">
        <v>2</v>
      </c>
      <c r="B2793" t="s">
        <v>5624</v>
      </c>
      <c r="C2793" t="s">
        <v>802</v>
      </c>
      <c r="D2793" t="s">
        <v>304</v>
      </c>
      <c r="E2793" t="s">
        <v>3324</v>
      </c>
      <c r="F2793">
        <v>2006393</v>
      </c>
      <c r="G2793" t="s">
        <v>3325</v>
      </c>
      <c r="H2793" t="s">
        <v>805</v>
      </c>
      <c r="I2793">
        <v>0</v>
      </c>
      <c r="J2793">
        <v>70</v>
      </c>
      <c r="K2793">
        <v>0</v>
      </c>
      <c r="L2793">
        <v>0</v>
      </c>
      <c r="M2793">
        <v>0</v>
      </c>
      <c r="N2793">
        <v>0</v>
      </c>
      <c r="O2793">
        <v>70</v>
      </c>
      <c r="P2793" s="44" t="str">
        <f>_xlfn.XLOOKUP(Tabla5[[#This Row],[EAN CORREGIDO]],'Tabla Articulos'!B:B,'Tabla Articulos'!D:D)</f>
        <v>TAPA VASO TERMICO 240</v>
      </c>
      <c r="Q2793" s="44">
        <f>_xlfn.XLOOKUP(S2793,'Tabla Articulos'!B:B,'Tabla Articulos'!E:E)</f>
        <v>100</v>
      </c>
      <c r="R2793" s="44">
        <f t="shared" si="86"/>
        <v>7000</v>
      </c>
      <c r="S2793" s="45" t="str">
        <f t="shared" si="87"/>
        <v>7790321020326</v>
      </c>
    </row>
    <row r="2794" spans="1:19" hidden="1" x14ac:dyDescent="0.35">
      <c r="A2794" s="22">
        <v>2</v>
      </c>
      <c r="B2794" t="s">
        <v>5624</v>
      </c>
      <c r="C2794" t="s">
        <v>802</v>
      </c>
      <c r="D2794" t="s">
        <v>6292</v>
      </c>
      <c r="E2794" t="s">
        <v>6293</v>
      </c>
      <c r="F2794">
        <v>4017286</v>
      </c>
      <c r="G2794" t="s">
        <v>6294</v>
      </c>
      <c r="H2794" t="s">
        <v>805</v>
      </c>
      <c r="I2794">
        <v>36</v>
      </c>
      <c r="J2794">
        <v>48</v>
      </c>
      <c r="K2794">
        <v>0</v>
      </c>
      <c r="L2794">
        <v>0</v>
      </c>
      <c r="M2794">
        <v>0</v>
      </c>
      <c r="N2794">
        <v>0</v>
      </c>
      <c r="O2794">
        <v>84</v>
      </c>
      <c r="P2794" s="44" t="e">
        <f>_xlfn.XLOOKUP(Tabla5[[#This Row],[EAN CORREGIDO]],'Tabla Articulos'!B:B,'Tabla Articulos'!D:D)</f>
        <v>#N/A</v>
      </c>
      <c r="Q2794" s="44" t="e">
        <f>_xlfn.XLOOKUP(S2794,'Tabla Articulos'!B:B,'Tabla Articulos'!E:E)</f>
        <v>#N/A</v>
      </c>
      <c r="R2794" s="44" t="e">
        <f t="shared" si="86"/>
        <v>#N/A</v>
      </c>
      <c r="S2794" s="45" t="str">
        <f t="shared" si="87"/>
        <v>7790895648861</v>
      </c>
    </row>
    <row r="2795" spans="1:19" hidden="1" x14ac:dyDescent="0.35">
      <c r="A2795" s="22">
        <v>2</v>
      </c>
      <c r="B2795" t="s">
        <v>5624</v>
      </c>
      <c r="C2795" t="s">
        <v>802</v>
      </c>
      <c r="D2795" t="s">
        <v>6113</v>
      </c>
      <c r="E2795" t="s">
        <v>6114</v>
      </c>
      <c r="F2795">
        <v>4022580</v>
      </c>
      <c r="G2795" t="s">
        <v>6115</v>
      </c>
      <c r="H2795" t="s">
        <v>805</v>
      </c>
      <c r="I2795">
        <v>3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3</v>
      </c>
      <c r="P2795" s="44" t="e">
        <f>_xlfn.XLOOKUP(Tabla5[[#This Row],[EAN CORREGIDO]],'Tabla Articulos'!B:B,'Tabla Articulos'!D:D)</f>
        <v>#N/A</v>
      </c>
      <c r="Q2795" s="44" t="e">
        <f>_xlfn.XLOOKUP(S2795,'Tabla Articulos'!B:B,'Tabla Articulos'!E:E)</f>
        <v>#N/A</v>
      </c>
      <c r="R2795" s="44" t="e">
        <f t="shared" si="86"/>
        <v>#N/A</v>
      </c>
      <c r="S2795" s="45" t="str">
        <f t="shared" si="87"/>
        <v>7792730019737</v>
      </c>
    </row>
    <row r="2796" spans="1:19" hidden="1" x14ac:dyDescent="0.35">
      <c r="A2796" s="22">
        <v>2</v>
      </c>
      <c r="B2796" t="s">
        <v>5624</v>
      </c>
      <c r="C2796" t="s">
        <v>802</v>
      </c>
      <c r="D2796" t="s">
        <v>2577</v>
      </c>
      <c r="E2796" t="s">
        <v>2578</v>
      </c>
      <c r="F2796">
        <v>4019655</v>
      </c>
      <c r="G2796" t="s">
        <v>2579</v>
      </c>
      <c r="H2796" t="s">
        <v>805</v>
      </c>
      <c r="I2796">
        <v>117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117</v>
      </c>
      <c r="P2796" s="44" t="e">
        <f>_xlfn.XLOOKUP(Tabla5[[#This Row],[EAN CORREGIDO]],'Tabla Articulos'!B:B,'Tabla Articulos'!D:D)</f>
        <v>#N/A</v>
      </c>
      <c r="Q2796" s="44" t="e">
        <f>_xlfn.XLOOKUP(S2796,'Tabla Articulos'!B:B,'Tabla Articulos'!E:E)</f>
        <v>#N/A</v>
      </c>
      <c r="R2796" s="44" t="e">
        <f t="shared" si="86"/>
        <v>#N/A</v>
      </c>
      <c r="S2796" s="45" t="str">
        <f t="shared" si="87"/>
        <v>7790742340108</v>
      </c>
    </row>
    <row r="2797" spans="1:19" hidden="1" x14ac:dyDescent="0.35">
      <c r="A2797" s="22">
        <v>2</v>
      </c>
      <c r="B2797" t="s">
        <v>5624</v>
      </c>
      <c r="C2797" t="s">
        <v>802</v>
      </c>
      <c r="D2797" t="s">
        <v>3582</v>
      </c>
      <c r="E2797" t="s">
        <v>3583</v>
      </c>
      <c r="F2797">
        <v>4020211</v>
      </c>
      <c r="G2797" t="s">
        <v>3584</v>
      </c>
      <c r="H2797" t="s">
        <v>805</v>
      </c>
      <c r="I2797">
        <v>885</v>
      </c>
      <c r="J2797">
        <v>0</v>
      </c>
      <c r="K2797">
        <v>0</v>
      </c>
      <c r="L2797">
        <v>1</v>
      </c>
      <c r="M2797">
        <v>1</v>
      </c>
      <c r="N2797">
        <v>0</v>
      </c>
      <c r="O2797">
        <v>883</v>
      </c>
      <c r="P2797" s="44" t="e">
        <f>_xlfn.XLOOKUP(Tabla5[[#This Row],[EAN CORREGIDO]],'Tabla Articulos'!B:B,'Tabla Articulos'!D:D)</f>
        <v>#N/A</v>
      </c>
      <c r="Q2797" s="44" t="e">
        <f>_xlfn.XLOOKUP(S2797,'Tabla Articulos'!B:B,'Tabla Articulos'!E:E)</f>
        <v>#N/A</v>
      </c>
      <c r="R2797" s="44" t="e">
        <f t="shared" si="86"/>
        <v>#N/A</v>
      </c>
      <c r="S2797" s="45" t="str">
        <f t="shared" si="87"/>
        <v>7792198006652</v>
      </c>
    </row>
    <row r="2798" spans="1:19" hidden="1" x14ac:dyDescent="0.35">
      <c r="A2798" s="22">
        <v>2</v>
      </c>
      <c r="B2798" t="s">
        <v>5624</v>
      </c>
      <c r="C2798" t="s">
        <v>802</v>
      </c>
      <c r="D2798" t="s">
        <v>3391</v>
      </c>
      <c r="E2798" t="s">
        <v>3585</v>
      </c>
      <c r="F2798">
        <v>4048925</v>
      </c>
      <c r="G2798" t="s">
        <v>3586</v>
      </c>
      <c r="H2798" t="s">
        <v>805</v>
      </c>
      <c r="I2798">
        <v>151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151</v>
      </c>
      <c r="P2798" s="44" t="e">
        <f>_xlfn.XLOOKUP(Tabla5[[#This Row],[EAN CORREGIDO]],'Tabla Articulos'!B:B,'Tabla Articulos'!D:D)</f>
        <v>#N/A</v>
      </c>
      <c r="Q2798" s="44" t="e">
        <f>_xlfn.XLOOKUP(S2798,'Tabla Articulos'!B:B,'Tabla Articulos'!E:E)</f>
        <v>#N/A</v>
      </c>
      <c r="R2798" s="44" t="e">
        <f t="shared" si="86"/>
        <v>#N/A</v>
      </c>
      <c r="S2798" s="45" t="str">
        <f t="shared" si="87"/>
        <v>7790387013627</v>
      </c>
    </row>
    <row r="2799" spans="1:19" hidden="1" x14ac:dyDescent="0.35">
      <c r="A2799" s="22">
        <v>2</v>
      </c>
      <c r="B2799" t="s">
        <v>5624</v>
      </c>
      <c r="C2799" t="s">
        <v>802</v>
      </c>
      <c r="D2799" t="s">
        <v>3596</v>
      </c>
      <c r="E2799" t="s">
        <v>3597</v>
      </c>
      <c r="F2799">
        <v>4023151</v>
      </c>
      <c r="G2799" t="s">
        <v>3598</v>
      </c>
      <c r="H2799" t="s">
        <v>805</v>
      </c>
      <c r="I2799">
        <v>450</v>
      </c>
      <c r="J2799">
        <v>0</v>
      </c>
      <c r="K2799">
        <v>0</v>
      </c>
      <c r="L2799">
        <v>12</v>
      </c>
      <c r="M2799">
        <v>12</v>
      </c>
      <c r="N2799">
        <v>0</v>
      </c>
      <c r="O2799">
        <v>426</v>
      </c>
      <c r="P2799" s="44" t="e">
        <f>_xlfn.XLOOKUP(Tabla5[[#This Row],[EAN CORREGIDO]],'Tabla Articulos'!B:B,'Tabla Articulos'!D:D)</f>
        <v>#N/A</v>
      </c>
      <c r="Q2799" s="44" t="e">
        <f>_xlfn.XLOOKUP(S2799,'Tabla Articulos'!B:B,'Tabla Articulos'!E:E)</f>
        <v>#N/A</v>
      </c>
      <c r="R2799" s="44" t="e">
        <f t="shared" si="86"/>
        <v>#N/A</v>
      </c>
      <c r="S2799" s="45" t="str">
        <f t="shared" si="87"/>
        <v>7790787201303</v>
      </c>
    </row>
    <row r="2800" spans="1:19" hidden="1" x14ac:dyDescent="0.35">
      <c r="A2800" s="22">
        <v>2</v>
      </c>
      <c r="B2800" t="s">
        <v>5624</v>
      </c>
      <c r="C2800" t="s">
        <v>802</v>
      </c>
      <c r="D2800" t="s">
        <v>1586</v>
      </c>
      <c r="E2800" t="s">
        <v>6398</v>
      </c>
      <c r="F2800">
        <v>4018952</v>
      </c>
      <c r="G2800" t="s">
        <v>6399</v>
      </c>
      <c r="H2800" t="s">
        <v>805</v>
      </c>
      <c r="I2800">
        <v>2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2</v>
      </c>
      <c r="P2800" s="44" t="e">
        <f>_xlfn.XLOOKUP(Tabla5[[#This Row],[EAN CORREGIDO]],'Tabla Articulos'!B:B,'Tabla Articulos'!D:D)</f>
        <v>#N/A</v>
      </c>
      <c r="Q2800" s="44" t="e">
        <f>_xlfn.XLOOKUP(S2800,'Tabla Articulos'!B:B,'Tabla Articulos'!E:E)</f>
        <v>#N/A</v>
      </c>
      <c r="R2800" s="44" t="e">
        <f t="shared" si="86"/>
        <v>#N/A</v>
      </c>
      <c r="S2800" s="45" t="str">
        <f t="shared" si="87"/>
        <v>7790580178208</v>
      </c>
    </row>
    <row r="2801" spans="1:19" hidden="1" x14ac:dyDescent="0.35">
      <c r="A2801" s="22">
        <v>2</v>
      </c>
      <c r="B2801" t="s">
        <v>5624</v>
      </c>
      <c r="C2801" t="s">
        <v>802</v>
      </c>
      <c r="D2801" t="s">
        <v>3635</v>
      </c>
      <c r="E2801" t="s">
        <v>3636</v>
      </c>
      <c r="F2801">
        <v>4020082</v>
      </c>
      <c r="G2801" t="s">
        <v>3637</v>
      </c>
      <c r="H2801" t="s">
        <v>805</v>
      </c>
      <c r="I2801">
        <v>29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29</v>
      </c>
      <c r="P2801" s="44" t="e">
        <f>_xlfn.XLOOKUP(Tabla5[[#This Row],[EAN CORREGIDO]],'Tabla Articulos'!B:B,'Tabla Articulos'!D:D)</f>
        <v>#N/A</v>
      </c>
      <c r="Q2801" s="44" t="e">
        <f>_xlfn.XLOOKUP(S2801,'Tabla Articulos'!B:B,'Tabla Articulos'!E:E)</f>
        <v>#N/A</v>
      </c>
      <c r="R2801" s="44" t="e">
        <f t="shared" si="86"/>
        <v>#N/A</v>
      </c>
      <c r="S2801" s="45" t="str">
        <f t="shared" si="87"/>
        <v>7797470000939</v>
      </c>
    </row>
    <row r="2802" spans="1:19" hidden="1" x14ac:dyDescent="0.35">
      <c r="A2802" s="22">
        <v>2</v>
      </c>
      <c r="B2802" t="s">
        <v>5624</v>
      </c>
      <c r="C2802" t="s">
        <v>802</v>
      </c>
      <c r="D2802" t="s">
        <v>2340</v>
      </c>
      <c r="E2802" t="s">
        <v>6400</v>
      </c>
      <c r="F2802">
        <v>4019680</v>
      </c>
      <c r="G2802" t="s">
        <v>6401</v>
      </c>
      <c r="H2802" t="s">
        <v>805</v>
      </c>
      <c r="I2802">
        <v>2402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2402</v>
      </c>
      <c r="P2802" s="44" t="e">
        <f>_xlfn.XLOOKUP(Tabla5[[#This Row],[EAN CORREGIDO]],'Tabla Articulos'!B:B,'Tabla Articulos'!D:D)</f>
        <v>#N/A</v>
      </c>
      <c r="Q2802" s="44" t="e">
        <f>_xlfn.XLOOKUP(S2802,'Tabla Articulos'!B:B,'Tabla Articulos'!E:E)</f>
        <v>#N/A</v>
      </c>
      <c r="R2802" s="44" t="e">
        <f t="shared" si="86"/>
        <v>#N/A</v>
      </c>
      <c r="S2802" s="45" t="str">
        <f t="shared" si="87"/>
        <v>7791113004605</v>
      </c>
    </row>
    <row r="2803" spans="1:19" hidden="1" x14ac:dyDescent="0.35">
      <c r="A2803" s="22">
        <v>2</v>
      </c>
      <c r="B2803" t="s">
        <v>5624</v>
      </c>
      <c r="C2803" t="s">
        <v>802</v>
      </c>
      <c r="D2803" t="s">
        <v>5733</v>
      </c>
      <c r="E2803" t="s">
        <v>5734</v>
      </c>
      <c r="F2803">
        <v>4018812</v>
      </c>
      <c r="G2803" t="s">
        <v>5735</v>
      </c>
      <c r="H2803" t="s">
        <v>805</v>
      </c>
      <c r="I2803">
        <v>2309</v>
      </c>
      <c r="J2803">
        <v>0</v>
      </c>
      <c r="K2803">
        <v>0</v>
      </c>
      <c r="L2803">
        <v>300</v>
      </c>
      <c r="M2803">
        <v>300</v>
      </c>
      <c r="N2803">
        <v>0</v>
      </c>
      <c r="O2803">
        <v>1709</v>
      </c>
      <c r="P2803" s="44" t="e">
        <f>_xlfn.XLOOKUP(Tabla5[[#This Row],[EAN CORREGIDO]],'Tabla Articulos'!B:B,'Tabla Articulos'!D:D)</f>
        <v>#N/A</v>
      </c>
      <c r="Q2803" s="44" t="e">
        <f>_xlfn.XLOOKUP(S2803,'Tabla Articulos'!B:B,'Tabla Articulos'!E:E)</f>
        <v>#N/A</v>
      </c>
      <c r="R2803" s="44" t="e">
        <f t="shared" si="86"/>
        <v>#N/A</v>
      </c>
      <c r="S2803" s="45" t="str">
        <f t="shared" si="87"/>
        <v>7790412000288</v>
      </c>
    </row>
    <row r="2804" spans="1:19" hidden="1" x14ac:dyDescent="0.35">
      <c r="A2804" s="22">
        <v>2</v>
      </c>
      <c r="B2804" t="s">
        <v>5624</v>
      </c>
      <c r="C2804" t="s">
        <v>802</v>
      </c>
      <c r="D2804" t="s">
        <v>5736</v>
      </c>
      <c r="E2804" t="s">
        <v>5737</v>
      </c>
      <c r="F2804">
        <v>4049021</v>
      </c>
      <c r="G2804" t="s">
        <v>5738</v>
      </c>
      <c r="H2804" t="s">
        <v>805</v>
      </c>
      <c r="I2804">
        <v>13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13</v>
      </c>
      <c r="P2804" s="44" t="e">
        <f>_xlfn.XLOOKUP(Tabla5[[#This Row],[EAN CORREGIDO]],'Tabla Articulos'!B:B,'Tabla Articulos'!D:D)</f>
        <v>#N/A</v>
      </c>
      <c r="Q2804" s="44" t="e">
        <f>_xlfn.XLOOKUP(S2804,'Tabla Articulos'!B:B,'Tabla Articulos'!E:E)</f>
        <v>#N/A</v>
      </c>
      <c r="R2804" s="44" t="e">
        <f t="shared" si="86"/>
        <v>#N/A</v>
      </c>
      <c r="S2804" s="45" t="str">
        <f t="shared" si="87"/>
        <v>7798104307707</v>
      </c>
    </row>
    <row r="2805" spans="1:19" hidden="1" x14ac:dyDescent="0.35">
      <c r="A2805" s="22">
        <v>2</v>
      </c>
      <c r="B2805" t="s">
        <v>5624</v>
      </c>
      <c r="C2805" t="s">
        <v>802</v>
      </c>
      <c r="D2805"/>
      <c r="E2805" t="s">
        <v>6674</v>
      </c>
      <c r="F2805">
        <v>4024807</v>
      </c>
      <c r="G2805" t="s">
        <v>6675</v>
      </c>
      <c r="H2805" t="s">
        <v>805</v>
      </c>
      <c r="I2805">
        <v>160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160</v>
      </c>
      <c r="P2805" s="44" t="e">
        <f>_xlfn.XLOOKUP(Tabla5[[#This Row],[EAN CORREGIDO]],'Tabla Articulos'!B:B,'Tabla Articulos'!D:D)</f>
        <v>#N/A</v>
      </c>
      <c r="Q2805" s="44" t="e">
        <f>_xlfn.XLOOKUP(S2805,'Tabla Articulos'!B:B,'Tabla Articulos'!E:E)</f>
        <v>#N/A</v>
      </c>
      <c r="R2805" s="44" t="e">
        <f t="shared" si="86"/>
        <v>#N/A</v>
      </c>
      <c r="S2805" s="45" t="str">
        <f t="shared" si="87"/>
        <v>7790580346515</v>
      </c>
    </row>
    <row r="2806" spans="1:19" hidden="1" x14ac:dyDescent="0.35">
      <c r="A2806" s="22">
        <v>2</v>
      </c>
      <c r="B2806" t="s">
        <v>5624</v>
      </c>
      <c r="C2806" t="s">
        <v>802</v>
      </c>
      <c r="D2806" t="s">
        <v>310</v>
      </c>
      <c r="E2806" t="s">
        <v>6651</v>
      </c>
      <c r="F2806">
        <v>2007202</v>
      </c>
      <c r="G2806" t="s">
        <v>6652</v>
      </c>
      <c r="H2806" t="s">
        <v>805</v>
      </c>
      <c r="I2806">
        <v>172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172</v>
      </c>
      <c r="P2806" s="44" t="str">
        <f>_xlfn.XLOOKUP(Tabla5[[#This Row],[EAN CORREGIDO]],'Tabla Articulos'!B:B,'Tabla Articulos'!D:D)</f>
        <v>ESCARBADIENTE</v>
      </c>
      <c r="Q2806" s="44">
        <f>_xlfn.XLOOKUP(S2806,'Tabla Articulos'!B:B,'Tabla Articulos'!E:E)</f>
        <v>500</v>
      </c>
      <c r="R2806" s="44">
        <f t="shared" si="86"/>
        <v>86000</v>
      </c>
      <c r="S2806" s="45" t="str">
        <f t="shared" si="87"/>
        <v>648260488628</v>
      </c>
    </row>
    <row r="2807" spans="1:19" hidden="1" x14ac:dyDescent="0.35">
      <c r="A2807" s="22">
        <v>2</v>
      </c>
      <c r="B2807" t="s">
        <v>5624</v>
      </c>
      <c r="C2807" t="s">
        <v>802</v>
      </c>
      <c r="D2807" t="s">
        <v>5152</v>
      </c>
      <c r="E2807" t="s">
        <v>5153</v>
      </c>
      <c r="F2807">
        <v>4020713</v>
      </c>
      <c r="G2807" t="s">
        <v>5154</v>
      </c>
      <c r="H2807" t="s">
        <v>805</v>
      </c>
      <c r="I2807">
        <v>3845</v>
      </c>
      <c r="J2807">
        <v>0</v>
      </c>
      <c r="K2807">
        <v>0</v>
      </c>
      <c r="L2807">
        <v>166</v>
      </c>
      <c r="M2807">
        <v>166</v>
      </c>
      <c r="N2807">
        <v>285</v>
      </c>
      <c r="O2807">
        <v>3228</v>
      </c>
      <c r="P2807" s="44" t="e">
        <f>_xlfn.XLOOKUP(Tabla5[[#This Row],[EAN CORREGIDO]],'Tabla Articulos'!B:B,'Tabla Articulos'!D:D)</f>
        <v>#N/A</v>
      </c>
      <c r="Q2807" s="44" t="e">
        <f>_xlfn.XLOOKUP(S2807,'Tabla Articulos'!B:B,'Tabla Articulos'!E:E)</f>
        <v>#N/A</v>
      </c>
      <c r="R2807" s="44" t="e">
        <f t="shared" si="86"/>
        <v>#N/A</v>
      </c>
      <c r="S2807" s="45" t="str">
        <f t="shared" si="87"/>
        <v>7798018850184</v>
      </c>
    </row>
    <row r="2808" spans="1:19" hidden="1" x14ac:dyDescent="0.35">
      <c r="A2808" s="22">
        <v>2</v>
      </c>
      <c r="B2808" t="s">
        <v>5624</v>
      </c>
      <c r="C2808" t="s">
        <v>802</v>
      </c>
      <c r="D2808" t="s">
        <v>5155</v>
      </c>
      <c r="E2808" t="s">
        <v>5156</v>
      </c>
      <c r="F2808">
        <v>4020331</v>
      </c>
      <c r="G2808" t="s">
        <v>5157</v>
      </c>
      <c r="H2808" t="s">
        <v>805</v>
      </c>
      <c r="I2808">
        <v>1673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1673</v>
      </c>
      <c r="P2808" s="44" t="e">
        <f>_xlfn.XLOOKUP(Tabla5[[#This Row],[EAN CORREGIDO]],'Tabla Articulos'!B:B,'Tabla Articulos'!D:D)</f>
        <v>#N/A</v>
      </c>
      <c r="Q2808" s="44" t="e">
        <f>_xlfn.XLOOKUP(S2808,'Tabla Articulos'!B:B,'Tabla Articulos'!E:E)</f>
        <v>#N/A</v>
      </c>
      <c r="R2808" s="44" t="e">
        <f t="shared" si="86"/>
        <v>#N/A</v>
      </c>
      <c r="S2808" s="45" t="str">
        <f t="shared" si="87"/>
        <v>7798132920428</v>
      </c>
    </row>
    <row r="2809" spans="1:19" hidden="1" x14ac:dyDescent="0.35">
      <c r="A2809" s="22">
        <v>2</v>
      </c>
      <c r="B2809" t="s">
        <v>5624</v>
      </c>
      <c r="C2809" t="s">
        <v>802</v>
      </c>
      <c r="D2809" t="s">
        <v>5396</v>
      </c>
      <c r="E2809" t="s">
        <v>6523</v>
      </c>
      <c r="F2809">
        <v>4018019</v>
      </c>
      <c r="G2809" t="s">
        <v>6524</v>
      </c>
      <c r="H2809" t="s">
        <v>816</v>
      </c>
      <c r="I2809">
        <v>5591.7</v>
      </c>
      <c r="J2809">
        <v>0</v>
      </c>
      <c r="K2809">
        <v>0</v>
      </c>
      <c r="L2809">
        <v>140</v>
      </c>
      <c r="M2809">
        <v>140</v>
      </c>
      <c r="N2809">
        <v>0</v>
      </c>
      <c r="O2809">
        <v>5311.7</v>
      </c>
      <c r="P2809" s="44" t="e">
        <f>_xlfn.XLOOKUP(Tabla5[[#This Row],[EAN CORREGIDO]],'Tabla Articulos'!B:B,'Tabla Articulos'!D:D)</f>
        <v>#N/A</v>
      </c>
      <c r="Q2809" s="44" t="e">
        <f>_xlfn.XLOOKUP(S2809,'Tabla Articulos'!B:B,'Tabla Articulos'!E:E)</f>
        <v>#N/A</v>
      </c>
      <c r="R2809" s="44" t="e">
        <f t="shared" si="86"/>
        <v>#N/A</v>
      </c>
      <c r="S2809" s="45" t="str">
        <f t="shared" si="87"/>
        <v>7790216020104</v>
      </c>
    </row>
    <row r="2810" spans="1:19" hidden="1" x14ac:dyDescent="0.35">
      <c r="A2810" s="22">
        <v>2</v>
      </c>
      <c r="B2810" t="s">
        <v>5624</v>
      </c>
      <c r="C2810" t="s">
        <v>802</v>
      </c>
      <c r="D2810" t="s">
        <v>5655</v>
      </c>
      <c r="E2810" t="s">
        <v>6525</v>
      </c>
      <c r="F2810">
        <v>4023343</v>
      </c>
      <c r="G2810" t="s">
        <v>6526</v>
      </c>
      <c r="H2810" t="s">
        <v>805</v>
      </c>
      <c r="I2810">
        <v>4</v>
      </c>
      <c r="J2810">
        <v>0</v>
      </c>
      <c r="K2810">
        <v>0</v>
      </c>
      <c r="L2810">
        <v>1</v>
      </c>
      <c r="M2810">
        <v>1</v>
      </c>
      <c r="N2810">
        <v>0</v>
      </c>
      <c r="O2810">
        <v>2</v>
      </c>
      <c r="P2810" s="44" t="e">
        <f>_xlfn.XLOOKUP(Tabla5[[#This Row],[EAN CORREGIDO]],'Tabla Articulos'!B:B,'Tabla Articulos'!D:D)</f>
        <v>#N/A</v>
      </c>
      <c r="Q2810" s="44" t="e">
        <f>_xlfn.XLOOKUP(S2810,'Tabla Articulos'!B:B,'Tabla Articulos'!E:E)</f>
        <v>#N/A</v>
      </c>
      <c r="R2810" s="44" t="e">
        <f t="shared" si="86"/>
        <v>#N/A</v>
      </c>
      <c r="S2810" s="45" t="str">
        <f t="shared" si="87"/>
        <v>7790000000399</v>
      </c>
    </row>
    <row r="2811" spans="1:19" hidden="1" x14ac:dyDescent="0.35">
      <c r="A2811" s="22">
        <v>2</v>
      </c>
      <c r="B2811" t="s">
        <v>5624</v>
      </c>
      <c r="C2811" t="s">
        <v>802</v>
      </c>
      <c r="D2811" t="s">
        <v>6527</v>
      </c>
      <c r="E2811" t="s">
        <v>6528</v>
      </c>
      <c r="F2811">
        <v>4077458</v>
      </c>
      <c r="G2811" t="s">
        <v>6529</v>
      </c>
      <c r="H2811" t="s">
        <v>805</v>
      </c>
      <c r="I2811">
        <v>0</v>
      </c>
      <c r="J2811">
        <v>25</v>
      </c>
      <c r="K2811">
        <v>0</v>
      </c>
      <c r="L2811">
        <v>0</v>
      </c>
      <c r="M2811">
        <v>0</v>
      </c>
      <c r="N2811">
        <v>0</v>
      </c>
      <c r="O2811">
        <v>25</v>
      </c>
      <c r="P2811" s="44" t="e">
        <f>_xlfn.XLOOKUP(Tabla5[[#This Row],[EAN CORREGIDO]],'Tabla Articulos'!B:B,'Tabla Articulos'!D:D)</f>
        <v>#N/A</v>
      </c>
      <c r="Q2811" s="44" t="e">
        <f>_xlfn.XLOOKUP(S2811,'Tabla Articulos'!B:B,'Tabla Articulos'!E:E)</f>
        <v>#N/A</v>
      </c>
      <c r="R2811" s="44" t="e">
        <f t="shared" si="86"/>
        <v>#N/A</v>
      </c>
      <c r="S2811" s="45" t="str">
        <f t="shared" si="87"/>
        <v>7796953215303</v>
      </c>
    </row>
    <row r="2812" spans="1:19" hidden="1" x14ac:dyDescent="0.35">
      <c r="A2812" s="22">
        <v>2</v>
      </c>
      <c r="B2812" t="s">
        <v>5624</v>
      </c>
      <c r="C2812" t="s">
        <v>802</v>
      </c>
      <c r="D2812" t="s">
        <v>5779</v>
      </c>
      <c r="E2812" t="s">
        <v>5780</v>
      </c>
      <c r="F2812">
        <v>4077447</v>
      </c>
      <c r="G2812" t="s">
        <v>5781</v>
      </c>
      <c r="H2812" t="s">
        <v>805</v>
      </c>
      <c r="I2812">
        <v>128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128</v>
      </c>
      <c r="P2812" s="44" t="e">
        <f>_xlfn.XLOOKUP(Tabla5[[#This Row],[EAN CORREGIDO]],'Tabla Articulos'!B:B,'Tabla Articulos'!D:D)</f>
        <v>#N/A</v>
      </c>
      <c r="Q2812" s="44" t="e">
        <f>_xlfn.XLOOKUP(S2812,'Tabla Articulos'!B:B,'Tabla Articulos'!E:E)</f>
        <v>#N/A</v>
      </c>
      <c r="R2812" s="44" t="e">
        <f t="shared" si="86"/>
        <v>#N/A</v>
      </c>
      <c r="S2812" s="45" t="str">
        <f t="shared" si="87"/>
        <v>7791218123805</v>
      </c>
    </row>
    <row r="2813" spans="1:19" hidden="1" x14ac:dyDescent="0.35">
      <c r="A2813" s="22">
        <v>2</v>
      </c>
      <c r="B2813" t="s">
        <v>5624</v>
      </c>
      <c r="C2813" t="s">
        <v>802</v>
      </c>
      <c r="D2813" t="s">
        <v>6545</v>
      </c>
      <c r="E2813" t="s">
        <v>6546</v>
      </c>
      <c r="F2813">
        <v>4077492</v>
      </c>
      <c r="G2813" t="s">
        <v>6547</v>
      </c>
      <c r="H2813" t="s">
        <v>805</v>
      </c>
      <c r="I2813">
        <v>0</v>
      </c>
      <c r="J2813">
        <v>1005</v>
      </c>
      <c r="K2813">
        <v>0</v>
      </c>
      <c r="L2813">
        <v>0</v>
      </c>
      <c r="M2813">
        <v>0</v>
      </c>
      <c r="N2813">
        <v>0</v>
      </c>
      <c r="O2813">
        <v>1005</v>
      </c>
      <c r="P2813" s="44" t="e">
        <f>_xlfn.XLOOKUP(Tabla5[[#This Row],[EAN CORREGIDO]],'Tabla Articulos'!B:B,'Tabla Articulos'!D:D)</f>
        <v>#N/A</v>
      </c>
      <c r="Q2813" s="44" t="e">
        <f>_xlfn.XLOOKUP(S2813,'Tabla Articulos'!B:B,'Tabla Articulos'!E:E)</f>
        <v>#N/A</v>
      </c>
      <c r="R2813" s="44" t="e">
        <f t="shared" si="86"/>
        <v>#N/A</v>
      </c>
      <c r="S2813" s="45" t="str">
        <f t="shared" si="87"/>
        <v>7790538010291</v>
      </c>
    </row>
    <row r="2814" spans="1:19" hidden="1" x14ac:dyDescent="0.35">
      <c r="A2814" s="22">
        <v>2</v>
      </c>
      <c r="B2814" t="s">
        <v>5624</v>
      </c>
      <c r="C2814" t="s">
        <v>802</v>
      </c>
      <c r="D2814" t="s">
        <v>3626</v>
      </c>
      <c r="E2814" t="s">
        <v>4506</v>
      </c>
      <c r="F2814">
        <v>4023660</v>
      </c>
      <c r="G2814" t="s">
        <v>4507</v>
      </c>
      <c r="H2814" t="s">
        <v>805</v>
      </c>
      <c r="I2814">
        <v>2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2</v>
      </c>
      <c r="P2814" s="44" t="e">
        <f>_xlfn.XLOOKUP(Tabla5[[#This Row],[EAN CORREGIDO]],'Tabla Articulos'!B:B,'Tabla Articulos'!D:D)</f>
        <v>#N/A</v>
      </c>
      <c r="Q2814" s="44" t="e">
        <f>_xlfn.XLOOKUP(S2814,'Tabla Articulos'!B:B,'Tabla Articulos'!E:E)</f>
        <v>#N/A</v>
      </c>
      <c r="R2814" s="44" t="e">
        <f t="shared" si="86"/>
        <v>#N/A</v>
      </c>
      <c r="S2814" s="45" t="str">
        <f t="shared" si="87"/>
        <v>7793875316958</v>
      </c>
    </row>
    <row r="2815" spans="1:19" hidden="1" x14ac:dyDescent="0.35">
      <c r="A2815" s="22">
        <v>2</v>
      </c>
      <c r="B2815" t="s">
        <v>5624</v>
      </c>
      <c r="C2815" t="s">
        <v>802</v>
      </c>
      <c r="D2815" t="s">
        <v>1663</v>
      </c>
      <c r="E2815" t="s">
        <v>4508</v>
      </c>
      <c r="F2815">
        <v>4019467</v>
      </c>
      <c r="G2815" t="s">
        <v>4509</v>
      </c>
      <c r="H2815" t="s">
        <v>805</v>
      </c>
      <c r="I2815">
        <v>1109</v>
      </c>
      <c r="J2815">
        <v>0</v>
      </c>
      <c r="K2815">
        <v>0</v>
      </c>
      <c r="L2815">
        <v>71</v>
      </c>
      <c r="M2815">
        <v>71</v>
      </c>
      <c r="N2815">
        <v>0</v>
      </c>
      <c r="O2815">
        <v>967</v>
      </c>
      <c r="P2815" s="44" t="e">
        <f>_xlfn.XLOOKUP(Tabla5[[#This Row],[EAN CORREGIDO]],'Tabla Articulos'!B:B,'Tabla Articulos'!D:D)</f>
        <v>#N/A</v>
      </c>
      <c r="Q2815" s="44" t="e">
        <f>_xlfn.XLOOKUP(S2815,'Tabla Articulos'!B:B,'Tabla Articulos'!E:E)</f>
        <v>#N/A</v>
      </c>
      <c r="R2815" s="44" t="e">
        <f t="shared" si="86"/>
        <v>#N/A</v>
      </c>
      <c r="S2815" s="45" t="str">
        <f t="shared" si="87"/>
        <v>7790070336026</v>
      </c>
    </row>
    <row r="2816" spans="1:19" hidden="1" x14ac:dyDescent="0.35">
      <c r="A2816" s="22">
        <v>2</v>
      </c>
      <c r="B2816" t="s">
        <v>5624</v>
      </c>
      <c r="C2816" t="s">
        <v>802</v>
      </c>
      <c r="D2816" t="s">
        <v>4512</v>
      </c>
      <c r="E2816" t="s">
        <v>4513</v>
      </c>
      <c r="F2816">
        <v>4020532</v>
      </c>
      <c r="G2816" t="s">
        <v>4514</v>
      </c>
      <c r="H2816" t="s">
        <v>805</v>
      </c>
      <c r="I2816">
        <v>40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40</v>
      </c>
      <c r="P2816" s="44" t="e">
        <f>_xlfn.XLOOKUP(Tabla5[[#This Row],[EAN CORREGIDO]],'Tabla Articulos'!B:B,'Tabla Articulos'!D:D)</f>
        <v>#N/A</v>
      </c>
      <c r="Q2816" s="44" t="e">
        <f>_xlfn.XLOOKUP(S2816,'Tabla Articulos'!B:B,'Tabla Articulos'!E:E)</f>
        <v>#N/A</v>
      </c>
      <c r="R2816" s="44" t="e">
        <f t="shared" si="86"/>
        <v>#N/A</v>
      </c>
      <c r="S2816" s="45" t="str">
        <f t="shared" si="87"/>
        <v>7798156760987</v>
      </c>
    </row>
    <row r="2817" spans="1:19" hidden="1" x14ac:dyDescent="0.35">
      <c r="A2817" s="22">
        <v>2</v>
      </c>
      <c r="B2817" t="s">
        <v>5624</v>
      </c>
      <c r="C2817" t="s">
        <v>802</v>
      </c>
      <c r="D2817" t="s">
        <v>2924</v>
      </c>
      <c r="E2817" t="s">
        <v>2925</v>
      </c>
      <c r="F2817">
        <v>4021214</v>
      </c>
      <c r="G2817" t="s">
        <v>2926</v>
      </c>
      <c r="H2817" t="s">
        <v>805</v>
      </c>
      <c r="I2817">
        <v>165</v>
      </c>
      <c r="J2817">
        <v>0</v>
      </c>
      <c r="K2817">
        <v>0</v>
      </c>
      <c r="L2817">
        <v>5</v>
      </c>
      <c r="M2817">
        <v>5</v>
      </c>
      <c r="N2817">
        <v>0</v>
      </c>
      <c r="O2817">
        <v>155</v>
      </c>
      <c r="P2817" s="44" t="e">
        <f>_xlfn.XLOOKUP(Tabla5[[#This Row],[EAN CORREGIDO]],'Tabla Articulos'!B:B,'Tabla Articulos'!D:D)</f>
        <v>#N/A</v>
      </c>
      <c r="Q2817" s="44" t="e">
        <f>_xlfn.XLOOKUP(S2817,'Tabla Articulos'!B:B,'Tabla Articulos'!E:E)</f>
        <v>#N/A</v>
      </c>
      <c r="R2817" s="44" t="e">
        <f t="shared" ref="R2817:R2880" si="88">O2817*Q2817</f>
        <v>#N/A</v>
      </c>
      <c r="S2817" s="45" t="str">
        <f t="shared" ref="S2817:S2880" si="89">TRIM(E2817)</f>
        <v>7794820000489</v>
      </c>
    </row>
    <row r="2818" spans="1:19" hidden="1" x14ac:dyDescent="0.35">
      <c r="A2818" s="22">
        <v>2</v>
      </c>
      <c r="B2818" t="s">
        <v>5624</v>
      </c>
      <c r="C2818" t="s">
        <v>802</v>
      </c>
      <c r="D2818" t="s">
        <v>2927</v>
      </c>
      <c r="E2818" t="s">
        <v>2928</v>
      </c>
      <c r="F2818">
        <v>4019422</v>
      </c>
      <c r="G2818" t="s">
        <v>2929</v>
      </c>
      <c r="H2818" t="s">
        <v>805</v>
      </c>
      <c r="I2818">
        <v>15077</v>
      </c>
      <c r="J2818">
        <v>0</v>
      </c>
      <c r="K2818">
        <v>0</v>
      </c>
      <c r="L2818">
        <v>5382</v>
      </c>
      <c r="M2818">
        <v>5382</v>
      </c>
      <c r="N2818">
        <v>197</v>
      </c>
      <c r="O2818">
        <v>4116</v>
      </c>
      <c r="P2818" s="44" t="e">
        <f>_xlfn.XLOOKUP(Tabla5[[#This Row],[EAN CORREGIDO]],'Tabla Articulos'!B:B,'Tabla Articulos'!D:D)</f>
        <v>#N/A</v>
      </c>
      <c r="Q2818" s="44" t="e">
        <f>_xlfn.XLOOKUP(S2818,'Tabla Articulos'!B:B,'Tabla Articulos'!E:E)</f>
        <v>#N/A</v>
      </c>
      <c r="R2818" s="44" t="e">
        <f t="shared" si="88"/>
        <v>#N/A</v>
      </c>
      <c r="S2818" s="45" t="str">
        <f t="shared" si="89"/>
        <v>7790077000067</v>
      </c>
    </row>
    <row r="2819" spans="1:19" hidden="1" x14ac:dyDescent="0.35">
      <c r="A2819" s="22">
        <v>2</v>
      </c>
      <c r="B2819" t="s">
        <v>5624</v>
      </c>
      <c r="C2819" t="s">
        <v>802</v>
      </c>
      <c r="D2819" t="s">
        <v>2937</v>
      </c>
      <c r="E2819" t="s">
        <v>2938</v>
      </c>
      <c r="F2819">
        <v>4077143</v>
      </c>
      <c r="G2819" t="s">
        <v>2939</v>
      </c>
      <c r="H2819" t="s">
        <v>805</v>
      </c>
      <c r="I2819">
        <v>3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3</v>
      </c>
      <c r="P2819" s="44" t="e">
        <f>_xlfn.XLOOKUP(Tabla5[[#This Row],[EAN CORREGIDO]],'Tabla Articulos'!B:B,'Tabla Articulos'!D:D)</f>
        <v>#N/A</v>
      </c>
      <c r="Q2819" s="44" t="e">
        <f>_xlfn.XLOOKUP(S2819,'Tabla Articulos'!B:B,'Tabla Articulos'!E:E)</f>
        <v>#N/A</v>
      </c>
      <c r="R2819" s="44" t="e">
        <f t="shared" si="88"/>
        <v>#N/A</v>
      </c>
      <c r="S2819" s="45" t="str">
        <f t="shared" si="89"/>
        <v>17792180009279</v>
      </c>
    </row>
    <row r="2820" spans="1:19" hidden="1" x14ac:dyDescent="0.35">
      <c r="A2820" s="22">
        <v>2</v>
      </c>
      <c r="B2820" t="s">
        <v>5624</v>
      </c>
      <c r="C2820" t="s">
        <v>802</v>
      </c>
      <c r="D2820" t="s">
        <v>2514</v>
      </c>
      <c r="E2820" t="s">
        <v>2940</v>
      </c>
      <c r="F2820">
        <v>4020531</v>
      </c>
      <c r="G2820" t="s">
        <v>2941</v>
      </c>
      <c r="H2820" t="s">
        <v>805</v>
      </c>
      <c r="I2820">
        <v>1219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1219</v>
      </c>
      <c r="P2820" s="44" t="e">
        <f>_xlfn.XLOOKUP(Tabla5[[#This Row],[EAN CORREGIDO]],'Tabla Articulos'!B:B,'Tabla Articulos'!D:D)</f>
        <v>#N/A</v>
      </c>
      <c r="Q2820" s="44" t="e">
        <f>_xlfn.XLOOKUP(S2820,'Tabla Articulos'!B:B,'Tabla Articulos'!E:E)</f>
        <v>#N/A</v>
      </c>
      <c r="R2820" s="44" t="e">
        <f t="shared" si="88"/>
        <v>#N/A</v>
      </c>
      <c r="S2820" s="45" t="str">
        <f t="shared" si="89"/>
        <v>7798156760970</v>
      </c>
    </row>
    <row r="2821" spans="1:19" hidden="1" x14ac:dyDescent="0.35">
      <c r="A2821" s="22">
        <v>2</v>
      </c>
      <c r="B2821" t="s">
        <v>5624</v>
      </c>
      <c r="C2821" t="s">
        <v>802</v>
      </c>
      <c r="D2821" t="s">
        <v>1204</v>
      </c>
      <c r="E2821" t="s">
        <v>1205</v>
      </c>
      <c r="F2821">
        <v>4020343</v>
      </c>
      <c r="G2821" t="s">
        <v>1206</v>
      </c>
      <c r="H2821" t="s">
        <v>805</v>
      </c>
      <c r="I2821">
        <v>100</v>
      </c>
      <c r="J2821">
        <v>0</v>
      </c>
      <c r="K2821">
        <v>0</v>
      </c>
      <c r="L2821">
        <v>7</v>
      </c>
      <c r="M2821">
        <v>7</v>
      </c>
      <c r="N2821">
        <v>0</v>
      </c>
      <c r="O2821">
        <v>86</v>
      </c>
      <c r="P2821" s="44" t="e">
        <f>_xlfn.XLOOKUP(Tabla5[[#This Row],[EAN CORREGIDO]],'Tabla Articulos'!B:B,'Tabla Articulos'!D:D)</f>
        <v>#N/A</v>
      </c>
      <c r="Q2821" s="44" t="e">
        <f>_xlfn.XLOOKUP(S2821,'Tabla Articulos'!B:B,'Tabla Articulos'!E:E)</f>
        <v>#N/A</v>
      </c>
      <c r="R2821" s="44" t="e">
        <f t="shared" si="88"/>
        <v>#N/A</v>
      </c>
      <c r="S2821" s="45" t="str">
        <f t="shared" si="89"/>
        <v>7798011970063</v>
      </c>
    </row>
    <row r="2822" spans="1:19" hidden="1" x14ac:dyDescent="0.35">
      <c r="A2822" s="22">
        <v>2</v>
      </c>
      <c r="B2822" t="s">
        <v>5624</v>
      </c>
      <c r="C2822" t="s">
        <v>802</v>
      </c>
      <c r="D2822" t="s">
        <v>1207</v>
      </c>
      <c r="E2822" t="s">
        <v>1208</v>
      </c>
      <c r="F2822">
        <v>4049076</v>
      </c>
      <c r="G2822" t="s">
        <v>1209</v>
      </c>
      <c r="H2822" t="s">
        <v>805</v>
      </c>
      <c r="I2822">
        <v>3000</v>
      </c>
      <c r="J2822">
        <v>0</v>
      </c>
      <c r="K2822">
        <v>0</v>
      </c>
      <c r="L2822">
        <v>4</v>
      </c>
      <c r="M2822">
        <v>4</v>
      </c>
      <c r="N2822">
        <v>0</v>
      </c>
      <c r="O2822">
        <v>2992</v>
      </c>
      <c r="P2822" s="44" t="e">
        <f>_xlfn.XLOOKUP(Tabla5[[#This Row],[EAN CORREGIDO]],'Tabla Articulos'!B:B,'Tabla Articulos'!D:D)</f>
        <v>#N/A</v>
      </c>
      <c r="Q2822" s="44" t="e">
        <f>_xlfn.XLOOKUP(S2822,'Tabla Articulos'!B:B,'Tabla Articulos'!E:E)</f>
        <v>#N/A</v>
      </c>
      <c r="R2822" s="44" t="e">
        <f t="shared" si="88"/>
        <v>#N/A</v>
      </c>
      <c r="S2822" s="45" t="str">
        <f t="shared" si="89"/>
        <v>7793650000027</v>
      </c>
    </row>
    <row r="2823" spans="1:19" hidden="1" x14ac:dyDescent="0.35">
      <c r="A2823" s="22">
        <v>2</v>
      </c>
      <c r="B2823" t="s">
        <v>5624</v>
      </c>
      <c r="C2823" t="s">
        <v>802</v>
      </c>
      <c r="D2823" t="s">
        <v>3642</v>
      </c>
      <c r="E2823" t="s">
        <v>3643</v>
      </c>
      <c r="F2823">
        <v>4018043</v>
      </c>
      <c r="G2823" t="s">
        <v>3644</v>
      </c>
      <c r="H2823" t="s">
        <v>816</v>
      </c>
      <c r="I2823">
        <v>1095.8119999999999</v>
      </c>
      <c r="J2823">
        <v>0</v>
      </c>
      <c r="K2823">
        <v>0</v>
      </c>
      <c r="L2823">
        <v>379.45</v>
      </c>
      <c r="M2823">
        <v>379.45</v>
      </c>
      <c r="N2823">
        <v>0</v>
      </c>
      <c r="O2823">
        <v>336.91199999999998</v>
      </c>
      <c r="P2823" s="44" t="e">
        <f>_xlfn.XLOOKUP(Tabla5[[#This Row],[EAN CORREGIDO]],'Tabla Articulos'!B:B,'Tabla Articulos'!D:D)</f>
        <v>#N/A</v>
      </c>
      <c r="Q2823" s="44" t="e">
        <f>_xlfn.XLOOKUP(S2823,'Tabla Articulos'!B:B,'Tabla Articulos'!E:E)</f>
        <v>#N/A</v>
      </c>
      <c r="R2823" s="44" t="e">
        <f t="shared" si="88"/>
        <v>#N/A</v>
      </c>
      <c r="S2823" s="45" t="str">
        <f t="shared" si="89"/>
        <v>7790216010132</v>
      </c>
    </row>
    <row r="2824" spans="1:19" hidden="1" x14ac:dyDescent="0.35">
      <c r="A2824" s="22">
        <v>2</v>
      </c>
      <c r="B2824" t="s">
        <v>5624</v>
      </c>
      <c r="C2824" t="s">
        <v>802</v>
      </c>
      <c r="D2824" t="s">
        <v>3652</v>
      </c>
      <c r="E2824" t="s">
        <v>3653</v>
      </c>
      <c r="F2824">
        <v>4020152</v>
      </c>
      <c r="G2824" t="s">
        <v>3654</v>
      </c>
      <c r="H2824" t="s">
        <v>805</v>
      </c>
      <c r="I2824">
        <v>449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449</v>
      </c>
      <c r="P2824" s="44" t="e">
        <f>_xlfn.XLOOKUP(Tabla5[[#This Row],[EAN CORREGIDO]],'Tabla Articulos'!B:B,'Tabla Articulos'!D:D)</f>
        <v>#N/A</v>
      </c>
      <c r="Q2824" s="44" t="e">
        <f>_xlfn.XLOOKUP(S2824,'Tabla Articulos'!B:B,'Tabla Articulos'!E:E)</f>
        <v>#N/A</v>
      </c>
      <c r="R2824" s="44" t="e">
        <f t="shared" si="88"/>
        <v>#N/A</v>
      </c>
      <c r="S2824" s="45" t="str">
        <f t="shared" si="89"/>
        <v>7791113001215</v>
      </c>
    </row>
    <row r="2825" spans="1:19" hidden="1" x14ac:dyDescent="0.35">
      <c r="A2825" s="22">
        <v>2</v>
      </c>
      <c r="B2825" t="s">
        <v>5624</v>
      </c>
      <c r="C2825" t="s">
        <v>802</v>
      </c>
      <c r="D2825" t="s">
        <v>3657</v>
      </c>
      <c r="E2825" t="s">
        <v>3658</v>
      </c>
      <c r="F2825">
        <v>4017769</v>
      </c>
      <c r="G2825" t="s">
        <v>3659</v>
      </c>
      <c r="H2825" t="s">
        <v>816</v>
      </c>
      <c r="I2825">
        <v>534.91</v>
      </c>
      <c r="J2825">
        <v>0</v>
      </c>
      <c r="K2825">
        <v>0</v>
      </c>
      <c r="L2825">
        <v>39.5</v>
      </c>
      <c r="M2825">
        <v>39.5</v>
      </c>
      <c r="N2825">
        <v>0</v>
      </c>
      <c r="O2825">
        <v>455.91</v>
      </c>
      <c r="P2825" s="44" t="e">
        <f>_xlfn.XLOOKUP(Tabla5[[#This Row],[EAN CORREGIDO]],'Tabla Articulos'!B:B,'Tabla Articulos'!D:D)</f>
        <v>#N/A</v>
      </c>
      <c r="Q2825" s="44" t="e">
        <f>_xlfn.XLOOKUP(S2825,'Tabla Articulos'!B:B,'Tabla Articulos'!E:E)</f>
        <v>#N/A</v>
      </c>
      <c r="R2825" s="44" t="e">
        <f t="shared" si="88"/>
        <v>#N/A</v>
      </c>
      <c r="S2825" s="45" t="str">
        <f t="shared" si="89"/>
        <v>7790212031241</v>
      </c>
    </row>
    <row r="2826" spans="1:19" hidden="1" x14ac:dyDescent="0.35">
      <c r="A2826" s="22">
        <v>2</v>
      </c>
      <c r="B2826" t="s">
        <v>5624</v>
      </c>
      <c r="C2826" t="s">
        <v>802</v>
      </c>
      <c r="D2826" t="s">
        <v>3660</v>
      </c>
      <c r="E2826" t="s">
        <v>3661</v>
      </c>
      <c r="F2826">
        <v>4019507</v>
      </c>
      <c r="G2826" t="s">
        <v>3662</v>
      </c>
      <c r="H2826" t="s">
        <v>805</v>
      </c>
      <c r="I2826">
        <v>37</v>
      </c>
      <c r="J2826">
        <v>0</v>
      </c>
      <c r="K2826">
        <v>0</v>
      </c>
      <c r="L2826">
        <v>2</v>
      </c>
      <c r="M2826">
        <v>2</v>
      </c>
      <c r="N2826">
        <v>0</v>
      </c>
      <c r="O2826">
        <v>33</v>
      </c>
      <c r="P2826" s="44" t="e">
        <f>_xlfn.XLOOKUP(Tabla5[[#This Row],[EAN CORREGIDO]],'Tabla Articulos'!B:B,'Tabla Articulos'!D:D)</f>
        <v>#N/A</v>
      </c>
      <c r="Q2826" s="44" t="e">
        <f>_xlfn.XLOOKUP(S2826,'Tabla Articulos'!B:B,'Tabla Articulos'!E:E)</f>
        <v>#N/A</v>
      </c>
      <c r="R2826" s="44" t="e">
        <f t="shared" si="88"/>
        <v>#N/A</v>
      </c>
      <c r="S2826" s="45" t="str">
        <f t="shared" si="89"/>
        <v>7790045000624</v>
      </c>
    </row>
    <row r="2827" spans="1:19" hidden="1" x14ac:dyDescent="0.35">
      <c r="A2827" s="22">
        <v>2</v>
      </c>
      <c r="B2827" t="s">
        <v>5624</v>
      </c>
      <c r="C2827" t="s">
        <v>802</v>
      </c>
      <c r="D2827" t="s">
        <v>6374</v>
      </c>
      <c r="E2827" t="s">
        <v>6375</v>
      </c>
      <c r="F2827">
        <v>4018454</v>
      </c>
      <c r="G2827" t="s">
        <v>6376</v>
      </c>
      <c r="H2827" t="s">
        <v>805</v>
      </c>
      <c r="I2827">
        <v>17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17</v>
      </c>
      <c r="P2827" s="44" t="e">
        <f>_xlfn.XLOOKUP(Tabla5[[#This Row],[EAN CORREGIDO]],'Tabla Articulos'!B:B,'Tabla Articulos'!D:D)</f>
        <v>#N/A</v>
      </c>
      <c r="Q2827" s="44" t="e">
        <f>_xlfn.XLOOKUP(S2827,'Tabla Articulos'!B:B,'Tabla Articulos'!E:E)</f>
        <v>#N/A</v>
      </c>
      <c r="R2827" s="44" t="e">
        <f t="shared" si="88"/>
        <v>#N/A</v>
      </c>
      <c r="S2827" s="45" t="str">
        <f t="shared" si="89"/>
        <v>7798088625418</v>
      </c>
    </row>
    <row r="2828" spans="1:19" hidden="1" x14ac:dyDescent="0.35">
      <c r="A2828" s="22">
        <v>2</v>
      </c>
      <c r="B2828" t="s">
        <v>5624</v>
      </c>
      <c r="C2828" t="s">
        <v>802</v>
      </c>
      <c r="D2828" t="s">
        <v>3574</v>
      </c>
      <c r="E2828" t="s">
        <v>3575</v>
      </c>
      <c r="F2828">
        <v>4020463</v>
      </c>
      <c r="G2828" t="s">
        <v>3576</v>
      </c>
      <c r="H2828" t="s">
        <v>805</v>
      </c>
      <c r="I2828">
        <v>471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471</v>
      </c>
      <c r="P2828" s="44" t="e">
        <f>_xlfn.XLOOKUP(Tabla5[[#This Row],[EAN CORREGIDO]],'Tabla Articulos'!B:B,'Tabla Articulos'!D:D)</f>
        <v>#N/A</v>
      </c>
      <c r="Q2828" s="44" t="e">
        <f>_xlfn.XLOOKUP(S2828,'Tabla Articulos'!B:B,'Tabla Articulos'!E:E)</f>
        <v>#N/A</v>
      </c>
      <c r="R2828" s="44" t="e">
        <f t="shared" si="88"/>
        <v>#N/A</v>
      </c>
      <c r="S2828" s="45" t="str">
        <f t="shared" si="89"/>
        <v>7798186163000</v>
      </c>
    </row>
    <row r="2829" spans="1:19" hidden="1" x14ac:dyDescent="0.35">
      <c r="A2829" s="22">
        <v>2</v>
      </c>
      <c r="B2829" t="s">
        <v>5624</v>
      </c>
      <c r="C2829" t="s">
        <v>802</v>
      </c>
      <c r="D2829" t="s">
        <v>6360</v>
      </c>
      <c r="E2829" t="s">
        <v>6377</v>
      </c>
      <c r="F2829">
        <v>4024612</v>
      </c>
      <c r="G2829" t="s">
        <v>6378</v>
      </c>
      <c r="H2829" t="s">
        <v>805</v>
      </c>
      <c r="I2829">
        <v>353</v>
      </c>
      <c r="J2829">
        <v>0</v>
      </c>
      <c r="K2829">
        <v>0</v>
      </c>
      <c r="L2829">
        <v>1</v>
      </c>
      <c r="M2829">
        <v>1</v>
      </c>
      <c r="N2829">
        <v>0</v>
      </c>
      <c r="O2829">
        <v>351</v>
      </c>
      <c r="P2829" s="44" t="e">
        <f>_xlfn.XLOOKUP(Tabla5[[#This Row],[EAN CORREGIDO]],'Tabla Articulos'!B:B,'Tabla Articulos'!D:D)</f>
        <v>#N/A</v>
      </c>
      <c r="Q2829" s="44" t="e">
        <f>_xlfn.XLOOKUP(S2829,'Tabla Articulos'!B:B,'Tabla Articulos'!E:E)</f>
        <v>#N/A</v>
      </c>
      <c r="R2829" s="44" t="e">
        <f t="shared" si="88"/>
        <v>#N/A</v>
      </c>
      <c r="S2829" s="45" t="str">
        <f t="shared" si="89"/>
        <v>7798011976904</v>
      </c>
    </row>
    <row r="2830" spans="1:19" hidden="1" x14ac:dyDescent="0.35">
      <c r="A2830" s="22">
        <v>2</v>
      </c>
      <c r="B2830" t="s">
        <v>5624</v>
      </c>
      <c r="C2830" t="s">
        <v>802</v>
      </c>
      <c r="D2830" t="s">
        <v>6379</v>
      </c>
      <c r="E2830" t="s">
        <v>6380</v>
      </c>
      <c r="F2830">
        <v>4019991</v>
      </c>
      <c r="G2830" t="s">
        <v>6381</v>
      </c>
      <c r="H2830" t="s">
        <v>805</v>
      </c>
      <c r="I2830">
        <v>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2</v>
      </c>
      <c r="P2830" s="44" t="e">
        <f>_xlfn.XLOOKUP(Tabla5[[#This Row],[EAN CORREGIDO]],'Tabla Articulos'!B:B,'Tabla Articulos'!D:D)</f>
        <v>#N/A</v>
      </c>
      <c r="Q2830" s="44" t="e">
        <f>_xlfn.XLOOKUP(S2830,'Tabla Articulos'!B:B,'Tabla Articulos'!E:E)</f>
        <v>#N/A</v>
      </c>
      <c r="R2830" s="44" t="e">
        <f t="shared" si="88"/>
        <v>#N/A</v>
      </c>
      <c r="S2830" s="45" t="str">
        <f t="shared" si="89"/>
        <v>7790971000965</v>
      </c>
    </row>
    <row r="2831" spans="1:19" hidden="1" x14ac:dyDescent="0.35">
      <c r="A2831" s="22">
        <v>2</v>
      </c>
      <c r="B2831" t="s">
        <v>5624</v>
      </c>
      <c r="C2831" t="s">
        <v>802</v>
      </c>
      <c r="D2831" t="s">
        <v>2989</v>
      </c>
      <c r="E2831" t="s">
        <v>6082</v>
      </c>
      <c r="F2831">
        <v>4020271</v>
      </c>
      <c r="G2831" t="s">
        <v>6083</v>
      </c>
      <c r="H2831" t="s">
        <v>805</v>
      </c>
      <c r="I2831">
        <v>2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2</v>
      </c>
      <c r="P2831" s="44" t="e">
        <f>_xlfn.XLOOKUP(Tabla5[[#This Row],[EAN CORREGIDO]],'Tabla Articulos'!B:B,'Tabla Articulos'!D:D)</f>
        <v>#N/A</v>
      </c>
      <c r="Q2831" s="44" t="e">
        <f>_xlfn.XLOOKUP(S2831,'Tabla Articulos'!B:B,'Tabla Articulos'!E:E)</f>
        <v>#N/A</v>
      </c>
      <c r="R2831" s="44" t="e">
        <f t="shared" si="88"/>
        <v>#N/A</v>
      </c>
      <c r="S2831" s="45" t="str">
        <f t="shared" si="89"/>
        <v>7797234000366</v>
      </c>
    </row>
    <row r="2832" spans="1:19" hidden="1" x14ac:dyDescent="0.35">
      <c r="A2832" s="22">
        <v>2</v>
      </c>
      <c r="B2832" t="s">
        <v>5624</v>
      </c>
      <c r="C2832" t="s">
        <v>802</v>
      </c>
      <c r="D2832" t="s">
        <v>1887</v>
      </c>
      <c r="E2832" t="s">
        <v>6084</v>
      </c>
      <c r="F2832">
        <v>4024613</v>
      </c>
      <c r="G2832" t="s">
        <v>6085</v>
      </c>
      <c r="H2832" t="s">
        <v>805</v>
      </c>
      <c r="I2832">
        <v>2144</v>
      </c>
      <c r="J2832">
        <v>0</v>
      </c>
      <c r="K2832">
        <v>0</v>
      </c>
      <c r="L2832">
        <v>6</v>
      </c>
      <c r="M2832">
        <v>6</v>
      </c>
      <c r="N2832">
        <v>0</v>
      </c>
      <c r="O2832">
        <v>2132</v>
      </c>
      <c r="P2832" s="44" t="e">
        <f>_xlfn.XLOOKUP(Tabla5[[#This Row],[EAN CORREGIDO]],'Tabla Articulos'!B:B,'Tabla Articulos'!D:D)</f>
        <v>#N/A</v>
      </c>
      <c r="Q2832" s="44" t="e">
        <f>_xlfn.XLOOKUP(S2832,'Tabla Articulos'!B:B,'Tabla Articulos'!E:E)</f>
        <v>#N/A</v>
      </c>
      <c r="R2832" s="44" t="e">
        <f t="shared" si="88"/>
        <v>#N/A</v>
      </c>
      <c r="S2832" s="45" t="str">
        <f t="shared" si="89"/>
        <v>7798011976966</v>
      </c>
    </row>
    <row r="2833" spans="1:19" hidden="1" x14ac:dyDescent="0.35">
      <c r="A2833" s="22">
        <v>2</v>
      </c>
      <c r="B2833" t="s">
        <v>5624</v>
      </c>
      <c r="C2833" t="s">
        <v>802</v>
      </c>
      <c r="D2833" t="s">
        <v>2483</v>
      </c>
      <c r="E2833" t="s">
        <v>2484</v>
      </c>
      <c r="F2833">
        <v>4049075</v>
      </c>
      <c r="G2833" t="s">
        <v>2485</v>
      </c>
      <c r="H2833" t="s">
        <v>805</v>
      </c>
      <c r="I2833">
        <v>39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39</v>
      </c>
      <c r="P2833" s="44" t="e">
        <f>_xlfn.XLOOKUP(Tabla5[[#This Row],[EAN CORREGIDO]],'Tabla Articulos'!B:B,'Tabla Articulos'!D:D)</f>
        <v>#N/A</v>
      </c>
      <c r="Q2833" s="44" t="e">
        <f>_xlfn.XLOOKUP(S2833,'Tabla Articulos'!B:B,'Tabla Articulos'!E:E)</f>
        <v>#N/A</v>
      </c>
      <c r="R2833" s="44" t="e">
        <f t="shared" si="88"/>
        <v>#N/A</v>
      </c>
      <c r="S2833" s="45" t="str">
        <f t="shared" si="89"/>
        <v>7793650000041</v>
      </c>
    </row>
    <row r="2834" spans="1:19" hidden="1" x14ac:dyDescent="0.35">
      <c r="A2834" s="22">
        <v>2</v>
      </c>
      <c r="B2834" t="s">
        <v>5624</v>
      </c>
      <c r="C2834" t="s">
        <v>802</v>
      </c>
      <c r="D2834" t="s">
        <v>1215</v>
      </c>
      <c r="E2834" t="s">
        <v>1216</v>
      </c>
      <c r="F2834">
        <v>4018709</v>
      </c>
      <c r="G2834" t="s">
        <v>1217</v>
      </c>
      <c r="H2834" t="s">
        <v>805</v>
      </c>
      <c r="I2834">
        <v>97</v>
      </c>
      <c r="J2834">
        <v>0</v>
      </c>
      <c r="K2834">
        <v>0</v>
      </c>
      <c r="L2834">
        <v>7</v>
      </c>
      <c r="M2834">
        <v>7</v>
      </c>
      <c r="N2834">
        <v>0</v>
      </c>
      <c r="O2834">
        <v>83</v>
      </c>
      <c r="P2834" s="44" t="e">
        <f>_xlfn.XLOOKUP(Tabla5[[#This Row],[EAN CORREGIDO]],'Tabla Articulos'!B:B,'Tabla Articulos'!D:D)</f>
        <v>#N/A</v>
      </c>
      <c r="Q2834" s="44" t="e">
        <f>_xlfn.XLOOKUP(S2834,'Tabla Articulos'!B:B,'Tabla Articulos'!E:E)</f>
        <v>#N/A</v>
      </c>
      <c r="R2834" s="44" t="e">
        <f t="shared" si="88"/>
        <v>#N/A</v>
      </c>
      <c r="S2834" s="45" t="str">
        <f t="shared" si="89"/>
        <v>7791218123003</v>
      </c>
    </row>
    <row r="2835" spans="1:19" hidden="1" x14ac:dyDescent="0.35">
      <c r="A2835" s="22">
        <v>2</v>
      </c>
      <c r="B2835" t="s">
        <v>5624</v>
      </c>
      <c r="C2835" t="s">
        <v>802</v>
      </c>
      <c r="D2835" t="s">
        <v>5739</v>
      </c>
      <c r="E2835" t="s">
        <v>5740</v>
      </c>
      <c r="F2835">
        <v>4017240</v>
      </c>
      <c r="G2835" t="s">
        <v>5741</v>
      </c>
      <c r="H2835" t="s">
        <v>805</v>
      </c>
      <c r="I2835">
        <v>644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644</v>
      </c>
      <c r="P2835" s="44" t="e">
        <f>_xlfn.XLOOKUP(Tabla5[[#This Row],[EAN CORREGIDO]],'Tabla Articulos'!B:B,'Tabla Articulos'!D:D)</f>
        <v>#N/A</v>
      </c>
      <c r="Q2835" s="44" t="e">
        <f>_xlfn.XLOOKUP(S2835,'Tabla Articulos'!B:B,'Tabla Articulos'!E:E)</f>
        <v>#N/A</v>
      </c>
      <c r="R2835" s="44" t="e">
        <f t="shared" si="88"/>
        <v>#N/A</v>
      </c>
      <c r="S2835" s="45" t="str">
        <f t="shared" si="89"/>
        <v>7790895641183</v>
      </c>
    </row>
    <row r="2836" spans="1:19" hidden="1" x14ac:dyDescent="0.35">
      <c r="A2836" s="22">
        <v>2</v>
      </c>
      <c r="B2836" t="s">
        <v>5624</v>
      </c>
      <c r="C2836" t="s">
        <v>802</v>
      </c>
      <c r="D2836" t="s">
        <v>5849</v>
      </c>
      <c r="E2836" t="s">
        <v>5850</v>
      </c>
      <c r="F2836">
        <v>4023931</v>
      </c>
      <c r="G2836" t="s">
        <v>5851</v>
      </c>
      <c r="H2836" t="s">
        <v>805</v>
      </c>
      <c r="I2836">
        <v>2703</v>
      </c>
      <c r="J2836">
        <v>0</v>
      </c>
      <c r="K2836">
        <v>0</v>
      </c>
      <c r="L2836">
        <v>111</v>
      </c>
      <c r="M2836">
        <v>111</v>
      </c>
      <c r="N2836">
        <v>0</v>
      </c>
      <c r="O2836">
        <v>2481</v>
      </c>
      <c r="P2836" s="44" t="e">
        <f>_xlfn.XLOOKUP(Tabla5[[#This Row],[EAN CORREGIDO]],'Tabla Articulos'!B:B,'Tabla Articulos'!D:D)</f>
        <v>#N/A</v>
      </c>
      <c r="Q2836" s="44" t="e">
        <f>_xlfn.XLOOKUP(S2836,'Tabla Articulos'!B:B,'Tabla Articulos'!E:E)</f>
        <v>#N/A</v>
      </c>
      <c r="R2836" s="44" t="e">
        <f t="shared" si="88"/>
        <v>#N/A</v>
      </c>
      <c r="S2836" s="45" t="str">
        <f t="shared" si="89"/>
        <v>7790895650895</v>
      </c>
    </row>
    <row r="2837" spans="1:19" hidden="1" x14ac:dyDescent="0.35">
      <c r="A2837" s="22">
        <v>2</v>
      </c>
      <c r="B2837" t="s">
        <v>5624</v>
      </c>
      <c r="C2837" t="s">
        <v>802</v>
      </c>
      <c r="D2837" t="s">
        <v>1681</v>
      </c>
      <c r="E2837" t="s">
        <v>1682</v>
      </c>
      <c r="F2837">
        <v>4020563</v>
      </c>
      <c r="G2837" t="s">
        <v>1683</v>
      </c>
      <c r="H2837" t="s">
        <v>805</v>
      </c>
      <c r="I2837">
        <v>478</v>
      </c>
      <c r="J2837">
        <v>0</v>
      </c>
      <c r="K2837">
        <v>0</v>
      </c>
      <c r="L2837">
        <v>9</v>
      </c>
      <c r="M2837">
        <v>9</v>
      </c>
      <c r="N2837">
        <v>0</v>
      </c>
      <c r="O2837">
        <v>460</v>
      </c>
      <c r="P2837" s="44" t="e">
        <f>_xlfn.XLOOKUP(Tabla5[[#This Row],[EAN CORREGIDO]],'Tabla Articulos'!B:B,'Tabla Articulos'!D:D)</f>
        <v>#N/A</v>
      </c>
      <c r="Q2837" s="44" t="e">
        <f>_xlfn.XLOOKUP(S2837,'Tabla Articulos'!B:B,'Tabla Articulos'!E:E)</f>
        <v>#N/A</v>
      </c>
      <c r="R2837" s="44" t="e">
        <f t="shared" si="88"/>
        <v>#N/A</v>
      </c>
      <c r="S2837" s="45" t="str">
        <f t="shared" si="89"/>
        <v>7798048981018</v>
      </c>
    </row>
    <row r="2838" spans="1:19" hidden="1" x14ac:dyDescent="0.35">
      <c r="A2838" s="22">
        <v>2</v>
      </c>
      <c r="B2838" t="s">
        <v>5624</v>
      </c>
      <c r="C2838" t="s">
        <v>802</v>
      </c>
      <c r="D2838" t="s">
        <v>1011</v>
      </c>
      <c r="E2838" t="s">
        <v>1684</v>
      </c>
      <c r="F2838">
        <v>4019981</v>
      </c>
      <c r="G2838" t="s">
        <v>1685</v>
      </c>
      <c r="H2838" t="s">
        <v>805</v>
      </c>
      <c r="I2838">
        <v>1703</v>
      </c>
      <c r="J2838">
        <v>0</v>
      </c>
      <c r="K2838">
        <v>0</v>
      </c>
      <c r="L2838">
        <v>170</v>
      </c>
      <c r="M2838">
        <v>170</v>
      </c>
      <c r="N2838">
        <v>316</v>
      </c>
      <c r="O2838">
        <v>1047</v>
      </c>
      <c r="P2838" s="44" t="e">
        <f>_xlfn.XLOOKUP(Tabla5[[#This Row],[EAN CORREGIDO]],'Tabla Articulos'!B:B,'Tabla Articulos'!D:D)</f>
        <v>#N/A</v>
      </c>
      <c r="Q2838" s="44" t="e">
        <f>_xlfn.XLOOKUP(S2838,'Tabla Articulos'!B:B,'Tabla Articulos'!E:E)</f>
        <v>#N/A</v>
      </c>
      <c r="R2838" s="44" t="e">
        <f t="shared" si="88"/>
        <v>#N/A</v>
      </c>
      <c r="S2838" s="45" t="str">
        <f t="shared" si="89"/>
        <v>7792590000159</v>
      </c>
    </row>
    <row r="2839" spans="1:19" hidden="1" x14ac:dyDescent="0.35">
      <c r="A2839" s="22">
        <v>2</v>
      </c>
      <c r="B2839" t="s">
        <v>5624</v>
      </c>
      <c r="C2839" t="s">
        <v>802</v>
      </c>
      <c r="D2839" t="s">
        <v>4062</v>
      </c>
      <c r="E2839" t="s">
        <v>4063</v>
      </c>
      <c r="F2839">
        <v>4020088</v>
      </c>
      <c r="G2839" t="s">
        <v>4064</v>
      </c>
      <c r="H2839" t="s">
        <v>805</v>
      </c>
      <c r="I2839">
        <v>2133</v>
      </c>
      <c r="J2839">
        <v>0</v>
      </c>
      <c r="K2839">
        <v>0</v>
      </c>
      <c r="L2839">
        <v>135</v>
      </c>
      <c r="M2839">
        <v>135</v>
      </c>
      <c r="N2839">
        <v>0</v>
      </c>
      <c r="O2839">
        <v>1863</v>
      </c>
      <c r="P2839" s="44" t="e">
        <f>_xlfn.XLOOKUP(Tabla5[[#This Row],[EAN CORREGIDO]],'Tabla Articulos'!B:B,'Tabla Articulos'!D:D)</f>
        <v>#N/A</v>
      </c>
      <c r="Q2839" s="44" t="e">
        <f>_xlfn.XLOOKUP(S2839,'Tabla Articulos'!B:B,'Tabla Articulos'!E:E)</f>
        <v>#N/A</v>
      </c>
      <c r="R2839" s="44" t="e">
        <f t="shared" si="88"/>
        <v>#N/A</v>
      </c>
      <c r="S2839" s="45" t="str">
        <f t="shared" si="89"/>
        <v>7792590001064</v>
      </c>
    </row>
    <row r="2840" spans="1:19" hidden="1" x14ac:dyDescent="0.35">
      <c r="A2840" s="22">
        <v>2</v>
      </c>
      <c r="B2840" t="s">
        <v>5624</v>
      </c>
      <c r="C2840" t="s">
        <v>802</v>
      </c>
      <c r="D2840" t="s">
        <v>4067</v>
      </c>
      <c r="E2840" t="s">
        <v>4068</v>
      </c>
      <c r="F2840">
        <v>4022445</v>
      </c>
      <c r="G2840" t="s">
        <v>4069</v>
      </c>
      <c r="H2840" t="s">
        <v>805</v>
      </c>
      <c r="I2840">
        <v>174</v>
      </c>
      <c r="J2840">
        <v>20</v>
      </c>
      <c r="K2840">
        <v>116</v>
      </c>
      <c r="L2840">
        <v>1</v>
      </c>
      <c r="M2840">
        <v>1</v>
      </c>
      <c r="N2840">
        <v>0</v>
      </c>
      <c r="O2840">
        <v>76</v>
      </c>
      <c r="P2840" s="44" t="e">
        <f>_xlfn.XLOOKUP(Tabla5[[#This Row],[EAN CORREGIDO]],'Tabla Articulos'!B:B,'Tabla Articulos'!D:D)</f>
        <v>#N/A</v>
      </c>
      <c r="Q2840" s="44" t="e">
        <f>_xlfn.XLOOKUP(S2840,'Tabla Articulos'!B:B,'Tabla Articulos'!E:E)</f>
        <v>#N/A</v>
      </c>
      <c r="R2840" s="44" t="e">
        <f t="shared" si="88"/>
        <v>#N/A</v>
      </c>
      <c r="S2840" s="45" t="str">
        <f t="shared" si="89"/>
        <v>7793275000341</v>
      </c>
    </row>
    <row r="2841" spans="1:19" hidden="1" x14ac:dyDescent="0.35">
      <c r="A2841" s="22">
        <v>2</v>
      </c>
      <c r="B2841" t="s">
        <v>5624</v>
      </c>
      <c r="C2841" t="s">
        <v>802</v>
      </c>
      <c r="D2841" t="s">
        <v>6464</v>
      </c>
      <c r="E2841" t="s">
        <v>6465</v>
      </c>
      <c r="F2841">
        <v>4022433</v>
      </c>
      <c r="G2841" t="s">
        <v>6466</v>
      </c>
      <c r="H2841" t="s">
        <v>805</v>
      </c>
      <c r="I2841">
        <v>99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99</v>
      </c>
      <c r="P2841" s="44" t="e">
        <f>_xlfn.XLOOKUP(Tabla5[[#This Row],[EAN CORREGIDO]],'Tabla Articulos'!B:B,'Tabla Articulos'!D:D)</f>
        <v>#N/A</v>
      </c>
      <c r="Q2841" s="44" t="e">
        <f>_xlfn.XLOOKUP(S2841,'Tabla Articulos'!B:B,'Tabla Articulos'!E:E)</f>
        <v>#N/A</v>
      </c>
      <c r="R2841" s="44" t="e">
        <f t="shared" si="88"/>
        <v>#N/A</v>
      </c>
      <c r="S2841" s="45" t="str">
        <f t="shared" si="89"/>
        <v>7794000003910</v>
      </c>
    </row>
    <row r="2842" spans="1:19" hidden="1" x14ac:dyDescent="0.35">
      <c r="A2842" s="22">
        <v>2</v>
      </c>
      <c r="B2842" t="s">
        <v>5624</v>
      </c>
      <c r="C2842" t="s">
        <v>802</v>
      </c>
      <c r="D2842" t="s">
        <v>6467</v>
      </c>
      <c r="E2842" t="s">
        <v>6468</v>
      </c>
      <c r="F2842">
        <v>4019370</v>
      </c>
      <c r="G2842" t="s">
        <v>6469</v>
      </c>
      <c r="H2842" t="s">
        <v>1034</v>
      </c>
      <c r="I2842">
        <v>1000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1000</v>
      </c>
      <c r="P2842" s="44" t="e">
        <f>_xlfn.XLOOKUP(Tabla5[[#This Row],[EAN CORREGIDO]],'Tabla Articulos'!B:B,'Tabla Articulos'!D:D)</f>
        <v>#N/A</v>
      </c>
      <c r="Q2842" s="44" t="e">
        <f>_xlfn.XLOOKUP(S2842,'Tabla Articulos'!B:B,'Tabla Articulos'!E:E)</f>
        <v>#N/A</v>
      </c>
      <c r="R2842" s="44" t="e">
        <f t="shared" si="88"/>
        <v>#N/A</v>
      </c>
      <c r="S2842" s="45" t="str">
        <f t="shared" si="89"/>
        <v>7790071011113</v>
      </c>
    </row>
    <row r="2843" spans="1:19" hidden="1" x14ac:dyDescent="0.35">
      <c r="A2843" s="22">
        <v>2</v>
      </c>
      <c r="B2843" t="s">
        <v>5624</v>
      </c>
      <c r="C2843" t="s">
        <v>802</v>
      </c>
      <c r="D2843" t="s">
        <v>4070</v>
      </c>
      <c r="E2843" t="s">
        <v>4071</v>
      </c>
      <c r="F2843">
        <v>4023714</v>
      </c>
      <c r="G2843" t="s">
        <v>4072</v>
      </c>
      <c r="H2843" t="s">
        <v>805</v>
      </c>
      <c r="I2843">
        <v>1138</v>
      </c>
      <c r="J2843">
        <v>0</v>
      </c>
      <c r="K2843">
        <v>0</v>
      </c>
      <c r="L2843">
        <v>63</v>
      </c>
      <c r="M2843">
        <v>63</v>
      </c>
      <c r="N2843">
        <v>0</v>
      </c>
      <c r="O2843">
        <v>1012</v>
      </c>
      <c r="P2843" s="44" t="e">
        <f>_xlfn.XLOOKUP(Tabla5[[#This Row],[EAN CORREGIDO]],'Tabla Articulos'!B:B,'Tabla Articulos'!D:D)</f>
        <v>#N/A</v>
      </c>
      <c r="Q2843" s="44" t="e">
        <f>_xlfn.XLOOKUP(S2843,'Tabla Articulos'!B:B,'Tabla Articulos'!E:E)</f>
        <v>#N/A</v>
      </c>
      <c r="R2843" s="44" t="e">
        <f t="shared" si="88"/>
        <v>#N/A</v>
      </c>
      <c r="S2843" s="45" t="str">
        <f t="shared" si="89"/>
        <v>7791476019001</v>
      </c>
    </row>
    <row r="2844" spans="1:19" hidden="1" x14ac:dyDescent="0.35">
      <c r="A2844" s="22">
        <v>2</v>
      </c>
      <c r="B2844" t="s">
        <v>5624</v>
      </c>
      <c r="C2844" t="s">
        <v>802</v>
      </c>
      <c r="D2844" t="s">
        <v>6470</v>
      </c>
      <c r="E2844" t="s">
        <v>6471</v>
      </c>
      <c r="F2844">
        <v>4018944</v>
      </c>
      <c r="G2844" t="s">
        <v>6472</v>
      </c>
      <c r="H2844" t="s">
        <v>805</v>
      </c>
      <c r="I2844">
        <v>79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79</v>
      </c>
      <c r="P2844" s="44" t="e">
        <f>_xlfn.XLOOKUP(Tabla5[[#This Row],[EAN CORREGIDO]],'Tabla Articulos'!B:B,'Tabla Articulos'!D:D)</f>
        <v>#N/A</v>
      </c>
      <c r="Q2844" s="44" t="e">
        <f>_xlfn.XLOOKUP(S2844,'Tabla Articulos'!B:B,'Tabla Articulos'!E:E)</f>
        <v>#N/A</v>
      </c>
      <c r="R2844" s="44" t="e">
        <f t="shared" si="88"/>
        <v>#N/A</v>
      </c>
      <c r="S2844" s="45" t="str">
        <f t="shared" si="89"/>
        <v>7790580101299</v>
      </c>
    </row>
    <row r="2845" spans="1:19" hidden="1" x14ac:dyDescent="0.35">
      <c r="A2845" s="22">
        <v>2</v>
      </c>
      <c r="B2845" t="s">
        <v>5624</v>
      </c>
      <c r="C2845" t="s">
        <v>802</v>
      </c>
      <c r="D2845" t="s">
        <v>4109</v>
      </c>
      <c r="E2845" t="s">
        <v>4110</v>
      </c>
      <c r="F2845">
        <v>4018697</v>
      </c>
      <c r="G2845" t="s">
        <v>4111</v>
      </c>
      <c r="H2845" t="s">
        <v>805</v>
      </c>
      <c r="I2845">
        <v>117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117</v>
      </c>
      <c r="P2845" s="44" t="e">
        <f>_xlfn.XLOOKUP(Tabla5[[#This Row],[EAN CORREGIDO]],'Tabla Articulos'!B:B,'Tabla Articulos'!D:D)</f>
        <v>#N/A</v>
      </c>
      <c r="Q2845" s="44" t="e">
        <f>_xlfn.XLOOKUP(S2845,'Tabla Articulos'!B:B,'Tabla Articulos'!E:E)</f>
        <v>#N/A</v>
      </c>
      <c r="R2845" s="44" t="e">
        <f t="shared" si="88"/>
        <v>#N/A</v>
      </c>
      <c r="S2845" s="45" t="str">
        <f t="shared" si="89"/>
        <v>7795711000076</v>
      </c>
    </row>
    <row r="2846" spans="1:19" hidden="1" x14ac:dyDescent="0.35">
      <c r="A2846" s="22">
        <v>2</v>
      </c>
      <c r="B2846" t="s">
        <v>5624</v>
      </c>
      <c r="C2846" t="s">
        <v>802</v>
      </c>
      <c r="D2846" t="s">
        <v>3977</v>
      </c>
      <c r="E2846" t="s">
        <v>3978</v>
      </c>
      <c r="F2846">
        <v>4024620</v>
      </c>
      <c r="G2846" t="s">
        <v>3979</v>
      </c>
      <c r="H2846" t="s">
        <v>805</v>
      </c>
      <c r="I2846">
        <v>10</v>
      </c>
      <c r="J2846">
        <v>0</v>
      </c>
      <c r="K2846">
        <v>0</v>
      </c>
      <c r="L2846">
        <v>2</v>
      </c>
      <c r="M2846">
        <v>2</v>
      </c>
      <c r="N2846">
        <v>0</v>
      </c>
      <c r="O2846">
        <v>6</v>
      </c>
      <c r="P2846" s="44" t="e">
        <f>_xlfn.XLOOKUP(Tabla5[[#This Row],[EAN CORREGIDO]],'Tabla Articulos'!B:B,'Tabla Articulos'!D:D)</f>
        <v>#N/A</v>
      </c>
      <c r="Q2846" s="44" t="e">
        <f>_xlfn.XLOOKUP(S2846,'Tabla Articulos'!B:B,'Tabla Articulos'!E:E)</f>
        <v>#N/A</v>
      </c>
      <c r="R2846" s="44" t="e">
        <f t="shared" si="88"/>
        <v>#N/A</v>
      </c>
      <c r="S2846" s="45" t="str">
        <f t="shared" si="89"/>
        <v>7790045826620</v>
      </c>
    </row>
    <row r="2847" spans="1:19" hidden="1" x14ac:dyDescent="0.35">
      <c r="A2847" s="22">
        <v>2</v>
      </c>
      <c r="B2847" t="s">
        <v>5624</v>
      </c>
      <c r="C2847" t="s">
        <v>802</v>
      </c>
      <c r="D2847" t="s">
        <v>1357</v>
      </c>
      <c r="E2847" t="s">
        <v>1358</v>
      </c>
      <c r="F2847">
        <v>4018917</v>
      </c>
      <c r="G2847" t="s">
        <v>1359</v>
      </c>
      <c r="H2847" t="s">
        <v>805</v>
      </c>
      <c r="I2847">
        <v>33995</v>
      </c>
      <c r="J2847">
        <v>0</v>
      </c>
      <c r="K2847">
        <v>0</v>
      </c>
      <c r="L2847">
        <v>1242</v>
      </c>
      <c r="M2847">
        <v>1242</v>
      </c>
      <c r="N2847">
        <v>0</v>
      </c>
      <c r="O2847">
        <v>31511</v>
      </c>
      <c r="P2847" s="44" t="e">
        <f>_xlfn.XLOOKUP(Tabla5[[#This Row],[EAN CORREGIDO]],'Tabla Articulos'!B:B,'Tabla Articulos'!D:D)</f>
        <v>#N/A</v>
      </c>
      <c r="Q2847" s="44" t="e">
        <f>_xlfn.XLOOKUP(S2847,'Tabla Articulos'!B:B,'Tabla Articulos'!E:E)</f>
        <v>#N/A</v>
      </c>
      <c r="R2847" s="44" t="e">
        <f t="shared" si="88"/>
        <v>#N/A</v>
      </c>
      <c r="S2847" s="45" t="str">
        <f t="shared" si="89"/>
        <v>7798188380177</v>
      </c>
    </row>
    <row r="2848" spans="1:19" hidden="1" x14ac:dyDescent="0.35">
      <c r="A2848" s="22">
        <v>2</v>
      </c>
      <c r="B2848" t="s">
        <v>5624</v>
      </c>
      <c r="C2848" t="s">
        <v>802</v>
      </c>
      <c r="D2848" t="s">
        <v>5782</v>
      </c>
      <c r="E2848" t="s">
        <v>5783</v>
      </c>
      <c r="F2848">
        <v>4018518</v>
      </c>
      <c r="G2848" t="s">
        <v>5784</v>
      </c>
      <c r="H2848" t="s">
        <v>805</v>
      </c>
      <c r="I2848">
        <v>37444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37444</v>
      </c>
      <c r="P2848" s="44" t="e">
        <f>_xlfn.XLOOKUP(Tabla5[[#This Row],[EAN CORREGIDO]],'Tabla Articulos'!B:B,'Tabla Articulos'!D:D)</f>
        <v>#N/A</v>
      </c>
      <c r="Q2848" s="44" t="e">
        <f>_xlfn.XLOOKUP(S2848,'Tabla Articulos'!B:B,'Tabla Articulos'!E:E)</f>
        <v>#N/A</v>
      </c>
      <c r="R2848" s="44" t="e">
        <f t="shared" si="88"/>
        <v>#N/A</v>
      </c>
      <c r="S2848" s="45" t="str">
        <f t="shared" si="89"/>
        <v>7790213012185</v>
      </c>
    </row>
    <row r="2849" spans="1:19" hidden="1" x14ac:dyDescent="0.35">
      <c r="A2849" s="22">
        <v>2</v>
      </c>
      <c r="B2849" t="s">
        <v>5624</v>
      </c>
      <c r="C2849" t="s">
        <v>802</v>
      </c>
      <c r="D2849" t="s">
        <v>1868</v>
      </c>
      <c r="E2849" t="s">
        <v>1869</v>
      </c>
      <c r="F2849">
        <v>4022180</v>
      </c>
      <c r="G2849" t="s">
        <v>1870</v>
      </c>
      <c r="H2849" t="s">
        <v>805</v>
      </c>
      <c r="I2849">
        <v>239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239</v>
      </c>
      <c r="P2849" s="44" t="e">
        <f>_xlfn.XLOOKUP(Tabla5[[#This Row],[EAN CORREGIDO]],'Tabla Articulos'!B:B,'Tabla Articulos'!D:D)</f>
        <v>#N/A</v>
      </c>
      <c r="Q2849" s="44" t="e">
        <f>_xlfn.XLOOKUP(S2849,'Tabla Articulos'!B:B,'Tabla Articulos'!E:E)</f>
        <v>#N/A</v>
      </c>
      <c r="R2849" s="44" t="e">
        <f t="shared" si="88"/>
        <v>#N/A</v>
      </c>
      <c r="S2849" s="45" t="str">
        <f t="shared" si="89"/>
        <v>7798011977420</v>
      </c>
    </row>
    <row r="2850" spans="1:19" hidden="1" x14ac:dyDescent="0.35">
      <c r="A2850" s="22">
        <v>2</v>
      </c>
      <c r="B2850" t="s">
        <v>5624</v>
      </c>
      <c r="C2850" t="s">
        <v>802</v>
      </c>
      <c r="D2850" t="s">
        <v>950</v>
      </c>
      <c r="E2850" t="s">
        <v>6676</v>
      </c>
      <c r="F2850"/>
      <c r="G2850" t="s">
        <v>6677</v>
      </c>
      <c r="H2850" t="s">
        <v>805</v>
      </c>
      <c r="I2850">
        <v>24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24</v>
      </c>
      <c r="P2850" s="44" t="e">
        <f>_xlfn.XLOOKUP(Tabla5[[#This Row],[EAN CORREGIDO]],'Tabla Articulos'!B:B,'Tabla Articulos'!D:D)</f>
        <v>#N/A</v>
      </c>
      <c r="Q2850" s="44" t="e">
        <f>_xlfn.XLOOKUP(S2850,'Tabla Articulos'!B:B,'Tabla Articulos'!E:E)</f>
        <v>#N/A</v>
      </c>
      <c r="R2850" s="44" t="e">
        <f t="shared" si="88"/>
        <v>#N/A</v>
      </c>
      <c r="S2850" s="45" t="str">
        <f t="shared" si="89"/>
        <v>7790787153664</v>
      </c>
    </row>
    <row r="2851" spans="1:19" hidden="1" x14ac:dyDescent="0.35">
      <c r="A2851" s="22">
        <v>2</v>
      </c>
      <c r="B2851" t="s">
        <v>5624</v>
      </c>
      <c r="C2851" t="s">
        <v>802</v>
      </c>
      <c r="D2851" t="s">
        <v>5186</v>
      </c>
      <c r="E2851" t="s">
        <v>5187</v>
      </c>
      <c r="F2851">
        <v>4019327</v>
      </c>
      <c r="G2851" t="s">
        <v>5188</v>
      </c>
      <c r="H2851" t="s">
        <v>805</v>
      </c>
      <c r="I2851">
        <v>3719</v>
      </c>
      <c r="J2851">
        <v>0</v>
      </c>
      <c r="K2851">
        <v>0</v>
      </c>
      <c r="L2851">
        <v>42</v>
      </c>
      <c r="M2851">
        <v>42</v>
      </c>
      <c r="N2851">
        <v>0</v>
      </c>
      <c r="O2851">
        <v>3635</v>
      </c>
      <c r="P2851" s="44" t="e">
        <f>_xlfn.XLOOKUP(Tabla5[[#This Row],[EAN CORREGIDO]],'Tabla Articulos'!B:B,'Tabla Articulos'!D:D)</f>
        <v>#N/A</v>
      </c>
      <c r="Q2851" s="44" t="e">
        <f>_xlfn.XLOOKUP(S2851,'Tabla Articulos'!B:B,'Tabla Articulos'!E:E)</f>
        <v>#N/A</v>
      </c>
      <c r="R2851" s="44" t="e">
        <f t="shared" si="88"/>
        <v>#N/A</v>
      </c>
      <c r="S2851" s="45" t="str">
        <f t="shared" si="89"/>
        <v>7790045001591</v>
      </c>
    </row>
    <row r="2852" spans="1:19" hidden="1" x14ac:dyDescent="0.35">
      <c r="A2852" s="22">
        <v>2</v>
      </c>
      <c r="B2852" t="s">
        <v>5624</v>
      </c>
      <c r="C2852" t="s">
        <v>802</v>
      </c>
      <c r="D2852" t="s">
        <v>6662</v>
      </c>
      <c r="E2852" t="s">
        <v>6663</v>
      </c>
      <c r="F2852">
        <v>4017971</v>
      </c>
      <c r="G2852" t="s">
        <v>6664</v>
      </c>
      <c r="H2852" t="s">
        <v>805</v>
      </c>
      <c r="I2852">
        <v>18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18</v>
      </c>
      <c r="P2852" s="44" t="e">
        <f>_xlfn.XLOOKUP(Tabla5[[#This Row],[EAN CORREGIDO]],'Tabla Articulos'!B:B,'Tabla Articulos'!D:D)</f>
        <v>#N/A</v>
      </c>
      <c r="Q2852" s="44" t="e">
        <f>_xlfn.XLOOKUP(S2852,'Tabla Articulos'!B:B,'Tabla Articulos'!E:E)</f>
        <v>#N/A</v>
      </c>
      <c r="R2852" s="44" t="e">
        <f t="shared" si="88"/>
        <v>#N/A</v>
      </c>
      <c r="S2852" s="45" t="str">
        <f t="shared" si="89"/>
        <v>7797906000984</v>
      </c>
    </row>
    <row r="2853" spans="1:19" hidden="1" x14ac:dyDescent="0.35">
      <c r="A2853" s="22">
        <v>2</v>
      </c>
      <c r="B2853" t="s">
        <v>5624</v>
      </c>
      <c r="C2853" t="s">
        <v>802</v>
      </c>
      <c r="D2853" t="s">
        <v>6665</v>
      </c>
      <c r="E2853" t="s">
        <v>6666</v>
      </c>
      <c r="F2853">
        <v>4018815</v>
      </c>
      <c r="G2853" t="s">
        <v>6667</v>
      </c>
      <c r="H2853" t="s">
        <v>805</v>
      </c>
      <c r="I2853">
        <v>1828</v>
      </c>
      <c r="J2853">
        <v>0</v>
      </c>
      <c r="K2853">
        <v>0</v>
      </c>
      <c r="L2853">
        <v>4</v>
      </c>
      <c r="M2853">
        <v>4</v>
      </c>
      <c r="N2853">
        <v>0</v>
      </c>
      <c r="O2853">
        <v>1820</v>
      </c>
      <c r="P2853" s="44" t="e">
        <f>_xlfn.XLOOKUP(Tabla5[[#This Row],[EAN CORREGIDO]],'Tabla Articulos'!B:B,'Tabla Articulos'!D:D)</f>
        <v>#N/A</v>
      </c>
      <c r="Q2853" s="44" t="e">
        <f>_xlfn.XLOOKUP(S2853,'Tabla Articulos'!B:B,'Tabla Articulos'!E:E)</f>
        <v>#N/A</v>
      </c>
      <c r="R2853" s="44" t="e">
        <f t="shared" si="88"/>
        <v>#N/A</v>
      </c>
      <c r="S2853" s="45" t="str">
        <f t="shared" si="89"/>
        <v>7790412000271</v>
      </c>
    </row>
    <row r="2854" spans="1:19" hidden="1" x14ac:dyDescent="0.35">
      <c r="A2854" s="22">
        <v>2</v>
      </c>
      <c r="B2854" t="s">
        <v>5624</v>
      </c>
      <c r="C2854" t="s">
        <v>802</v>
      </c>
      <c r="D2854" t="s">
        <v>5831</v>
      </c>
      <c r="E2854" t="s">
        <v>6668</v>
      </c>
      <c r="F2854">
        <v>4018851</v>
      </c>
      <c r="G2854" t="s">
        <v>6669</v>
      </c>
      <c r="H2854" t="s">
        <v>805</v>
      </c>
      <c r="I2854">
        <v>13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13</v>
      </c>
      <c r="P2854" s="44" t="e">
        <f>_xlfn.XLOOKUP(Tabla5[[#This Row],[EAN CORREGIDO]],'Tabla Articulos'!B:B,'Tabla Articulos'!D:D)</f>
        <v>#N/A</v>
      </c>
      <c r="Q2854" s="44" t="e">
        <f>_xlfn.XLOOKUP(S2854,'Tabla Articulos'!B:B,'Tabla Articulos'!E:E)</f>
        <v>#N/A</v>
      </c>
      <c r="R2854" s="44" t="e">
        <f t="shared" si="88"/>
        <v>#N/A</v>
      </c>
      <c r="S2854" s="45" t="str">
        <f t="shared" si="89"/>
        <v>7791324157466</v>
      </c>
    </row>
    <row r="2855" spans="1:19" hidden="1" x14ac:dyDescent="0.35">
      <c r="A2855" s="22">
        <v>2</v>
      </c>
      <c r="B2855" t="s">
        <v>5624</v>
      </c>
      <c r="C2855" t="s">
        <v>802</v>
      </c>
      <c r="D2855" t="s">
        <v>2420</v>
      </c>
      <c r="E2855" t="s">
        <v>6670</v>
      </c>
      <c r="F2855">
        <v>4018678</v>
      </c>
      <c r="G2855" t="s">
        <v>6671</v>
      </c>
      <c r="H2855" t="s">
        <v>1534</v>
      </c>
      <c r="I2855">
        <v>4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4</v>
      </c>
      <c r="P2855" s="44" t="e">
        <f>_xlfn.XLOOKUP(Tabla5[[#This Row],[EAN CORREGIDO]],'Tabla Articulos'!B:B,'Tabla Articulos'!D:D)</f>
        <v>#N/A</v>
      </c>
      <c r="Q2855" s="44" t="e">
        <f>_xlfn.XLOOKUP(S2855,'Tabla Articulos'!B:B,'Tabla Articulos'!E:E)</f>
        <v>#N/A</v>
      </c>
      <c r="R2855" s="44" t="e">
        <f t="shared" si="88"/>
        <v>#N/A</v>
      </c>
      <c r="S2855" s="45" t="str">
        <f t="shared" si="89"/>
        <v>7799132966521</v>
      </c>
    </row>
    <row r="2856" spans="1:19" hidden="1" x14ac:dyDescent="0.35">
      <c r="A2856" s="22">
        <v>2</v>
      </c>
      <c r="B2856" t="s">
        <v>5624</v>
      </c>
      <c r="C2856" t="s">
        <v>802</v>
      </c>
      <c r="D2856" t="s">
        <v>5193</v>
      </c>
      <c r="E2856" t="s">
        <v>5194</v>
      </c>
      <c r="F2856">
        <v>4018915</v>
      </c>
      <c r="G2856" t="s">
        <v>5195</v>
      </c>
      <c r="H2856" t="s">
        <v>805</v>
      </c>
      <c r="I2856">
        <v>0</v>
      </c>
      <c r="J2856">
        <v>1818</v>
      </c>
      <c r="K2856">
        <v>0</v>
      </c>
      <c r="L2856">
        <v>0</v>
      </c>
      <c r="M2856">
        <v>0</v>
      </c>
      <c r="N2856">
        <v>1</v>
      </c>
      <c r="O2856">
        <v>1817</v>
      </c>
      <c r="P2856" s="44" t="e">
        <f>_xlfn.XLOOKUP(Tabla5[[#This Row],[EAN CORREGIDO]],'Tabla Articulos'!B:B,'Tabla Articulos'!D:D)</f>
        <v>#N/A</v>
      </c>
      <c r="Q2856" s="44" t="e">
        <f>_xlfn.XLOOKUP(S2856,'Tabla Articulos'!B:B,'Tabla Articulos'!E:E)</f>
        <v>#N/A</v>
      </c>
      <c r="R2856" s="44" t="e">
        <f t="shared" si="88"/>
        <v>#N/A</v>
      </c>
      <c r="S2856" s="45" t="str">
        <f t="shared" si="89"/>
        <v>7798082000485</v>
      </c>
    </row>
    <row r="2857" spans="1:19" hidden="1" x14ac:dyDescent="0.35">
      <c r="A2857" s="22">
        <v>2</v>
      </c>
      <c r="B2857" t="s">
        <v>5624</v>
      </c>
      <c r="C2857" t="s">
        <v>802</v>
      </c>
      <c r="D2857" t="s">
        <v>3458</v>
      </c>
      <c r="E2857" t="s">
        <v>6672</v>
      </c>
      <c r="F2857">
        <v>4018021</v>
      </c>
      <c r="G2857" t="s">
        <v>6673</v>
      </c>
      <c r="H2857" t="s">
        <v>816</v>
      </c>
      <c r="I2857">
        <v>3718.41</v>
      </c>
      <c r="J2857">
        <v>0</v>
      </c>
      <c r="K2857">
        <v>0</v>
      </c>
      <c r="L2857">
        <v>1859.2</v>
      </c>
      <c r="M2857">
        <v>1859.2</v>
      </c>
      <c r="N2857">
        <v>634.36</v>
      </c>
      <c r="O2857">
        <v>-634.35</v>
      </c>
      <c r="P2857" s="44" t="e">
        <f>_xlfn.XLOOKUP(Tabla5[[#This Row],[EAN CORREGIDO]],'Tabla Articulos'!B:B,'Tabla Articulos'!D:D)</f>
        <v>#N/A</v>
      </c>
      <c r="Q2857" s="44" t="e">
        <f>_xlfn.XLOOKUP(S2857,'Tabla Articulos'!B:B,'Tabla Articulos'!E:E)</f>
        <v>#N/A</v>
      </c>
      <c r="R2857" s="44" t="e">
        <f t="shared" si="88"/>
        <v>#N/A</v>
      </c>
      <c r="S2857" s="45" t="str">
        <f t="shared" si="89"/>
        <v>7790216020116</v>
      </c>
    </row>
    <row r="2858" spans="1:19" hidden="1" x14ac:dyDescent="0.35">
      <c r="A2858" s="22">
        <v>2</v>
      </c>
      <c r="B2858" t="s">
        <v>5624</v>
      </c>
      <c r="C2858" t="s">
        <v>802</v>
      </c>
      <c r="D2858" t="s">
        <v>1764</v>
      </c>
      <c r="E2858" t="s">
        <v>5206</v>
      </c>
      <c r="F2858">
        <v>4020811</v>
      </c>
      <c r="G2858" t="s">
        <v>5207</v>
      </c>
      <c r="H2858" t="s">
        <v>805</v>
      </c>
      <c r="I2858">
        <v>26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26</v>
      </c>
      <c r="P2858" s="44" t="e">
        <f>_xlfn.XLOOKUP(Tabla5[[#This Row],[EAN CORREGIDO]],'Tabla Articulos'!B:B,'Tabla Articulos'!D:D)</f>
        <v>#N/A</v>
      </c>
      <c r="Q2858" s="44" t="e">
        <f>_xlfn.XLOOKUP(S2858,'Tabla Articulos'!B:B,'Tabla Articulos'!E:E)</f>
        <v>#N/A</v>
      </c>
      <c r="R2858" s="44" t="e">
        <f t="shared" si="88"/>
        <v>#N/A</v>
      </c>
      <c r="S2858" s="45" t="str">
        <f t="shared" si="89"/>
        <v>7798224212080</v>
      </c>
    </row>
    <row r="2859" spans="1:19" hidden="1" x14ac:dyDescent="0.35">
      <c r="A2859" s="22">
        <v>2</v>
      </c>
      <c r="B2859" t="s">
        <v>5624</v>
      </c>
      <c r="C2859" t="s">
        <v>802</v>
      </c>
      <c r="D2859" t="s">
        <v>824</v>
      </c>
      <c r="E2859" t="s">
        <v>5208</v>
      </c>
      <c r="F2859">
        <v>4020415</v>
      </c>
      <c r="G2859" t="s">
        <v>5209</v>
      </c>
      <c r="H2859" t="s">
        <v>805</v>
      </c>
      <c r="I2859">
        <v>146</v>
      </c>
      <c r="J2859">
        <v>0</v>
      </c>
      <c r="K2859">
        <v>0</v>
      </c>
      <c r="L2859">
        <v>2</v>
      </c>
      <c r="M2859">
        <v>2</v>
      </c>
      <c r="N2859">
        <v>0</v>
      </c>
      <c r="O2859">
        <v>142</v>
      </c>
      <c r="P2859" s="44" t="e">
        <f>_xlfn.XLOOKUP(Tabla5[[#This Row],[EAN CORREGIDO]],'Tabla Articulos'!B:B,'Tabla Articulos'!D:D)</f>
        <v>#N/A</v>
      </c>
      <c r="Q2859" s="44" t="e">
        <f>_xlfn.XLOOKUP(S2859,'Tabla Articulos'!B:B,'Tabla Articulos'!E:E)</f>
        <v>#N/A</v>
      </c>
      <c r="R2859" s="44" t="e">
        <f t="shared" si="88"/>
        <v>#N/A</v>
      </c>
      <c r="S2859" s="45" t="str">
        <f t="shared" si="89"/>
        <v>7793875360241</v>
      </c>
    </row>
    <row r="2860" spans="1:19" hidden="1" x14ac:dyDescent="0.35">
      <c r="A2860" s="22">
        <v>2</v>
      </c>
      <c r="B2860" t="s">
        <v>5624</v>
      </c>
      <c r="C2860" t="s">
        <v>802</v>
      </c>
      <c r="D2860" t="s">
        <v>1688</v>
      </c>
      <c r="E2860" t="s">
        <v>5720</v>
      </c>
      <c r="F2860">
        <v>4018307</v>
      </c>
      <c r="G2860" t="s">
        <v>5721</v>
      </c>
      <c r="H2860" t="s">
        <v>805</v>
      </c>
      <c r="I2860">
        <v>60</v>
      </c>
      <c r="J2860">
        <v>0</v>
      </c>
      <c r="K2860">
        <v>0</v>
      </c>
      <c r="L2860">
        <v>6</v>
      </c>
      <c r="M2860">
        <v>6</v>
      </c>
      <c r="N2860">
        <v>0</v>
      </c>
      <c r="O2860">
        <v>48</v>
      </c>
      <c r="P2860" s="44" t="e">
        <f>_xlfn.XLOOKUP(Tabla5[[#This Row],[EAN CORREGIDO]],'Tabla Articulos'!B:B,'Tabla Articulos'!D:D)</f>
        <v>#N/A</v>
      </c>
      <c r="Q2860" s="44" t="e">
        <f>_xlfn.XLOOKUP(S2860,'Tabla Articulos'!B:B,'Tabla Articulos'!E:E)</f>
        <v>#N/A</v>
      </c>
      <c r="R2860" s="44" t="e">
        <f t="shared" si="88"/>
        <v>#N/A</v>
      </c>
      <c r="S2860" s="45" t="str">
        <f t="shared" si="89"/>
        <v>27790398000382</v>
      </c>
    </row>
    <row r="2861" spans="1:19" hidden="1" x14ac:dyDescent="0.35">
      <c r="A2861" s="22">
        <v>2</v>
      </c>
      <c r="B2861" t="s">
        <v>5624</v>
      </c>
      <c r="C2861" t="s">
        <v>802</v>
      </c>
      <c r="D2861" t="s">
        <v>5722</v>
      </c>
      <c r="E2861" t="s">
        <v>5723</v>
      </c>
      <c r="F2861">
        <v>4021440</v>
      </c>
      <c r="G2861" t="s">
        <v>5724</v>
      </c>
      <c r="H2861" t="s">
        <v>805</v>
      </c>
      <c r="I2861">
        <v>30</v>
      </c>
      <c r="J2861">
        <v>0</v>
      </c>
      <c r="K2861">
        <v>0</v>
      </c>
      <c r="L2861">
        <v>0</v>
      </c>
      <c r="M2861">
        <v>0</v>
      </c>
      <c r="N2861">
        <v>6</v>
      </c>
      <c r="O2861">
        <v>24</v>
      </c>
      <c r="P2861" s="44" t="e">
        <f>_xlfn.XLOOKUP(Tabla5[[#This Row],[EAN CORREGIDO]],'Tabla Articulos'!B:B,'Tabla Articulos'!D:D)</f>
        <v>#N/A</v>
      </c>
      <c r="Q2861" s="44" t="e">
        <f>_xlfn.XLOOKUP(S2861,'Tabla Articulos'!B:B,'Tabla Articulos'!E:E)</f>
        <v>#N/A</v>
      </c>
      <c r="R2861" s="44" t="e">
        <f t="shared" si="88"/>
        <v>#N/A</v>
      </c>
      <c r="S2861" s="45" t="str">
        <f t="shared" si="89"/>
        <v>779804920004</v>
      </c>
    </row>
    <row r="2862" spans="1:19" hidden="1" x14ac:dyDescent="0.35">
      <c r="A2862" s="22">
        <v>2</v>
      </c>
      <c r="B2862" t="s">
        <v>5624</v>
      </c>
      <c r="C2862" t="s">
        <v>802</v>
      </c>
      <c r="D2862" t="s">
        <v>1764</v>
      </c>
      <c r="E2862" t="s">
        <v>2580</v>
      </c>
      <c r="F2862">
        <v>4020100</v>
      </c>
      <c r="G2862" t="s">
        <v>2581</v>
      </c>
      <c r="H2862" t="s">
        <v>805</v>
      </c>
      <c r="I2862">
        <v>398</v>
      </c>
      <c r="J2862">
        <v>0</v>
      </c>
      <c r="K2862">
        <v>0</v>
      </c>
      <c r="L2862">
        <v>2</v>
      </c>
      <c r="M2862">
        <v>2</v>
      </c>
      <c r="N2862">
        <v>0</v>
      </c>
      <c r="O2862">
        <v>394</v>
      </c>
      <c r="P2862" s="44" t="e">
        <f>_xlfn.XLOOKUP(Tabla5[[#This Row],[EAN CORREGIDO]],'Tabla Articulos'!B:B,'Tabla Articulos'!D:D)</f>
        <v>#N/A</v>
      </c>
      <c r="Q2862" s="44" t="e">
        <f>_xlfn.XLOOKUP(S2862,'Tabla Articulos'!B:B,'Tabla Articulos'!E:E)</f>
        <v>#N/A</v>
      </c>
      <c r="R2862" s="44" t="e">
        <f t="shared" si="88"/>
        <v>#N/A</v>
      </c>
      <c r="S2862" s="45" t="str">
        <f t="shared" si="89"/>
        <v>7793875360333</v>
      </c>
    </row>
    <row r="2863" spans="1:19" hidden="1" x14ac:dyDescent="0.35">
      <c r="A2863" s="22">
        <v>2</v>
      </c>
      <c r="B2863" t="s">
        <v>5624</v>
      </c>
      <c r="C2863" t="s">
        <v>802</v>
      </c>
      <c r="D2863" t="s">
        <v>2582</v>
      </c>
      <c r="E2863" t="s">
        <v>2583</v>
      </c>
      <c r="F2863">
        <v>4019942</v>
      </c>
      <c r="G2863" t="s">
        <v>2584</v>
      </c>
      <c r="H2863" t="s">
        <v>805</v>
      </c>
      <c r="I2863">
        <v>60</v>
      </c>
      <c r="J2863">
        <v>0</v>
      </c>
      <c r="K2863">
        <v>0</v>
      </c>
      <c r="L2863">
        <v>11</v>
      </c>
      <c r="M2863">
        <v>11</v>
      </c>
      <c r="N2863">
        <v>0</v>
      </c>
      <c r="O2863">
        <v>38</v>
      </c>
      <c r="P2863" s="44" t="e">
        <f>_xlfn.XLOOKUP(Tabla5[[#This Row],[EAN CORREGIDO]],'Tabla Articulos'!B:B,'Tabla Articulos'!D:D)</f>
        <v>#N/A</v>
      </c>
      <c r="Q2863" s="44" t="e">
        <f>_xlfn.XLOOKUP(S2863,'Tabla Articulos'!B:B,'Tabla Articulos'!E:E)</f>
        <v>#N/A</v>
      </c>
      <c r="R2863" s="44" t="e">
        <f t="shared" si="88"/>
        <v>#N/A</v>
      </c>
      <c r="S2863" s="45" t="str">
        <f t="shared" si="89"/>
        <v>7791113004476</v>
      </c>
    </row>
    <row r="2864" spans="1:19" hidden="1" x14ac:dyDescent="0.35">
      <c r="A2864" s="22">
        <v>2</v>
      </c>
      <c r="B2864" t="s">
        <v>5624</v>
      </c>
      <c r="C2864" t="s">
        <v>802</v>
      </c>
      <c r="D2864" t="s">
        <v>1257</v>
      </c>
      <c r="E2864" t="s">
        <v>2585</v>
      </c>
      <c r="F2864">
        <v>2006674</v>
      </c>
      <c r="G2864" t="s">
        <v>2586</v>
      </c>
      <c r="H2864" t="s">
        <v>805</v>
      </c>
      <c r="I2864">
        <v>3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3</v>
      </c>
      <c r="P2864" s="44" t="str">
        <f>_xlfn.XLOOKUP(Tabla5[[#This Row],[EAN CORREGIDO]],'Tabla Articulos'!B:B,'Tabla Articulos'!D:D)</f>
        <v xml:space="preserve">SORBETE </v>
      </c>
      <c r="Q2864" s="44">
        <f>_xlfn.XLOOKUP(S2864,'Tabla Articulos'!B:B,'Tabla Articulos'!E:E)</f>
        <v>1000</v>
      </c>
      <c r="R2864" s="44">
        <f t="shared" si="88"/>
        <v>3000</v>
      </c>
      <c r="S2864" s="45" t="str">
        <f t="shared" si="89"/>
        <v>7790221010607</v>
      </c>
    </row>
    <row r="2865" spans="1:19" hidden="1" x14ac:dyDescent="0.35">
      <c r="A2865" s="22">
        <v>2</v>
      </c>
      <c r="B2865" t="s">
        <v>5624</v>
      </c>
      <c r="C2865" t="s">
        <v>802</v>
      </c>
      <c r="D2865" t="s">
        <v>333</v>
      </c>
      <c r="E2865" t="s">
        <v>2787</v>
      </c>
      <c r="F2865">
        <v>2016590</v>
      </c>
      <c r="G2865" t="s">
        <v>2788</v>
      </c>
      <c r="H2865" t="s">
        <v>805</v>
      </c>
      <c r="I2865">
        <v>101</v>
      </c>
      <c r="J2865">
        <v>0</v>
      </c>
      <c r="K2865">
        <v>0</v>
      </c>
      <c r="L2865">
        <v>5</v>
      </c>
      <c r="M2865">
        <v>5</v>
      </c>
      <c r="N2865">
        <v>0</v>
      </c>
      <c r="O2865">
        <v>91</v>
      </c>
      <c r="P2865" s="44" t="str">
        <f>_xlfn.XLOOKUP(Tabla5[[#This Row],[EAN CORREGIDO]],'Tabla Articulos'!B:B,'Tabla Articulos'!D:D)</f>
        <v>VASO TERMICO 240</v>
      </c>
      <c r="Q2865" s="44">
        <f>_xlfn.XLOOKUP(S2865,'Tabla Articulos'!B:B,'Tabla Articulos'!E:E)</f>
        <v>1000</v>
      </c>
      <c r="R2865" s="44">
        <f t="shared" si="88"/>
        <v>91000</v>
      </c>
      <c r="S2865" s="45" t="str">
        <f t="shared" si="89"/>
        <v>7798353362403</v>
      </c>
    </row>
    <row r="2866" spans="1:19" hidden="1" x14ac:dyDescent="0.35">
      <c r="A2866" s="22">
        <v>2</v>
      </c>
      <c r="B2866" t="s">
        <v>5624</v>
      </c>
      <c r="C2866" t="s">
        <v>802</v>
      </c>
      <c r="D2866" t="s">
        <v>1313</v>
      </c>
      <c r="E2866" t="s">
        <v>1515</v>
      </c>
      <c r="F2866">
        <v>4022888</v>
      </c>
      <c r="G2866" t="s">
        <v>1516</v>
      </c>
      <c r="H2866" t="s">
        <v>805</v>
      </c>
      <c r="I2866">
        <v>12857</v>
      </c>
      <c r="J2866">
        <v>0</v>
      </c>
      <c r="K2866">
        <v>570</v>
      </c>
      <c r="L2866">
        <v>0</v>
      </c>
      <c r="M2866">
        <v>0</v>
      </c>
      <c r="N2866">
        <v>0</v>
      </c>
      <c r="O2866">
        <v>12287</v>
      </c>
      <c r="P2866" s="44" t="e">
        <f>_xlfn.XLOOKUP(Tabla5[[#This Row],[EAN CORREGIDO]],'Tabla Articulos'!B:B,'Tabla Articulos'!D:D)</f>
        <v>#N/A</v>
      </c>
      <c r="Q2866" s="44" t="e">
        <f>_xlfn.XLOOKUP(S2866,'Tabla Articulos'!B:B,'Tabla Articulos'!E:E)</f>
        <v>#N/A</v>
      </c>
      <c r="R2866" s="44" t="e">
        <f t="shared" si="88"/>
        <v>#N/A</v>
      </c>
      <c r="S2866" s="45" t="str">
        <f t="shared" si="89"/>
        <v>7791376000970</v>
      </c>
    </row>
    <row r="2867" spans="1:19" hidden="1" x14ac:dyDescent="0.35">
      <c r="A2867" s="22">
        <v>2</v>
      </c>
      <c r="B2867" t="s">
        <v>5624</v>
      </c>
      <c r="C2867" t="s">
        <v>802</v>
      </c>
      <c r="D2867" t="s">
        <v>1519</v>
      </c>
      <c r="E2867" t="s">
        <v>1520</v>
      </c>
      <c r="F2867">
        <v>4024240</v>
      </c>
      <c r="G2867" t="s">
        <v>1521</v>
      </c>
      <c r="H2867" t="s">
        <v>805</v>
      </c>
      <c r="I2867">
        <v>2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2</v>
      </c>
      <c r="P2867" s="44" t="e">
        <f>_xlfn.XLOOKUP(Tabla5[[#This Row],[EAN CORREGIDO]],'Tabla Articulos'!B:B,'Tabla Articulos'!D:D)</f>
        <v>#N/A</v>
      </c>
      <c r="Q2867" s="44" t="e">
        <f>_xlfn.XLOOKUP(S2867,'Tabla Articulos'!B:B,'Tabla Articulos'!E:E)</f>
        <v>#N/A</v>
      </c>
      <c r="R2867" s="44" t="e">
        <f t="shared" si="88"/>
        <v>#N/A</v>
      </c>
      <c r="S2867" s="45" t="str">
        <f t="shared" si="89"/>
        <v>7798186164847</v>
      </c>
    </row>
    <row r="2868" spans="1:19" hidden="1" x14ac:dyDescent="0.35">
      <c r="A2868" s="22">
        <v>2</v>
      </c>
      <c r="B2868" t="s">
        <v>5624</v>
      </c>
      <c r="C2868" t="s">
        <v>802</v>
      </c>
      <c r="D2868" t="s">
        <v>3095</v>
      </c>
      <c r="E2868" t="s">
        <v>4787</v>
      </c>
      <c r="F2868">
        <v>4023824</v>
      </c>
      <c r="G2868" t="s">
        <v>4788</v>
      </c>
      <c r="H2868" t="s">
        <v>805</v>
      </c>
      <c r="I2868">
        <v>999</v>
      </c>
      <c r="J2868">
        <v>0</v>
      </c>
      <c r="K2868">
        <v>0</v>
      </c>
      <c r="L2868">
        <v>7</v>
      </c>
      <c r="M2868">
        <v>7</v>
      </c>
      <c r="N2868">
        <v>0</v>
      </c>
      <c r="O2868">
        <v>985</v>
      </c>
      <c r="P2868" s="44" t="e">
        <f>_xlfn.XLOOKUP(Tabla5[[#This Row],[EAN CORREGIDO]],'Tabla Articulos'!B:B,'Tabla Articulos'!D:D)</f>
        <v>#N/A</v>
      </c>
      <c r="Q2868" s="44" t="e">
        <f>_xlfn.XLOOKUP(S2868,'Tabla Articulos'!B:B,'Tabla Articulos'!E:E)</f>
        <v>#N/A</v>
      </c>
      <c r="R2868" s="44" t="e">
        <f t="shared" si="88"/>
        <v>#N/A</v>
      </c>
      <c r="S2868" s="45" t="str">
        <f t="shared" si="89"/>
        <v>7792378002238</v>
      </c>
    </row>
    <row r="2869" spans="1:19" hidden="1" x14ac:dyDescent="0.35">
      <c r="A2869" s="22">
        <v>2</v>
      </c>
      <c r="B2869" t="s">
        <v>5624</v>
      </c>
      <c r="C2869" t="s">
        <v>802</v>
      </c>
      <c r="D2869" t="s">
        <v>2432</v>
      </c>
      <c r="E2869" t="s">
        <v>4789</v>
      </c>
      <c r="F2869">
        <v>4019650</v>
      </c>
      <c r="G2869" t="s">
        <v>4790</v>
      </c>
      <c r="H2869" t="s">
        <v>805</v>
      </c>
      <c r="I2869">
        <v>276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276</v>
      </c>
      <c r="P2869" s="44" t="e">
        <f>_xlfn.XLOOKUP(Tabla5[[#This Row],[EAN CORREGIDO]],'Tabla Articulos'!B:B,'Tabla Articulos'!D:D)</f>
        <v>#N/A</v>
      </c>
      <c r="Q2869" s="44" t="e">
        <f>_xlfn.XLOOKUP(S2869,'Tabla Articulos'!B:B,'Tabla Articulos'!E:E)</f>
        <v>#N/A</v>
      </c>
      <c r="R2869" s="44" t="e">
        <f t="shared" si="88"/>
        <v>#N/A</v>
      </c>
      <c r="S2869" s="45" t="str">
        <f t="shared" si="89"/>
        <v>7790641000028</v>
      </c>
    </row>
    <row r="2870" spans="1:19" hidden="1" x14ac:dyDescent="0.35">
      <c r="A2870" s="22">
        <v>2</v>
      </c>
      <c r="B2870" t="s">
        <v>5624</v>
      </c>
      <c r="C2870" t="s">
        <v>802</v>
      </c>
      <c r="D2870" t="s">
        <v>4006</v>
      </c>
      <c r="E2870" t="s">
        <v>6604</v>
      </c>
      <c r="F2870">
        <v>2006142</v>
      </c>
      <c r="G2870" t="s">
        <v>6605</v>
      </c>
      <c r="H2870" t="s">
        <v>805</v>
      </c>
      <c r="I2870">
        <v>19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19</v>
      </c>
      <c r="P2870" s="44" t="e">
        <f>_xlfn.XLOOKUP(Tabla5[[#This Row],[EAN CORREGIDO]],'Tabla Articulos'!B:B,'Tabla Articulos'!D:D)</f>
        <v>#N/A</v>
      </c>
      <c r="Q2870" s="44" t="e">
        <f>_xlfn.XLOOKUP(S2870,'Tabla Articulos'!B:B,'Tabla Articulos'!E:E)</f>
        <v>#N/A</v>
      </c>
      <c r="R2870" s="44" t="e">
        <f t="shared" si="88"/>
        <v>#N/A</v>
      </c>
      <c r="S2870" s="45" t="str">
        <f t="shared" si="89"/>
        <v>7905512648255</v>
      </c>
    </row>
    <row r="2871" spans="1:19" hidden="1" x14ac:dyDescent="0.35">
      <c r="A2871" s="22">
        <v>2</v>
      </c>
      <c r="B2871" t="s">
        <v>5624</v>
      </c>
      <c r="C2871" t="s">
        <v>802</v>
      </c>
      <c r="D2871" t="s">
        <v>1784</v>
      </c>
      <c r="E2871" t="s">
        <v>6606</v>
      </c>
      <c r="F2871">
        <v>4020325</v>
      </c>
      <c r="G2871" t="s">
        <v>6607</v>
      </c>
      <c r="H2871" t="s">
        <v>805</v>
      </c>
      <c r="I2871">
        <v>7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7</v>
      </c>
      <c r="P2871" s="44" t="e">
        <f>_xlfn.XLOOKUP(Tabla5[[#This Row],[EAN CORREGIDO]],'Tabla Articulos'!B:B,'Tabla Articulos'!D:D)</f>
        <v>#N/A</v>
      </c>
      <c r="Q2871" s="44" t="e">
        <f>_xlfn.XLOOKUP(S2871,'Tabla Articulos'!B:B,'Tabla Articulos'!E:E)</f>
        <v>#N/A</v>
      </c>
      <c r="R2871" s="44" t="e">
        <f t="shared" si="88"/>
        <v>#N/A</v>
      </c>
      <c r="S2871" s="45" t="str">
        <f t="shared" si="89"/>
        <v>7798075280559</v>
      </c>
    </row>
    <row r="2872" spans="1:19" hidden="1" x14ac:dyDescent="0.35">
      <c r="A2872" s="22">
        <v>2</v>
      </c>
      <c r="B2872" t="s">
        <v>5624</v>
      </c>
      <c r="C2872" t="s">
        <v>802</v>
      </c>
      <c r="D2872" t="s">
        <v>6508</v>
      </c>
      <c r="E2872" t="s">
        <v>6509</v>
      </c>
      <c r="F2872">
        <v>4017529</v>
      </c>
      <c r="G2872" t="s">
        <v>6510</v>
      </c>
      <c r="H2872" t="s">
        <v>805</v>
      </c>
      <c r="I2872">
        <v>1020</v>
      </c>
      <c r="J2872">
        <v>0</v>
      </c>
      <c r="K2872">
        <v>0</v>
      </c>
      <c r="L2872">
        <v>0</v>
      </c>
      <c r="M2872">
        <v>0</v>
      </c>
      <c r="N2872">
        <v>150</v>
      </c>
      <c r="O2872">
        <v>870</v>
      </c>
      <c r="P2872" s="44" t="e">
        <f>_xlfn.XLOOKUP(Tabla5[[#This Row],[EAN CORREGIDO]],'Tabla Articulos'!B:B,'Tabla Articulos'!D:D)</f>
        <v>#N/A</v>
      </c>
      <c r="Q2872" s="44" t="e">
        <f>_xlfn.XLOOKUP(S2872,'Tabla Articulos'!B:B,'Tabla Articulos'!E:E)</f>
        <v>#N/A</v>
      </c>
      <c r="R2872" s="44" t="e">
        <f t="shared" si="88"/>
        <v>#N/A</v>
      </c>
      <c r="S2872" s="45" t="str">
        <f t="shared" si="89"/>
        <v>7798346030364</v>
      </c>
    </row>
    <row r="2873" spans="1:19" hidden="1" x14ac:dyDescent="0.35">
      <c r="A2873" s="22">
        <v>2</v>
      </c>
      <c r="B2873" t="s">
        <v>5624</v>
      </c>
      <c r="C2873" t="s">
        <v>802</v>
      </c>
      <c r="D2873" t="s">
        <v>6511</v>
      </c>
      <c r="E2873" t="s">
        <v>6512</v>
      </c>
      <c r="F2873">
        <v>4021615</v>
      </c>
      <c r="G2873" t="s">
        <v>6513</v>
      </c>
      <c r="H2873" t="s">
        <v>805</v>
      </c>
      <c r="I2873">
        <v>32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32</v>
      </c>
      <c r="P2873" s="44" t="e">
        <f>_xlfn.XLOOKUP(Tabla5[[#This Row],[EAN CORREGIDO]],'Tabla Articulos'!B:B,'Tabla Articulos'!D:D)</f>
        <v>#N/A</v>
      </c>
      <c r="Q2873" s="44" t="e">
        <f>_xlfn.XLOOKUP(S2873,'Tabla Articulos'!B:B,'Tabla Articulos'!E:E)</f>
        <v>#N/A</v>
      </c>
      <c r="R2873" s="44" t="e">
        <f t="shared" si="88"/>
        <v>#N/A</v>
      </c>
      <c r="S2873" s="45" t="str">
        <f t="shared" si="89"/>
        <v>7798011977437</v>
      </c>
    </row>
    <row r="2874" spans="1:19" hidden="1" x14ac:dyDescent="0.35">
      <c r="A2874" s="22">
        <v>2</v>
      </c>
      <c r="B2874" t="s">
        <v>5624</v>
      </c>
      <c r="C2874" t="s">
        <v>802</v>
      </c>
      <c r="D2874" t="s">
        <v>950</v>
      </c>
      <c r="E2874" t="s">
        <v>4338</v>
      </c>
      <c r="F2874">
        <v>4020508</v>
      </c>
      <c r="G2874" t="s">
        <v>4339</v>
      </c>
      <c r="H2874" t="s">
        <v>805</v>
      </c>
      <c r="I2874">
        <v>2020</v>
      </c>
      <c r="J2874">
        <v>0</v>
      </c>
      <c r="K2874">
        <v>0</v>
      </c>
      <c r="L2874">
        <v>9</v>
      </c>
      <c r="M2874">
        <v>9</v>
      </c>
      <c r="N2874">
        <v>0</v>
      </c>
      <c r="O2874">
        <v>2002</v>
      </c>
      <c r="P2874" s="44" t="e">
        <f>_xlfn.XLOOKUP(Tabla5[[#This Row],[EAN CORREGIDO]],'Tabla Articulos'!B:B,'Tabla Articulos'!D:D)</f>
        <v>#N/A</v>
      </c>
      <c r="Q2874" s="44" t="e">
        <f>_xlfn.XLOOKUP(S2874,'Tabla Articulos'!B:B,'Tabla Articulos'!E:E)</f>
        <v>#N/A</v>
      </c>
      <c r="R2874" s="44" t="e">
        <f t="shared" si="88"/>
        <v>#N/A</v>
      </c>
      <c r="S2874" s="45" t="str">
        <f t="shared" si="89"/>
        <v>7798058690108</v>
      </c>
    </row>
    <row r="2875" spans="1:19" hidden="1" x14ac:dyDescent="0.35">
      <c r="A2875" s="22">
        <v>2</v>
      </c>
      <c r="B2875" t="s">
        <v>5624</v>
      </c>
      <c r="C2875" t="s">
        <v>802</v>
      </c>
      <c r="D2875" t="s">
        <v>1832</v>
      </c>
      <c r="E2875" t="s">
        <v>4340</v>
      </c>
      <c r="F2875">
        <v>4020153</v>
      </c>
      <c r="G2875" t="s">
        <v>4341</v>
      </c>
      <c r="H2875" t="s">
        <v>805</v>
      </c>
      <c r="I2875">
        <v>1050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1050</v>
      </c>
      <c r="P2875" s="44" t="e">
        <f>_xlfn.XLOOKUP(Tabla5[[#This Row],[EAN CORREGIDO]],'Tabla Articulos'!B:B,'Tabla Articulos'!D:D)</f>
        <v>#N/A</v>
      </c>
      <c r="Q2875" s="44" t="e">
        <f>_xlfn.XLOOKUP(S2875,'Tabla Articulos'!B:B,'Tabla Articulos'!E:E)</f>
        <v>#N/A</v>
      </c>
      <c r="R2875" s="44" t="e">
        <f t="shared" si="88"/>
        <v>#N/A</v>
      </c>
      <c r="S2875" s="45" t="str">
        <f t="shared" si="89"/>
        <v>7791113002168</v>
      </c>
    </row>
    <row r="2876" spans="1:19" hidden="1" x14ac:dyDescent="0.35">
      <c r="A2876" s="22">
        <v>2</v>
      </c>
      <c r="B2876" t="s">
        <v>5624</v>
      </c>
      <c r="C2876" t="s">
        <v>802</v>
      </c>
      <c r="D2876" t="s">
        <v>3384</v>
      </c>
      <c r="E2876" t="s">
        <v>3385</v>
      </c>
      <c r="F2876">
        <v>4018823</v>
      </c>
      <c r="G2876" t="s">
        <v>3386</v>
      </c>
      <c r="H2876" t="s">
        <v>805</v>
      </c>
      <c r="I2876">
        <v>2951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2951</v>
      </c>
      <c r="P2876" s="44" t="e">
        <f>_xlfn.XLOOKUP(Tabla5[[#This Row],[EAN CORREGIDO]],'Tabla Articulos'!B:B,'Tabla Articulos'!D:D)</f>
        <v>#N/A</v>
      </c>
      <c r="Q2876" s="44" t="e">
        <f>_xlfn.XLOOKUP(S2876,'Tabla Articulos'!B:B,'Tabla Articulos'!E:E)</f>
        <v>#N/A</v>
      </c>
      <c r="R2876" s="44" t="e">
        <f t="shared" si="88"/>
        <v>#N/A</v>
      </c>
      <c r="S2876" s="45" t="str">
        <f t="shared" si="89"/>
        <v>7790726120030</v>
      </c>
    </row>
    <row r="2877" spans="1:19" hidden="1" x14ac:dyDescent="0.35">
      <c r="A2877" s="22">
        <v>2</v>
      </c>
      <c r="B2877" t="s">
        <v>5624</v>
      </c>
      <c r="C2877" t="s">
        <v>802</v>
      </c>
      <c r="D2877" t="s">
        <v>6308</v>
      </c>
      <c r="E2877" t="s">
        <v>6309</v>
      </c>
      <c r="F2877">
        <v>4018137</v>
      </c>
      <c r="G2877" t="s">
        <v>6310</v>
      </c>
      <c r="H2877" t="s">
        <v>805</v>
      </c>
      <c r="I2877">
        <v>39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39</v>
      </c>
      <c r="P2877" s="44" t="e">
        <f>_xlfn.XLOOKUP(Tabla5[[#This Row],[EAN CORREGIDO]],'Tabla Articulos'!B:B,'Tabla Articulos'!D:D)</f>
        <v>#N/A</v>
      </c>
      <c r="Q2877" s="44" t="e">
        <f>_xlfn.XLOOKUP(S2877,'Tabla Articulos'!B:B,'Tabla Articulos'!E:E)</f>
        <v>#N/A</v>
      </c>
      <c r="R2877" s="44" t="e">
        <f t="shared" si="88"/>
        <v>#N/A</v>
      </c>
      <c r="S2877" s="45" t="str">
        <f t="shared" si="89"/>
        <v>7798060852723</v>
      </c>
    </row>
    <row r="2878" spans="1:19" hidden="1" x14ac:dyDescent="0.35">
      <c r="A2878" s="22">
        <v>2</v>
      </c>
      <c r="B2878" t="s">
        <v>5624</v>
      </c>
      <c r="C2878" t="s">
        <v>802</v>
      </c>
      <c r="D2878" t="s">
        <v>6311</v>
      </c>
      <c r="E2878" t="s">
        <v>6312</v>
      </c>
      <c r="F2878">
        <v>4018749</v>
      </c>
      <c r="G2878" t="s">
        <v>6313</v>
      </c>
      <c r="H2878" t="s">
        <v>805</v>
      </c>
      <c r="I2878">
        <v>69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69</v>
      </c>
      <c r="P2878" s="44" t="e">
        <f>_xlfn.XLOOKUP(Tabla5[[#This Row],[EAN CORREGIDO]],'Tabla Articulos'!B:B,'Tabla Articulos'!D:D)</f>
        <v>#N/A</v>
      </c>
      <c r="Q2878" s="44" t="e">
        <f>_xlfn.XLOOKUP(S2878,'Tabla Articulos'!B:B,'Tabla Articulos'!E:E)</f>
        <v>#N/A</v>
      </c>
      <c r="R2878" s="44" t="e">
        <f t="shared" si="88"/>
        <v>#N/A</v>
      </c>
      <c r="S2878" s="45" t="str">
        <f t="shared" si="89"/>
        <v>7795711000175</v>
      </c>
    </row>
    <row r="2879" spans="1:19" hidden="1" x14ac:dyDescent="0.35">
      <c r="A2879" s="22">
        <v>2</v>
      </c>
      <c r="B2879" t="s">
        <v>5624</v>
      </c>
      <c r="C2879" t="s">
        <v>802</v>
      </c>
      <c r="D2879" t="s">
        <v>6836</v>
      </c>
      <c r="E2879" t="s">
        <v>6837</v>
      </c>
      <c r="F2879">
        <v>4021442</v>
      </c>
      <c r="G2879" t="s">
        <v>6838</v>
      </c>
      <c r="H2879" t="s">
        <v>805</v>
      </c>
      <c r="I2879">
        <v>39</v>
      </c>
      <c r="J2879">
        <v>0</v>
      </c>
      <c r="K2879">
        <v>0</v>
      </c>
      <c r="L2879">
        <v>0</v>
      </c>
      <c r="M2879">
        <v>0</v>
      </c>
      <c r="N2879">
        <v>374</v>
      </c>
      <c r="O2879">
        <v>-335</v>
      </c>
      <c r="P2879" s="44" t="e">
        <f>_xlfn.XLOOKUP(Tabla5[[#This Row],[EAN CORREGIDO]],'Tabla Articulos'!B:B,'Tabla Articulos'!D:D)</f>
        <v>#N/A</v>
      </c>
      <c r="Q2879" s="44" t="e">
        <f>_xlfn.XLOOKUP(S2879,'Tabla Articulos'!B:B,'Tabla Articulos'!E:E)</f>
        <v>#N/A</v>
      </c>
      <c r="R2879" s="44" t="e">
        <f t="shared" si="88"/>
        <v>#N/A</v>
      </c>
      <c r="S2879" s="45" t="str">
        <f t="shared" si="89"/>
        <v>779804920006</v>
      </c>
    </row>
    <row r="2880" spans="1:19" hidden="1" x14ac:dyDescent="0.35">
      <c r="A2880" s="22">
        <v>2</v>
      </c>
      <c r="B2880" t="s">
        <v>5624</v>
      </c>
      <c r="C2880" t="s">
        <v>802</v>
      </c>
      <c r="D2880" t="s">
        <v>5907</v>
      </c>
      <c r="E2880" t="s">
        <v>5908</v>
      </c>
      <c r="F2880">
        <v>4020657</v>
      </c>
      <c r="G2880" t="s">
        <v>5909</v>
      </c>
      <c r="H2880" t="s">
        <v>805</v>
      </c>
      <c r="I2880">
        <v>21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21</v>
      </c>
      <c r="P2880" s="44" t="e">
        <f>_xlfn.XLOOKUP(Tabla5[[#This Row],[EAN CORREGIDO]],'Tabla Articulos'!B:B,'Tabla Articulos'!D:D)</f>
        <v>#N/A</v>
      </c>
      <c r="Q2880" s="44" t="e">
        <f>_xlfn.XLOOKUP(S2880,'Tabla Articulos'!B:B,'Tabla Articulos'!E:E)</f>
        <v>#N/A</v>
      </c>
      <c r="R2880" s="44" t="e">
        <f t="shared" si="88"/>
        <v>#N/A</v>
      </c>
      <c r="S2880" s="45" t="str">
        <f t="shared" si="89"/>
        <v>7791113004308</v>
      </c>
    </row>
    <row r="2881" spans="1:19" hidden="1" x14ac:dyDescent="0.35">
      <c r="A2881" s="22">
        <v>2</v>
      </c>
      <c r="B2881" t="s">
        <v>5624</v>
      </c>
      <c r="C2881" t="s">
        <v>802</v>
      </c>
      <c r="D2881" t="s">
        <v>2405</v>
      </c>
      <c r="E2881" t="s">
        <v>2406</v>
      </c>
      <c r="F2881">
        <v>4018008</v>
      </c>
      <c r="G2881" t="s">
        <v>2407</v>
      </c>
      <c r="H2881" t="s">
        <v>816</v>
      </c>
      <c r="I2881">
        <v>6</v>
      </c>
      <c r="J2881">
        <v>0</v>
      </c>
      <c r="K2881">
        <v>0</v>
      </c>
      <c r="L2881">
        <v>0</v>
      </c>
      <c r="M2881">
        <v>5</v>
      </c>
      <c r="N2881">
        <v>0</v>
      </c>
      <c r="O2881">
        <v>1</v>
      </c>
      <c r="P2881" s="44" t="e">
        <f>_xlfn.XLOOKUP(Tabla5[[#This Row],[EAN CORREGIDO]],'Tabla Articulos'!B:B,'Tabla Articulos'!D:D)</f>
        <v>#N/A</v>
      </c>
      <c r="Q2881" s="44" t="e">
        <f>_xlfn.XLOOKUP(S2881,'Tabla Articulos'!B:B,'Tabla Articulos'!E:E)</f>
        <v>#N/A</v>
      </c>
      <c r="R2881" s="44" t="e">
        <f t="shared" ref="R2881:R2944" si="90">O2881*Q2881</f>
        <v>#N/A</v>
      </c>
      <c r="S2881" s="45" t="str">
        <f t="shared" ref="S2881:S2944" si="91">TRIM(E2881)</f>
        <v>7798975326412</v>
      </c>
    </row>
    <row r="2882" spans="1:19" hidden="1" x14ac:dyDescent="0.35">
      <c r="A2882" s="22">
        <v>2</v>
      </c>
      <c r="B2882" t="s">
        <v>5624</v>
      </c>
      <c r="C2882" t="s">
        <v>802</v>
      </c>
      <c r="D2882" t="s">
        <v>1299</v>
      </c>
      <c r="E2882" t="s">
        <v>1300</v>
      </c>
      <c r="F2882">
        <v>4018034</v>
      </c>
      <c r="G2882" t="s">
        <v>1301</v>
      </c>
      <c r="H2882" t="s">
        <v>816</v>
      </c>
      <c r="I2882">
        <v>43.5</v>
      </c>
      <c r="J2882">
        <v>0</v>
      </c>
      <c r="K2882">
        <v>0</v>
      </c>
      <c r="L2882">
        <v>4</v>
      </c>
      <c r="M2882">
        <v>4</v>
      </c>
      <c r="N2882">
        <v>0</v>
      </c>
      <c r="O2882">
        <v>35.5</v>
      </c>
      <c r="P2882" s="44" t="e">
        <f>_xlfn.XLOOKUP(Tabla5[[#This Row],[EAN CORREGIDO]],'Tabla Articulos'!B:B,'Tabla Articulos'!D:D)</f>
        <v>#N/A</v>
      </c>
      <c r="Q2882" s="44" t="e">
        <f>_xlfn.XLOOKUP(S2882,'Tabla Articulos'!B:B,'Tabla Articulos'!E:E)</f>
        <v>#N/A</v>
      </c>
      <c r="R2882" s="44" t="e">
        <f t="shared" si="90"/>
        <v>#N/A</v>
      </c>
      <c r="S2882" s="45" t="str">
        <f t="shared" si="91"/>
        <v>7790216012656</v>
      </c>
    </row>
    <row r="2883" spans="1:19" hidden="1" x14ac:dyDescent="0.35">
      <c r="A2883" s="22">
        <v>2</v>
      </c>
      <c r="B2883" t="s">
        <v>5624</v>
      </c>
      <c r="C2883" t="s">
        <v>802</v>
      </c>
      <c r="D2883" t="s">
        <v>5429</v>
      </c>
      <c r="E2883" t="s">
        <v>5430</v>
      </c>
      <c r="F2883">
        <v>4020045</v>
      </c>
      <c r="G2883" t="s">
        <v>5431</v>
      </c>
      <c r="H2883" t="s">
        <v>805</v>
      </c>
      <c r="I2883">
        <v>3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3</v>
      </c>
      <c r="P2883" s="44" t="e">
        <f>_xlfn.XLOOKUP(Tabla5[[#This Row],[EAN CORREGIDO]],'Tabla Articulos'!B:B,'Tabla Articulos'!D:D)</f>
        <v>#N/A</v>
      </c>
      <c r="Q2883" s="44" t="e">
        <f>_xlfn.XLOOKUP(S2883,'Tabla Articulos'!B:B,'Tabla Articulos'!E:E)</f>
        <v>#N/A</v>
      </c>
      <c r="R2883" s="44" t="e">
        <f t="shared" si="90"/>
        <v>#N/A</v>
      </c>
      <c r="S2883" s="45" t="str">
        <f t="shared" si="91"/>
        <v>7792750001606</v>
      </c>
    </row>
    <row r="2884" spans="1:19" hidden="1" x14ac:dyDescent="0.35">
      <c r="A2884" s="22">
        <v>2</v>
      </c>
      <c r="B2884" t="s">
        <v>5624</v>
      </c>
      <c r="C2884" t="s">
        <v>802</v>
      </c>
      <c r="D2884" t="s">
        <v>911</v>
      </c>
      <c r="E2884" t="s">
        <v>912</v>
      </c>
      <c r="F2884">
        <v>4023335</v>
      </c>
      <c r="G2884" t="s">
        <v>913</v>
      </c>
      <c r="H2884" t="s">
        <v>805</v>
      </c>
      <c r="I2884">
        <v>100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100</v>
      </c>
      <c r="P2884" s="44" t="e">
        <f>_xlfn.XLOOKUP(Tabla5[[#This Row],[EAN CORREGIDO]],'Tabla Articulos'!B:B,'Tabla Articulos'!D:D)</f>
        <v>#N/A</v>
      </c>
      <c r="Q2884" s="44" t="e">
        <f>_xlfn.XLOOKUP(S2884,'Tabla Articulos'!B:B,'Tabla Articulos'!E:E)</f>
        <v>#N/A</v>
      </c>
      <c r="R2884" s="44" t="e">
        <f t="shared" si="90"/>
        <v>#N/A</v>
      </c>
      <c r="S2884" s="45" t="str">
        <f t="shared" si="91"/>
        <v>7798184272742</v>
      </c>
    </row>
    <row r="2885" spans="1:19" hidden="1" x14ac:dyDescent="0.35">
      <c r="A2885" s="22">
        <v>2</v>
      </c>
      <c r="B2885" t="s">
        <v>5624</v>
      </c>
      <c r="C2885" t="s">
        <v>802</v>
      </c>
      <c r="D2885" t="s">
        <v>896</v>
      </c>
      <c r="E2885" t="s">
        <v>918</v>
      </c>
      <c r="F2885">
        <v>4019876</v>
      </c>
      <c r="G2885" t="s">
        <v>919</v>
      </c>
      <c r="H2885" t="s">
        <v>805</v>
      </c>
      <c r="I2885">
        <v>13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13</v>
      </c>
      <c r="P2885" s="44" t="e">
        <f>_xlfn.XLOOKUP(Tabla5[[#This Row],[EAN CORREGIDO]],'Tabla Articulos'!B:B,'Tabla Articulos'!D:D)</f>
        <v>#N/A</v>
      </c>
      <c r="Q2885" s="44" t="e">
        <f>_xlfn.XLOOKUP(S2885,'Tabla Articulos'!B:B,'Tabla Articulos'!E:E)</f>
        <v>#N/A</v>
      </c>
      <c r="R2885" s="44" t="e">
        <f t="shared" si="90"/>
        <v>#N/A</v>
      </c>
      <c r="S2885" s="45" t="str">
        <f t="shared" si="91"/>
        <v>7790530850147</v>
      </c>
    </row>
    <row r="2886" spans="1:19" hidden="1" x14ac:dyDescent="0.35">
      <c r="A2886" s="22">
        <v>2</v>
      </c>
      <c r="B2886" t="s">
        <v>5624</v>
      </c>
      <c r="C2886" t="s">
        <v>802</v>
      </c>
      <c r="D2886" t="s">
        <v>926</v>
      </c>
      <c r="E2886" t="s">
        <v>927</v>
      </c>
      <c r="F2886">
        <v>4023885</v>
      </c>
      <c r="G2886" t="s">
        <v>928</v>
      </c>
      <c r="H2886" t="s">
        <v>805</v>
      </c>
      <c r="I2886">
        <v>160</v>
      </c>
      <c r="J2886">
        <v>0</v>
      </c>
      <c r="K2886">
        <v>0</v>
      </c>
      <c r="L2886">
        <v>14</v>
      </c>
      <c r="M2886">
        <v>14</v>
      </c>
      <c r="N2886">
        <v>0</v>
      </c>
      <c r="O2886">
        <v>132</v>
      </c>
      <c r="P2886" s="44" t="e">
        <f>_xlfn.XLOOKUP(Tabla5[[#This Row],[EAN CORREGIDO]],'Tabla Articulos'!B:B,'Tabla Articulos'!D:D)</f>
        <v>#N/A</v>
      </c>
      <c r="Q2886" s="44" t="e">
        <f>_xlfn.XLOOKUP(S2886,'Tabla Articulos'!B:B,'Tabla Articulos'!E:E)</f>
        <v>#N/A</v>
      </c>
      <c r="R2886" s="44" t="e">
        <f t="shared" si="90"/>
        <v>#N/A</v>
      </c>
      <c r="S2886" s="45" t="str">
        <f t="shared" si="91"/>
        <v>7791476034059</v>
      </c>
    </row>
    <row r="2887" spans="1:19" hidden="1" x14ac:dyDescent="0.35">
      <c r="A2887" s="22">
        <v>2</v>
      </c>
      <c r="B2887" t="s">
        <v>5624</v>
      </c>
      <c r="C2887" t="s">
        <v>802</v>
      </c>
      <c r="D2887" t="s">
        <v>5796</v>
      </c>
      <c r="E2887" t="s">
        <v>5797</v>
      </c>
      <c r="F2887">
        <v>4017964</v>
      </c>
      <c r="G2887" t="s">
        <v>5798</v>
      </c>
      <c r="H2887" t="s">
        <v>816</v>
      </c>
      <c r="I2887">
        <v>10.5</v>
      </c>
      <c r="J2887">
        <v>0</v>
      </c>
      <c r="K2887">
        <v>0</v>
      </c>
      <c r="L2887">
        <v>5</v>
      </c>
      <c r="M2887">
        <v>5</v>
      </c>
      <c r="N2887">
        <v>0</v>
      </c>
      <c r="O2887">
        <v>0.5</v>
      </c>
      <c r="P2887" s="44" t="e">
        <f>_xlfn.XLOOKUP(Tabla5[[#This Row],[EAN CORREGIDO]],'Tabla Articulos'!B:B,'Tabla Articulos'!D:D)</f>
        <v>#N/A</v>
      </c>
      <c r="Q2887" s="44" t="e">
        <f>_xlfn.XLOOKUP(S2887,'Tabla Articulos'!B:B,'Tabla Articulos'!E:E)</f>
        <v>#N/A</v>
      </c>
      <c r="R2887" s="44" t="e">
        <f t="shared" si="90"/>
        <v>#N/A</v>
      </c>
      <c r="S2887" s="45" t="str">
        <f t="shared" si="91"/>
        <v>7790216012649</v>
      </c>
    </row>
    <row r="2888" spans="1:19" hidden="1" x14ac:dyDescent="0.35">
      <c r="A2888" s="22">
        <v>2</v>
      </c>
      <c r="B2888" t="s">
        <v>5624</v>
      </c>
      <c r="C2888" t="s">
        <v>802</v>
      </c>
      <c r="D2888" t="s">
        <v>6716</v>
      </c>
      <c r="E2888" t="s">
        <v>6717</v>
      </c>
      <c r="F2888">
        <v>4021616</v>
      </c>
      <c r="G2888" t="s">
        <v>6718</v>
      </c>
      <c r="H2888" t="s">
        <v>837</v>
      </c>
      <c r="I2888">
        <v>65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65</v>
      </c>
      <c r="P2888" s="44" t="e">
        <f>_xlfn.XLOOKUP(Tabla5[[#This Row],[EAN CORREGIDO]],'Tabla Articulos'!B:B,'Tabla Articulos'!D:D)</f>
        <v>#N/A</v>
      </c>
      <c r="Q2888" s="44" t="e">
        <f>_xlfn.XLOOKUP(S2888,'Tabla Articulos'!B:B,'Tabla Articulos'!E:E)</f>
        <v>#N/A</v>
      </c>
      <c r="R2888" s="44" t="e">
        <f t="shared" si="90"/>
        <v>#N/A</v>
      </c>
      <c r="S2888" s="45" t="str">
        <f t="shared" si="91"/>
        <v>7798011977444</v>
      </c>
    </row>
    <row r="2889" spans="1:19" hidden="1" x14ac:dyDescent="0.35">
      <c r="A2889" s="22">
        <v>2</v>
      </c>
      <c r="B2889" t="s">
        <v>5624</v>
      </c>
      <c r="C2889" t="s">
        <v>802</v>
      </c>
      <c r="D2889" t="s">
        <v>5442</v>
      </c>
      <c r="E2889" t="s">
        <v>5443</v>
      </c>
      <c r="F2889">
        <v>4020346</v>
      </c>
      <c r="G2889" t="s">
        <v>5444</v>
      </c>
      <c r="H2889" t="s">
        <v>805</v>
      </c>
      <c r="I2889">
        <v>1228</v>
      </c>
      <c r="J2889">
        <v>0</v>
      </c>
      <c r="K2889">
        <v>0</v>
      </c>
      <c r="L2889">
        <v>15</v>
      </c>
      <c r="M2889">
        <v>15</v>
      </c>
      <c r="N2889">
        <v>0</v>
      </c>
      <c r="O2889">
        <v>1198</v>
      </c>
      <c r="P2889" s="44" t="e">
        <f>_xlfn.XLOOKUP(Tabla5[[#This Row],[EAN CORREGIDO]],'Tabla Articulos'!B:B,'Tabla Articulos'!D:D)</f>
        <v>#N/A</v>
      </c>
      <c r="Q2889" s="44" t="e">
        <f>_xlfn.XLOOKUP(S2889,'Tabla Articulos'!B:B,'Tabla Articulos'!E:E)</f>
        <v>#N/A</v>
      </c>
      <c r="R2889" s="44" t="e">
        <f t="shared" si="90"/>
        <v>#N/A</v>
      </c>
      <c r="S2889" s="45" t="str">
        <f t="shared" si="91"/>
        <v>7798011970384</v>
      </c>
    </row>
    <row r="2890" spans="1:19" hidden="1" x14ac:dyDescent="0.35">
      <c r="A2890" s="22">
        <v>2</v>
      </c>
      <c r="B2890" t="s">
        <v>5624</v>
      </c>
      <c r="C2890" t="s">
        <v>802</v>
      </c>
      <c r="D2890" t="s">
        <v>400</v>
      </c>
      <c r="E2890" t="s">
        <v>5445</v>
      </c>
      <c r="F2890">
        <v>2006441</v>
      </c>
      <c r="G2890" t="s">
        <v>5446</v>
      </c>
      <c r="H2890" t="s">
        <v>805</v>
      </c>
      <c r="I2890">
        <v>60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60</v>
      </c>
      <c r="P2890" s="44" t="str">
        <f>_xlfn.XLOOKUP(Tabla5[[#This Row],[EAN CORREGIDO]],'Tabla Articulos'!B:B,'Tabla Articulos'!D:D)</f>
        <v>ANTORCHITAS</v>
      </c>
      <c r="Q2890" s="44">
        <f>_xlfn.XLOOKUP(S2890,'Tabla Articulos'!B:B,'Tabla Articulos'!E:E)</f>
        <v>24</v>
      </c>
      <c r="R2890" s="44">
        <f t="shared" si="90"/>
        <v>1440</v>
      </c>
      <c r="S2890" s="45" t="str">
        <f t="shared" si="91"/>
        <v>7797390190505</v>
      </c>
    </row>
    <row r="2891" spans="1:19" hidden="1" x14ac:dyDescent="0.35">
      <c r="A2891" s="22">
        <v>2</v>
      </c>
      <c r="B2891" t="s">
        <v>5624</v>
      </c>
      <c r="C2891" t="s">
        <v>802</v>
      </c>
      <c r="D2891" t="s">
        <v>3990</v>
      </c>
      <c r="E2891" t="s">
        <v>6692</v>
      </c>
      <c r="F2891">
        <v>4018270</v>
      </c>
      <c r="G2891" t="s">
        <v>6693</v>
      </c>
      <c r="H2891" t="s">
        <v>805</v>
      </c>
      <c r="I2891">
        <v>145</v>
      </c>
      <c r="J2891">
        <v>0</v>
      </c>
      <c r="K2891">
        <v>0</v>
      </c>
      <c r="L2891">
        <v>15</v>
      </c>
      <c r="M2891">
        <v>15</v>
      </c>
      <c r="N2891">
        <v>0</v>
      </c>
      <c r="O2891">
        <v>115</v>
      </c>
      <c r="P2891" s="44" t="e">
        <f>_xlfn.XLOOKUP(Tabla5[[#This Row],[EAN CORREGIDO]],'Tabla Articulos'!B:B,'Tabla Articulos'!D:D)</f>
        <v>#N/A</v>
      </c>
      <c r="Q2891" s="44" t="e">
        <f>_xlfn.XLOOKUP(S2891,'Tabla Articulos'!B:B,'Tabla Articulos'!E:E)</f>
        <v>#N/A</v>
      </c>
      <c r="R2891" s="44" t="e">
        <f t="shared" si="90"/>
        <v>#N/A</v>
      </c>
      <c r="S2891" s="45" t="str">
        <f t="shared" si="91"/>
        <v>7798060851818</v>
      </c>
    </row>
    <row r="2892" spans="1:19" hidden="1" x14ac:dyDescent="0.35">
      <c r="A2892" s="22">
        <v>2</v>
      </c>
      <c r="B2892" t="s">
        <v>5624</v>
      </c>
      <c r="C2892" t="s">
        <v>802</v>
      </c>
      <c r="D2892" t="s">
        <v>5309</v>
      </c>
      <c r="E2892" t="s">
        <v>5310</v>
      </c>
      <c r="F2892">
        <v>4076834</v>
      </c>
      <c r="G2892" t="s">
        <v>5311</v>
      </c>
      <c r="H2892" t="s">
        <v>805</v>
      </c>
      <c r="I2892">
        <v>1223</v>
      </c>
      <c r="J2892">
        <v>0</v>
      </c>
      <c r="K2892">
        <v>0</v>
      </c>
      <c r="L2892">
        <v>16</v>
      </c>
      <c r="M2892">
        <v>16</v>
      </c>
      <c r="N2892">
        <v>0</v>
      </c>
      <c r="O2892">
        <v>1191</v>
      </c>
      <c r="P2892" s="44" t="e">
        <f>_xlfn.XLOOKUP(Tabla5[[#This Row],[EAN CORREGIDO]],'Tabla Articulos'!B:B,'Tabla Articulos'!D:D)</f>
        <v>#N/A</v>
      </c>
      <c r="Q2892" s="44" t="e">
        <f>_xlfn.XLOOKUP(S2892,'Tabla Articulos'!B:B,'Tabla Articulos'!E:E)</f>
        <v>#N/A</v>
      </c>
      <c r="R2892" s="44" t="e">
        <f t="shared" si="90"/>
        <v>#N/A</v>
      </c>
      <c r="S2892" s="45" t="str">
        <f t="shared" si="91"/>
        <v>7791675909547</v>
      </c>
    </row>
    <row r="2893" spans="1:19" hidden="1" x14ac:dyDescent="0.35">
      <c r="A2893" s="22">
        <v>2</v>
      </c>
      <c r="B2893" t="s">
        <v>5624</v>
      </c>
      <c r="C2893" t="s">
        <v>802</v>
      </c>
      <c r="D2893" t="s">
        <v>5322</v>
      </c>
      <c r="E2893" t="s">
        <v>5323</v>
      </c>
      <c r="F2893">
        <v>4022588</v>
      </c>
      <c r="G2893" t="s">
        <v>5324</v>
      </c>
      <c r="H2893" t="s">
        <v>805</v>
      </c>
      <c r="I2893">
        <v>29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29</v>
      </c>
      <c r="P2893" s="44" t="e">
        <f>_xlfn.XLOOKUP(Tabla5[[#This Row],[EAN CORREGIDO]],'Tabla Articulos'!B:B,'Tabla Articulos'!D:D)</f>
        <v>#N/A</v>
      </c>
      <c r="Q2893" s="44" t="e">
        <f>_xlfn.XLOOKUP(S2893,'Tabla Articulos'!B:B,'Tabla Articulos'!E:E)</f>
        <v>#N/A</v>
      </c>
      <c r="R2893" s="44" t="e">
        <f t="shared" si="90"/>
        <v>#N/A</v>
      </c>
      <c r="S2893" s="45" t="str">
        <f t="shared" si="91"/>
        <v>7791885409417</v>
      </c>
    </row>
    <row r="2894" spans="1:19" hidden="1" x14ac:dyDescent="0.35">
      <c r="A2894" s="22">
        <v>2</v>
      </c>
      <c r="B2894" t="s">
        <v>5624</v>
      </c>
      <c r="C2894" t="s">
        <v>802</v>
      </c>
      <c r="D2894" t="s">
        <v>2165</v>
      </c>
      <c r="E2894" t="s">
        <v>6563</v>
      </c>
      <c r="F2894">
        <v>4018202</v>
      </c>
      <c r="G2894" t="s">
        <v>6564</v>
      </c>
      <c r="H2894" t="s">
        <v>805</v>
      </c>
      <c r="I2894">
        <v>96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96</v>
      </c>
      <c r="P2894" s="44" t="e">
        <f>_xlfn.XLOOKUP(Tabla5[[#This Row],[EAN CORREGIDO]],'Tabla Articulos'!B:B,'Tabla Articulos'!D:D)</f>
        <v>#N/A</v>
      </c>
      <c r="Q2894" s="44" t="e">
        <f>_xlfn.XLOOKUP(S2894,'Tabla Articulos'!B:B,'Tabla Articulos'!E:E)</f>
        <v>#N/A</v>
      </c>
      <c r="R2894" s="44" t="e">
        <f t="shared" si="90"/>
        <v>#N/A</v>
      </c>
      <c r="S2894" s="45" t="str">
        <f t="shared" si="91"/>
        <v>7795323775331</v>
      </c>
    </row>
    <row r="2895" spans="1:19" hidden="1" x14ac:dyDescent="0.35">
      <c r="A2895" s="22">
        <v>2</v>
      </c>
      <c r="B2895" t="s">
        <v>5624</v>
      </c>
      <c r="C2895" t="s">
        <v>802</v>
      </c>
      <c r="D2895" t="s">
        <v>2054</v>
      </c>
      <c r="E2895" t="s">
        <v>6565</v>
      </c>
      <c r="F2895">
        <v>4018120</v>
      </c>
      <c r="G2895" t="s">
        <v>6566</v>
      </c>
      <c r="H2895" t="s">
        <v>805</v>
      </c>
      <c r="I2895">
        <v>404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404</v>
      </c>
      <c r="P2895" s="44" t="e">
        <f>_xlfn.XLOOKUP(Tabla5[[#This Row],[EAN CORREGIDO]],'Tabla Articulos'!B:B,'Tabla Articulos'!D:D)</f>
        <v>#N/A</v>
      </c>
      <c r="Q2895" s="44" t="e">
        <f>_xlfn.XLOOKUP(S2895,'Tabla Articulos'!B:B,'Tabla Articulos'!E:E)</f>
        <v>#N/A</v>
      </c>
      <c r="R2895" s="44" t="e">
        <f t="shared" si="90"/>
        <v>#N/A</v>
      </c>
      <c r="S2895" s="45" t="str">
        <f t="shared" si="91"/>
        <v>7794820004159</v>
      </c>
    </row>
    <row r="2896" spans="1:19" hidden="1" x14ac:dyDescent="0.35">
      <c r="A2896" s="22">
        <v>2</v>
      </c>
      <c r="B2896" t="s">
        <v>5624</v>
      </c>
      <c r="C2896" t="s">
        <v>802</v>
      </c>
      <c r="D2896" t="s">
        <v>1405</v>
      </c>
      <c r="E2896" t="s">
        <v>1406</v>
      </c>
      <c r="F2896">
        <v>4017623</v>
      </c>
      <c r="G2896" t="s">
        <v>1407</v>
      </c>
      <c r="H2896" t="s">
        <v>805</v>
      </c>
      <c r="I2896">
        <v>75043</v>
      </c>
      <c r="J2896">
        <v>0</v>
      </c>
      <c r="K2896">
        <v>0</v>
      </c>
      <c r="L2896">
        <v>2661</v>
      </c>
      <c r="M2896">
        <v>2661</v>
      </c>
      <c r="N2896">
        <v>4045</v>
      </c>
      <c r="O2896">
        <v>65676</v>
      </c>
      <c r="P2896" s="44" t="e">
        <f>_xlfn.XLOOKUP(Tabla5[[#This Row],[EAN CORREGIDO]],'Tabla Articulos'!B:B,'Tabla Articulos'!D:D)</f>
        <v>#N/A</v>
      </c>
      <c r="Q2896" s="44" t="e">
        <f>_xlfn.XLOOKUP(S2896,'Tabla Articulos'!B:B,'Tabla Articulos'!E:E)</f>
        <v>#N/A</v>
      </c>
      <c r="R2896" s="44" t="e">
        <f t="shared" si="90"/>
        <v>#N/A</v>
      </c>
      <c r="S2896" s="45" t="str">
        <f t="shared" si="91"/>
        <v>7790212030066</v>
      </c>
    </row>
    <row r="2897" spans="1:19" hidden="1" x14ac:dyDescent="0.35">
      <c r="A2897" s="22">
        <v>2</v>
      </c>
      <c r="B2897" t="s">
        <v>5624</v>
      </c>
      <c r="C2897" t="s">
        <v>802</v>
      </c>
      <c r="D2897"/>
      <c r="E2897" t="s">
        <v>5852</v>
      </c>
      <c r="F2897">
        <v>4022725</v>
      </c>
      <c r="G2897" t="s">
        <v>5853</v>
      </c>
      <c r="H2897" t="s">
        <v>805</v>
      </c>
      <c r="I2897">
        <v>300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300</v>
      </c>
      <c r="P2897" s="44" t="e">
        <f>_xlfn.XLOOKUP(Tabla5[[#This Row],[EAN CORREGIDO]],'Tabla Articulos'!B:B,'Tabla Articulos'!D:D)</f>
        <v>#N/A</v>
      </c>
      <c r="Q2897" s="44" t="e">
        <f>_xlfn.XLOOKUP(S2897,'Tabla Articulos'!B:B,'Tabla Articulos'!E:E)</f>
        <v>#N/A</v>
      </c>
      <c r="R2897" s="44" t="e">
        <f t="shared" si="90"/>
        <v>#N/A</v>
      </c>
      <c r="S2897" s="45" t="str">
        <f t="shared" si="91"/>
        <v>7798104880415</v>
      </c>
    </row>
    <row r="2898" spans="1:19" hidden="1" x14ac:dyDescent="0.35">
      <c r="A2898" s="22">
        <v>2</v>
      </c>
      <c r="B2898" t="s">
        <v>5624</v>
      </c>
      <c r="C2898" t="s">
        <v>802</v>
      </c>
      <c r="D2898" t="s">
        <v>3531</v>
      </c>
      <c r="E2898" t="s">
        <v>3532</v>
      </c>
      <c r="F2898">
        <v>4018513</v>
      </c>
      <c r="G2898" t="s">
        <v>3533</v>
      </c>
      <c r="H2898" t="s">
        <v>816</v>
      </c>
      <c r="I2898">
        <v>3047.49</v>
      </c>
      <c r="J2898">
        <v>0</v>
      </c>
      <c r="K2898">
        <v>19.36</v>
      </c>
      <c r="L2898">
        <v>0</v>
      </c>
      <c r="M2898">
        <v>0</v>
      </c>
      <c r="N2898">
        <v>0</v>
      </c>
      <c r="O2898">
        <v>3028.13</v>
      </c>
      <c r="P2898" s="44" t="e">
        <f>_xlfn.XLOOKUP(Tabla5[[#This Row],[EAN CORREGIDO]],'Tabla Articulos'!B:B,'Tabla Articulos'!D:D)</f>
        <v>#N/A</v>
      </c>
      <c r="Q2898" s="44" t="e">
        <f>_xlfn.XLOOKUP(S2898,'Tabla Articulos'!B:B,'Tabla Articulos'!E:E)</f>
        <v>#N/A</v>
      </c>
      <c r="R2898" s="44" t="e">
        <f t="shared" si="90"/>
        <v>#N/A</v>
      </c>
      <c r="S2898" s="45" t="str">
        <f t="shared" si="91"/>
        <v>7798165392639</v>
      </c>
    </row>
    <row r="2899" spans="1:19" hidden="1" x14ac:dyDescent="0.35">
      <c r="A2899" s="22">
        <v>2</v>
      </c>
      <c r="B2899" t="s">
        <v>5624</v>
      </c>
      <c r="C2899" t="s">
        <v>802</v>
      </c>
      <c r="D2899" t="s">
        <v>6384</v>
      </c>
      <c r="E2899" t="s">
        <v>6385</v>
      </c>
      <c r="F2899">
        <v>4019958</v>
      </c>
      <c r="G2899" t="s">
        <v>6386</v>
      </c>
      <c r="H2899" t="s">
        <v>805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</v>
      </c>
      <c r="P2899" s="44" t="e">
        <f>_xlfn.XLOOKUP(Tabla5[[#This Row],[EAN CORREGIDO]],'Tabla Articulos'!B:B,'Tabla Articulos'!D:D)</f>
        <v>#N/A</v>
      </c>
      <c r="Q2899" s="44" t="e">
        <f>_xlfn.XLOOKUP(S2899,'Tabla Articulos'!B:B,'Tabla Articulos'!E:E)</f>
        <v>#N/A</v>
      </c>
      <c r="R2899" s="44" t="e">
        <f t="shared" si="90"/>
        <v>#N/A</v>
      </c>
      <c r="S2899" s="45" t="str">
        <f t="shared" si="91"/>
        <v>7791351133044</v>
      </c>
    </row>
    <row r="2900" spans="1:19" hidden="1" x14ac:dyDescent="0.35">
      <c r="A2900" s="22">
        <v>2</v>
      </c>
      <c r="B2900" t="s">
        <v>5624</v>
      </c>
      <c r="C2900" t="s">
        <v>802</v>
      </c>
      <c r="D2900" t="s">
        <v>1781</v>
      </c>
      <c r="E2900" t="s">
        <v>3607</v>
      </c>
      <c r="F2900">
        <v>4020615</v>
      </c>
      <c r="G2900" t="s">
        <v>3608</v>
      </c>
      <c r="H2900" t="s">
        <v>805</v>
      </c>
      <c r="I2900">
        <v>234</v>
      </c>
      <c r="J2900">
        <v>0</v>
      </c>
      <c r="K2900">
        <v>0</v>
      </c>
      <c r="L2900">
        <v>6</v>
      </c>
      <c r="M2900">
        <v>6</v>
      </c>
      <c r="N2900">
        <v>0</v>
      </c>
      <c r="O2900">
        <v>222</v>
      </c>
      <c r="P2900" s="44" t="e">
        <f>_xlfn.XLOOKUP(Tabla5[[#This Row],[EAN CORREGIDO]],'Tabla Articulos'!B:B,'Tabla Articulos'!D:D)</f>
        <v>#N/A</v>
      </c>
      <c r="Q2900" s="44" t="e">
        <f>_xlfn.XLOOKUP(S2900,'Tabla Articulos'!B:B,'Tabla Articulos'!E:E)</f>
        <v>#N/A</v>
      </c>
      <c r="R2900" s="44" t="e">
        <f t="shared" si="90"/>
        <v>#N/A</v>
      </c>
      <c r="S2900" s="45" t="str">
        <f t="shared" si="91"/>
        <v>7793323002341</v>
      </c>
    </row>
    <row r="2901" spans="1:19" hidden="1" x14ac:dyDescent="0.35">
      <c r="A2901" s="22">
        <v>2</v>
      </c>
      <c r="B2901" t="s">
        <v>5624</v>
      </c>
      <c r="C2901" t="s">
        <v>802</v>
      </c>
      <c r="D2901" t="s">
        <v>3609</v>
      </c>
      <c r="E2901" t="s">
        <v>3610</v>
      </c>
      <c r="F2901">
        <v>4018199</v>
      </c>
      <c r="G2901" t="s">
        <v>3611</v>
      </c>
      <c r="H2901" t="s">
        <v>805</v>
      </c>
      <c r="I2901">
        <v>291</v>
      </c>
      <c r="J2901">
        <v>0</v>
      </c>
      <c r="K2901">
        <v>0</v>
      </c>
      <c r="L2901">
        <v>22</v>
      </c>
      <c r="M2901">
        <v>22</v>
      </c>
      <c r="N2901">
        <v>0</v>
      </c>
      <c r="O2901">
        <v>247</v>
      </c>
      <c r="P2901" s="44" t="e">
        <f>_xlfn.XLOOKUP(Tabla5[[#This Row],[EAN CORREGIDO]],'Tabla Articulos'!B:B,'Tabla Articulos'!D:D)</f>
        <v>#N/A</v>
      </c>
      <c r="Q2901" s="44" t="e">
        <f>_xlfn.XLOOKUP(S2901,'Tabla Articulos'!B:B,'Tabla Articulos'!E:E)</f>
        <v>#N/A</v>
      </c>
      <c r="R2901" s="44" t="e">
        <f t="shared" si="90"/>
        <v>#N/A</v>
      </c>
      <c r="S2901" s="45" t="str">
        <f t="shared" si="91"/>
        <v>7794990879939</v>
      </c>
    </row>
    <row r="2902" spans="1:19" hidden="1" x14ac:dyDescent="0.35">
      <c r="A2902" s="22">
        <v>2</v>
      </c>
      <c r="B2902" t="s">
        <v>5624</v>
      </c>
      <c r="C2902" t="s">
        <v>802</v>
      </c>
      <c r="D2902" t="s">
        <v>1887</v>
      </c>
      <c r="E2902" t="s">
        <v>3612</v>
      </c>
      <c r="F2902">
        <v>4022542</v>
      </c>
      <c r="G2902" t="s">
        <v>3613</v>
      </c>
      <c r="H2902" t="s">
        <v>805</v>
      </c>
      <c r="I2902">
        <v>2232</v>
      </c>
      <c r="J2902">
        <v>0</v>
      </c>
      <c r="K2902">
        <v>0</v>
      </c>
      <c r="L2902">
        <v>9</v>
      </c>
      <c r="M2902">
        <v>9</v>
      </c>
      <c r="N2902">
        <v>0</v>
      </c>
      <c r="O2902">
        <v>2214</v>
      </c>
      <c r="P2902" s="44" t="e">
        <f>_xlfn.XLOOKUP(Tabla5[[#This Row],[EAN CORREGIDO]],'Tabla Articulos'!B:B,'Tabla Articulos'!D:D)</f>
        <v>#N/A</v>
      </c>
      <c r="Q2902" s="44" t="e">
        <f>_xlfn.XLOOKUP(S2902,'Tabla Articulos'!B:B,'Tabla Articulos'!E:E)</f>
        <v>#N/A</v>
      </c>
      <c r="R2902" s="44" t="e">
        <f t="shared" si="90"/>
        <v>#N/A</v>
      </c>
      <c r="S2902" s="45" t="str">
        <f t="shared" si="91"/>
        <v>7798138553330</v>
      </c>
    </row>
    <row r="2903" spans="1:19" hidden="1" x14ac:dyDescent="0.35">
      <c r="A2903" s="22">
        <v>2</v>
      </c>
      <c r="B2903" t="s">
        <v>5624</v>
      </c>
      <c r="C2903" t="s">
        <v>802</v>
      </c>
      <c r="D2903" t="s">
        <v>1556</v>
      </c>
      <c r="E2903" t="s">
        <v>1557</v>
      </c>
      <c r="F2903">
        <v>4017705</v>
      </c>
      <c r="G2903" t="s">
        <v>1558</v>
      </c>
      <c r="H2903" t="s">
        <v>816</v>
      </c>
      <c r="I2903">
        <v>365.6</v>
      </c>
      <c r="J2903">
        <v>0</v>
      </c>
      <c r="K2903">
        <v>0</v>
      </c>
      <c r="L2903">
        <v>142</v>
      </c>
      <c r="M2903">
        <v>142</v>
      </c>
      <c r="N2903">
        <v>0</v>
      </c>
      <c r="O2903">
        <v>81.599999999999994</v>
      </c>
      <c r="P2903" s="44" t="e">
        <f>_xlfn.XLOOKUP(Tabla5[[#This Row],[EAN CORREGIDO]],'Tabla Articulos'!B:B,'Tabla Articulos'!D:D)</f>
        <v>#N/A</v>
      </c>
      <c r="Q2903" s="44" t="e">
        <f>_xlfn.XLOOKUP(S2903,'Tabla Articulos'!B:B,'Tabla Articulos'!E:E)</f>
        <v>#N/A</v>
      </c>
      <c r="R2903" s="44" t="e">
        <f t="shared" si="90"/>
        <v>#N/A</v>
      </c>
      <c r="S2903" s="45" t="str">
        <f t="shared" si="91"/>
        <v>7790212030052</v>
      </c>
    </row>
    <row r="2904" spans="1:19" hidden="1" x14ac:dyDescent="0.35">
      <c r="A2904" s="22">
        <v>2</v>
      </c>
      <c r="B2904" t="s">
        <v>5624</v>
      </c>
      <c r="C2904" t="s">
        <v>802</v>
      </c>
      <c r="D2904" t="s">
        <v>1559</v>
      </c>
      <c r="E2904" t="s">
        <v>1560</v>
      </c>
      <c r="F2904">
        <v>4022524</v>
      </c>
      <c r="G2904" t="s">
        <v>1561</v>
      </c>
      <c r="H2904" t="s">
        <v>805</v>
      </c>
      <c r="I2904">
        <v>50</v>
      </c>
      <c r="J2904">
        <v>0</v>
      </c>
      <c r="K2904">
        <v>0</v>
      </c>
      <c r="L2904">
        <v>1</v>
      </c>
      <c r="M2904">
        <v>1</v>
      </c>
      <c r="N2904">
        <v>0</v>
      </c>
      <c r="O2904">
        <v>48</v>
      </c>
      <c r="P2904" s="44" t="e">
        <f>_xlfn.XLOOKUP(Tabla5[[#This Row],[EAN CORREGIDO]],'Tabla Articulos'!B:B,'Tabla Articulos'!D:D)</f>
        <v>#N/A</v>
      </c>
      <c r="Q2904" s="44" t="e">
        <f>_xlfn.XLOOKUP(S2904,'Tabla Articulos'!B:B,'Tabla Articulos'!E:E)</f>
        <v>#N/A</v>
      </c>
      <c r="R2904" s="44" t="e">
        <f t="shared" si="90"/>
        <v>#N/A</v>
      </c>
      <c r="S2904" s="45" t="str">
        <f t="shared" si="91"/>
        <v>790757899612</v>
      </c>
    </row>
    <row r="2905" spans="1:19" hidden="1" x14ac:dyDescent="0.35">
      <c r="A2905" s="22">
        <v>2</v>
      </c>
      <c r="B2905" t="s">
        <v>5624</v>
      </c>
      <c r="C2905" t="s">
        <v>802</v>
      </c>
      <c r="D2905" t="s">
        <v>5828</v>
      </c>
      <c r="E2905" t="s">
        <v>5829</v>
      </c>
      <c r="F2905">
        <v>4019232</v>
      </c>
      <c r="G2905" t="s">
        <v>5830</v>
      </c>
      <c r="H2905" t="s">
        <v>805</v>
      </c>
      <c r="I2905">
        <v>936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936</v>
      </c>
      <c r="P2905" s="44" t="e">
        <f>_xlfn.XLOOKUP(Tabla5[[#This Row],[EAN CORREGIDO]],'Tabla Articulos'!B:B,'Tabla Articulos'!D:D)</f>
        <v>#N/A</v>
      </c>
      <c r="Q2905" s="44" t="e">
        <f>_xlfn.XLOOKUP(S2905,'Tabla Articulos'!B:B,'Tabla Articulos'!E:E)</f>
        <v>#N/A</v>
      </c>
      <c r="R2905" s="44" t="e">
        <f t="shared" si="90"/>
        <v>#N/A</v>
      </c>
      <c r="S2905" s="45" t="str">
        <f t="shared" si="91"/>
        <v>7790040003606</v>
      </c>
    </row>
    <row r="2906" spans="1:19" hidden="1" x14ac:dyDescent="0.35">
      <c r="A2906" s="22">
        <v>2</v>
      </c>
      <c r="B2906" t="s">
        <v>5624</v>
      </c>
      <c r="C2906" t="s">
        <v>802</v>
      </c>
      <c r="D2906" t="s">
        <v>2219</v>
      </c>
      <c r="E2906" t="s">
        <v>2220</v>
      </c>
      <c r="F2906">
        <v>4020345</v>
      </c>
      <c r="G2906" t="s">
        <v>2221</v>
      </c>
      <c r="H2906" t="s">
        <v>805</v>
      </c>
      <c r="I2906">
        <v>196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196</v>
      </c>
      <c r="P2906" s="44" t="e">
        <f>_xlfn.XLOOKUP(Tabla5[[#This Row],[EAN CORREGIDO]],'Tabla Articulos'!B:B,'Tabla Articulos'!D:D)</f>
        <v>#N/A</v>
      </c>
      <c r="Q2906" s="44" t="e">
        <f>_xlfn.XLOOKUP(S2906,'Tabla Articulos'!B:B,'Tabla Articulos'!E:E)</f>
        <v>#N/A</v>
      </c>
      <c r="R2906" s="44" t="e">
        <f t="shared" si="90"/>
        <v>#N/A</v>
      </c>
      <c r="S2906" s="45" t="str">
        <f t="shared" si="91"/>
        <v>7798011970322</v>
      </c>
    </row>
    <row r="2907" spans="1:19" hidden="1" x14ac:dyDescent="0.35">
      <c r="A2907" s="22">
        <v>2</v>
      </c>
      <c r="B2907" t="s">
        <v>5624</v>
      </c>
      <c r="C2907" t="s">
        <v>802</v>
      </c>
      <c r="D2907" t="s">
        <v>2226</v>
      </c>
      <c r="E2907" t="s">
        <v>2227</v>
      </c>
      <c r="F2907">
        <v>4049038</v>
      </c>
      <c r="G2907" t="s">
        <v>2228</v>
      </c>
      <c r="H2907" t="s">
        <v>805</v>
      </c>
      <c r="I2907">
        <v>880</v>
      </c>
      <c r="J2907">
        <v>0</v>
      </c>
      <c r="K2907">
        <v>0</v>
      </c>
      <c r="L2907">
        <v>20</v>
      </c>
      <c r="M2907">
        <v>20</v>
      </c>
      <c r="N2907">
        <v>0</v>
      </c>
      <c r="O2907">
        <v>840</v>
      </c>
      <c r="P2907" s="44" t="e">
        <f>_xlfn.XLOOKUP(Tabla5[[#This Row],[EAN CORREGIDO]],'Tabla Articulos'!B:B,'Tabla Articulos'!D:D)</f>
        <v>#N/A</v>
      </c>
      <c r="Q2907" s="44" t="e">
        <f>_xlfn.XLOOKUP(S2907,'Tabla Articulos'!B:B,'Tabla Articulos'!E:E)</f>
        <v>#N/A</v>
      </c>
      <c r="R2907" s="44" t="e">
        <f t="shared" si="90"/>
        <v>#N/A</v>
      </c>
      <c r="S2907" s="45" t="str">
        <f t="shared" si="91"/>
        <v>7790787949083</v>
      </c>
    </row>
    <row r="2908" spans="1:19" hidden="1" x14ac:dyDescent="0.35">
      <c r="A2908" s="22">
        <v>2</v>
      </c>
      <c r="B2908" t="s">
        <v>5624</v>
      </c>
      <c r="C2908" t="s">
        <v>802</v>
      </c>
      <c r="D2908" t="s">
        <v>3984</v>
      </c>
      <c r="E2908" t="s">
        <v>3985</v>
      </c>
      <c r="F2908">
        <v>4020097</v>
      </c>
      <c r="G2908" t="s">
        <v>3986</v>
      </c>
      <c r="H2908" t="s">
        <v>805</v>
      </c>
      <c r="I2908">
        <v>18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18</v>
      </c>
      <c r="P2908" s="44" t="e">
        <f>_xlfn.XLOOKUP(Tabla5[[#This Row],[EAN CORREGIDO]],'Tabla Articulos'!B:B,'Tabla Articulos'!D:D)</f>
        <v>#N/A</v>
      </c>
      <c r="Q2908" s="44" t="e">
        <f>_xlfn.XLOOKUP(S2908,'Tabla Articulos'!B:B,'Tabla Articulos'!E:E)</f>
        <v>#N/A</v>
      </c>
      <c r="R2908" s="44" t="e">
        <f t="shared" si="90"/>
        <v>#N/A</v>
      </c>
      <c r="S2908" s="45" t="str">
        <f t="shared" si="91"/>
        <v>7793875324151</v>
      </c>
    </row>
    <row r="2909" spans="1:19" hidden="1" x14ac:dyDescent="0.35">
      <c r="A2909" s="22">
        <v>2</v>
      </c>
      <c r="B2909" t="s">
        <v>5624</v>
      </c>
      <c r="C2909" t="s">
        <v>802</v>
      </c>
      <c r="D2909" t="s">
        <v>4691</v>
      </c>
      <c r="E2909" t="s">
        <v>6457</v>
      </c>
      <c r="F2909">
        <v>4018788</v>
      </c>
      <c r="G2909" t="s">
        <v>6458</v>
      </c>
      <c r="H2909" t="s">
        <v>805</v>
      </c>
      <c r="I2909">
        <v>529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529</v>
      </c>
      <c r="P2909" s="44" t="e">
        <f>_xlfn.XLOOKUP(Tabla5[[#This Row],[EAN CORREGIDO]],'Tabla Articulos'!B:B,'Tabla Articulos'!D:D)</f>
        <v>#N/A</v>
      </c>
      <c r="Q2909" s="44" t="e">
        <f>_xlfn.XLOOKUP(S2909,'Tabla Articulos'!B:B,'Tabla Articulos'!E:E)</f>
        <v>#N/A</v>
      </c>
      <c r="R2909" s="44" t="e">
        <f t="shared" si="90"/>
        <v>#N/A</v>
      </c>
      <c r="S2909" s="45" t="str">
        <f t="shared" si="91"/>
        <v>7790040147720</v>
      </c>
    </row>
    <row r="2910" spans="1:19" hidden="1" x14ac:dyDescent="0.35">
      <c r="A2910" s="22">
        <v>2</v>
      </c>
      <c r="B2910" t="s">
        <v>5624</v>
      </c>
      <c r="C2910" t="s">
        <v>802</v>
      </c>
      <c r="D2910" t="s">
        <v>3990</v>
      </c>
      <c r="E2910" t="s">
        <v>3991</v>
      </c>
      <c r="F2910">
        <v>4018303</v>
      </c>
      <c r="G2910" t="s">
        <v>3992</v>
      </c>
      <c r="H2910" t="s">
        <v>805</v>
      </c>
      <c r="I2910">
        <v>403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403</v>
      </c>
      <c r="P2910" s="44" t="e">
        <f>_xlfn.XLOOKUP(Tabla5[[#This Row],[EAN CORREGIDO]],'Tabla Articulos'!B:B,'Tabla Articulos'!D:D)</f>
        <v>#N/A</v>
      </c>
      <c r="Q2910" s="44" t="e">
        <f>_xlfn.XLOOKUP(S2910,'Tabla Articulos'!B:B,'Tabla Articulos'!E:E)</f>
        <v>#N/A</v>
      </c>
      <c r="R2910" s="44" t="e">
        <f t="shared" si="90"/>
        <v>#N/A</v>
      </c>
      <c r="S2910" s="45" t="str">
        <f t="shared" si="91"/>
        <v>7798011970650</v>
      </c>
    </row>
    <row r="2911" spans="1:19" hidden="1" x14ac:dyDescent="0.35">
      <c r="A2911" s="22">
        <v>2</v>
      </c>
      <c r="B2911" t="s">
        <v>5624</v>
      </c>
      <c r="C2911" t="s">
        <v>802</v>
      </c>
      <c r="D2911" t="s">
        <v>363</v>
      </c>
      <c r="E2911" t="s">
        <v>6015</v>
      </c>
      <c r="F2911">
        <v>2007321</v>
      </c>
      <c r="G2911" t="s">
        <v>6016</v>
      </c>
      <c r="H2911" t="s">
        <v>805</v>
      </c>
      <c r="I2911">
        <v>9</v>
      </c>
      <c r="J2911">
        <v>0</v>
      </c>
      <c r="K2911">
        <v>0</v>
      </c>
      <c r="L2911">
        <v>2</v>
      </c>
      <c r="M2911">
        <v>2</v>
      </c>
      <c r="N2911">
        <v>0</v>
      </c>
      <c r="O2911">
        <v>5</v>
      </c>
      <c r="P2911" s="44" t="str">
        <f>_xlfn.XLOOKUP(Tabla5[[#This Row],[EAN CORREGIDO]],'Tabla Articulos'!B:B,'Tabla Articulos'!D:D)</f>
        <v>BANDEJA 102 BIODEGRADABLE</v>
      </c>
      <c r="Q2911" s="44">
        <f>_xlfn.XLOOKUP(S2911,'Tabla Articulos'!B:B,'Tabla Articulos'!E:E)</f>
        <v>1400</v>
      </c>
      <c r="R2911" s="44">
        <f t="shared" si="90"/>
        <v>7000</v>
      </c>
      <c r="S2911" s="45" t="str">
        <f t="shared" si="91"/>
        <v>7790000000379</v>
      </c>
    </row>
    <row r="2912" spans="1:19" hidden="1" x14ac:dyDescent="0.35">
      <c r="A2912" s="22">
        <v>2</v>
      </c>
      <c r="B2912" t="s">
        <v>5624</v>
      </c>
      <c r="C2912" t="s">
        <v>802</v>
      </c>
      <c r="D2912" t="s">
        <v>6017</v>
      </c>
      <c r="E2912" t="s">
        <v>6018</v>
      </c>
      <c r="F2912">
        <v>4018868</v>
      </c>
      <c r="G2912" t="s">
        <v>6019</v>
      </c>
      <c r="H2912" t="s">
        <v>805</v>
      </c>
      <c r="I2912">
        <v>3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3</v>
      </c>
      <c r="P2912" s="44" t="e">
        <f>_xlfn.XLOOKUP(Tabla5[[#This Row],[EAN CORREGIDO]],'Tabla Articulos'!B:B,'Tabla Articulos'!D:D)</f>
        <v>#N/A</v>
      </c>
      <c r="Q2912" s="44" t="e">
        <f>_xlfn.XLOOKUP(S2912,'Tabla Articulos'!B:B,'Tabla Articulos'!E:E)</f>
        <v>#N/A</v>
      </c>
      <c r="R2912" s="44" t="e">
        <f t="shared" si="90"/>
        <v>#N/A</v>
      </c>
      <c r="S2912" s="45" t="str">
        <f t="shared" si="91"/>
        <v>7798082000133</v>
      </c>
    </row>
    <row r="2913" spans="1:19" hidden="1" x14ac:dyDescent="0.35">
      <c r="A2913" s="22">
        <v>2</v>
      </c>
      <c r="B2913" t="s">
        <v>5624</v>
      </c>
      <c r="C2913" t="s">
        <v>802</v>
      </c>
      <c r="D2913" t="s">
        <v>6020</v>
      </c>
      <c r="E2913" t="s">
        <v>6021</v>
      </c>
      <c r="F2913">
        <v>4023386</v>
      </c>
      <c r="G2913" t="s">
        <v>6022</v>
      </c>
      <c r="H2913" t="s">
        <v>805</v>
      </c>
      <c r="I2913">
        <v>3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3</v>
      </c>
      <c r="P2913" s="44" t="e">
        <f>_xlfn.XLOOKUP(Tabla5[[#This Row],[EAN CORREGIDO]],'Tabla Articulos'!B:B,'Tabla Articulos'!D:D)</f>
        <v>#N/A</v>
      </c>
      <c r="Q2913" s="44" t="e">
        <f>_xlfn.XLOOKUP(S2913,'Tabla Articulos'!B:B,'Tabla Articulos'!E:E)</f>
        <v>#N/A</v>
      </c>
      <c r="R2913" s="44" t="e">
        <f t="shared" si="90"/>
        <v>#N/A</v>
      </c>
      <c r="S2913" s="45" t="str">
        <f t="shared" si="91"/>
        <v>724751080523</v>
      </c>
    </row>
    <row r="2914" spans="1:19" hidden="1" x14ac:dyDescent="0.35">
      <c r="A2914" s="22">
        <v>2</v>
      </c>
      <c r="B2914" t="s">
        <v>5624</v>
      </c>
      <c r="C2914" t="s">
        <v>802</v>
      </c>
      <c r="D2914" t="s">
        <v>471</v>
      </c>
      <c r="E2914" t="s">
        <v>1447</v>
      </c>
      <c r="F2914">
        <v>2007191</v>
      </c>
      <c r="G2914" t="s">
        <v>1448</v>
      </c>
      <c r="H2914" t="s">
        <v>805</v>
      </c>
      <c r="I2914">
        <v>119</v>
      </c>
      <c r="J2914">
        <v>0</v>
      </c>
      <c r="K2914">
        <v>0</v>
      </c>
      <c r="L2914">
        <v>2</v>
      </c>
      <c r="M2914">
        <v>2</v>
      </c>
      <c r="N2914">
        <v>0</v>
      </c>
      <c r="O2914">
        <v>115</v>
      </c>
      <c r="P2914" s="44" t="str">
        <f>_xlfn.XLOOKUP(Tabla5[[#This Row],[EAN CORREGIDO]],'Tabla Articulos'!B:B,'Tabla Articulos'!D:D)</f>
        <v>INDIVIDUAL HEALTH</v>
      </c>
      <c r="Q2914" s="44">
        <f>_xlfn.XLOOKUP(S2914,'Tabla Articulos'!B:B,'Tabla Articulos'!E:E)</f>
        <v>1000</v>
      </c>
      <c r="R2914" s="44">
        <f t="shared" si="90"/>
        <v>115000</v>
      </c>
      <c r="S2914" s="45" t="str">
        <f t="shared" si="91"/>
        <v>7790000000235</v>
      </c>
    </row>
    <row r="2915" spans="1:19" hidden="1" x14ac:dyDescent="0.35">
      <c r="A2915" s="22">
        <v>2</v>
      </c>
      <c r="B2915" t="s">
        <v>5624</v>
      </c>
      <c r="C2915" t="s">
        <v>802</v>
      </c>
      <c r="D2915" t="s">
        <v>1449</v>
      </c>
      <c r="E2915" t="s">
        <v>1450</v>
      </c>
      <c r="F2915">
        <v>4021261</v>
      </c>
      <c r="G2915" t="s">
        <v>1451</v>
      </c>
      <c r="H2915" t="s">
        <v>805</v>
      </c>
      <c r="I2915">
        <v>652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652</v>
      </c>
      <c r="P2915" s="44" t="e">
        <f>_xlfn.XLOOKUP(Tabla5[[#This Row],[EAN CORREGIDO]],'Tabla Articulos'!B:B,'Tabla Articulos'!D:D)</f>
        <v>#N/A</v>
      </c>
      <c r="Q2915" s="44" t="e">
        <f>_xlfn.XLOOKUP(S2915,'Tabla Articulos'!B:B,'Tabla Articulos'!E:E)</f>
        <v>#N/A</v>
      </c>
      <c r="R2915" s="44" t="e">
        <f t="shared" si="90"/>
        <v>#N/A</v>
      </c>
      <c r="S2915" s="45" t="str">
        <f t="shared" si="91"/>
        <v>7798338290110</v>
      </c>
    </row>
    <row r="2916" spans="1:19" hidden="1" x14ac:dyDescent="0.35">
      <c r="A2916" s="22">
        <v>2</v>
      </c>
      <c r="B2916" t="s">
        <v>5624</v>
      </c>
      <c r="C2916" t="s">
        <v>802</v>
      </c>
      <c r="D2916" t="s">
        <v>5725</v>
      </c>
      <c r="E2916" t="s">
        <v>5726</v>
      </c>
      <c r="F2916">
        <v>4018740</v>
      </c>
      <c r="G2916" t="s">
        <v>5727</v>
      </c>
      <c r="H2916" t="s">
        <v>805</v>
      </c>
      <c r="I2916">
        <v>4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4</v>
      </c>
      <c r="P2916" s="44" t="e">
        <f>_xlfn.XLOOKUP(Tabla5[[#This Row],[EAN CORREGIDO]],'Tabla Articulos'!B:B,'Tabla Articulos'!D:D)</f>
        <v>#N/A</v>
      </c>
      <c r="Q2916" s="44" t="e">
        <f>_xlfn.XLOOKUP(S2916,'Tabla Articulos'!B:B,'Tabla Articulos'!E:E)</f>
        <v>#N/A</v>
      </c>
      <c r="R2916" s="44" t="e">
        <f t="shared" si="90"/>
        <v>#N/A</v>
      </c>
      <c r="S2916" s="45" t="str">
        <f t="shared" si="91"/>
        <v>7798357290351</v>
      </c>
    </row>
    <row r="2917" spans="1:19" hidden="1" x14ac:dyDescent="0.35">
      <c r="A2917" s="22">
        <v>2</v>
      </c>
      <c r="B2917" t="s">
        <v>5624</v>
      </c>
      <c r="C2917" t="s">
        <v>802</v>
      </c>
      <c r="D2917" t="s">
        <v>1529</v>
      </c>
      <c r="E2917" t="s">
        <v>5728</v>
      </c>
      <c r="F2917">
        <v>4049177</v>
      </c>
      <c r="G2917" t="s">
        <v>5729</v>
      </c>
      <c r="H2917" t="s">
        <v>805</v>
      </c>
      <c r="I2917">
        <v>158</v>
      </c>
      <c r="J2917">
        <v>0</v>
      </c>
      <c r="K2917">
        <v>0</v>
      </c>
      <c r="L2917">
        <v>9</v>
      </c>
      <c r="M2917">
        <v>9</v>
      </c>
      <c r="N2917">
        <v>0</v>
      </c>
      <c r="O2917">
        <v>140</v>
      </c>
      <c r="P2917" s="44" t="e">
        <f>_xlfn.XLOOKUP(Tabla5[[#This Row],[EAN CORREGIDO]],'Tabla Articulos'!B:B,'Tabla Articulos'!D:D)</f>
        <v>#N/A</v>
      </c>
      <c r="Q2917" s="44" t="e">
        <f>_xlfn.XLOOKUP(S2917,'Tabla Articulos'!B:B,'Tabla Articulos'!E:E)</f>
        <v>#N/A</v>
      </c>
      <c r="R2917" s="44" t="e">
        <f t="shared" si="90"/>
        <v>#N/A</v>
      </c>
      <c r="S2917" s="45" t="str">
        <f t="shared" si="91"/>
        <v>7798099030031</v>
      </c>
    </row>
    <row r="2918" spans="1:19" hidden="1" x14ac:dyDescent="0.35">
      <c r="A2918" s="22">
        <v>2</v>
      </c>
      <c r="B2918" t="s">
        <v>5624</v>
      </c>
      <c r="C2918" t="s">
        <v>802</v>
      </c>
      <c r="D2918" t="s">
        <v>1717</v>
      </c>
      <c r="E2918" t="s">
        <v>1718</v>
      </c>
      <c r="F2918">
        <v>4018843</v>
      </c>
      <c r="G2918" t="s">
        <v>1719</v>
      </c>
      <c r="H2918" t="s">
        <v>805</v>
      </c>
      <c r="I2918">
        <v>2427</v>
      </c>
      <c r="J2918">
        <v>0</v>
      </c>
      <c r="K2918">
        <v>0</v>
      </c>
      <c r="L2918">
        <v>88</v>
      </c>
      <c r="M2918">
        <v>88</v>
      </c>
      <c r="N2918">
        <v>0</v>
      </c>
      <c r="O2918">
        <v>2251</v>
      </c>
      <c r="P2918" s="44" t="e">
        <f>_xlfn.XLOOKUP(Tabla5[[#This Row],[EAN CORREGIDO]],'Tabla Articulos'!B:B,'Tabla Articulos'!D:D)</f>
        <v>#N/A</v>
      </c>
      <c r="Q2918" s="44" t="e">
        <f>_xlfn.XLOOKUP(S2918,'Tabla Articulos'!B:B,'Tabla Articulos'!E:E)</f>
        <v>#N/A</v>
      </c>
      <c r="R2918" s="44" t="e">
        <f t="shared" si="90"/>
        <v>#N/A</v>
      </c>
      <c r="S2918" s="45" t="str">
        <f t="shared" si="91"/>
        <v>7791376000925</v>
      </c>
    </row>
    <row r="2919" spans="1:19" hidden="1" x14ac:dyDescent="0.35">
      <c r="A2919" s="22">
        <v>2</v>
      </c>
      <c r="B2919" t="s">
        <v>5624</v>
      </c>
      <c r="C2919" t="s">
        <v>802</v>
      </c>
      <c r="D2919" t="s">
        <v>958</v>
      </c>
      <c r="E2919" t="s">
        <v>5862</v>
      </c>
      <c r="F2919">
        <v>4018082</v>
      </c>
      <c r="G2919" t="s">
        <v>5863</v>
      </c>
      <c r="H2919" t="s">
        <v>816</v>
      </c>
      <c r="I2919">
        <v>1272.5</v>
      </c>
      <c r="J2919">
        <v>0</v>
      </c>
      <c r="K2919">
        <v>0</v>
      </c>
      <c r="L2919">
        <v>55</v>
      </c>
      <c r="M2919">
        <v>74</v>
      </c>
      <c r="N2919">
        <v>0</v>
      </c>
      <c r="O2919">
        <v>1143.5</v>
      </c>
      <c r="P2919" s="44" t="e">
        <f>_xlfn.XLOOKUP(Tabla5[[#This Row],[EAN CORREGIDO]],'Tabla Articulos'!B:B,'Tabla Articulos'!D:D)</f>
        <v>#N/A</v>
      </c>
      <c r="Q2919" s="44" t="e">
        <f>_xlfn.XLOOKUP(S2919,'Tabla Articulos'!B:B,'Tabla Articulos'!E:E)</f>
        <v>#N/A</v>
      </c>
      <c r="R2919" s="44" t="e">
        <f t="shared" si="90"/>
        <v>#N/A</v>
      </c>
      <c r="S2919" s="45" t="str">
        <f t="shared" si="91"/>
        <v>7790216020118</v>
      </c>
    </row>
    <row r="2920" spans="1:19" hidden="1" x14ac:dyDescent="0.35">
      <c r="A2920" s="22">
        <v>2</v>
      </c>
      <c r="B2920" t="s">
        <v>5624</v>
      </c>
      <c r="C2920" t="s">
        <v>802</v>
      </c>
      <c r="D2920" t="s">
        <v>1720</v>
      </c>
      <c r="E2920" t="s">
        <v>1721</v>
      </c>
      <c r="F2920">
        <v>4021353</v>
      </c>
      <c r="G2920" t="s">
        <v>1722</v>
      </c>
      <c r="H2920" t="s">
        <v>805</v>
      </c>
      <c r="I2920">
        <v>39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39</v>
      </c>
      <c r="P2920" s="44" t="e">
        <f>_xlfn.XLOOKUP(Tabla5[[#This Row],[EAN CORREGIDO]],'Tabla Articulos'!B:B,'Tabla Articulos'!D:D)</f>
        <v>#N/A</v>
      </c>
      <c r="Q2920" s="44" t="e">
        <f>_xlfn.XLOOKUP(S2920,'Tabla Articulos'!B:B,'Tabla Articulos'!E:E)</f>
        <v>#N/A</v>
      </c>
      <c r="R2920" s="44" t="e">
        <f t="shared" si="90"/>
        <v>#N/A</v>
      </c>
      <c r="S2920" s="45" t="str">
        <f t="shared" si="91"/>
        <v>8445290900654</v>
      </c>
    </row>
    <row r="2921" spans="1:19" hidden="1" x14ac:dyDescent="0.35">
      <c r="A2921" s="22">
        <v>2</v>
      </c>
      <c r="B2921" t="s">
        <v>5624</v>
      </c>
      <c r="C2921" t="s">
        <v>802</v>
      </c>
      <c r="D2921" t="s">
        <v>6678</v>
      </c>
      <c r="E2921" t="s">
        <v>6679</v>
      </c>
      <c r="F2921">
        <v>4076729</v>
      </c>
      <c r="G2921" t="s">
        <v>6680</v>
      </c>
      <c r="H2921" t="s">
        <v>805</v>
      </c>
      <c r="I2921">
        <v>5</v>
      </c>
      <c r="J2921">
        <v>0</v>
      </c>
      <c r="K2921">
        <v>0</v>
      </c>
      <c r="L2921">
        <v>1</v>
      </c>
      <c r="M2921">
        <v>1</v>
      </c>
      <c r="N2921">
        <v>0</v>
      </c>
      <c r="O2921">
        <v>3</v>
      </c>
      <c r="P2921" s="44" t="e">
        <f>_xlfn.XLOOKUP(Tabla5[[#This Row],[EAN CORREGIDO]],'Tabla Articulos'!B:B,'Tabla Articulos'!D:D)</f>
        <v>#N/A</v>
      </c>
      <c r="Q2921" s="44" t="e">
        <f>_xlfn.XLOOKUP(S2921,'Tabla Articulos'!B:B,'Tabla Articulos'!E:E)</f>
        <v>#N/A</v>
      </c>
      <c r="R2921" s="44" t="e">
        <f t="shared" si="90"/>
        <v>#N/A</v>
      </c>
      <c r="S2921" s="45" t="str">
        <f t="shared" si="91"/>
        <v>7793275016069</v>
      </c>
    </row>
    <row r="2922" spans="1:19" hidden="1" x14ac:dyDescent="0.35">
      <c r="A2922" s="22">
        <v>2</v>
      </c>
      <c r="B2922" t="s">
        <v>5624</v>
      </c>
      <c r="C2922" t="s">
        <v>802</v>
      </c>
      <c r="D2922" t="s">
        <v>3502</v>
      </c>
      <c r="E2922" t="s">
        <v>5261</v>
      </c>
      <c r="F2922">
        <v>4020246</v>
      </c>
      <c r="G2922" t="s">
        <v>5262</v>
      </c>
      <c r="H2922" t="s">
        <v>805</v>
      </c>
      <c r="I2922">
        <v>4479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4479</v>
      </c>
      <c r="P2922" s="44" t="e">
        <f>_xlfn.XLOOKUP(Tabla5[[#This Row],[EAN CORREGIDO]],'Tabla Articulos'!B:B,'Tabla Articulos'!D:D)</f>
        <v>#N/A</v>
      </c>
      <c r="Q2922" s="44" t="e">
        <f>_xlfn.XLOOKUP(S2922,'Tabla Articulos'!B:B,'Tabla Articulos'!E:E)</f>
        <v>#N/A</v>
      </c>
      <c r="R2922" s="44" t="e">
        <f t="shared" si="90"/>
        <v>#N/A</v>
      </c>
      <c r="S2922" s="45" t="str">
        <f t="shared" si="91"/>
        <v>7793875360098</v>
      </c>
    </row>
    <row r="2923" spans="1:19" hidden="1" x14ac:dyDescent="0.35">
      <c r="A2923" s="22">
        <v>2</v>
      </c>
      <c r="B2923" t="s">
        <v>5624</v>
      </c>
      <c r="C2923" t="s">
        <v>802</v>
      </c>
      <c r="D2923" t="s">
        <v>3900</v>
      </c>
      <c r="E2923" t="s">
        <v>6839</v>
      </c>
      <c r="F2923">
        <v>4017736</v>
      </c>
      <c r="G2923" t="s">
        <v>6840</v>
      </c>
      <c r="H2923" t="s">
        <v>816</v>
      </c>
      <c r="I2923">
        <v>0</v>
      </c>
      <c r="J2923">
        <v>61</v>
      </c>
      <c r="K2923">
        <v>0</v>
      </c>
      <c r="L2923">
        <v>1</v>
      </c>
      <c r="M2923">
        <v>1</v>
      </c>
      <c r="N2923">
        <v>0</v>
      </c>
      <c r="O2923">
        <v>59</v>
      </c>
      <c r="P2923" s="44" t="e">
        <f>_xlfn.XLOOKUP(Tabla5[[#This Row],[EAN CORREGIDO]],'Tabla Articulos'!B:B,'Tabla Articulos'!D:D)</f>
        <v>#N/A</v>
      </c>
      <c r="Q2923" s="44" t="e">
        <f>_xlfn.XLOOKUP(S2923,'Tabla Articulos'!B:B,'Tabla Articulos'!E:E)</f>
        <v>#N/A</v>
      </c>
      <c r="R2923" s="44" t="e">
        <f t="shared" si="90"/>
        <v>#N/A</v>
      </c>
      <c r="S2923" s="45" t="str">
        <f t="shared" si="91"/>
        <v>7790212031209</v>
      </c>
    </row>
    <row r="2924" spans="1:19" hidden="1" x14ac:dyDescent="0.35">
      <c r="A2924" s="22">
        <v>2</v>
      </c>
      <c r="B2924" t="s">
        <v>5624</v>
      </c>
      <c r="C2924" t="s">
        <v>802</v>
      </c>
      <c r="D2924" t="s">
        <v>6681</v>
      </c>
      <c r="E2924" t="s">
        <v>6682</v>
      </c>
      <c r="F2924">
        <v>4022156</v>
      </c>
      <c r="G2924" t="s">
        <v>6683</v>
      </c>
      <c r="H2924" t="s">
        <v>805</v>
      </c>
      <c r="I2924">
        <v>182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182</v>
      </c>
      <c r="P2924" s="44" t="e">
        <f>_xlfn.XLOOKUP(Tabla5[[#This Row],[EAN CORREGIDO]],'Tabla Articulos'!B:B,'Tabla Articulos'!D:D)</f>
        <v>#N/A</v>
      </c>
      <c r="Q2924" s="44" t="e">
        <f>_xlfn.XLOOKUP(S2924,'Tabla Articulos'!B:B,'Tabla Articulos'!E:E)</f>
        <v>#N/A</v>
      </c>
      <c r="R2924" s="44" t="e">
        <f t="shared" si="90"/>
        <v>#N/A</v>
      </c>
      <c r="S2924" s="45" t="str">
        <f t="shared" si="91"/>
        <v>7791813402039</v>
      </c>
    </row>
    <row r="2925" spans="1:19" hidden="1" x14ac:dyDescent="0.35">
      <c r="A2925" s="22">
        <v>2</v>
      </c>
      <c r="B2925" t="s">
        <v>5624</v>
      </c>
      <c r="C2925" t="s">
        <v>802</v>
      </c>
      <c r="D2925" t="s">
        <v>2645</v>
      </c>
      <c r="E2925" t="s">
        <v>5093</v>
      </c>
      <c r="F2925">
        <v>4019733</v>
      </c>
      <c r="G2925" t="s">
        <v>5094</v>
      </c>
      <c r="H2925" t="s">
        <v>805</v>
      </c>
      <c r="I2925">
        <v>4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4</v>
      </c>
      <c r="P2925" s="44" t="e">
        <f>_xlfn.XLOOKUP(Tabla5[[#This Row],[EAN CORREGIDO]],'Tabla Articulos'!B:B,'Tabla Articulos'!D:D)</f>
        <v>#N/A</v>
      </c>
      <c r="Q2925" s="44" t="e">
        <f>_xlfn.XLOOKUP(S2925,'Tabla Articulos'!B:B,'Tabla Articulos'!E:E)</f>
        <v>#N/A</v>
      </c>
      <c r="R2925" s="44" t="e">
        <f t="shared" si="90"/>
        <v>#N/A</v>
      </c>
      <c r="S2925" s="45" t="str">
        <f t="shared" si="91"/>
        <v>7790499017667</v>
      </c>
    </row>
    <row r="2926" spans="1:19" hidden="1" x14ac:dyDescent="0.35">
      <c r="A2926" s="22">
        <v>2</v>
      </c>
      <c r="B2926" t="s">
        <v>5624</v>
      </c>
      <c r="C2926" t="s">
        <v>802</v>
      </c>
      <c r="D2926" t="s">
        <v>6642</v>
      </c>
      <c r="E2926" t="s">
        <v>6643</v>
      </c>
      <c r="F2926">
        <v>4022870</v>
      </c>
      <c r="G2926" t="s">
        <v>6644</v>
      </c>
      <c r="H2926" t="s">
        <v>805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1</v>
      </c>
      <c r="P2926" s="44" t="e">
        <f>_xlfn.XLOOKUP(Tabla5[[#This Row],[EAN CORREGIDO]],'Tabla Articulos'!B:B,'Tabla Articulos'!D:D)</f>
        <v>#N/A</v>
      </c>
      <c r="Q2926" s="44" t="e">
        <f>_xlfn.XLOOKUP(S2926,'Tabla Articulos'!B:B,'Tabla Articulos'!E:E)</f>
        <v>#N/A</v>
      </c>
      <c r="R2926" s="44" t="e">
        <f t="shared" si="90"/>
        <v>#N/A</v>
      </c>
      <c r="S2926" s="45" t="str">
        <f t="shared" si="91"/>
        <v>7794058703206</v>
      </c>
    </row>
    <row r="2927" spans="1:19" hidden="1" x14ac:dyDescent="0.35">
      <c r="A2927" s="22">
        <v>2</v>
      </c>
      <c r="B2927" t="s">
        <v>5624</v>
      </c>
      <c r="C2927" t="s">
        <v>802</v>
      </c>
      <c r="D2927" t="s">
        <v>5799</v>
      </c>
      <c r="E2927" t="s">
        <v>5800</v>
      </c>
      <c r="F2927">
        <v>4077445</v>
      </c>
      <c r="G2927" t="s">
        <v>5801</v>
      </c>
      <c r="H2927" t="s">
        <v>805</v>
      </c>
      <c r="I2927">
        <v>60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60</v>
      </c>
      <c r="P2927" s="44" t="e">
        <f>_xlfn.XLOOKUP(Tabla5[[#This Row],[EAN CORREGIDO]],'Tabla Articulos'!B:B,'Tabla Articulos'!D:D)</f>
        <v>#N/A</v>
      </c>
      <c r="Q2927" s="44" t="e">
        <f>_xlfn.XLOOKUP(S2927,'Tabla Articulos'!B:B,'Tabla Articulos'!E:E)</f>
        <v>#N/A</v>
      </c>
      <c r="R2927" s="44" t="e">
        <f t="shared" si="90"/>
        <v>#N/A</v>
      </c>
      <c r="S2927" s="45" t="str">
        <f t="shared" si="91"/>
        <v>7795711000069</v>
      </c>
    </row>
    <row r="2928" spans="1:19" hidden="1" x14ac:dyDescent="0.35">
      <c r="A2928" s="22">
        <v>2</v>
      </c>
      <c r="B2928" t="s">
        <v>5624</v>
      </c>
      <c r="C2928" t="s">
        <v>802</v>
      </c>
      <c r="D2928" t="s">
        <v>5802</v>
      </c>
      <c r="E2928" t="s">
        <v>5803</v>
      </c>
      <c r="F2928">
        <v>4022014</v>
      </c>
      <c r="G2928" t="s">
        <v>5804</v>
      </c>
      <c r="H2928" t="s">
        <v>805</v>
      </c>
      <c r="I2928">
        <v>9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9</v>
      </c>
      <c r="P2928" s="44" t="e">
        <f>_xlfn.XLOOKUP(Tabla5[[#This Row],[EAN CORREGIDO]],'Tabla Articulos'!B:B,'Tabla Articulos'!D:D)</f>
        <v>#N/A</v>
      </c>
      <c r="Q2928" s="44" t="e">
        <f>_xlfn.XLOOKUP(S2928,'Tabla Articulos'!B:B,'Tabla Articulos'!E:E)</f>
        <v>#N/A</v>
      </c>
      <c r="R2928" s="44" t="e">
        <f t="shared" si="90"/>
        <v>#N/A</v>
      </c>
      <c r="S2928" s="45" t="str">
        <f t="shared" si="91"/>
        <v>7790550010255</v>
      </c>
    </row>
    <row r="2929" spans="1:19" hidden="1" x14ac:dyDescent="0.35">
      <c r="A2929" s="22">
        <v>2</v>
      </c>
      <c r="B2929" t="s">
        <v>5624</v>
      </c>
      <c r="C2929" t="s">
        <v>802</v>
      </c>
      <c r="D2929" t="s">
        <v>2756</v>
      </c>
      <c r="E2929" t="s">
        <v>5805</v>
      </c>
      <c r="F2929">
        <v>4020575</v>
      </c>
      <c r="G2929" t="s">
        <v>5806</v>
      </c>
      <c r="H2929" t="s">
        <v>816</v>
      </c>
      <c r="I2929">
        <v>2.7250000000000001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2.7250000000000001</v>
      </c>
      <c r="P2929" s="44" t="e">
        <f>_xlfn.XLOOKUP(Tabla5[[#This Row],[EAN CORREGIDO]],'Tabla Articulos'!B:B,'Tabla Articulos'!D:D)</f>
        <v>#N/A</v>
      </c>
      <c r="Q2929" s="44" t="e">
        <f>_xlfn.XLOOKUP(S2929,'Tabla Articulos'!B:B,'Tabla Articulos'!E:E)</f>
        <v>#N/A</v>
      </c>
      <c r="R2929" s="44" t="e">
        <f t="shared" si="90"/>
        <v>#N/A</v>
      </c>
      <c r="S2929" s="45" t="str">
        <f t="shared" si="91"/>
        <v>9060090</v>
      </c>
    </row>
    <row r="2930" spans="1:19" hidden="1" x14ac:dyDescent="0.35">
      <c r="A2930" s="22">
        <v>2</v>
      </c>
      <c r="B2930" t="s">
        <v>5624</v>
      </c>
      <c r="C2930" t="s">
        <v>802</v>
      </c>
      <c r="D2930" t="s">
        <v>5179</v>
      </c>
      <c r="E2930" t="s">
        <v>5180</v>
      </c>
      <c r="F2930">
        <v>4019936</v>
      </c>
      <c r="G2930" t="s">
        <v>5181</v>
      </c>
      <c r="H2930" t="s">
        <v>805</v>
      </c>
      <c r="I2930">
        <v>22</v>
      </c>
      <c r="J2930">
        <v>380</v>
      </c>
      <c r="K2930">
        <v>0</v>
      </c>
      <c r="L2930">
        <v>0</v>
      </c>
      <c r="M2930">
        <v>0</v>
      </c>
      <c r="N2930">
        <v>0</v>
      </c>
      <c r="O2930">
        <v>402</v>
      </c>
      <c r="P2930" s="44" t="e">
        <f>_xlfn.XLOOKUP(Tabla5[[#This Row],[EAN CORREGIDO]],'Tabla Articulos'!B:B,'Tabla Articulos'!D:D)</f>
        <v>#N/A</v>
      </c>
      <c r="Q2930" s="44" t="e">
        <f>_xlfn.XLOOKUP(S2930,'Tabla Articulos'!B:B,'Tabla Articulos'!E:E)</f>
        <v>#N/A</v>
      </c>
      <c r="R2930" s="44" t="e">
        <f t="shared" si="90"/>
        <v>#N/A</v>
      </c>
      <c r="S2930" s="45" t="str">
        <f t="shared" si="91"/>
        <v>7790989004290</v>
      </c>
    </row>
    <row r="2931" spans="1:19" hidden="1" x14ac:dyDescent="0.35">
      <c r="A2931" s="22">
        <v>2</v>
      </c>
      <c r="B2931" t="s">
        <v>5624</v>
      </c>
      <c r="C2931" t="s">
        <v>802</v>
      </c>
      <c r="D2931" t="s">
        <v>4666</v>
      </c>
      <c r="E2931" t="s">
        <v>5182</v>
      </c>
      <c r="F2931">
        <v>4020042</v>
      </c>
      <c r="G2931" t="s">
        <v>5183</v>
      </c>
      <c r="H2931" t="s">
        <v>805</v>
      </c>
      <c r="I2931">
        <v>257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257</v>
      </c>
      <c r="P2931" s="44" t="e">
        <f>_xlfn.XLOOKUP(Tabla5[[#This Row],[EAN CORREGIDO]],'Tabla Articulos'!B:B,'Tabla Articulos'!D:D)</f>
        <v>#N/A</v>
      </c>
      <c r="Q2931" s="44" t="e">
        <f>_xlfn.XLOOKUP(S2931,'Tabla Articulos'!B:B,'Tabla Articulos'!E:E)</f>
        <v>#N/A</v>
      </c>
      <c r="R2931" s="44" t="e">
        <f t="shared" si="90"/>
        <v>#N/A</v>
      </c>
      <c r="S2931" s="45" t="str">
        <f t="shared" si="91"/>
        <v>7792280000377</v>
      </c>
    </row>
    <row r="2932" spans="1:19" hidden="1" x14ac:dyDescent="0.35">
      <c r="A2932" s="22">
        <v>2</v>
      </c>
      <c r="B2932" t="s">
        <v>5624</v>
      </c>
      <c r="C2932" t="s">
        <v>802</v>
      </c>
      <c r="D2932" t="s">
        <v>2165</v>
      </c>
      <c r="E2932" t="s">
        <v>4493</v>
      </c>
      <c r="F2932">
        <v>4022557</v>
      </c>
      <c r="G2932" t="s">
        <v>4494</v>
      </c>
      <c r="H2932" t="s">
        <v>805</v>
      </c>
      <c r="I2932">
        <v>37232</v>
      </c>
      <c r="J2932">
        <v>0</v>
      </c>
      <c r="K2932">
        <v>27184</v>
      </c>
      <c r="L2932">
        <v>0</v>
      </c>
      <c r="M2932">
        <v>0</v>
      </c>
      <c r="N2932">
        <v>0</v>
      </c>
      <c r="O2932">
        <v>10048</v>
      </c>
      <c r="P2932" s="44" t="e">
        <f>_xlfn.XLOOKUP(Tabla5[[#This Row],[EAN CORREGIDO]],'Tabla Articulos'!B:B,'Tabla Articulos'!D:D)</f>
        <v>#N/A</v>
      </c>
      <c r="Q2932" s="44" t="e">
        <f>_xlfn.XLOOKUP(S2932,'Tabla Articulos'!B:B,'Tabla Articulos'!E:E)</f>
        <v>#N/A</v>
      </c>
      <c r="R2932" s="44" t="e">
        <f t="shared" si="90"/>
        <v>#N/A</v>
      </c>
      <c r="S2932" s="45" t="str">
        <f t="shared" si="91"/>
        <v>7798181641459</v>
      </c>
    </row>
    <row r="2933" spans="1:19" hidden="1" x14ac:dyDescent="0.35">
      <c r="A2933" s="22">
        <v>2</v>
      </c>
      <c r="B2933" t="s">
        <v>5624</v>
      </c>
      <c r="C2933" t="s">
        <v>802</v>
      </c>
      <c r="D2933" t="s">
        <v>2894</v>
      </c>
      <c r="E2933" t="s">
        <v>4497</v>
      </c>
      <c r="F2933">
        <v>4022359</v>
      </c>
      <c r="G2933" t="s">
        <v>4498</v>
      </c>
      <c r="H2933" t="s">
        <v>805</v>
      </c>
      <c r="I2933">
        <v>933</v>
      </c>
      <c r="J2933">
        <v>0</v>
      </c>
      <c r="K2933">
        <v>0</v>
      </c>
      <c r="L2933">
        <v>44</v>
      </c>
      <c r="M2933">
        <v>44</v>
      </c>
      <c r="N2933">
        <v>0</v>
      </c>
      <c r="O2933">
        <v>845</v>
      </c>
      <c r="P2933" s="44" t="e">
        <f>_xlfn.XLOOKUP(Tabla5[[#This Row],[EAN CORREGIDO]],'Tabla Articulos'!B:B,'Tabla Articulos'!D:D)</f>
        <v>#N/A</v>
      </c>
      <c r="Q2933" s="44" t="e">
        <f>_xlfn.XLOOKUP(S2933,'Tabla Articulos'!B:B,'Tabla Articulos'!E:E)</f>
        <v>#N/A</v>
      </c>
      <c r="R2933" s="44" t="e">
        <f t="shared" si="90"/>
        <v>#N/A</v>
      </c>
      <c r="S2933" s="45" t="str">
        <f t="shared" si="91"/>
        <v>7790499000867</v>
      </c>
    </row>
    <row r="2934" spans="1:19" hidden="1" x14ac:dyDescent="0.35">
      <c r="A2934" s="22">
        <v>2</v>
      </c>
      <c r="B2934" t="s">
        <v>5624</v>
      </c>
      <c r="C2934" t="s">
        <v>802</v>
      </c>
      <c r="D2934" t="s">
        <v>1726</v>
      </c>
      <c r="E2934" t="s">
        <v>1727</v>
      </c>
      <c r="F2934">
        <v>2016560</v>
      </c>
      <c r="G2934" t="s">
        <v>1728</v>
      </c>
      <c r="H2934" t="s">
        <v>805</v>
      </c>
      <c r="I2934">
        <v>10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10</v>
      </c>
      <c r="P2934" s="44" t="str">
        <f>_xlfn.XLOOKUP(Tabla5[[#This Row],[EAN CORREGIDO]],'Tabla Articulos'!B:B,'Tabla Articulos'!D:D)</f>
        <v>DEGUSTADOR</v>
      </c>
      <c r="Q2934" s="44">
        <f>_xlfn.XLOOKUP(S2934,'Tabla Articulos'!B:B,'Tabla Articulos'!E:E)</f>
        <v>2000</v>
      </c>
      <c r="R2934" s="44">
        <f t="shared" si="90"/>
        <v>20000</v>
      </c>
      <c r="S2934" s="45" t="str">
        <f t="shared" si="91"/>
        <v>7790000000735</v>
      </c>
    </row>
    <row r="2935" spans="1:19" hidden="1" x14ac:dyDescent="0.35">
      <c r="A2935" s="22">
        <v>2</v>
      </c>
      <c r="B2935" t="s">
        <v>5624</v>
      </c>
      <c r="C2935" t="s">
        <v>802</v>
      </c>
      <c r="D2935" t="s">
        <v>5864</v>
      </c>
      <c r="E2935" t="s">
        <v>5865</v>
      </c>
      <c r="F2935">
        <v>4018935</v>
      </c>
      <c r="G2935" t="s">
        <v>5866</v>
      </c>
      <c r="H2935" t="s">
        <v>805</v>
      </c>
      <c r="I2935">
        <v>330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330</v>
      </c>
      <c r="P2935" s="44" t="e">
        <f>_xlfn.XLOOKUP(Tabla5[[#This Row],[EAN CORREGIDO]],'Tabla Articulos'!B:B,'Tabla Articulos'!D:D)</f>
        <v>#N/A</v>
      </c>
      <c r="Q2935" s="44" t="e">
        <f>_xlfn.XLOOKUP(S2935,'Tabla Articulos'!B:B,'Tabla Articulos'!E:E)</f>
        <v>#N/A</v>
      </c>
      <c r="R2935" s="44" t="e">
        <f t="shared" si="90"/>
        <v>#N/A</v>
      </c>
      <c r="S2935" s="45" t="str">
        <f t="shared" si="91"/>
        <v>7790040140912</v>
      </c>
    </row>
    <row r="2936" spans="1:19" hidden="1" x14ac:dyDescent="0.35">
      <c r="A2936" s="22">
        <v>2</v>
      </c>
      <c r="B2936" t="s">
        <v>5624</v>
      </c>
      <c r="C2936" t="s">
        <v>802</v>
      </c>
      <c r="D2936"/>
      <c r="E2936" t="s">
        <v>6633</v>
      </c>
      <c r="F2936"/>
      <c r="G2936" t="s">
        <v>6634</v>
      </c>
      <c r="H2936" t="s">
        <v>816</v>
      </c>
      <c r="I2936">
        <v>90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90</v>
      </c>
      <c r="P2936" s="44" t="e">
        <f>_xlfn.XLOOKUP(Tabla5[[#This Row],[EAN CORREGIDO]],'Tabla Articulos'!B:B,'Tabla Articulos'!D:D)</f>
        <v>#N/A</v>
      </c>
      <c r="Q2936" s="44" t="e">
        <f>_xlfn.XLOOKUP(S2936,'Tabla Articulos'!B:B,'Tabla Articulos'!E:E)</f>
        <v>#N/A</v>
      </c>
      <c r="R2936" s="44" t="e">
        <f t="shared" si="90"/>
        <v>#N/A</v>
      </c>
      <c r="S2936" s="45" t="str">
        <f t="shared" si="91"/>
        <v>4021760</v>
      </c>
    </row>
    <row r="2937" spans="1:19" hidden="1" x14ac:dyDescent="0.35">
      <c r="A2937" s="22">
        <v>2</v>
      </c>
      <c r="B2937" t="s">
        <v>5624</v>
      </c>
      <c r="C2937" t="s">
        <v>802</v>
      </c>
      <c r="D2937" t="s">
        <v>1737</v>
      </c>
      <c r="E2937" t="s">
        <v>1738</v>
      </c>
      <c r="F2937">
        <v>4002136</v>
      </c>
      <c r="G2937" t="s">
        <v>1739</v>
      </c>
      <c r="H2937" t="s">
        <v>805</v>
      </c>
      <c r="I2937">
        <v>30</v>
      </c>
      <c r="J2937">
        <v>0</v>
      </c>
      <c r="K2937">
        <v>0</v>
      </c>
      <c r="L2937">
        <v>1</v>
      </c>
      <c r="M2937">
        <v>1</v>
      </c>
      <c r="N2937">
        <v>0</v>
      </c>
      <c r="O2937">
        <v>28</v>
      </c>
      <c r="P2937" s="44" t="e">
        <f>_xlfn.XLOOKUP(Tabla5[[#This Row],[EAN CORREGIDO]],'Tabla Articulos'!B:B,'Tabla Articulos'!D:D)</f>
        <v>#N/A</v>
      </c>
      <c r="Q2937" s="44" t="e">
        <f>_xlfn.XLOOKUP(S2937,'Tabla Articulos'!B:B,'Tabla Articulos'!E:E)</f>
        <v>#N/A</v>
      </c>
      <c r="R2937" s="44" t="e">
        <f t="shared" si="90"/>
        <v>#N/A</v>
      </c>
      <c r="S2937" s="45" t="str">
        <f t="shared" si="91"/>
        <v>7790000000617</v>
      </c>
    </row>
    <row r="2938" spans="1:19" hidden="1" x14ac:dyDescent="0.35">
      <c r="A2938" s="22">
        <v>2</v>
      </c>
      <c r="B2938" t="s">
        <v>5624</v>
      </c>
      <c r="C2938" t="s">
        <v>802</v>
      </c>
      <c r="D2938" t="s">
        <v>420</v>
      </c>
      <c r="E2938" t="s">
        <v>1745</v>
      </c>
      <c r="F2938">
        <v>2006665</v>
      </c>
      <c r="G2938" t="s">
        <v>1746</v>
      </c>
      <c r="H2938" t="s">
        <v>805</v>
      </c>
      <c r="I2938">
        <v>43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43</v>
      </c>
      <c r="P2938" s="44" t="str">
        <f>_xlfn.XLOOKUP(Tabla5[[#This Row],[EAN CORREGIDO]],'Tabla Articulos'!B:B,'Tabla Articulos'!D:D)</f>
        <v xml:space="preserve">SERVILLETA 16X21 </v>
      </c>
      <c r="Q2938" s="44">
        <f>_xlfn.XLOOKUP(S2938,'Tabla Articulos'!B:B,'Tabla Articulos'!E:E)</f>
        <v>8400</v>
      </c>
      <c r="R2938" s="44">
        <f t="shared" si="90"/>
        <v>361200</v>
      </c>
      <c r="S2938" s="45" t="str">
        <f t="shared" si="91"/>
        <v>17790250912825</v>
      </c>
    </row>
    <row r="2939" spans="1:19" hidden="1" x14ac:dyDescent="0.35">
      <c r="A2939" s="22">
        <v>2</v>
      </c>
      <c r="B2939" t="s">
        <v>5624</v>
      </c>
      <c r="C2939" t="s">
        <v>802</v>
      </c>
      <c r="D2939" t="s">
        <v>1749</v>
      </c>
      <c r="E2939" t="s">
        <v>1750</v>
      </c>
      <c r="F2939">
        <v>4020135</v>
      </c>
      <c r="G2939" t="s">
        <v>1751</v>
      </c>
      <c r="H2939" t="s">
        <v>805</v>
      </c>
      <c r="I2939">
        <v>45</v>
      </c>
      <c r="J2939">
        <v>0</v>
      </c>
      <c r="K2939">
        <v>0</v>
      </c>
      <c r="L2939">
        <v>8</v>
      </c>
      <c r="M2939">
        <v>8</v>
      </c>
      <c r="N2939">
        <v>0</v>
      </c>
      <c r="O2939">
        <v>29</v>
      </c>
      <c r="P2939" s="44" t="e">
        <f>_xlfn.XLOOKUP(Tabla5[[#This Row],[EAN CORREGIDO]],'Tabla Articulos'!B:B,'Tabla Articulos'!D:D)</f>
        <v>#N/A</v>
      </c>
      <c r="Q2939" s="44" t="e">
        <f>_xlfn.XLOOKUP(S2939,'Tabla Articulos'!B:B,'Tabla Articulos'!E:E)</f>
        <v>#N/A</v>
      </c>
      <c r="R2939" s="44" t="e">
        <f t="shared" si="90"/>
        <v>#N/A</v>
      </c>
      <c r="S2939" s="45" t="str">
        <f t="shared" si="91"/>
        <v>7794000004061</v>
      </c>
    </row>
    <row r="2940" spans="1:19" hidden="1" x14ac:dyDescent="0.35">
      <c r="A2940" s="22">
        <v>2</v>
      </c>
      <c r="B2940" t="s">
        <v>5624</v>
      </c>
      <c r="C2940" t="s">
        <v>802</v>
      </c>
      <c r="D2940" t="s">
        <v>5831</v>
      </c>
      <c r="E2940" t="s">
        <v>5832</v>
      </c>
      <c r="F2940">
        <v>4077500</v>
      </c>
      <c r="G2940" t="s">
        <v>5833</v>
      </c>
      <c r="H2940" t="s">
        <v>805</v>
      </c>
      <c r="I2940">
        <v>8064</v>
      </c>
      <c r="J2940">
        <v>0</v>
      </c>
      <c r="K2940">
        <v>0</v>
      </c>
      <c r="L2940">
        <v>4</v>
      </c>
      <c r="M2940">
        <v>4</v>
      </c>
      <c r="N2940">
        <v>0</v>
      </c>
      <c r="O2940">
        <v>8056</v>
      </c>
      <c r="P2940" s="44" t="e">
        <f>_xlfn.XLOOKUP(Tabla5[[#This Row],[EAN CORREGIDO]],'Tabla Articulos'!B:B,'Tabla Articulos'!D:D)</f>
        <v>#N/A</v>
      </c>
      <c r="Q2940" s="44" t="e">
        <f>_xlfn.XLOOKUP(S2940,'Tabla Articulos'!B:B,'Tabla Articulos'!E:E)</f>
        <v>#N/A</v>
      </c>
      <c r="R2940" s="44" t="e">
        <f t="shared" si="90"/>
        <v>#N/A</v>
      </c>
      <c r="S2940" s="45" t="str">
        <f t="shared" si="91"/>
        <v>7796236000633</v>
      </c>
    </row>
    <row r="2941" spans="1:19" hidden="1" x14ac:dyDescent="0.35">
      <c r="A2941" s="22">
        <v>2</v>
      </c>
      <c r="B2941" t="s">
        <v>5624</v>
      </c>
      <c r="C2941" t="s">
        <v>802</v>
      </c>
      <c r="D2941" t="s">
        <v>1594</v>
      </c>
      <c r="E2941" t="s">
        <v>1595</v>
      </c>
      <c r="F2941">
        <v>4022812</v>
      </c>
      <c r="G2941" t="s">
        <v>1596</v>
      </c>
      <c r="H2941" t="s">
        <v>805</v>
      </c>
      <c r="I2941">
        <v>164</v>
      </c>
      <c r="J2941">
        <v>0</v>
      </c>
      <c r="K2941">
        <v>0</v>
      </c>
      <c r="L2941">
        <v>4</v>
      </c>
      <c r="M2941">
        <v>4</v>
      </c>
      <c r="N2941">
        <v>0</v>
      </c>
      <c r="O2941">
        <v>156</v>
      </c>
      <c r="P2941" s="44" t="e">
        <f>_xlfn.XLOOKUP(Tabla5[[#This Row],[EAN CORREGIDO]],'Tabla Articulos'!B:B,'Tabla Articulos'!D:D)</f>
        <v>#N/A</v>
      </c>
      <c r="Q2941" s="44" t="e">
        <f>_xlfn.XLOOKUP(S2941,'Tabla Articulos'!B:B,'Tabla Articulos'!E:E)</f>
        <v>#N/A</v>
      </c>
      <c r="R2941" s="44" t="e">
        <f t="shared" si="90"/>
        <v>#N/A</v>
      </c>
      <c r="S2941" s="45" t="str">
        <f t="shared" si="91"/>
        <v>7793323001894</v>
      </c>
    </row>
    <row r="2942" spans="1:19" hidden="1" x14ac:dyDescent="0.35">
      <c r="A2942" s="22">
        <v>2</v>
      </c>
      <c r="B2942" t="s">
        <v>5624</v>
      </c>
      <c r="C2942" t="s">
        <v>802</v>
      </c>
      <c r="D2942" t="s">
        <v>1266</v>
      </c>
      <c r="E2942" t="s">
        <v>5834</v>
      </c>
      <c r="F2942">
        <v>4017694</v>
      </c>
      <c r="G2942" t="s">
        <v>5835</v>
      </c>
      <c r="H2942" t="s">
        <v>816</v>
      </c>
      <c r="I2942">
        <v>106.77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106.77</v>
      </c>
      <c r="P2942" s="44" t="e">
        <f>_xlfn.XLOOKUP(Tabla5[[#This Row],[EAN CORREGIDO]],'Tabla Articulos'!B:B,'Tabla Articulos'!D:D)</f>
        <v>#N/A</v>
      </c>
      <c r="Q2942" s="44" t="e">
        <f>_xlfn.XLOOKUP(S2942,'Tabla Articulos'!B:B,'Tabla Articulos'!E:E)</f>
        <v>#N/A</v>
      </c>
      <c r="R2942" s="44" t="e">
        <f t="shared" si="90"/>
        <v>#N/A</v>
      </c>
      <c r="S2942" s="45" t="str">
        <f t="shared" si="91"/>
        <v>7790212031244</v>
      </c>
    </row>
    <row r="2943" spans="1:19" hidden="1" x14ac:dyDescent="0.35">
      <c r="A2943" s="22">
        <v>2</v>
      </c>
      <c r="B2943" t="s">
        <v>5624</v>
      </c>
      <c r="C2943" t="s">
        <v>802</v>
      </c>
      <c r="D2943" t="s">
        <v>1601</v>
      </c>
      <c r="E2943" t="s">
        <v>1602</v>
      </c>
      <c r="F2943">
        <v>4019790</v>
      </c>
      <c r="G2943" t="s">
        <v>1603</v>
      </c>
      <c r="H2943" t="s">
        <v>805</v>
      </c>
      <c r="I2943">
        <v>315</v>
      </c>
      <c r="J2943">
        <v>0</v>
      </c>
      <c r="K2943">
        <v>0</v>
      </c>
      <c r="L2943">
        <v>17</v>
      </c>
      <c r="M2943">
        <v>17</v>
      </c>
      <c r="N2943">
        <v>0</v>
      </c>
      <c r="O2943">
        <v>281</v>
      </c>
      <c r="P2943" s="44" t="e">
        <f>_xlfn.XLOOKUP(Tabla5[[#This Row],[EAN CORREGIDO]],'Tabla Articulos'!B:B,'Tabla Articulos'!D:D)</f>
        <v>#N/A</v>
      </c>
      <c r="Q2943" s="44" t="e">
        <f>_xlfn.XLOOKUP(S2943,'Tabla Articulos'!B:B,'Tabla Articulos'!E:E)</f>
        <v>#N/A</v>
      </c>
      <c r="R2943" s="44" t="e">
        <f t="shared" si="90"/>
        <v>#N/A</v>
      </c>
      <c r="S2943" s="45" t="str">
        <f t="shared" si="91"/>
        <v>7790971002488</v>
      </c>
    </row>
    <row r="2944" spans="1:19" hidden="1" x14ac:dyDescent="0.35">
      <c r="A2944" s="22">
        <v>2</v>
      </c>
      <c r="B2944" t="s">
        <v>5624</v>
      </c>
      <c r="C2944" t="s">
        <v>802</v>
      </c>
      <c r="D2944" t="s">
        <v>6314</v>
      </c>
      <c r="E2944" t="s">
        <v>6315</v>
      </c>
      <c r="F2944">
        <v>4022155</v>
      </c>
      <c r="G2944" t="s">
        <v>6316</v>
      </c>
      <c r="H2944" t="s">
        <v>805</v>
      </c>
      <c r="I2944">
        <v>192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192</v>
      </c>
      <c r="P2944" s="44" t="e">
        <f>_xlfn.XLOOKUP(Tabla5[[#This Row],[EAN CORREGIDO]],'Tabla Articulos'!B:B,'Tabla Articulos'!D:D)</f>
        <v>#N/A</v>
      </c>
      <c r="Q2944" s="44" t="e">
        <f>_xlfn.XLOOKUP(S2944,'Tabla Articulos'!B:B,'Tabla Articulos'!E:E)</f>
        <v>#N/A</v>
      </c>
      <c r="R2944" s="44" t="e">
        <f t="shared" si="90"/>
        <v>#N/A</v>
      </c>
      <c r="S2944" s="45" t="str">
        <f t="shared" si="91"/>
        <v>7791813402022</v>
      </c>
    </row>
    <row r="2945" spans="1:19" hidden="1" x14ac:dyDescent="0.35">
      <c r="A2945" s="22">
        <v>2</v>
      </c>
      <c r="B2945" t="s">
        <v>5624</v>
      </c>
      <c r="C2945" t="s">
        <v>802</v>
      </c>
      <c r="D2945" t="s">
        <v>1577</v>
      </c>
      <c r="E2945" t="s">
        <v>3411</v>
      </c>
      <c r="F2945">
        <v>4019750</v>
      </c>
      <c r="G2945" t="s">
        <v>3412</v>
      </c>
      <c r="H2945" t="s">
        <v>805</v>
      </c>
      <c r="I2945">
        <v>8572</v>
      </c>
      <c r="J2945">
        <v>0</v>
      </c>
      <c r="K2945">
        <v>4320</v>
      </c>
      <c r="L2945">
        <v>250</v>
      </c>
      <c r="M2945">
        <v>250</v>
      </c>
      <c r="N2945">
        <v>0</v>
      </c>
      <c r="O2945">
        <v>3752</v>
      </c>
      <c r="P2945" s="44" t="e">
        <f>_xlfn.XLOOKUP(Tabla5[[#This Row],[EAN CORREGIDO]],'Tabla Articulos'!B:B,'Tabla Articulos'!D:D)</f>
        <v>#N/A</v>
      </c>
      <c r="Q2945" s="44" t="e">
        <f>_xlfn.XLOOKUP(S2945,'Tabla Articulos'!B:B,'Tabla Articulos'!E:E)</f>
        <v>#N/A</v>
      </c>
      <c r="R2945" s="44" t="e">
        <f t="shared" ref="R2945:R3008" si="92">O2945*Q2945</f>
        <v>#N/A</v>
      </c>
      <c r="S2945" s="45" t="str">
        <f t="shared" ref="S2945:S3008" si="93">TRIM(E2945)</f>
        <v>7790199602910</v>
      </c>
    </row>
    <row r="2946" spans="1:19" hidden="1" x14ac:dyDescent="0.35">
      <c r="A2946" s="22">
        <v>2</v>
      </c>
      <c r="B2946" t="s">
        <v>5624</v>
      </c>
      <c r="C2946" t="s">
        <v>802</v>
      </c>
      <c r="D2946" t="s">
        <v>2522</v>
      </c>
      <c r="E2946" t="s">
        <v>3419</v>
      </c>
      <c r="F2946">
        <v>4022238</v>
      </c>
      <c r="G2946" t="s">
        <v>3420</v>
      </c>
      <c r="H2946" t="s">
        <v>805</v>
      </c>
      <c r="I2946">
        <v>0</v>
      </c>
      <c r="J2946">
        <v>9600</v>
      </c>
      <c r="K2946">
        <v>0</v>
      </c>
      <c r="L2946">
        <v>0</v>
      </c>
      <c r="M2946">
        <v>0</v>
      </c>
      <c r="N2946">
        <v>0</v>
      </c>
      <c r="O2946">
        <v>9600</v>
      </c>
      <c r="P2946" s="44" t="e">
        <f>_xlfn.XLOOKUP(Tabla5[[#This Row],[EAN CORREGIDO]],'Tabla Articulos'!B:B,'Tabla Articulos'!D:D)</f>
        <v>#N/A</v>
      </c>
      <c r="Q2946" s="44" t="e">
        <f>_xlfn.XLOOKUP(S2946,'Tabla Articulos'!B:B,'Tabla Articulos'!E:E)</f>
        <v>#N/A</v>
      </c>
      <c r="R2946" s="44" t="e">
        <f t="shared" si="92"/>
        <v>#N/A</v>
      </c>
      <c r="S2946" s="45" t="str">
        <f t="shared" si="93"/>
        <v>7797470007426</v>
      </c>
    </row>
    <row r="2947" spans="1:19" hidden="1" x14ac:dyDescent="0.35">
      <c r="A2947" s="22">
        <v>2</v>
      </c>
      <c r="B2947" t="s">
        <v>5624</v>
      </c>
      <c r="C2947" t="s">
        <v>802</v>
      </c>
      <c r="D2947" t="s">
        <v>2756</v>
      </c>
      <c r="E2947" t="s">
        <v>3421</v>
      </c>
      <c r="F2947">
        <v>4020473</v>
      </c>
      <c r="G2947" t="s">
        <v>3422</v>
      </c>
      <c r="H2947" t="s">
        <v>805</v>
      </c>
      <c r="I2947">
        <v>220</v>
      </c>
      <c r="J2947">
        <v>0</v>
      </c>
      <c r="K2947">
        <v>0</v>
      </c>
      <c r="L2947">
        <v>2</v>
      </c>
      <c r="M2947">
        <v>2</v>
      </c>
      <c r="N2947">
        <v>0</v>
      </c>
      <c r="O2947">
        <v>216</v>
      </c>
      <c r="P2947" s="44" t="e">
        <f>_xlfn.XLOOKUP(Tabla5[[#This Row],[EAN CORREGIDO]],'Tabla Articulos'!B:B,'Tabla Articulos'!D:D)</f>
        <v>#N/A</v>
      </c>
      <c r="Q2947" s="44" t="e">
        <f>_xlfn.XLOOKUP(S2947,'Tabla Articulos'!B:B,'Tabla Articulos'!E:E)</f>
        <v>#N/A</v>
      </c>
      <c r="R2947" s="44" t="e">
        <f t="shared" si="92"/>
        <v>#N/A</v>
      </c>
      <c r="S2947" s="45" t="str">
        <f t="shared" si="93"/>
        <v>7791113001567</v>
      </c>
    </row>
    <row r="2948" spans="1:19" hidden="1" x14ac:dyDescent="0.35">
      <c r="A2948" s="22">
        <v>2</v>
      </c>
      <c r="B2948" t="s">
        <v>5624</v>
      </c>
      <c r="C2948" t="s">
        <v>802</v>
      </c>
      <c r="D2948" t="s">
        <v>6317</v>
      </c>
      <c r="E2948" t="s">
        <v>6318</v>
      </c>
      <c r="F2948">
        <v>4018102</v>
      </c>
      <c r="G2948" t="s">
        <v>6319</v>
      </c>
      <c r="H2948" t="s">
        <v>816</v>
      </c>
      <c r="I2948">
        <v>6.25</v>
      </c>
      <c r="J2948">
        <v>0</v>
      </c>
      <c r="K2948">
        <v>6.25</v>
      </c>
      <c r="L2948">
        <v>0</v>
      </c>
      <c r="M2948">
        <v>0</v>
      </c>
      <c r="N2948">
        <v>0</v>
      </c>
      <c r="O2948">
        <v>0</v>
      </c>
      <c r="P2948" s="44" t="e">
        <f>_xlfn.XLOOKUP(Tabla5[[#This Row],[EAN CORREGIDO]],'Tabla Articulos'!B:B,'Tabla Articulos'!D:D)</f>
        <v>#N/A</v>
      </c>
      <c r="Q2948" s="44" t="e">
        <f>_xlfn.XLOOKUP(S2948,'Tabla Articulos'!B:B,'Tabla Articulos'!E:E)</f>
        <v>#N/A</v>
      </c>
      <c r="R2948" s="44" t="e">
        <f t="shared" si="92"/>
        <v>#N/A</v>
      </c>
      <c r="S2948" s="45" t="str">
        <f t="shared" si="93"/>
        <v>7790212060917</v>
      </c>
    </row>
    <row r="2949" spans="1:19" hidden="1" x14ac:dyDescent="0.35">
      <c r="A2949" s="22">
        <v>2</v>
      </c>
      <c r="B2949" t="s">
        <v>5624</v>
      </c>
      <c r="C2949" t="s">
        <v>802</v>
      </c>
      <c r="D2949" t="s">
        <v>2483</v>
      </c>
      <c r="E2949" t="s">
        <v>3426</v>
      </c>
      <c r="F2949">
        <v>4020619</v>
      </c>
      <c r="G2949" t="s">
        <v>3427</v>
      </c>
      <c r="H2949" t="s">
        <v>805</v>
      </c>
      <c r="I2949">
        <v>2948</v>
      </c>
      <c r="J2949">
        <v>0</v>
      </c>
      <c r="K2949">
        <v>0</v>
      </c>
      <c r="L2949">
        <v>3</v>
      </c>
      <c r="M2949">
        <v>3</v>
      </c>
      <c r="N2949">
        <v>0</v>
      </c>
      <c r="O2949">
        <v>2942</v>
      </c>
      <c r="P2949" s="44" t="e">
        <f>_xlfn.XLOOKUP(Tabla5[[#This Row],[EAN CORREGIDO]],'Tabla Articulos'!B:B,'Tabla Articulos'!D:D)</f>
        <v>#N/A</v>
      </c>
      <c r="Q2949" s="44" t="e">
        <f>_xlfn.XLOOKUP(S2949,'Tabla Articulos'!B:B,'Tabla Articulos'!E:E)</f>
        <v>#N/A</v>
      </c>
      <c r="R2949" s="44" t="e">
        <f t="shared" si="92"/>
        <v>#N/A</v>
      </c>
      <c r="S2949" s="45" t="str">
        <f t="shared" si="93"/>
        <v>7793650000034</v>
      </c>
    </row>
    <row r="2950" spans="1:19" hidden="1" x14ac:dyDescent="0.35">
      <c r="A2950" s="22">
        <v>2</v>
      </c>
      <c r="B2950" t="s">
        <v>5624</v>
      </c>
      <c r="C2950" t="s">
        <v>802</v>
      </c>
      <c r="D2950" t="s">
        <v>6320</v>
      </c>
      <c r="E2950" t="s">
        <v>6321</v>
      </c>
      <c r="F2950">
        <v>4024054</v>
      </c>
      <c r="G2950" t="s">
        <v>6322</v>
      </c>
      <c r="H2950" t="s">
        <v>816</v>
      </c>
      <c r="I2950">
        <v>47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47</v>
      </c>
      <c r="P2950" s="44" t="e">
        <f>_xlfn.XLOOKUP(Tabla5[[#This Row],[EAN CORREGIDO]],'Tabla Articulos'!B:B,'Tabla Articulos'!D:D)</f>
        <v>#N/A</v>
      </c>
      <c r="Q2950" s="44" t="e">
        <f>_xlfn.XLOOKUP(S2950,'Tabla Articulos'!B:B,'Tabla Articulos'!E:E)</f>
        <v>#N/A</v>
      </c>
      <c r="R2950" s="44" t="e">
        <f t="shared" si="92"/>
        <v>#N/A</v>
      </c>
      <c r="S2950" s="45" t="str">
        <f t="shared" si="93"/>
        <v>7790216010023</v>
      </c>
    </row>
    <row r="2951" spans="1:19" hidden="1" x14ac:dyDescent="0.35">
      <c r="A2951" s="22">
        <v>2</v>
      </c>
      <c r="B2951" t="s">
        <v>5624</v>
      </c>
      <c r="C2951" t="s">
        <v>802</v>
      </c>
      <c r="D2951" t="s">
        <v>2347</v>
      </c>
      <c r="E2951" t="s">
        <v>4354</v>
      </c>
      <c r="F2951">
        <v>4017537</v>
      </c>
      <c r="G2951" t="s">
        <v>4355</v>
      </c>
      <c r="H2951" t="s">
        <v>805</v>
      </c>
      <c r="I2951">
        <v>30</v>
      </c>
      <c r="J2951">
        <v>0</v>
      </c>
      <c r="K2951">
        <v>0</v>
      </c>
      <c r="L2951">
        <v>0</v>
      </c>
      <c r="M2951">
        <v>0</v>
      </c>
      <c r="N2951">
        <v>4</v>
      </c>
      <c r="O2951">
        <v>26</v>
      </c>
      <c r="P2951" s="44" t="e">
        <f>_xlfn.XLOOKUP(Tabla5[[#This Row],[EAN CORREGIDO]],'Tabla Articulos'!B:B,'Tabla Articulos'!D:D)</f>
        <v>#N/A</v>
      </c>
      <c r="Q2951" s="44" t="e">
        <f>_xlfn.XLOOKUP(S2951,'Tabla Articulos'!B:B,'Tabla Articulos'!E:E)</f>
        <v>#N/A</v>
      </c>
      <c r="R2951" s="44" t="e">
        <f t="shared" si="92"/>
        <v>#N/A</v>
      </c>
      <c r="S2951" s="45" t="str">
        <f t="shared" si="93"/>
        <v>7790212040089</v>
      </c>
    </row>
    <row r="2952" spans="1:19" hidden="1" x14ac:dyDescent="0.35">
      <c r="A2952" s="22">
        <v>2</v>
      </c>
      <c r="B2952" t="s">
        <v>5624</v>
      </c>
      <c r="C2952" t="s">
        <v>802</v>
      </c>
      <c r="D2952" t="s">
        <v>3111</v>
      </c>
      <c r="E2952" t="s">
        <v>4356</v>
      </c>
      <c r="F2952">
        <v>4017995</v>
      </c>
      <c r="G2952" t="s">
        <v>4357</v>
      </c>
      <c r="H2952" t="s">
        <v>816</v>
      </c>
      <c r="I2952">
        <v>23341.94</v>
      </c>
      <c r="J2952">
        <v>0</v>
      </c>
      <c r="K2952">
        <v>0</v>
      </c>
      <c r="L2952">
        <v>30</v>
      </c>
      <c r="M2952">
        <v>85</v>
      </c>
      <c r="N2952">
        <v>0</v>
      </c>
      <c r="O2952">
        <v>23226.94</v>
      </c>
      <c r="P2952" s="44" t="e">
        <f>_xlfn.XLOOKUP(Tabla5[[#This Row],[EAN CORREGIDO]],'Tabla Articulos'!B:B,'Tabla Articulos'!D:D)</f>
        <v>#N/A</v>
      </c>
      <c r="Q2952" s="44" t="e">
        <f>_xlfn.XLOOKUP(S2952,'Tabla Articulos'!B:B,'Tabla Articulos'!E:E)</f>
        <v>#N/A</v>
      </c>
      <c r="R2952" s="44" t="e">
        <f t="shared" si="92"/>
        <v>#N/A</v>
      </c>
      <c r="S2952" s="45" t="str">
        <f t="shared" si="93"/>
        <v>7790216020108</v>
      </c>
    </row>
    <row r="2953" spans="1:19" hidden="1" x14ac:dyDescent="0.35">
      <c r="A2953" s="22">
        <v>2</v>
      </c>
      <c r="B2953" t="s">
        <v>5624</v>
      </c>
      <c r="C2953" t="s">
        <v>802</v>
      </c>
      <c r="D2953" t="s">
        <v>6514</v>
      </c>
      <c r="E2953" t="s">
        <v>6515</v>
      </c>
      <c r="F2953">
        <v>4018744</v>
      </c>
      <c r="G2953" t="s">
        <v>6516</v>
      </c>
      <c r="H2953" t="s">
        <v>805</v>
      </c>
      <c r="I2953">
        <v>150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150</v>
      </c>
      <c r="P2953" s="44" t="e">
        <f>_xlfn.XLOOKUP(Tabla5[[#This Row],[EAN CORREGIDO]],'Tabla Articulos'!B:B,'Tabla Articulos'!D:D)</f>
        <v>#N/A</v>
      </c>
      <c r="Q2953" s="44" t="e">
        <f>_xlfn.XLOOKUP(S2953,'Tabla Articulos'!B:B,'Tabla Articulos'!E:E)</f>
        <v>#N/A</v>
      </c>
      <c r="R2953" s="44" t="e">
        <f t="shared" si="92"/>
        <v>#N/A</v>
      </c>
      <c r="S2953" s="45" t="str">
        <f t="shared" si="93"/>
        <v>7795711000052</v>
      </c>
    </row>
    <row r="2954" spans="1:19" hidden="1" x14ac:dyDescent="0.35">
      <c r="A2954" s="22">
        <v>2</v>
      </c>
      <c r="B2954" t="s">
        <v>5624</v>
      </c>
      <c r="C2954" t="s">
        <v>802</v>
      </c>
      <c r="D2954" t="s">
        <v>6517</v>
      </c>
      <c r="E2954" t="s">
        <v>6518</v>
      </c>
      <c r="F2954">
        <v>4018703</v>
      </c>
      <c r="G2954" t="s">
        <v>6519</v>
      </c>
      <c r="H2954" t="s">
        <v>805</v>
      </c>
      <c r="I2954">
        <v>12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12</v>
      </c>
      <c r="P2954" s="44" t="e">
        <f>_xlfn.XLOOKUP(Tabla5[[#This Row],[EAN CORREGIDO]],'Tabla Articulos'!B:B,'Tabla Articulos'!D:D)</f>
        <v>#N/A</v>
      </c>
      <c r="Q2954" s="44" t="e">
        <f>_xlfn.XLOOKUP(S2954,'Tabla Articulos'!B:B,'Tabla Articulos'!E:E)</f>
        <v>#N/A</v>
      </c>
      <c r="R2954" s="44" t="e">
        <f t="shared" si="92"/>
        <v>#N/A</v>
      </c>
      <c r="S2954" s="45" t="str">
        <f t="shared" si="93"/>
        <v>7799132966524</v>
      </c>
    </row>
    <row r="2955" spans="1:19" hidden="1" x14ac:dyDescent="0.35">
      <c r="A2955" s="22">
        <v>2</v>
      </c>
      <c r="B2955" t="s">
        <v>5624</v>
      </c>
      <c r="C2955" t="s">
        <v>802</v>
      </c>
      <c r="D2955" t="s">
        <v>2831</v>
      </c>
      <c r="E2955" t="s">
        <v>4367</v>
      </c>
      <c r="F2955">
        <v>4021310</v>
      </c>
      <c r="G2955" t="s">
        <v>4368</v>
      </c>
      <c r="H2955" t="s">
        <v>805</v>
      </c>
      <c r="I2955">
        <v>92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92</v>
      </c>
      <c r="P2955" s="44" t="e">
        <f>_xlfn.XLOOKUP(Tabla5[[#This Row],[EAN CORREGIDO]],'Tabla Articulos'!B:B,'Tabla Articulos'!D:D)</f>
        <v>#N/A</v>
      </c>
      <c r="Q2955" s="44" t="e">
        <f>_xlfn.XLOOKUP(S2955,'Tabla Articulos'!B:B,'Tabla Articulos'!E:E)</f>
        <v>#N/A</v>
      </c>
      <c r="R2955" s="44" t="e">
        <f t="shared" si="92"/>
        <v>#N/A</v>
      </c>
      <c r="S2955" s="45" t="str">
        <f t="shared" si="93"/>
        <v>7792100000273</v>
      </c>
    </row>
    <row r="2956" spans="1:19" hidden="1" x14ac:dyDescent="0.35">
      <c r="A2956" s="22">
        <v>2</v>
      </c>
      <c r="B2956" t="s">
        <v>5624</v>
      </c>
      <c r="C2956" t="s">
        <v>802</v>
      </c>
      <c r="D2956" t="s">
        <v>4371</v>
      </c>
      <c r="E2956" t="s">
        <v>4372</v>
      </c>
      <c r="F2956">
        <v>4023839</v>
      </c>
      <c r="G2956" t="s">
        <v>4373</v>
      </c>
      <c r="H2956" t="s">
        <v>805</v>
      </c>
      <c r="I2956">
        <v>5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5</v>
      </c>
      <c r="P2956" s="44" t="e">
        <f>_xlfn.XLOOKUP(Tabla5[[#This Row],[EAN CORREGIDO]],'Tabla Articulos'!B:B,'Tabla Articulos'!D:D)</f>
        <v>#N/A</v>
      </c>
      <c r="Q2956" s="44" t="e">
        <f>_xlfn.XLOOKUP(S2956,'Tabla Articulos'!B:B,'Tabla Articulos'!E:E)</f>
        <v>#N/A</v>
      </c>
      <c r="R2956" s="44" t="e">
        <f t="shared" si="92"/>
        <v>#N/A</v>
      </c>
      <c r="S2956" s="45" t="str">
        <f t="shared" si="93"/>
        <v>7790045827306</v>
      </c>
    </row>
    <row r="2957" spans="1:19" hidden="1" x14ac:dyDescent="0.35">
      <c r="A2957" s="22">
        <v>2</v>
      </c>
      <c r="B2957" t="s">
        <v>5624</v>
      </c>
      <c r="C2957" t="s">
        <v>802</v>
      </c>
      <c r="D2957" t="s">
        <v>4374</v>
      </c>
      <c r="E2957" t="s">
        <v>4375</v>
      </c>
      <c r="F2957">
        <v>4017703</v>
      </c>
      <c r="G2957" t="s">
        <v>4376</v>
      </c>
      <c r="H2957" t="s">
        <v>816</v>
      </c>
      <c r="I2957">
        <v>11.4</v>
      </c>
      <c r="J2957">
        <v>0</v>
      </c>
      <c r="K2957">
        <v>0</v>
      </c>
      <c r="L2957">
        <v>1</v>
      </c>
      <c r="M2957">
        <v>1</v>
      </c>
      <c r="N2957">
        <v>0</v>
      </c>
      <c r="O2957">
        <v>9.4</v>
      </c>
      <c r="P2957" s="44" t="e">
        <f>_xlfn.XLOOKUP(Tabla5[[#This Row],[EAN CORREGIDO]],'Tabla Articulos'!B:B,'Tabla Articulos'!D:D)</f>
        <v>#N/A</v>
      </c>
      <c r="Q2957" s="44" t="e">
        <f>_xlfn.XLOOKUP(S2957,'Tabla Articulos'!B:B,'Tabla Articulos'!E:E)</f>
        <v>#N/A</v>
      </c>
      <c r="R2957" s="44" t="e">
        <f t="shared" si="92"/>
        <v>#N/A</v>
      </c>
      <c r="S2957" s="45" t="str">
        <f t="shared" si="93"/>
        <v>7790013877013</v>
      </c>
    </row>
    <row r="2958" spans="1:19" hidden="1" x14ac:dyDescent="0.35">
      <c r="A2958" s="22">
        <v>2</v>
      </c>
      <c r="B2958" t="s">
        <v>5624</v>
      </c>
      <c r="C2958" t="s">
        <v>802</v>
      </c>
      <c r="D2958" t="s">
        <v>4380</v>
      </c>
      <c r="E2958" t="s">
        <v>4381</v>
      </c>
      <c r="F2958">
        <v>4019613</v>
      </c>
      <c r="G2958" t="s">
        <v>4382</v>
      </c>
      <c r="H2958" t="s">
        <v>805</v>
      </c>
      <c r="I2958">
        <v>1093</v>
      </c>
      <c r="J2958">
        <v>0</v>
      </c>
      <c r="K2958">
        <v>0</v>
      </c>
      <c r="L2958">
        <v>2</v>
      </c>
      <c r="M2958">
        <v>2</v>
      </c>
      <c r="N2958">
        <v>0</v>
      </c>
      <c r="O2958">
        <v>1089</v>
      </c>
      <c r="P2958" s="44" t="e">
        <f>_xlfn.XLOOKUP(Tabla5[[#This Row],[EAN CORREGIDO]],'Tabla Articulos'!B:B,'Tabla Articulos'!D:D)</f>
        <v>#N/A</v>
      </c>
      <c r="Q2958" s="44" t="e">
        <f>_xlfn.XLOOKUP(S2958,'Tabla Articulos'!B:B,'Tabla Articulos'!E:E)</f>
        <v>#N/A</v>
      </c>
      <c r="R2958" s="44" t="e">
        <f t="shared" si="92"/>
        <v>#N/A</v>
      </c>
      <c r="S2958" s="45" t="str">
        <f t="shared" si="93"/>
        <v>7790407031273</v>
      </c>
    </row>
    <row r="2959" spans="1:19" hidden="1" x14ac:dyDescent="0.35">
      <c r="A2959" s="22">
        <v>2</v>
      </c>
      <c r="B2959" t="s">
        <v>5624</v>
      </c>
      <c r="C2959" t="s">
        <v>802</v>
      </c>
      <c r="D2959" t="s">
        <v>5666</v>
      </c>
      <c r="E2959" t="s">
        <v>5667</v>
      </c>
      <c r="F2959">
        <v>4024248</v>
      </c>
      <c r="G2959" t="s">
        <v>5668</v>
      </c>
      <c r="H2959" t="s">
        <v>805</v>
      </c>
      <c r="I2959">
        <v>599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599</v>
      </c>
      <c r="P2959" s="44" t="e">
        <f>_xlfn.XLOOKUP(Tabla5[[#This Row],[EAN CORREGIDO]],'Tabla Articulos'!B:B,'Tabla Articulos'!D:D)</f>
        <v>#N/A</v>
      </c>
      <c r="Q2959" s="44" t="e">
        <f>_xlfn.XLOOKUP(S2959,'Tabla Articulos'!B:B,'Tabla Articulos'!E:E)</f>
        <v>#N/A</v>
      </c>
      <c r="R2959" s="44" t="e">
        <f t="shared" si="92"/>
        <v>#N/A</v>
      </c>
      <c r="S2959" s="45" t="str">
        <f t="shared" si="93"/>
        <v>7790407031532</v>
      </c>
    </row>
    <row r="2960" spans="1:19" hidden="1" x14ac:dyDescent="0.35">
      <c r="A2960" s="22">
        <v>2</v>
      </c>
      <c r="B2960" t="s">
        <v>5624</v>
      </c>
      <c r="C2960" t="s">
        <v>802</v>
      </c>
      <c r="D2960" t="s">
        <v>988</v>
      </c>
      <c r="E2960" t="s">
        <v>989</v>
      </c>
      <c r="F2960">
        <v>4019943</v>
      </c>
      <c r="G2960" t="s">
        <v>990</v>
      </c>
      <c r="H2960" t="s">
        <v>805</v>
      </c>
      <c r="I2960">
        <v>32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32</v>
      </c>
      <c r="P2960" s="44" t="e">
        <f>_xlfn.XLOOKUP(Tabla5[[#This Row],[EAN CORREGIDO]],'Tabla Articulos'!B:B,'Tabla Articulos'!D:D)</f>
        <v>#N/A</v>
      </c>
      <c r="Q2960" s="44" t="e">
        <f>_xlfn.XLOOKUP(S2960,'Tabla Articulos'!B:B,'Tabla Articulos'!E:E)</f>
        <v>#N/A</v>
      </c>
      <c r="R2960" s="44" t="e">
        <f t="shared" si="92"/>
        <v>#N/A</v>
      </c>
      <c r="S2960" s="45" t="str">
        <f t="shared" si="93"/>
        <v>7791113005411</v>
      </c>
    </row>
    <row r="2961" spans="1:19" hidden="1" x14ac:dyDescent="0.35">
      <c r="A2961" s="22">
        <v>2</v>
      </c>
      <c r="B2961" t="s">
        <v>5624</v>
      </c>
      <c r="C2961" t="s">
        <v>802</v>
      </c>
      <c r="D2961" t="s">
        <v>5669</v>
      </c>
      <c r="E2961" t="s">
        <v>5670</v>
      </c>
      <c r="F2961">
        <v>4019798</v>
      </c>
      <c r="G2961" t="s">
        <v>5671</v>
      </c>
      <c r="H2961" t="s">
        <v>805</v>
      </c>
      <c r="I2961">
        <v>270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270</v>
      </c>
      <c r="P2961" s="44" t="e">
        <f>_xlfn.XLOOKUP(Tabla5[[#This Row],[EAN CORREGIDO]],'Tabla Articulos'!B:B,'Tabla Articulos'!D:D)</f>
        <v>#N/A</v>
      </c>
      <c r="Q2961" s="44" t="e">
        <f>_xlfn.XLOOKUP(S2961,'Tabla Articulos'!B:B,'Tabla Articulos'!E:E)</f>
        <v>#N/A</v>
      </c>
      <c r="R2961" s="44" t="e">
        <f t="shared" si="92"/>
        <v>#N/A</v>
      </c>
      <c r="S2961" s="45" t="str">
        <f t="shared" si="93"/>
        <v>7791113001970</v>
      </c>
    </row>
    <row r="2962" spans="1:19" hidden="1" x14ac:dyDescent="0.35">
      <c r="A2962" s="22">
        <v>2</v>
      </c>
      <c r="B2962" t="s">
        <v>5624</v>
      </c>
      <c r="C2962" t="s">
        <v>802</v>
      </c>
      <c r="D2962" t="s">
        <v>1266</v>
      </c>
      <c r="E2962" t="s">
        <v>4385</v>
      </c>
      <c r="F2962">
        <v>4017731</v>
      </c>
      <c r="G2962" t="s">
        <v>4386</v>
      </c>
      <c r="H2962" t="s">
        <v>816</v>
      </c>
      <c r="I2962">
        <v>15.8</v>
      </c>
      <c r="J2962">
        <v>0</v>
      </c>
      <c r="K2962">
        <v>0</v>
      </c>
      <c r="L2962">
        <v>0</v>
      </c>
      <c r="M2962">
        <v>-54.2</v>
      </c>
      <c r="N2962">
        <v>0</v>
      </c>
      <c r="O2962">
        <v>70</v>
      </c>
      <c r="P2962" s="44" t="e">
        <f>_xlfn.XLOOKUP(Tabla5[[#This Row],[EAN CORREGIDO]],'Tabla Articulos'!B:B,'Tabla Articulos'!D:D)</f>
        <v>#N/A</v>
      </c>
      <c r="Q2962" s="44" t="e">
        <f>_xlfn.XLOOKUP(S2962,'Tabla Articulos'!B:B,'Tabla Articulos'!E:E)</f>
        <v>#N/A</v>
      </c>
      <c r="R2962" s="44" t="e">
        <f t="shared" si="92"/>
        <v>#N/A</v>
      </c>
      <c r="S2962" s="45" t="str">
        <f t="shared" si="93"/>
        <v>7790212030122</v>
      </c>
    </row>
    <row r="2963" spans="1:19" hidden="1" x14ac:dyDescent="0.35">
      <c r="A2963" s="22">
        <v>2</v>
      </c>
      <c r="B2963" t="s">
        <v>5624</v>
      </c>
      <c r="C2963" t="s">
        <v>802</v>
      </c>
      <c r="D2963" t="s">
        <v>3189</v>
      </c>
      <c r="E2963" t="s">
        <v>4387</v>
      </c>
      <c r="F2963">
        <v>4022384</v>
      </c>
      <c r="G2963" t="s">
        <v>4388</v>
      </c>
      <c r="H2963" t="s">
        <v>805</v>
      </c>
      <c r="I2963">
        <v>140</v>
      </c>
      <c r="J2963">
        <v>0</v>
      </c>
      <c r="K2963">
        <v>0</v>
      </c>
      <c r="L2963">
        <v>2</v>
      </c>
      <c r="M2963">
        <v>2</v>
      </c>
      <c r="N2963">
        <v>0</v>
      </c>
      <c r="O2963">
        <v>136</v>
      </c>
      <c r="P2963" s="44" t="e">
        <f>_xlfn.XLOOKUP(Tabla5[[#This Row],[EAN CORREGIDO]],'Tabla Articulos'!B:B,'Tabla Articulos'!D:D)</f>
        <v>#N/A</v>
      </c>
      <c r="Q2963" s="44" t="e">
        <f>_xlfn.XLOOKUP(S2963,'Tabla Articulos'!B:B,'Tabla Articulos'!E:E)</f>
        <v>#N/A</v>
      </c>
      <c r="R2963" s="44" t="e">
        <f t="shared" si="92"/>
        <v>#N/A</v>
      </c>
      <c r="S2963" s="45" t="str">
        <f t="shared" si="93"/>
        <v>7798261761404</v>
      </c>
    </row>
    <row r="2964" spans="1:19" hidden="1" x14ac:dyDescent="0.35">
      <c r="A2964" s="22">
        <v>2</v>
      </c>
      <c r="B2964" t="s">
        <v>5624</v>
      </c>
      <c r="C2964" t="s">
        <v>802</v>
      </c>
      <c r="D2964" t="s">
        <v>6520</v>
      </c>
      <c r="E2964" t="s">
        <v>6521</v>
      </c>
      <c r="F2964">
        <v>4018535</v>
      </c>
      <c r="G2964" t="s">
        <v>6522</v>
      </c>
      <c r="H2964" t="s">
        <v>816</v>
      </c>
      <c r="I2964">
        <v>2022.73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2022.73</v>
      </c>
      <c r="P2964" s="44" t="e">
        <f>_xlfn.XLOOKUP(Tabla5[[#This Row],[EAN CORREGIDO]],'Tabla Articulos'!B:B,'Tabla Articulos'!D:D)</f>
        <v>#N/A</v>
      </c>
      <c r="Q2964" s="44" t="e">
        <f>_xlfn.XLOOKUP(S2964,'Tabla Articulos'!B:B,'Tabla Articulos'!E:E)</f>
        <v>#N/A</v>
      </c>
      <c r="R2964" s="44" t="e">
        <f t="shared" si="92"/>
        <v>#N/A</v>
      </c>
      <c r="S2964" s="45" t="str">
        <f t="shared" si="93"/>
        <v>7790213012320</v>
      </c>
    </row>
    <row r="2965" spans="1:19" hidden="1" x14ac:dyDescent="0.35">
      <c r="A2965" s="22">
        <v>2</v>
      </c>
      <c r="B2965" t="s">
        <v>5624</v>
      </c>
      <c r="C2965" t="s">
        <v>802</v>
      </c>
      <c r="D2965" t="s">
        <v>4389</v>
      </c>
      <c r="E2965" t="s">
        <v>4390</v>
      </c>
      <c r="F2965">
        <v>4020051</v>
      </c>
      <c r="G2965" t="s">
        <v>4391</v>
      </c>
      <c r="H2965" t="s">
        <v>805</v>
      </c>
      <c r="I2965">
        <v>152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152</v>
      </c>
      <c r="P2965" s="44" t="e">
        <f>_xlfn.XLOOKUP(Tabla5[[#This Row],[EAN CORREGIDO]],'Tabla Articulos'!B:B,'Tabla Articulos'!D:D)</f>
        <v>#N/A</v>
      </c>
      <c r="Q2965" s="44" t="e">
        <f>_xlfn.XLOOKUP(S2965,'Tabla Articulos'!B:B,'Tabla Articulos'!E:E)</f>
        <v>#N/A</v>
      </c>
      <c r="R2965" s="44" t="e">
        <f t="shared" si="92"/>
        <v>#N/A</v>
      </c>
      <c r="S2965" s="45" t="str">
        <f t="shared" si="93"/>
        <v>7793323024442</v>
      </c>
    </row>
    <row r="2966" spans="1:19" hidden="1" x14ac:dyDescent="0.35">
      <c r="A2966" s="22">
        <v>2</v>
      </c>
      <c r="B2966" t="s">
        <v>5624</v>
      </c>
      <c r="C2966" t="s">
        <v>802</v>
      </c>
      <c r="D2966" t="s">
        <v>4814</v>
      </c>
      <c r="E2966" t="s">
        <v>4815</v>
      </c>
      <c r="F2966">
        <v>4020580</v>
      </c>
      <c r="G2966" t="s">
        <v>4816</v>
      </c>
      <c r="H2966" t="s">
        <v>805</v>
      </c>
      <c r="I2966">
        <v>124</v>
      </c>
      <c r="J2966">
        <v>0</v>
      </c>
      <c r="K2966">
        <v>0</v>
      </c>
      <c r="L2966">
        <v>33</v>
      </c>
      <c r="M2966">
        <v>33</v>
      </c>
      <c r="N2966">
        <v>0</v>
      </c>
      <c r="O2966">
        <v>58</v>
      </c>
      <c r="P2966" s="44" t="e">
        <f>_xlfn.XLOOKUP(Tabla5[[#This Row],[EAN CORREGIDO]],'Tabla Articulos'!B:B,'Tabla Articulos'!D:D)</f>
        <v>#N/A</v>
      </c>
      <c r="Q2966" s="44" t="e">
        <f>_xlfn.XLOOKUP(S2966,'Tabla Articulos'!B:B,'Tabla Articulos'!E:E)</f>
        <v>#N/A</v>
      </c>
      <c r="R2966" s="44" t="e">
        <f t="shared" si="92"/>
        <v>#N/A</v>
      </c>
      <c r="S2966" s="45" t="str">
        <f t="shared" si="93"/>
        <v>7891150049574</v>
      </c>
    </row>
    <row r="2967" spans="1:19" hidden="1" x14ac:dyDescent="0.35">
      <c r="A2967" s="22">
        <v>2</v>
      </c>
      <c r="B2967" t="s">
        <v>5624</v>
      </c>
      <c r="C2967" t="s">
        <v>802</v>
      </c>
      <c r="D2967" t="s">
        <v>4817</v>
      </c>
      <c r="E2967" t="s">
        <v>4818</v>
      </c>
      <c r="F2967">
        <v>4018830</v>
      </c>
      <c r="G2967" t="s">
        <v>4819</v>
      </c>
      <c r="H2967" t="s">
        <v>805</v>
      </c>
      <c r="I2967">
        <v>11665</v>
      </c>
      <c r="J2967">
        <v>13824</v>
      </c>
      <c r="K2967">
        <v>0</v>
      </c>
      <c r="L2967">
        <v>574</v>
      </c>
      <c r="M2967">
        <v>574</v>
      </c>
      <c r="N2967">
        <v>0</v>
      </c>
      <c r="O2967">
        <v>24341</v>
      </c>
      <c r="P2967" s="44" t="e">
        <f>_xlfn.XLOOKUP(Tabla5[[#This Row],[EAN CORREGIDO]],'Tabla Articulos'!B:B,'Tabla Articulos'!D:D)</f>
        <v>#N/A</v>
      </c>
      <c r="Q2967" s="44" t="e">
        <f>_xlfn.XLOOKUP(S2967,'Tabla Articulos'!B:B,'Tabla Articulos'!E:E)</f>
        <v>#N/A</v>
      </c>
      <c r="R2967" s="44" t="e">
        <f t="shared" si="92"/>
        <v>#N/A</v>
      </c>
      <c r="S2967" s="45" t="str">
        <f t="shared" si="93"/>
        <v>7790412000400</v>
      </c>
    </row>
    <row r="2968" spans="1:19" hidden="1" x14ac:dyDescent="0.35">
      <c r="A2968" s="22">
        <v>2</v>
      </c>
      <c r="B2968" t="s">
        <v>5624</v>
      </c>
      <c r="C2968" t="s">
        <v>802</v>
      </c>
      <c r="D2968" t="s">
        <v>2121</v>
      </c>
      <c r="E2968" t="s">
        <v>4820</v>
      </c>
      <c r="F2968">
        <v>4022527</v>
      </c>
      <c r="G2968" t="s">
        <v>4821</v>
      </c>
      <c r="H2968" t="s">
        <v>805</v>
      </c>
      <c r="I2968">
        <v>147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147</v>
      </c>
      <c r="P2968" s="44" t="e">
        <f>_xlfn.XLOOKUP(Tabla5[[#This Row],[EAN CORREGIDO]],'Tabla Articulos'!B:B,'Tabla Articulos'!D:D)</f>
        <v>#N/A</v>
      </c>
      <c r="Q2968" s="44" t="e">
        <f>_xlfn.XLOOKUP(S2968,'Tabla Articulos'!B:B,'Tabla Articulos'!E:E)</f>
        <v>#N/A</v>
      </c>
      <c r="R2968" s="44" t="e">
        <f t="shared" si="92"/>
        <v>#N/A</v>
      </c>
      <c r="S2968" s="45" t="str">
        <f t="shared" si="93"/>
        <v>763571701973</v>
      </c>
    </row>
    <row r="2969" spans="1:19" hidden="1" x14ac:dyDescent="0.35">
      <c r="A2969" s="22">
        <v>2</v>
      </c>
      <c r="B2969" t="s">
        <v>5624</v>
      </c>
      <c r="C2969" t="s">
        <v>802</v>
      </c>
      <c r="D2969" t="s">
        <v>4187</v>
      </c>
      <c r="E2969" t="s">
        <v>6212</v>
      </c>
      <c r="F2969">
        <v>4017213</v>
      </c>
      <c r="G2969" t="s">
        <v>6213</v>
      </c>
      <c r="H2969" t="s">
        <v>805</v>
      </c>
      <c r="I2969">
        <v>7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7</v>
      </c>
      <c r="P2969" s="44" t="e">
        <f>_xlfn.XLOOKUP(Tabla5[[#This Row],[EAN CORREGIDO]],'Tabla Articulos'!B:B,'Tabla Articulos'!D:D)</f>
        <v>#N/A</v>
      </c>
      <c r="Q2969" s="44" t="e">
        <f>_xlfn.XLOOKUP(S2969,'Tabla Articulos'!B:B,'Tabla Articulos'!E:E)</f>
        <v>#N/A</v>
      </c>
      <c r="R2969" s="44" t="e">
        <f t="shared" si="92"/>
        <v>#N/A</v>
      </c>
      <c r="S2969" s="45" t="str">
        <f t="shared" si="93"/>
        <v>7794450008268</v>
      </c>
    </row>
    <row r="2970" spans="1:19" hidden="1" x14ac:dyDescent="0.35">
      <c r="A2970" s="22">
        <v>2</v>
      </c>
      <c r="B2970" t="s">
        <v>5624</v>
      </c>
      <c r="C2970" t="s">
        <v>802</v>
      </c>
      <c r="D2970" t="s">
        <v>1335</v>
      </c>
      <c r="E2970" t="s">
        <v>6214</v>
      </c>
      <c r="F2970">
        <v>4019977</v>
      </c>
      <c r="G2970" t="s">
        <v>6215</v>
      </c>
      <c r="H2970" t="s">
        <v>805</v>
      </c>
      <c r="I2970">
        <v>6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6</v>
      </c>
      <c r="P2970" s="44" t="e">
        <f>_xlfn.XLOOKUP(Tabla5[[#This Row],[EAN CORREGIDO]],'Tabla Articulos'!B:B,'Tabla Articulos'!D:D)</f>
        <v>#N/A</v>
      </c>
      <c r="Q2970" s="44" t="e">
        <f>_xlfn.XLOOKUP(S2970,'Tabla Articulos'!B:B,'Tabla Articulos'!E:E)</f>
        <v>#N/A</v>
      </c>
      <c r="R2970" s="44" t="e">
        <f t="shared" si="92"/>
        <v>#N/A</v>
      </c>
      <c r="S2970" s="45" t="str">
        <f t="shared" si="93"/>
        <v>7792260639573</v>
      </c>
    </row>
    <row r="2971" spans="1:19" hidden="1" x14ac:dyDescent="0.35">
      <c r="A2971" s="22">
        <v>2</v>
      </c>
      <c r="B2971" t="s">
        <v>5624</v>
      </c>
      <c r="C2971" t="s">
        <v>802</v>
      </c>
      <c r="D2971" t="s">
        <v>337</v>
      </c>
      <c r="E2971" t="s">
        <v>6216</v>
      </c>
      <c r="F2971">
        <v>2006204</v>
      </c>
      <c r="G2971" t="s">
        <v>6217</v>
      </c>
      <c r="H2971" t="s">
        <v>805</v>
      </c>
      <c r="I2971">
        <v>13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13</v>
      </c>
      <c r="P2971" s="44" t="str">
        <f>_xlfn.XLOOKUP(Tabla5[[#This Row],[EAN CORREGIDO]],'Tabla Articulos'!B:B,'Tabla Articulos'!D:D)</f>
        <v>TAPA ENSALADERA CRISTAL</v>
      </c>
      <c r="Q2971" s="44">
        <f>_xlfn.XLOOKUP(S2971,'Tabla Articulos'!B:B,'Tabla Articulos'!E:E)</f>
        <v>600</v>
      </c>
      <c r="R2971" s="44">
        <f t="shared" si="92"/>
        <v>7800</v>
      </c>
      <c r="S2971" s="45" t="str">
        <f t="shared" si="93"/>
        <v>BAZ00011</v>
      </c>
    </row>
    <row r="2972" spans="1:19" hidden="1" x14ac:dyDescent="0.35">
      <c r="A2972" s="22">
        <v>2</v>
      </c>
      <c r="B2972" t="s">
        <v>5624</v>
      </c>
      <c r="C2972" t="s">
        <v>802</v>
      </c>
      <c r="D2972" t="s">
        <v>3396</v>
      </c>
      <c r="E2972" t="s">
        <v>3397</v>
      </c>
      <c r="F2972">
        <v>4017753</v>
      </c>
      <c r="G2972" t="s">
        <v>3398</v>
      </c>
      <c r="H2972" t="s">
        <v>816</v>
      </c>
      <c r="I2972">
        <v>233.12</v>
      </c>
      <c r="J2972">
        <v>0</v>
      </c>
      <c r="K2972">
        <v>0</v>
      </c>
      <c r="L2972">
        <v>44.09</v>
      </c>
      <c r="M2972">
        <v>44.09</v>
      </c>
      <c r="N2972">
        <v>0</v>
      </c>
      <c r="O2972">
        <v>144.94</v>
      </c>
      <c r="P2972" s="44" t="e">
        <f>_xlfn.XLOOKUP(Tabla5[[#This Row],[EAN CORREGIDO]],'Tabla Articulos'!B:B,'Tabla Articulos'!D:D)</f>
        <v>#N/A</v>
      </c>
      <c r="Q2972" s="44" t="e">
        <f>_xlfn.XLOOKUP(S2972,'Tabla Articulos'!B:B,'Tabla Articulos'!E:E)</f>
        <v>#N/A</v>
      </c>
      <c r="R2972" s="44" t="e">
        <f t="shared" si="92"/>
        <v>#N/A</v>
      </c>
      <c r="S2972" s="45" t="str">
        <f t="shared" si="93"/>
        <v>7790212050012</v>
      </c>
    </row>
    <row r="2973" spans="1:19" hidden="1" x14ac:dyDescent="0.35">
      <c r="A2973" s="22">
        <v>2</v>
      </c>
      <c r="B2973" t="s">
        <v>5624</v>
      </c>
      <c r="C2973" t="s">
        <v>802</v>
      </c>
      <c r="D2973" t="s">
        <v>3402</v>
      </c>
      <c r="E2973" t="s">
        <v>3403</v>
      </c>
      <c r="F2973">
        <v>4020623</v>
      </c>
      <c r="G2973" t="s">
        <v>3404</v>
      </c>
      <c r="H2973" t="s">
        <v>805</v>
      </c>
      <c r="I2973">
        <v>60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60</v>
      </c>
      <c r="P2973" s="44" t="e">
        <f>_xlfn.XLOOKUP(Tabla5[[#This Row],[EAN CORREGIDO]],'Tabla Articulos'!B:B,'Tabla Articulos'!D:D)</f>
        <v>#N/A</v>
      </c>
      <c r="Q2973" s="44" t="e">
        <f>_xlfn.XLOOKUP(S2973,'Tabla Articulos'!B:B,'Tabla Articulos'!E:E)</f>
        <v>#N/A</v>
      </c>
      <c r="R2973" s="44" t="e">
        <f t="shared" si="92"/>
        <v>#N/A</v>
      </c>
      <c r="S2973" s="45" t="str">
        <f t="shared" si="93"/>
        <v>7793875317405</v>
      </c>
    </row>
    <row r="2974" spans="1:19" hidden="1" x14ac:dyDescent="0.35">
      <c r="A2974" s="22">
        <v>2</v>
      </c>
      <c r="B2974" t="s">
        <v>5624</v>
      </c>
      <c r="C2974" t="s">
        <v>802</v>
      </c>
      <c r="D2974" t="s">
        <v>328</v>
      </c>
      <c r="E2974" t="s">
        <v>2112</v>
      </c>
      <c r="F2974">
        <v>2006827</v>
      </c>
      <c r="G2974" t="s">
        <v>2113</v>
      </c>
      <c r="H2974" t="s">
        <v>805</v>
      </c>
      <c r="I2974">
        <v>8</v>
      </c>
      <c r="J2974">
        <v>10</v>
      </c>
      <c r="K2974">
        <v>0</v>
      </c>
      <c r="L2974">
        <v>3</v>
      </c>
      <c r="M2974">
        <v>3</v>
      </c>
      <c r="N2974">
        <v>0</v>
      </c>
      <c r="O2974">
        <v>12</v>
      </c>
      <c r="P2974" s="44" t="str">
        <f>_xlfn.XLOOKUP(Tabla5[[#This Row],[EAN CORREGIDO]],'Tabla Articulos'!B:B,'Tabla Articulos'!D:D)</f>
        <v>TAPA R5</v>
      </c>
      <c r="Q2974" s="44">
        <f>_xlfn.XLOOKUP(S2974,'Tabla Articulos'!B:B,'Tabla Articulos'!E:E)</f>
        <v>400</v>
      </c>
      <c r="R2974" s="44">
        <f t="shared" si="92"/>
        <v>4800</v>
      </c>
      <c r="S2974" s="45" t="str">
        <f t="shared" si="93"/>
        <v>7790321020306</v>
      </c>
    </row>
    <row r="2975" spans="1:19" hidden="1" x14ac:dyDescent="0.35">
      <c r="A2975" s="22">
        <v>2</v>
      </c>
      <c r="B2975" t="s">
        <v>5624</v>
      </c>
      <c r="C2975" t="s">
        <v>802</v>
      </c>
      <c r="D2975" t="s">
        <v>1252</v>
      </c>
      <c r="E2975" t="s">
        <v>2114</v>
      </c>
      <c r="F2975">
        <v>4077144</v>
      </c>
      <c r="G2975" t="s">
        <v>2115</v>
      </c>
      <c r="H2975" t="s">
        <v>805</v>
      </c>
      <c r="I2975">
        <v>6</v>
      </c>
      <c r="J2975">
        <v>0</v>
      </c>
      <c r="K2975">
        <v>0</v>
      </c>
      <c r="L2975">
        <v>2</v>
      </c>
      <c r="M2975">
        <v>2</v>
      </c>
      <c r="N2975">
        <v>0</v>
      </c>
      <c r="O2975">
        <v>2</v>
      </c>
      <c r="P2975" s="44" t="e">
        <f>_xlfn.XLOOKUP(Tabla5[[#This Row],[EAN CORREGIDO]],'Tabla Articulos'!B:B,'Tabla Articulos'!D:D)</f>
        <v>#N/A</v>
      </c>
      <c r="Q2975" s="44" t="e">
        <f>_xlfn.XLOOKUP(S2975,'Tabla Articulos'!B:B,'Tabla Articulos'!E:E)</f>
        <v>#N/A</v>
      </c>
      <c r="R2975" s="44" t="e">
        <f t="shared" si="92"/>
        <v>#N/A</v>
      </c>
      <c r="S2975" s="45" t="str">
        <f t="shared" si="93"/>
        <v>17792180005950</v>
      </c>
    </row>
    <row r="2976" spans="1:19" hidden="1" x14ac:dyDescent="0.35">
      <c r="A2976" s="22">
        <v>2</v>
      </c>
      <c r="B2976" t="s">
        <v>5624</v>
      </c>
      <c r="C2976" t="s">
        <v>802</v>
      </c>
      <c r="D2976" t="s">
        <v>2121</v>
      </c>
      <c r="E2976" t="s">
        <v>2122</v>
      </c>
      <c r="F2976">
        <v>4020649</v>
      </c>
      <c r="G2976" t="s">
        <v>2123</v>
      </c>
      <c r="H2976" t="s">
        <v>805</v>
      </c>
      <c r="I2976">
        <v>183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183</v>
      </c>
      <c r="P2976" s="44" t="e">
        <f>_xlfn.XLOOKUP(Tabla5[[#This Row],[EAN CORREGIDO]],'Tabla Articulos'!B:B,'Tabla Articulos'!D:D)</f>
        <v>#N/A</v>
      </c>
      <c r="Q2976" s="44" t="e">
        <f>_xlfn.XLOOKUP(S2976,'Tabla Articulos'!B:B,'Tabla Articulos'!E:E)</f>
        <v>#N/A</v>
      </c>
      <c r="R2976" s="44" t="e">
        <f t="shared" si="92"/>
        <v>#N/A</v>
      </c>
      <c r="S2976" s="45" t="str">
        <f t="shared" si="93"/>
        <v>7790971001139</v>
      </c>
    </row>
    <row r="2977" spans="1:19" hidden="1" x14ac:dyDescent="0.35">
      <c r="A2977" s="22">
        <v>2</v>
      </c>
      <c r="B2977" t="s">
        <v>5624</v>
      </c>
      <c r="C2977" t="s">
        <v>802</v>
      </c>
      <c r="D2977" t="s">
        <v>2124</v>
      </c>
      <c r="E2977" t="s">
        <v>2125</v>
      </c>
      <c r="F2977">
        <v>4020760</v>
      </c>
      <c r="G2977" t="s">
        <v>2126</v>
      </c>
      <c r="H2977" t="s">
        <v>805</v>
      </c>
      <c r="I2977">
        <v>271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271</v>
      </c>
      <c r="P2977" s="44" t="e">
        <f>_xlfn.XLOOKUP(Tabla5[[#This Row],[EAN CORREGIDO]],'Tabla Articulos'!B:B,'Tabla Articulos'!D:D)</f>
        <v>#N/A</v>
      </c>
      <c r="Q2977" s="44" t="e">
        <f>_xlfn.XLOOKUP(S2977,'Tabla Articulos'!B:B,'Tabla Articulos'!E:E)</f>
        <v>#N/A</v>
      </c>
      <c r="R2977" s="44" t="e">
        <f t="shared" si="92"/>
        <v>#N/A</v>
      </c>
      <c r="S2977" s="45" t="str">
        <f t="shared" si="93"/>
        <v>7793875360296</v>
      </c>
    </row>
    <row r="2978" spans="1:19" hidden="1" x14ac:dyDescent="0.35">
      <c r="A2978" s="22">
        <v>2</v>
      </c>
      <c r="B2978" t="s">
        <v>5624</v>
      </c>
      <c r="C2978" t="s">
        <v>802</v>
      </c>
      <c r="D2978" t="s">
        <v>1663</v>
      </c>
      <c r="E2978" t="s">
        <v>2127</v>
      </c>
      <c r="F2978">
        <v>4020548</v>
      </c>
      <c r="G2978" t="s">
        <v>2128</v>
      </c>
      <c r="H2978" t="s">
        <v>805</v>
      </c>
      <c r="I2978">
        <v>171</v>
      </c>
      <c r="J2978">
        <v>0</v>
      </c>
      <c r="K2978">
        <v>0</v>
      </c>
      <c r="L2978">
        <v>43</v>
      </c>
      <c r="M2978">
        <v>43</v>
      </c>
      <c r="N2978">
        <v>0</v>
      </c>
      <c r="O2978">
        <v>85</v>
      </c>
      <c r="P2978" s="44" t="e">
        <f>_xlfn.XLOOKUP(Tabla5[[#This Row],[EAN CORREGIDO]],'Tabla Articulos'!B:B,'Tabla Articulos'!D:D)</f>
        <v>#N/A</v>
      </c>
      <c r="Q2978" s="44" t="e">
        <f>_xlfn.XLOOKUP(S2978,'Tabla Articulos'!B:B,'Tabla Articulos'!E:E)</f>
        <v>#N/A</v>
      </c>
      <c r="R2978" s="44" t="e">
        <f t="shared" si="92"/>
        <v>#N/A</v>
      </c>
      <c r="S2978" s="45" t="str">
        <f t="shared" si="93"/>
        <v>7797470199237</v>
      </c>
    </row>
    <row r="2979" spans="1:19" hidden="1" x14ac:dyDescent="0.35">
      <c r="A2979" s="22">
        <v>2</v>
      </c>
      <c r="B2979" t="s">
        <v>5624</v>
      </c>
      <c r="C2979" t="s">
        <v>802</v>
      </c>
      <c r="D2979" t="s">
        <v>2133</v>
      </c>
      <c r="E2979" t="s">
        <v>2134</v>
      </c>
      <c r="F2979">
        <v>4019932</v>
      </c>
      <c r="G2979" t="s">
        <v>2135</v>
      </c>
      <c r="H2979" t="s">
        <v>805</v>
      </c>
      <c r="I2979">
        <v>15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15</v>
      </c>
      <c r="P2979" s="44" t="e">
        <f>_xlfn.XLOOKUP(Tabla5[[#This Row],[EAN CORREGIDO]],'Tabla Articulos'!B:B,'Tabla Articulos'!D:D)</f>
        <v>#N/A</v>
      </c>
      <c r="Q2979" s="44" t="e">
        <f>_xlfn.XLOOKUP(S2979,'Tabla Articulos'!B:B,'Tabla Articulos'!E:E)</f>
        <v>#N/A</v>
      </c>
      <c r="R2979" s="44" t="e">
        <f t="shared" si="92"/>
        <v>#N/A</v>
      </c>
      <c r="S2979" s="45" t="str">
        <f t="shared" si="93"/>
        <v>7790971001115</v>
      </c>
    </row>
    <row r="2980" spans="1:19" hidden="1" x14ac:dyDescent="0.35">
      <c r="A2980" s="22">
        <v>2</v>
      </c>
      <c r="B2980" t="s">
        <v>5624</v>
      </c>
      <c r="C2980" t="s">
        <v>802</v>
      </c>
      <c r="D2980" t="s">
        <v>5672</v>
      </c>
      <c r="E2980" t="s">
        <v>5673</v>
      </c>
      <c r="F2980">
        <v>4017965</v>
      </c>
      <c r="G2980" t="s">
        <v>5674</v>
      </c>
      <c r="H2980" t="s">
        <v>816</v>
      </c>
      <c r="I2980">
        <v>81.594999999999999</v>
      </c>
      <c r="J2980">
        <v>-0.5</v>
      </c>
      <c r="K2980">
        <v>0</v>
      </c>
      <c r="L2980">
        <v>27.8</v>
      </c>
      <c r="M2980">
        <v>29.8</v>
      </c>
      <c r="N2980">
        <v>0</v>
      </c>
      <c r="O2980">
        <v>23.495000000000001</v>
      </c>
      <c r="P2980" s="44" t="e">
        <f>_xlfn.XLOOKUP(Tabla5[[#This Row],[EAN CORREGIDO]],'Tabla Articulos'!B:B,'Tabla Articulos'!D:D)</f>
        <v>#N/A</v>
      </c>
      <c r="Q2980" s="44" t="e">
        <f>_xlfn.XLOOKUP(S2980,'Tabla Articulos'!B:B,'Tabla Articulos'!E:E)</f>
        <v>#N/A</v>
      </c>
      <c r="R2980" s="44" t="e">
        <f t="shared" si="92"/>
        <v>#N/A</v>
      </c>
      <c r="S2980" s="45" t="str">
        <f t="shared" si="93"/>
        <v>7790216012650</v>
      </c>
    </row>
    <row r="2981" spans="1:19" hidden="1" x14ac:dyDescent="0.35">
      <c r="A2981" s="22">
        <v>2</v>
      </c>
      <c r="B2981" t="s">
        <v>5624</v>
      </c>
      <c r="C2981" t="s">
        <v>802</v>
      </c>
      <c r="D2981" t="s">
        <v>997</v>
      </c>
      <c r="E2981" t="s">
        <v>998</v>
      </c>
      <c r="F2981">
        <v>4018041</v>
      </c>
      <c r="G2981" t="s">
        <v>999</v>
      </c>
      <c r="H2981" t="s">
        <v>816</v>
      </c>
      <c r="I2981">
        <v>4212.5839999999998</v>
      </c>
      <c r="J2981">
        <v>0</v>
      </c>
      <c r="K2981">
        <v>0</v>
      </c>
      <c r="L2981">
        <v>518.99</v>
      </c>
      <c r="M2981">
        <v>518.99</v>
      </c>
      <c r="N2981">
        <v>0</v>
      </c>
      <c r="O2981">
        <v>3174.6039999999998</v>
      </c>
      <c r="P2981" s="44" t="e">
        <f>_xlfn.XLOOKUP(Tabla5[[#This Row],[EAN CORREGIDO]],'Tabla Articulos'!B:B,'Tabla Articulos'!D:D)</f>
        <v>#N/A</v>
      </c>
      <c r="Q2981" s="44" t="e">
        <f>_xlfn.XLOOKUP(S2981,'Tabla Articulos'!B:B,'Tabla Articulos'!E:E)</f>
        <v>#N/A</v>
      </c>
      <c r="R2981" s="44" t="e">
        <f t="shared" si="92"/>
        <v>#N/A</v>
      </c>
      <c r="S2981" s="45" t="str">
        <f t="shared" si="93"/>
        <v>7790216010062</v>
      </c>
    </row>
    <row r="2982" spans="1:19" hidden="1" x14ac:dyDescent="0.35">
      <c r="A2982" s="22">
        <v>2</v>
      </c>
      <c r="B2982" t="s">
        <v>5624</v>
      </c>
      <c r="C2982" t="s">
        <v>802</v>
      </c>
      <c r="D2982" t="s">
        <v>5675</v>
      </c>
      <c r="E2982" t="s">
        <v>5676</v>
      </c>
      <c r="F2982">
        <v>4020585</v>
      </c>
      <c r="G2982" t="s">
        <v>5677</v>
      </c>
      <c r="H2982" t="s">
        <v>805</v>
      </c>
      <c r="I2982">
        <v>26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26</v>
      </c>
      <c r="P2982" s="44" t="e">
        <f>_xlfn.XLOOKUP(Tabla5[[#This Row],[EAN CORREGIDO]],'Tabla Articulos'!B:B,'Tabla Articulos'!D:D)</f>
        <v>#N/A</v>
      </c>
      <c r="Q2982" s="44" t="e">
        <f>_xlfn.XLOOKUP(S2982,'Tabla Articulos'!B:B,'Tabla Articulos'!E:E)</f>
        <v>#N/A</v>
      </c>
      <c r="R2982" s="44" t="e">
        <f t="shared" si="92"/>
        <v>#N/A</v>
      </c>
      <c r="S2982" s="45" t="str">
        <f t="shared" si="93"/>
        <v>7791113006401</v>
      </c>
    </row>
    <row r="2983" spans="1:19" hidden="1" x14ac:dyDescent="0.35">
      <c r="A2983" s="22">
        <v>2</v>
      </c>
      <c r="B2983" t="s">
        <v>5624</v>
      </c>
      <c r="C2983" t="s">
        <v>802</v>
      </c>
      <c r="D2983" t="s">
        <v>1005</v>
      </c>
      <c r="E2983" t="s">
        <v>1006</v>
      </c>
      <c r="F2983">
        <v>4017970</v>
      </c>
      <c r="G2983" t="s">
        <v>1007</v>
      </c>
      <c r="H2983" t="s">
        <v>805</v>
      </c>
      <c r="I2983">
        <v>8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8</v>
      </c>
      <c r="P2983" s="44" t="e">
        <f>_xlfn.XLOOKUP(Tabla5[[#This Row],[EAN CORREGIDO]],'Tabla Articulos'!B:B,'Tabla Articulos'!D:D)</f>
        <v>#N/A</v>
      </c>
      <c r="Q2983" s="44" t="e">
        <f>_xlfn.XLOOKUP(S2983,'Tabla Articulos'!B:B,'Tabla Articulos'!E:E)</f>
        <v>#N/A</v>
      </c>
      <c r="R2983" s="44" t="e">
        <f t="shared" si="92"/>
        <v>#N/A</v>
      </c>
      <c r="S2983" s="45" t="str">
        <f t="shared" si="93"/>
        <v>7797906000526</v>
      </c>
    </row>
    <row r="2984" spans="1:19" hidden="1" x14ac:dyDescent="0.35">
      <c r="A2984" s="22">
        <v>2</v>
      </c>
      <c r="B2984" t="s">
        <v>5624</v>
      </c>
      <c r="C2984" t="s">
        <v>802</v>
      </c>
      <c r="D2984" t="s">
        <v>1008</v>
      </c>
      <c r="E2984" t="s">
        <v>1009</v>
      </c>
      <c r="F2984">
        <v>4018347</v>
      </c>
      <c r="G2984" t="s">
        <v>1010</v>
      </c>
      <c r="H2984" t="s">
        <v>805</v>
      </c>
      <c r="I2984">
        <v>182</v>
      </c>
      <c r="J2984">
        <v>0</v>
      </c>
      <c r="K2984">
        <v>0</v>
      </c>
      <c r="L2984">
        <v>39</v>
      </c>
      <c r="M2984">
        <v>39</v>
      </c>
      <c r="N2984">
        <v>0</v>
      </c>
      <c r="O2984">
        <v>104</v>
      </c>
      <c r="P2984" s="44" t="e">
        <f>_xlfn.XLOOKUP(Tabla5[[#This Row],[EAN CORREGIDO]],'Tabla Articulos'!B:B,'Tabla Articulos'!D:D)</f>
        <v>#N/A</v>
      </c>
      <c r="Q2984" s="44" t="e">
        <f>_xlfn.XLOOKUP(S2984,'Tabla Articulos'!B:B,'Tabla Articulos'!E:E)</f>
        <v>#N/A</v>
      </c>
      <c r="R2984" s="44" t="e">
        <f t="shared" si="92"/>
        <v>#N/A</v>
      </c>
      <c r="S2984" s="45" t="str">
        <f t="shared" si="93"/>
        <v>17790787960696</v>
      </c>
    </row>
    <row r="2985" spans="1:19" hidden="1" x14ac:dyDescent="0.35">
      <c r="A2985" s="22">
        <v>2</v>
      </c>
      <c r="B2985" t="s">
        <v>5624</v>
      </c>
      <c r="C2985" t="s">
        <v>802</v>
      </c>
      <c r="D2985" t="s">
        <v>3660</v>
      </c>
      <c r="E2985" t="s">
        <v>4851</v>
      </c>
      <c r="F2985"/>
      <c r="G2985" t="s">
        <v>4852</v>
      </c>
      <c r="H2985" t="s">
        <v>805</v>
      </c>
      <c r="I2985">
        <v>11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11</v>
      </c>
      <c r="P2985" s="44" t="e">
        <f>_xlfn.XLOOKUP(Tabla5[[#This Row],[EAN CORREGIDO]],'Tabla Articulos'!B:B,'Tabla Articulos'!D:D)</f>
        <v>#N/A</v>
      </c>
      <c r="Q2985" s="44" t="e">
        <f>_xlfn.XLOOKUP(S2985,'Tabla Articulos'!B:B,'Tabla Articulos'!E:E)</f>
        <v>#N/A</v>
      </c>
      <c r="R2985" s="44" t="e">
        <f t="shared" si="92"/>
        <v>#N/A</v>
      </c>
      <c r="S2985" s="45" t="str">
        <f t="shared" si="93"/>
        <v>7790045001584</v>
      </c>
    </row>
    <row r="2986" spans="1:19" hidden="1" x14ac:dyDescent="0.35">
      <c r="A2986" s="22">
        <v>2</v>
      </c>
      <c r="B2986" t="s">
        <v>5624</v>
      </c>
      <c r="C2986" t="s">
        <v>802</v>
      </c>
      <c r="D2986" t="s">
        <v>3157</v>
      </c>
      <c r="E2986" t="s">
        <v>3740</v>
      </c>
      <c r="F2986">
        <v>4019867</v>
      </c>
      <c r="G2986" t="s">
        <v>3741</v>
      </c>
      <c r="H2986" t="s">
        <v>805</v>
      </c>
      <c r="I2986">
        <v>1917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1917</v>
      </c>
      <c r="P2986" s="44" t="e">
        <f>_xlfn.XLOOKUP(Tabla5[[#This Row],[EAN CORREGIDO]],'Tabla Articulos'!B:B,'Tabla Articulos'!D:D)</f>
        <v>#N/A</v>
      </c>
      <c r="Q2986" s="44" t="e">
        <f>_xlfn.XLOOKUP(S2986,'Tabla Articulos'!B:B,'Tabla Articulos'!E:E)</f>
        <v>#N/A</v>
      </c>
      <c r="R2986" s="44" t="e">
        <f t="shared" si="92"/>
        <v>#N/A</v>
      </c>
      <c r="S2986" s="45" t="str">
        <f t="shared" si="93"/>
        <v>7791113001901</v>
      </c>
    </row>
    <row r="2987" spans="1:19" hidden="1" x14ac:dyDescent="0.35">
      <c r="A2987" s="22">
        <v>2</v>
      </c>
      <c r="B2987" t="s">
        <v>5624</v>
      </c>
      <c r="C2987" t="s">
        <v>802</v>
      </c>
      <c r="D2987" t="s">
        <v>6411</v>
      </c>
      <c r="E2987" t="s">
        <v>6412</v>
      </c>
      <c r="F2987">
        <v>4023930</v>
      </c>
      <c r="G2987" t="s">
        <v>6413</v>
      </c>
      <c r="H2987" t="s">
        <v>805</v>
      </c>
      <c r="I2987">
        <v>4166</v>
      </c>
      <c r="J2987">
        <v>0</v>
      </c>
      <c r="K2987">
        <v>0</v>
      </c>
      <c r="L2987">
        <v>84</v>
      </c>
      <c r="M2987">
        <v>84</v>
      </c>
      <c r="N2987">
        <v>0</v>
      </c>
      <c r="O2987">
        <v>3998</v>
      </c>
      <c r="P2987" s="44" t="e">
        <f>_xlfn.XLOOKUP(Tabla5[[#This Row],[EAN CORREGIDO]],'Tabla Articulos'!B:B,'Tabla Articulos'!D:D)</f>
        <v>#N/A</v>
      </c>
      <c r="Q2987" s="44" t="e">
        <f>_xlfn.XLOOKUP(S2987,'Tabla Articulos'!B:B,'Tabla Articulos'!E:E)</f>
        <v>#N/A</v>
      </c>
      <c r="R2987" s="44" t="e">
        <f t="shared" si="92"/>
        <v>#N/A</v>
      </c>
      <c r="S2987" s="45" t="str">
        <f t="shared" si="93"/>
        <v>7790895650871</v>
      </c>
    </row>
    <row r="2988" spans="1:19" hidden="1" x14ac:dyDescent="0.35">
      <c r="A2988" s="22">
        <v>2</v>
      </c>
      <c r="B2988" t="s">
        <v>5624</v>
      </c>
      <c r="C2988" t="s">
        <v>802</v>
      </c>
      <c r="D2988" t="s">
        <v>3635</v>
      </c>
      <c r="E2988" t="s">
        <v>6414</v>
      </c>
      <c r="F2988">
        <v>4019452</v>
      </c>
      <c r="G2988" t="s">
        <v>6415</v>
      </c>
      <c r="H2988" t="s">
        <v>805</v>
      </c>
      <c r="I2988">
        <v>322</v>
      </c>
      <c r="J2988">
        <v>0</v>
      </c>
      <c r="K2988">
        <v>0</v>
      </c>
      <c r="L2988">
        <v>16</v>
      </c>
      <c r="M2988">
        <v>16</v>
      </c>
      <c r="N2988">
        <v>0</v>
      </c>
      <c r="O2988">
        <v>290</v>
      </c>
      <c r="P2988" s="44" t="e">
        <f>_xlfn.XLOOKUP(Tabla5[[#This Row],[EAN CORREGIDO]],'Tabla Articulos'!B:B,'Tabla Articulos'!D:D)</f>
        <v>#N/A</v>
      </c>
      <c r="Q2988" s="44" t="e">
        <f>_xlfn.XLOOKUP(S2988,'Tabla Articulos'!B:B,'Tabla Articulos'!E:E)</f>
        <v>#N/A</v>
      </c>
      <c r="R2988" s="44" t="e">
        <f t="shared" si="92"/>
        <v>#N/A</v>
      </c>
      <c r="S2988" s="45" t="str">
        <f t="shared" si="93"/>
        <v>7790070320155</v>
      </c>
    </row>
    <row r="2989" spans="1:19" hidden="1" x14ac:dyDescent="0.35">
      <c r="A2989" s="22">
        <v>2</v>
      </c>
      <c r="B2989" t="s">
        <v>5624</v>
      </c>
      <c r="C2989" t="s">
        <v>802</v>
      </c>
      <c r="D2989" t="s">
        <v>6416</v>
      </c>
      <c r="E2989" t="s">
        <v>6417</v>
      </c>
      <c r="F2989">
        <v>4076558</v>
      </c>
      <c r="G2989" t="s">
        <v>6418</v>
      </c>
      <c r="H2989" t="s">
        <v>805</v>
      </c>
      <c r="I2989">
        <v>27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27</v>
      </c>
      <c r="P2989" s="44" t="e">
        <f>_xlfn.XLOOKUP(Tabla5[[#This Row],[EAN CORREGIDO]],'Tabla Articulos'!B:B,'Tabla Articulos'!D:D)</f>
        <v>#N/A</v>
      </c>
      <c r="Q2989" s="44" t="e">
        <f>_xlfn.XLOOKUP(S2989,'Tabla Articulos'!B:B,'Tabla Articulos'!E:E)</f>
        <v>#N/A</v>
      </c>
      <c r="R2989" s="44" t="e">
        <f t="shared" si="92"/>
        <v>#N/A</v>
      </c>
      <c r="S2989" s="45" t="str">
        <f t="shared" si="93"/>
        <v>7798131130453</v>
      </c>
    </row>
    <row r="2990" spans="1:19" hidden="1" x14ac:dyDescent="0.35">
      <c r="A2990" s="22">
        <v>2</v>
      </c>
      <c r="B2990" t="s">
        <v>5624</v>
      </c>
      <c r="C2990" t="s">
        <v>802</v>
      </c>
      <c r="D2990" t="s">
        <v>6419</v>
      </c>
      <c r="E2990" t="s">
        <v>6420</v>
      </c>
      <c r="F2990">
        <v>4017677</v>
      </c>
      <c r="G2990" t="s">
        <v>6421</v>
      </c>
      <c r="H2990" t="s">
        <v>816</v>
      </c>
      <c r="I2990">
        <v>128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128</v>
      </c>
      <c r="P2990" s="44" t="e">
        <f>_xlfn.XLOOKUP(Tabla5[[#This Row],[EAN CORREGIDO]],'Tabla Articulos'!B:B,'Tabla Articulos'!D:D)</f>
        <v>#N/A</v>
      </c>
      <c r="Q2990" s="44" t="e">
        <f>_xlfn.XLOOKUP(S2990,'Tabla Articulos'!B:B,'Tabla Articulos'!E:E)</f>
        <v>#N/A</v>
      </c>
      <c r="R2990" s="44" t="e">
        <f t="shared" si="92"/>
        <v>#N/A</v>
      </c>
      <c r="S2990" s="45" t="str">
        <f t="shared" si="93"/>
        <v>7796804002021</v>
      </c>
    </row>
    <row r="2991" spans="1:19" hidden="1" x14ac:dyDescent="0.35">
      <c r="A2991" s="22">
        <v>2</v>
      </c>
      <c r="B2991" t="s">
        <v>5624</v>
      </c>
      <c r="C2991" t="s">
        <v>802</v>
      </c>
      <c r="D2991" t="s">
        <v>2751</v>
      </c>
      <c r="E2991" t="s">
        <v>3764</v>
      </c>
      <c r="F2991">
        <v>4022492</v>
      </c>
      <c r="G2991" t="s">
        <v>3765</v>
      </c>
      <c r="H2991" t="s">
        <v>805</v>
      </c>
      <c r="I2991">
        <v>300</v>
      </c>
      <c r="J2991">
        <v>0</v>
      </c>
      <c r="K2991">
        <v>0</v>
      </c>
      <c r="L2991">
        <v>13</v>
      </c>
      <c r="M2991">
        <v>13</v>
      </c>
      <c r="N2991">
        <v>0</v>
      </c>
      <c r="O2991">
        <v>274</v>
      </c>
      <c r="P2991" s="44" t="e">
        <f>_xlfn.XLOOKUP(Tabla5[[#This Row],[EAN CORREGIDO]],'Tabla Articulos'!B:B,'Tabla Articulos'!D:D)</f>
        <v>#N/A</v>
      </c>
      <c r="Q2991" s="44" t="e">
        <f>_xlfn.XLOOKUP(S2991,'Tabla Articulos'!B:B,'Tabla Articulos'!E:E)</f>
        <v>#N/A</v>
      </c>
      <c r="R2991" s="44" t="e">
        <f t="shared" si="92"/>
        <v>#N/A</v>
      </c>
      <c r="S2991" s="45" t="str">
        <f t="shared" si="93"/>
        <v>790757899506</v>
      </c>
    </row>
    <row r="2992" spans="1:19" hidden="1" x14ac:dyDescent="0.35">
      <c r="A2992" s="22">
        <v>2</v>
      </c>
      <c r="B2992" t="s">
        <v>5624</v>
      </c>
      <c r="C2992" t="s">
        <v>802</v>
      </c>
      <c r="D2992" t="s">
        <v>3027</v>
      </c>
      <c r="E2992" t="s">
        <v>3766</v>
      </c>
      <c r="F2992">
        <v>4019998</v>
      </c>
      <c r="G2992" t="s">
        <v>3767</v>
      </c>
      <c r="H2992" t="s">
        <v>805</v>
      </c>
      <c r="I2992">
        <v>1955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1955</v>
      </c>
      <c r="P2992" s="44" t="e">
        <f>_xlfn.XLOOKUP(Tabla5[[#This Row],[EAN CORREGIDO]],'Tabla Articulos'!B:B,'Tabla Articulos'!D:D)</f>
        <v>#N/A</v>
      </c>
      <c r="Q2992" s="44" t="e">
        <f>_xlfn.XLOOKUP(S2992,'Tabla Articulos'!B:B,'Tabla Articulos'!E:E)</f>
        <v>#N/A</v>
      </c>
      <c r="R2992" s="44" t="e">
        <f t="shared" si="92"/>
        <v>#N/A</v>
      </c>
      <c r="S2992" s="45" t="str">
        <f t="shared" si="93"/>
        <v>7791113002151</v>
      </c>
    </row>
    <row r="2993" spans="1:19" hidden="1" x14ac:dyDescent="0.35">
      <c r="A2993" s="22">
        <v>2</v>
      </c>
      <c r="B2993" t="s">
        <v>5624</v>
      </c>
      <c r="C2993" t="s">
        <v>802</v>
      </c>
      <c r="D2993" t="s">
        <v>1639</v>
      </c>
      <c r="E2993" t="s">
        <v>1640</v>
      </c>
      <c r="F2993">
        <v>4018132</v>
      </c>
      <c r="G2993" t="s">
        <v>1641</v>
      </c>
      <c r="H2993" t="s">
        <v>805</v>
      </c>
      <c r="I2993">
        <v>261</v>
      </c>
      <c r="J2993">
        <v>0</v>
      </c>
      <c r="K2993">
        <v>0</v>
      </c>
      <c r="L2993">
        <v>21</v>
      </c>
      <c r="M2993">
        <v>21</v>
      </c>
      <c r="N2993">
        <v>0</v>
      </c>
      <c r="O2993">
        <v>219</v>
      </c>
      <c r="P2993" s="44" t="e">
        <f>_xlfn.XLOOKUP(Tabla5[[#This Row],[EAN CORREGIDO]],'Tabla Articulos'!B:B,'Tabla Articulos'!D:D)</f>
        <v>#N/A</v>
      </c>
      <c r="Q2993" s="44" t="e">
        <f>_xlfn.XLOOKUP(S2993,'Tabla Articulos'!B:B,'Tabla Articulos'!E:E)</f>
        <v>#N/A</v>
      </c>
      <c r="R2993" s="44" t="e">
        <f t="shared" si="92"/>
        <v>#N/A</v>
      </c>
      <c r="S2993" s="45" t="str">
        <f t="shared" si="93"/>
        <v>7794990879663</v>
      </c>
    </row>
    <row r="2994" spans="1:19" hidden="1" x14ac:dyDescent="0.35">
      <c r="A2994" s="22">
        <v>2</v>
      </c>
      <c r="B2994" t="s">
        <v>5624</v>
      </c>
      <c r="C2994" t="s">
        <v>802</v>
      </c>
      <c r="D2994" t="s">
        <v>5974</v>
      </c>
      <c r="E2994" t="s">
        <v>5975</v>
      </c>
      <c r="F2994">
        <v>4018196</v>
      </c>
      <c r="G2994" t="s">
        <v>5976</v>
      </c>
      <c r="H2994" t="s">
        <v>805</v>
      </c>
      <c r="I2994">
        <v>3946</v>
      </c>
      <c r="J2994">
        <v>0</v>
      </c>
      <c r="K2994">
        <v>0</v>
      </c>
      <c r="L2994">
        <v>94</v>
      </c>
      <c r="M2994">
        <v>94</v>
      </c>
      <c r="N2994">
        <v>0</v>
      </c>
      <c r="O2994">
        <v>3758</v>
      </c>
      <c r="P2994" s="44" t="e">
        <f>_xlfn.XLOOKUP(Tabla5[[#This Row],[EAN CORREGIDO]],'Tabla Articulos'!B:B,'Tabla Articulos'!D:D)</f>
        <v>#N/A</v>
      </c>
      <c r="Q2994" s="44" t="e">
        <f>_xlfn.XLOOKUP(S2994,'Tabla Articulos'!B:B,'Tabla Articulos'!E:E)</f>
        <v>#N/A</v>
      </c>
      <c r="R2994" s="44" t="e">
        <f t="shared" si="92"/>
        <v>#N/A</v>
      </c>
      <c r="S2994" s="45" t="str">
        <f t="shared" si="93"/>
        <v>7794820902264</v>
      </c>
    </row>
    <row r="2995" spans="1:19" hidden="1" x14ac:dyDescent="0.35">
      <c r="A2995" s="22">
        <v>2</v>
      </c>
      <c r="B2995" t="s">
        <v>5624</v>
      </c>
      <c r="C2995" t="s">
        <v>802</v>
      </c>
      <c r="D2995" t="s">
        <v>3482</v>
      </c>
      <c r="E2995" t="s">
        <v>3483</v>
      </c>
      <c r="F2995">
        <v>4020139</v>
      </c>
      <c r="G2995" t="s">
        <v>3484</v>
      </c>
      <c r="H2995" t="s">
        <v>805</v>
      </c>
      <c r="I2995">
        <v>0</v>
      </c>
      <c r="J2995">
        <v>48</v>
      </c>
      <c r="K2995">
        <v>0</v>
      </c>
      <c r="L2995">
        <v>5</v>
      </c>
      <c r="M2995">
        <v>5</v>
      </c>
      <c r="N2995">
        <v>0</v>
      </c>
      <c r="O2995">
        <v>38</v>
      </c>
      <c r="P2995" s="44" t="e">
        <f>_xlfn.XLOOKUP(Tabla5[[#This Row],[EAN CORREGIDO]],'Tabla Articulos'!B:B,'Tabla Articulos'!D:D)</f>
        <v>#N/A</v>
      </c>
      <c r="Q2995" s="44" t="e">
        <f>_xlfn.XLOOKUP(S2995,'Tabla Articulos'!B:B,'Tabla Articulos'!E:E)</f>
        <v>#N/A</v>
      </c>
      <c r="R2995" s="44" t="e">
        <f t="shared" si="92"/>
        <v>#N/A</v>
      </c>
      <c r="S2995" s="45" t="str">
        <f t="shared" si="93"/>
        <v>7794000006454</v>
      </c>
    </row>
    <row r="2996" spans="1:19" hidden="1" x14ac:dyDescent="0.35">
      <c r="A2996" s="22">
        <v>2</v>
      </c>
      <c r="B2996" t="s">
        <v>5624</v>
      </c>
      <c r="C2996" t="s">
        <v>802</v>
      </c>
      <c r="D2996" t="s">
        <v>3036</v>
      </c>
      <c r="E2996" t="s">
        <v>6351</v>
      </c>
      <c r="F2996">
        <v>4022308</v>
      </c>
      <c r="G2996" t="s">
        <v>6352</v>
      </c>
      <c r="H2996" t="s">
        <v>805</v>
      </c>
      <c r="I2996">
        <v>58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58</v>
      </c>
      <c r="P2996" s="44" t="e">
        <f>_xlfn.XLOOKUP(Tabla5[[#This Row],[EAN CORREGIDO]],'Tabla Articulos'!B:B,'Tabla Articulos'!D:D)</f>
        <v>#N/A</v>
      </c>
      <c r="Q2996" s="44" t="e">
        <f>_xlfn.XLOOKUP(S2996,'Tabla Articulos'!B:B,'Tabla Articulos'!E:E)</f>
        <v>#N/A</v>
      </c>
      <c r="R2996" s="44" t="e">
        <f t="shared" si="92"/>
        <v>#N/A</v>
      </c>
      <c r="S2996" s="45" t="str">
        <f t="shared" si="93"/>
        <v>7790971002341</v>
      </c>
    </row>
    <row r="2997" spans="1:19" hidden="1" x14ac:dyDescent="0.35">
      <c r="A2997" s="22">
        <v>2</v>
      </c>
      <c r="B2997" t="s">
        <v>5624</v>
      </c>
      <c r="C2997" t="s">
        <v>802</v>
      </c>
      <c r="D2997" t="s">
        <v>2073</v>
      </c>
      <c r="E2997" t="s">
        <v>4136</v>
      </c>
      <c r="F2997">
        <v>4002835</v>
      </c>
      <c r="G2997" t="s">
        <v>4137</v>
      </c>
      <c r="H2997" t="s">
        <v>816</v>
      </c>
      <c r="I2997">
        <v>43.2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43.2</v>
      </c>
      <c r="P2997" s="44" t="e">
        <f>_xlfn.XLOOKUP(Tabla5[[#This Row],[EAN CORREGIDO]],'Tabla Articulos'!B:B,'Tabla Articulos'!D:D)</f>
        <v>#N/A</v>
      </c>
      <c r="Q2997" s="44" t="e">
        <f>_xlfn.XLOOKUP(S2997,'Tabla Articulos'!B:B,'Tabla Articulos'!E:E)</f>
        <v>#N/A</v>
      </c>
      <c r="R2997" s="44" t="e">
        <f t="shared" si="92"/>
        <v>#N/A</v>
      </c>
      <c r="S2997" s="45" t="str">
        <f t="shared" si="93"/>
        <v>7790000000593</v>
      </c>
    </row>
    <row r="2998" spans="1:19" hidden="1" x14ac:dyDescent="0.35">
      <c r="A2998" s="22">
        <v>2</v>
      </c>
      <c r="B2998" t="s">
        <v>5624</v>
      </c>
      <c r="C2998" t="s">
        <v>802</v>
      </c>
      <c r="D2998" t="s">
        <v>4144</v>
      </c>
      <c r="E2998" t="s">
        <v>4145</v>
      </c>
      <c r="F2998">
        <v>4022178</v>
      </c>
      <c r="G2998" t="s">
        <v>4146</v>
      </c>
      <c r="H2998" t="s">
        <v>805</v>
      </c>
      <c r="I2998">
        <v>211</v>
      </c>
      <c r="J2998">
        <v>0</v>
      </c>
      <c r="K2998">
        <v>0</v>
      </c>
      <c r="L2998">
        <v>8</v>
      </c>
      <c r="M2998">
        <v>8</v>
      </c>
      <c r="N2998">
        <v>0</v>
      </c>
      <c r="O2998">
        <v>195</v>
      </c>
      <c r="P2998" s="44" t="e">
        <f>_xlfn.XLOOKUP(Tabla5[[#This Row],[EAN CORREGIDO]],'Tabla Articulos'!B:B,'Tabla Articulos'!D:D)</f>
        <v>#N/A</v>
      </c>
      <c r="Q2998" s="44" t="e">
        <f>_xlfn.XLOOKUP(S2998,'Tabla Articulos'!B:B,'Tabla Articulos'!E:E)</f>
        <v>#N/A</v>
      </c>
      <c r="R2998" s="44" t="e">
        <f t="shared" si="92"/>
        <v>#N/A</v>
      </c>
      <c r="S2998" s="45" t="str">
        <f t="shared" si="93"/>
        <v>7798011977406</v>
      </c>
    </row>
    <row r="2999" spans="1:19" hidden="1" x14ac:dyDescent="0.35">
      <c r="A2999" s="22">
        <v>2</v>
      </c>
      <c r="B2999" t="s">
        <v>5624</v>
      </c>
      <c r="C2999" t="s">
        <v>802</v>
      </c>
      <c r="D2999" t="s">
        <v>4147</v>
      </c>
      <c r="E2999" t="s">
        <v>4148</v>
      </c>
      <c r="F2999">
        <v>4077275</v>
      </c>
      <c r="G2999" t="s">
        <v>4149</v>
      </c>
      <c r="H2999" t="s">
        <v>805</v>
      </c>
      <c r="I2999">
        <v>136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136</v>
      </c>
      <c r="P2999" s="44" t="e">
        <f>_xlfn.XLOOKUP(Tabla5[[#This Row],[EAN CORREGIDO]],'Tabla Articulos'!B:B,'Tabla Articulos'!D:D)</f>
        <v>#N/A</v>
      </c>
      <c r="Q2999" s="44" t="e">
        <f>_xlfn.XLOOKUP(S2999,'Tabla Articulos'!B:B,'Tabla Articulos'!E:E)</f>
        <v>#N/A</v>
      </c>
      <c r="R2999" s="44" t="e">
        <f t="shared" si="92"/>
        <v>#N/A</v>
      </c>
      <c r="S2999" s="45" t="str">
        <f t="shared" si="93"/>
        <v>7790045004912</v>
      </c>
    </row>
    <row r="3000" spans="1:19" hidden="1" x14ac:dyDescent="0.35">
      <c r="A3000" s="22">
        <v>2</v>
      </c>
      <c r="B3000" t="s">
        <v>5624</v>
      </c>
      <c r="C3000" t="s">
        <v>802</v>
      </c>
      <c r="D3000" t="s">
        <v>2325</v>
      </c>
      <c r="E3000" t="s">
        <v>2326</v>
      </c>
      <c r="F3000">
        <v>4018729</v>
      </c>
      <c r="G3000" t="s">
        <v>2327</v>
      </c>
      <c r="H3000" t="s">
        <v>805</v>
      </c>
      <c r="I3000">
        <v>85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85</v>
      </c>
      <c r="P3000" s="44" t="e">
        <f>_xlfn.XLOOKUP(Tabla5[[#This Row],[EAN CORREGIDO]],'Tabla Articulos'!B:B,'Tabla Articulos'!D:D)</f>
        <v>#N/A</v>
      </c>
      <c r="Q3000" s="44" t="e">
        <f>_xlfn.XLOOKUP(S3000,'Tabla Articulos'!B:B,'Tabla Articulos'!E:E)</f>
        <v>#N/A</v>
      </c>
      <c r="R3000" s="44" t="e">
        <f t="shared" si="92"/>
        <v>#N/A</v>
      </c>
      <c r="S3000" s="45" t="str">
        <f t="shared" si="93"/>
        <v>7795711000199</v>
      </c>
    </row>
    <row r="3001" spans="1:19" hidden="1" x14ac:dyDescent="0.35">
      <c r="A3001" s="22">
        <v>2</v>
      </c>
      <c r="B3001" t="s">
        <v>5624</v>
      </c>
      <c r="C3001" t="s">
        <v>802</v>
      </c>
      <c r="D3001" t="s">
        <v>6029</v>
      </c>
      <c r="E3001" t="s">
        <v>6030</v>
      </c>
      <c r="F3001">
        <v>4076941</v>
      </c>
      <c r="G3001" t="s">
        <v>6031</v>
      </c>
      <c r="H3001" t="s">
        <v>805</v>
      </c>
      <c r="I3001">
        <v>2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2</v>
      </c>
      <c r="P3001" s="44" t="e">
        <f>_xlfn.XLOOKUP(Tabla5[[#This Row],[EAN CORREGIDO]],'Tabla Articulos'!B:B,'Tabla Articulos'!D:D)</f>
        <v>#N/A</v>
      </c>
      <c r="Q3001" s="44" t="e">
        <f>_xlfn.XLOOKUP(S3001,'Tabla Articulos'!B:B,'Tabla Articulos'!E:E)</f>
        <v>#N/A</v>
      </c>
      <c r="R3001" s="44" t="e">
        <f t="shared" si="92"/>
        <v>#N/A</v>
      </c>
      <c r="S3001" s="45" t="str">
        <f t="shared" si="93"/>
        <v>7798401690083</v>
      </c>
    </row>
    <row r="3002" spans="1:19" hidden="1" x14ac:dyDescent="0.35">
      <c r="A3002" s="22">
        <v>2</v>
      </c>
      <c r="B3002" t="s">
        <v>5624</v>
      </c>
      <c r="C3002" t="s">
        <v>802</v>
      </c>
      <c r="D3002" t="s">
        <v>6032</v>
      </c>
      <c r="E3002" t="s">
        <v>6033</v>
      </c>
      <c r="F3002">
        <v>4018079</v>
      </c>
      <c r="G3002" t="s">
        <v>6034</v>
      </c>
      <c r="H3002" t="s">
        <v>816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  <c r="P3002" s="44" t="e">
        <f>_xlfn.XLOOKUP(Tabla5[[#This Row],[EAN CORREGIDO]],'Tabla Articulos'!B:B,'Tabla Articulos'!D:D)</f>
        <v>#N/A</v>
      </c>
      <c r="Q3002" s="44" t="e">
        <f>_xlfn.XLOOKUP(S3002,'Tabla Articulos'!B:B,'Tabla Articulos'!E:E)</f>
        <v>#N/A</v>
      </c>
      <c r="R3002" s="44" t="e">
        <f t="shared" si="92"/>
        <v>#N/A</v>
      </c>
      <c r="S3002" s="45" t="str">
        <f t="shared" si="93"/>
        <v>7790216020105</v>
      </c>
    </row>
    <row r="3003" spans="1:19" hidden="1" x14ac:dyDescent="0.35">
      <c r="A3003" s="22">
        <v>2</v>
      </c>
      <c r="B3003" t="s">
        <v>5624</v>
      </c>
      <c r="C3003" t="s">
        <v>802</v>
      </c>
      <c r="D3003" t="s">
        <v>2269</v>
      </c>
      <c r="E3003" t="s">
        <v>2328</v>
      </c>
      <c r="F3003">
        <v>4076789</v>
      </c>
      <c r="G3003" t="s">
        <v>2329</v>
      </c>
      <c r="H3003" t="s">
        <v>805</v>
      </c>
      <c r="I3003">
        <v>1926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1926</v>
      </c>
      <c r="P3003" s="44" t="e">
        <f>_xlfn.XLOOKUP(Tabla5[[#This Row],[EAN CORREGIDO]],'Tabla Articulos'!B:B,'Tabla Articulos'!D:D)</f>
        <v>#N/A</v>
      </c>
      <c r="Q3003" s="44" t="e">
        <f>_xlfn.XLOOKUP(S3003,'Tabla Articulos'!B:B,'Tabla Articulos'!E:E)</f>
        <v>#N/A</v>
      </c>
      <c r="R3003" s="44" t="e">
        <f t="shared" si="92"/>
        <v>#N/A</v>
      </c>
      <c r="S3003" s="45" t="str">
        <f t="shared" si="93"/>
        <v>7790696002176</v>
      </c>
    </row>
    <row r="3004" spans="1:19" hidden="1" x14ac:dyDescent="0.35">
      <c r="A3004" s="22">
        <v>2</v>
      </c>
      <c r="B3004" t="s">
        <v>5624</v>
      </c>
      <c r="C3004" t="s">
        <v>802</v>
      </c>
      <c r="D3004" t="s">
        <v>2330</v>
      </c>
      <c r="E3004" t="s">
        <v>2331</v>
      </c>
      <c r="F3004">
        <v>4023605</v>
      </c>
      <c r="G3004" t="s">
        <v>2332</v>
      </c>
      <c r="H3004" t="s">
        <v>805</v>
      </c>
      <c r="I3004">
        <v>163</v>
      </c>
      <c r="J3004">
        <v>0</v>
      </c>
      <c r="K3004">
        <v>0</v>
      </c>
      <c r="L3004">
        <v>11</v>
      </c>
      <c r="M3004">
        <v>11</v>
      </c>
      <c r="N3004">
        <v>0</v>
      </c>
      <c r="O3004">
        <v>141</v>
      </c>
      <c r="P3004" s="44" t="e">
        <f>_xlfn.XLOOKUP(Tabla5[[#This Row],[EAN CORREGIDO]],'Tabla Articulos'!B:B,'Tabla Articulos'!D:D)</f>
        <v>#N/A</v>
      </c>
      <c r="Q3004" s="44" t="e">
        <f>_xlfn.XLOOKUP(S3004,'Tabla Articulos'!B:B,'Tabla Articulos'!E:E)</f>
        <v>#N/A</v>
      </c>
      <c r="R3004" s="44" t="e">
        <f t="shared" si="92"/>
        <v>#N/A</v>
      </c>
      <c r="S3004" s="45" t="str">
        <f t="shared" si="93"/>
        <v>67794000006036</v>
      </c>
    </row>
    <row r="3005" spans="1:19" hidden="1" x14ac:dyDescent="0.35">
      <c r="A3005" s="22">
        <v>2</v>
      </c>
      <c r="B3005" t="s">
        <v>5624</v>
      </c>
      <c r="C3005" t="s">
        <v>802</v>
      </c>
      <c r="D3005" t="s">
        <v>2710</v>
      </c>
      <c r="E3005" t="s">
        <v>2711</v>
      </c>
      <c r="F3005">
        <v>4017701</v>
      </c>
      <c r="G3005" t="s">
        <v>2712</v>
      </c>
      <c r="H3005" t="s">
        <v>816</v>
      </c>
      <c r="I3005">
        <v>1443.54</v>
      </c>
      <c r="J3005">
        <v>0</v>
      </c>
      <c r="K3005">
        <v>0</v>
      </c>
      <c r="L3005">
        <v>12.9</v>
      </c>
      <c r="M3005">
        <v>12.9</v>
      </c>
      <c r="N3005">
        <v>0</v>
      </c>
      <c r="O3005">
        <v>1417.74</v>
      </c>
      <c r="P3005" s="44" t="e">
        <f>_xlfn.XLOOKUP(Tabla5[[#This Row],[EAN CORREGIDO]],'Tabla Articulos'!B:B,'Tabla Articulos'!D:D)</f>
        <v>#N/A</v>
      </c>
      <c r="Q3005" s="44" t="e">
        <f>_xlfn.XLOOKUP(S3005,'Tabla Articulos'!B:B,'Tabla Articulos'!E:E)</f>
        <v>#N/A</v>
      </c>
      <c r="R3005" s="44" t="e">
        <f t="shared" si="92"/>
        <v>#N/A</v>
      </c>
      <c r="S3005" s="45" t="str">
        <f t="shared" si="93"/>
        <v>790212030076</v>
      </c>
    </row>
    <row r="3006" spans="1:19" hidden="1" x14ac:dyDescent="0.35">
      <c r="A3006" s="22">
        <v>2</v>
      </c>
      <c r="B3006" t="s">
        <v>5624</v>
      </c>
      <c r="C3006" t="s">
        <v>802</v>
      </c>
      <c r="D3006" t="s">
        <v>3635</v>
      </c>
      <c r="E3006" t="s">
        <v>6347</v>
      </c>
      <c r="F3006">
        <v>4024321</v>
      </c>
      <c r="G3006" t="s">
        <v>6348</v>
      </c>
      <c r="H3006" t="s">
        <v>805</v>
      </c>
      <c r="I3006">
        <v>565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565</v>
      </c>
      <c r="P3006" s="44" t="e">
        <f>_xlfn.XLOOKUP(Tabla5[[#This Row],[EAN CORREGIDO]],'Tabla Articulos'!B:B,'Tabla Articulos'!D:D)</f>
        <v>#N/A</v>
      </c>
      <c r="Q3006" s="44" t="e">
        <f>_xlfn.XLOOKUP(S3006,'Tabla Articulos'!B:B,'Tabla Articulos'!E:E)</f>
        <v>#N/A</v>
      </c>
      <c r="R3006" s="44" t="e">
        <f t="shared" si="92"/>
        <v>#N/A</v>
      </c>
      <c r="S3006" s="45" t="str">
        <f t="shared" si="93"/>
        <v>7790070320025</v>
      </c>
    </row>
    <row r="3007" spans="1:19" hidden="1" x14ac:dyDescent="0.35">
      <c r="A3007" s="27">
        <v>2</v>
      </c>
      <c r="B3007" s="28" t="s">
        <v>5624</v>
      </c>
      <c r="C3007" s="28" t="s">
        <v>802</v>
      </c>
      <c r="D3007" s="28" t="s">
        <v>3473</v>
      </c>
      <c r="E3007" s="28" t="s">
        <v>6577</v>
      </c>
      <c r="F3007" s="28">
        <v>4020401</v>
      </c>
      <c r="G3007" s="28" t="s">
        <v>6578</v>
      </c>
      <c r="H3007" s="28" t="s">
        <v>805</v>
      </c>
      <c r="I3007" s="28">
        <v>51</v>
      </c>
      <c r="J3007" s="28">
        <v>0</v>
      </c>
      <c r="K3007" s="28">
        <v>0</v>
      </c>
      <c r="L3007" s="28">
        <v>0</v>
      </c>
      <c r="M3007" s="28">
        <v>0</v>
      </c>
      <c r="N3007" s="28">
        <v>0</v>
      </c>
      <c r="O3007" s="28">
        <v>51</v>
      </c>
      <c r="P3007" s="44" t="e">
        <f>_xlfn.XLOOKUP(Tabla5[[#This Row],[EAN CORREGIDO]],'Tabla Articulos'!B:B,'Tabla Articulos'!D:D)</f>
        <v>#N/A</v>
      </c>
      <c r="Q3007" s="44" t="e">
        <f>_xlfn.XLOOKUP(S3007,'Tabla Articulos'!B:B,'Tabla Articulos'!E:E)</f>
        <v>#N/A</v>
      </c>
      <c r="R3007" s="44" t="e">
        <f t="shared" si="92"/>
        <v>#N/A</v>
      </c>
      <c r="S3007" s="45" t="str">
        <f t="shared" si="93"/>
        <v>7792750001590</v>
      </c>
    </row>
    <row r="3008" spans="1:19" hidden="1" x14ac:dyDescent="0.35">
      <c r="A3008" s="22">
        <v>2</v>
      </c>
      <c r="B3008" t="s">
        <v>5624</v>
      </c>
      <c r="C3008" t="s">
        <v>802</v>
      </c>
      <c r="D3008" t="s">
        <v>6579</v>
      </c>
      <c r="E3008" t="s">
        <v>6580</v>
      </c>
      <c r="F3008">
        <v>4018012</v>
      </c>
      <c r="G3008" t="s">
        <v>6581</v>
      </c>
      <c r="H3008" t="s">
        <v>816</v>
      </c>
      <c r="I3008">
        <v>10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10</v>
      </c>
      <c r="P3008" s="44" t="e">
        <f>_xlfn.XLOOKUP(Tabla5[[#This Row],[EAN CORREGIDO]],'Tabla Articulos'!B:B,'Tabla Articulos'!D:D)</f>
        <v>#N/A</v>
      </c>
      <c r="Q3008" s="44" t="e">
        <f>_xlfn.XLOOKUP(S3008,'Tabla Articulos'!B:B,'Tabla Articulos'!E:E)</f>
        <v>#N/A</v>
      </c>
      <c r="R3008" s="44" t="e">
        <f t="shared" si="92"/>
        <v>#N/A</v>
      </c>
      <c r="S3008" s="45" t="str">
        <f t="shared" si="93"/>
        <v>7790216012607</v>
      </c>
    </row>
    <row r="3009" spans="1:19" hidden="1" x14ac:dyDescent="0.35">
      <c r="A3009" s="22">
        <v>2</v>
      </c>
      <c r="B3009" t="s">
        <v>5624</v>
      </c>
      <c r="C3009" t="s">
        <v>802</v>
      </c>
      <c r="D3009" t="s">
        <v>6582</v>
      </c>
      <c r="E3009" t="s">
        <v>6583</v>
      </c>
      <c r="F3009">
        <v>4017348</v>
      </c>
      <c r="G3009" t="s">
        <v>6584</v>
      </c>
      <c r="H3009" t="s">
        <v>805</v>
      </c>
      <c r="I3009">
        <v>18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18</v>
      </c>
      <c r="P3009" s="44" t="e">
        <f>_xlfn.XLOOKUP(Tabla5[[#This Row],[EAN CORREGIDO]],'Tabla Articulos'!B:B,'Tabla Articulos'!D:D)</f>
        <v>#N/A</v>
      </c>
      <c r="Q3009" s="44" t="e">
        <f>_xlfn.XLOOKUP(S3009,'Tabla Articulos'!B:B,'Tabla Articulos'!E:E)</f>
        <v>#N/A</v>
      </c>
      <c r="R3009" s="44" t="e">
        <f t="shared" ref="R3009:R3072" si="94">O3009*Q3009</f>
        <v>#N/A</v>
      </c>
      <c r="S3009" s="45" t="str">
        <f t="shared" ref="S3009:S3072" si="95">TRIM(E3009)</f>
        <v>7790895010088</v>
      </c>
    </row>
    <row r="3010" spans="1:19" hidden="1" x14ac:dyDescent="0.35">
      <c r="A3010" s="22">
        <v>2</v>
      </c>
      <c r="B3010" t="s">
        <v>5624</v>
      </c>
      <c r="C3010" t="s">
        <v>802</v>
      </c>
      <c r="D3010" t="s">
        <v>1185</v>
      </c>
      <c r="E3010" t="s">
        <v>6585</v>
      </c>
      <c r="F3010">
        <v>4019453</v>
      </c>
      <c r="G3010" t="s">
        <v>6586</v>
      </c>
      <c r="H3010" t="s">
        <v>805</v>
      </c>
      <c r="I3010">
        <v>295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295</v>
      </c>
      <c r="P3010" s="44" t="e">
        <f>_xlfn.XLOOKUP(Tabla5[[#This Row],[EAN CORREGIDO]],'Tabla Articulos'!B:B,'Tabla Articulos'!D:D)</f>
        <v>#N/A</v>
      </c>
      <c r="Q3010" s="44" t="e">
        <f>_xlfn.XLOOKUP(S3010,'Tabla Articulos'!B:B,'Tabla Articulos'!E:E)</f>
        <v>#N/A</v>
      </c>
      <c r="R3010" s="44" t="e">
        <f t="shared" si="94"/>
        <v>#N/A</v>
      </c>
      <c r="S3010" s="45" t="str">
        <f t="shared" si="95"/>
        <v>7790070335982</v>
      </c>
    </row>
    <row r="3011" spans="1:19" hidden="1" x14ac:dyDescent="0.35">
      <c r="A3011" s="22">
        <v>2</v>
      </c>
      <c r="B3011" t="s">
        <v>5624</v>
      </c>
      <c r="C3011" t="s">
        <v>802</v>
      </c>
      <c r="D3011" t="s">
        <v>1697</v>
      </c>
      <c r="E3011" t="s">
        <v>6587</v>
      </c>
      <c r="F3011">
        <v>4020608</v>
      </c>
      <c r="G3011" t="s">
        <v>6588</v>
      </c>
      <c r="H3011" t="s">
        <v>805</v>
      </c>
      <c r="I3011">
        <v>24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24</v>
      </c>
      <c r="P3011" s="44" t="e">
        <f>_xlfn.XLOOKUP(Tabla5[[#This Row],[EAN CORREGIDO]],'Tabla Articulos'!B:B,'Tabla Articulos'!D:D)</f>
        <v>#N/A</v>
      </c>
      <c r="Q3011" s="44" t="e">
        <f>_xlfn.XLOOKUP(S3011,'Tabla Articulos'!B:B,'Tabla Articulos'!E:E)</f>
        <v>#N/A</v>
      </c>
      <c r="R3011" s="44" t="e">
        <f t="shared" si="94"/>
        <v>#N/A</v>
      </c>
      <c r="S3011" s="45" t="str">
        <f t="shared" si="95"/>
        <v>7792360002390</v>
      </c>
    </row>
    <row r="3012" spans="1:19" hidden="1" x14ac:dyDescent="0.35">
      <c r="A3012" s="22">
        <v>2</v>
      </c>
      <c r="B3012" t="s">
        <v>5624</v>
      </c>
      <c r="C3012" t="s">
        <v>802</v>
      </c>
      <c r="D3012" t="s">
        <v>4767</v>
      </c>
      <c r="E3012" t="s">
        <v>4768</v>
      </c>
      <c r="F3012">
        <v>4076702</v>
      </c>
      <c r="G3012" t="s">
        <v>4769</v>
      </c>
      <c r="H3012" t="s">
        <v>805</v>
      </c>
      <c r="I3012">
        <v>96</v>
      </c>
      <c r="J3012">
        <v>0</v>
      </c>
      <c r="K3012">
        <v>0</v>
      </c>
      <c r="L3012">
        <v>2</v>
      </c>
      <c r="M3012">
        <v>2</v>
      </c>
      <c r="N3012">
        <v>0</v>
      </c>
      <c r="O3012">
        <v>92</v>
      </c>
      <c r="P3012" s="44" t="e">
        <f>_xlfn.XLOOKUP(Tabla5[[#This Row],[EAN CORREGIDO]],'Tabla Articulos'!B:B,'Tabla Articulos'!D:D)</f>
        <v>#N/A</v>
      </c>
      <c r="Q3012" s="44" t="e">
        <f>_xlfn.XLOOKUP(S3012,'Tabla Articulos'!B:B,'Tabla Articulos'!E:E)</f>
        <v>#N/A</v>
      </c>
      <c r="R3012" s="44" t="e">
        <f t="shared" si="94"/>
        <v>#N/A</v>
      </c>
      <c r="S3012" s="45" t="str">
        <f t="shared" si="95"/>
        <v>7792590005864</v>
      </c>
    </row>
    <row r="3013" spans="1:19" hidden="1" x14ac:dyDescent="0.35">
      <c r="A3013" s="22">
        <v>2</v>
      </c>
      <c r="B3013" t="s">
        <v>5624</v>
      </c>
      <c r="C3013" t="s">
        <v>802</v>
      </c>
      <c r="D3013" t="s">
        <v>4503</v>
      </c>
      <c r="E3013" t="s">
        <v>5119</v>
      </c>
      <c r="F3013">
        <v>4020438</v>
      </c>
      <c r="G3013" t="s">
        <v>5120</v>
      </c>
      <c r="H3013" t="s">
        <v>805</v>
      </c>
      <c r="I3013">
        <v>2395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2395</v>
      </c>
      <c r="P3013" s="44" t="e">
        <f>_xlfn.XLOOKUP(Tabla5[[#This Row],[EAN CORREGIDO]],'Tabla Articulos'!B:B,'Tabla Articulos'!D:D)</f>
        <v>#N/A</v>
      </c>
      <c r="Q3013" s="44" t="e">
        <f>_xlfn.XLOOKUP(S3013,'Tabla Articulos'!B:B,'Tabla Articulos'!E:E)</f>
        <v>#N/A</v>
      </c>
      <c r="R3013" s="44" t="e">
        <f t="shared" si="94"/>
        <v>#N/A</v>
      </c>
      <c r="S3013" s="45" t="str">
        <f t="shared" si="95"/>
        <v>7798156760659</v>
      </c>
    </row>
    <row r="3014" spans="1:19" hidden="1" x14ac:dyDescent="0.35">
      <c r="A3014" s="22">
        <v>2</v>
      </c>
      <c r="B3014" t="s">
        <v>5624</v>
      </c>
      <c r="C3014" t="s">
        <v>802</v>
      </c>
      <c r="D3014" t="s">
        <v>5717</v>
      </c>
      <c r="E3014" t="s">
        <v>5718</v>
      </c>
      <c r="F3014">
        <v>4020382</v>
      </c>
      <c r="G3014" t="s">
        <v>5719</v>
      </c>
      <c r="H3014" t="s">
        <v>805</v>
      </c>
      <c r="I3014">
        <v>94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94</v>
      </c>
      <c r="P3014" s="44" t="e">
        <f>_xlfn.XLOOKUP(Tabla5[[#This Row],[EAN CORREGIDO]],'Tabla Articulos'!B:B,'Tabla Articulos'!D:D)</f>
        <v>#N/A</v>
      </c>
      <c r="Q3014" s="44" t="e">
        <f>_xlfn.XLOOKUP(S3014,'Tabla Articulos'!B:B,'Tabla Articulos'!E:E)</f>
        <v>#N/A</v>
      </c>
      <c r="R3014" s="44" t="e">
        <f t="shared" si="94"/>
        <v>#N/A</v>
      </c>
      <c r="S3014" s="45" t="str">
        <f t="shared" si="95"/>
        <v>7798011977260</v>
      </c>
    </row>
    <row r="3015" spans="1:19" hidden="1" x14ac:dyDescent="0.35">
      <c r="A3015" s="22">
        <v>2</v>
      </c>
      <c r="B3015" t="s">
        <v>5624</v>
      </c>
      <c r="C3015" t="s">
        <v>802</v>
      </c>
      <c r="D3015" t="s">
        <v>1124</v>
      </c>
      <c r="E3015" t="s">
        <v>1125</v>
      </c>
      <c r="F3015">
        <v>4019577</v>
      </c>
      <c r="G3015" t="s">
        <v>1126</v>
      </c>
      <c r="H3015" t="s">
        <v>805</v>
      </c>
      <c r="I3015">
        <v>403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403</v>
      </c>
      <c r="P3015" s="44" t="e">
        <f>_xlfn.XLOOKUP(Tabla5[[#This Row],[EAN CORREGIDO]],'Tabla Articulos'!B:B,'Tabla Articulos'!D:D)</f>
        <v>#N/A</v>
      </c>
      <c r="Q3015" s="44" t="e">
        <f>_xlfn.XLOOKUP(S3015,'Tabla Articulos'!B:B,'Tabla Articulos'!E:E)</f>
        <v>#N/A</v>
      </c>
      <c r="R3015" s="44" t="e">
        <f t="shared" si="94"/>
        <v>#N/A</v>
      </c>
      <c r="S3015" s="45" t="str">
        <f t="shared" si="95"/>
        <v>7790530850192</v>
      </c>
    </row>
    <row r="3016" spans="1:19" hidden="1" x14ac:dyDescent="0.35">
      <c r="A3016" s="22">
        <v>2</v>
      </c>
      <c r="B3016" t="s">
        <v>5624</v>
      </c>
      <c r="C3016" t="s">
        <v>802</v>
      </c>
      <c r="D3016" t="s">
        <v>2136</v>
      </c>
      <c r="E3016" t="s">
        <v>4733</v>
      </c>
      <c r="F3016">
        <v>4019992</v>
      </c>
      <c r="G3016" t="s">
        <v>4734</v>
      </c>
      <c r="H3016" t="s">
        <v>805</v>
      </c>
      <c r="I3016">
        <v>222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222</v>
      </c>
      <c r="P3016" s="44" t="e">
        <f>_xlfn.XLOOKUP(Tabla5[[#This Row],[EAN CORREGIDO]],'Tabla Articulos'!B:B,'Tabla Articulos'!D:D)</f>
        <v>#N/A</v>
      </c>
      <c r="Q3016" s="44" t="e">
        <f>_xlfn.XLOOKUP(S3016,'Tabla Articulos'!B:B,'Tabla Articulos'!E:E)</f>
        <v>#N/A</v>
      </c>
      <c r="R3016" s="44" t="e">
        <f t="shared" si="94"/>
        <v>#N/A</v>
      </c>
      <c r="S3016" s="45" t="str">
        <f t="shared" si="95"/>
        <v>7790971001481</v>
      </c>
    </row>
    <row r="3017" spans="1:19" hidden="1" x14ac:dyDescent="0.35">
      <c r="A3017" s="22">
        <v>2</v>
      </c>
      <c r="B3017" t="s">
        <v>5624</v>
      </c>
      <c r="C3017" t="s">
        <v>802</v>
      </c>
      <c r="D3017" t="s">
        <v>4735</v>
      </c>
      <c r="E3017" t="s">
        <v>4736</v>
      </c>
      <c r="F3017">
        <v>4019754</v>
      </c>
      <c r="G3017" t="s">
        <v>4737</v>
      </c>
      <c r="H3017" t="s">
        <v>805</v>
      </c>
      <c r="I3017">
        <v>890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890</v>
      </c>
      <c r="P3017" s="44" t="e">
        <f>_xlfn.XLOOKUP(Tabla5[[#This Row],[EAN CORREGIDO]],'Tabla Articulos'!B:B,'Tabla Articulos'!D:D)</f>
        <v>#N/A</v>
      </c>
      <c r="Q3017" s="44" t="e">
        <f>_xlfn.XLOOKUP(S3017,'Tabla Articulos'!B:B,'Tabla Articulos'!E:E)</f>
        <v>#N/A</v>
      </c>
      <c r="R3017" s="44" t="e">
        <f t="shared" si="94"/>
        <v>#N/A</v>
      </c>
      <c r="S3017" s="45" t="str">
        <f t="shared" si="95"/>
        <v>7790279000070</v>
      </c>
    </row>
    <row r="3018" spans="1:19" hidden="1" x14ac:dyDescent="0.35">
      <c r="A3018" s="22">
        <v>2</v>
      </c>
      <c r="B3018" t="s">
        <v>5624</v>
      </c>
      <c r="C3018" t="s">
        <v>802</v>
      </c>
      <c r="D3018" t="s">
        <v>1271</v>
      </c>
      <c r="E3018" t="s">
        <v>4746</v>
      </c>
      <c r="F3018">
        <v>4020736</v>
      </c>
      <c r="G3018" t="s">
        <v>4747</v>
      </c>
      <c r="H3018" t="s">
        <v>805</v>
      </c>
      <c r="I3018">
        <v>1793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1793</v>
      </c>
      <c r="P3018" s="44" t="e">
        <f>_xlfn.XLOOKUP(Tabla5[[#This Row],[EAN CORREGIDO]],'Tabla Articulos'!B:B,'Tabla Articulos'!D:D)</f>
        <v>#N/A</v>
      </c>
      <c r="Q3018" s="44" t="e">
        <f>_xlfn.XLOOKUP(S3018,'Tabla Articulos'!B:B,'Tabla Articulos'!E:E)</f>
        <v>#N/A</v>
      </c>
      <c r="R3018" s="44" t="e">
        <f t="shared" si="94"/>
        <v>#N/A</v>
      </c>
      <c r="S3018" s="45" t="str">
        <f t="shared" si="95"/>
        <v>7798138555525</v>
      </c>
    </row>
    <row r="3019" spans="1:19" hidden="1" x14ac:dyDescent="0.35">
      <c r="A3019" s="22">
        <v>2</v>
      </c>
      <c r="B3019" t="s">
        <v>5624</v>
      </c>
      <c r="C3019" t="s">
        <v>802</v>
      </c>
      <c r="D3019" t="s">
        <v>2284</v>
      </c>
      <c r="E3019" t="s">
        <v>4751</v>
      </c>
      <c r="F3019">
        <v>4018712</v>
      </c>
      <c r="G3019" t="s">
        <v>4752</v>
      </c>
      <c r="H3019" t="s">
        <v>805</v>
      </c>
      <c r="I3019">
        <v>2181</v>
      </c>
      <c r="J3019">
        <v>156</v>
      </c>
      <c r="K3019">
        <v>0</v>
      </c>
      <c r="L3019">
        <v>36</v>
      </c>
      <c r="M3019">
        <v>36</v>
      </c>
      <c r="N3019">
        <v>0</v>
      </c>
      <c r="O3019">
        <v>2265</v>
      </c>
      <c r="P3019" s="44" t="e">
        <f>_xlfn.XLOOKUP(Tabla5[[#This Row],[EAN CORREGIDO]],'Tabla Articulos'!B:B,'Tabla Articulos'!D:D)</f>
        <v>#N/A</v>
      </c>
      <c r="Q3019" s="44" t="e">
        <f>_xlfn.XLOOKUP(S3019,'Tabla Articulos'!B:B,'Tabla Articulos'!E:E)</f>
        <v>#N/A</v>
      </c>
      <c r="R3019" s="44" t="e">
        <f t="shared" si="94"/>
        <v>#N/A</v>
      </c>
      <c r="S3019" s="45" t="str">
        <f t="shared" si="95"/>
        <v>7795711000045</v>
      </c>
    </row>
    <row r="3020" spans="1:19" hidden="1" x14ac:dyDescent="0.35">
      <c r="A3020" s="22">
        <v>2</v>
      </c>
      <c r="B3020" t="s">
        <v>5624</v>
      </c>
      <c r="C3020" t="s">
        <v>802</v>
      </c>
      <c r="D3020" t="s">
        <v>1857</v>
      </c>
      <c r="E3020" t="s">
        <v>4753</v>
      </c>
      <c r="F3020">
        <v>4019162</v>
      </c>
      <c r="G3020" t="s">
        <v>4754</v>
      </c>
      <c r="H3020" t="s">
        <v>805</v>
      </c>
      <c r="I3020">
        <v>8775</v>
      </c>
      <c r="J3020">
        <v>0</v>
      </c>
      <c r="K3020">
        <v>0</v>
      </c>
      <c r="L3020">
        <v>445</v>
      </c>
      <c r="M3020">
        <v>445</v>
      </c>
      <c r="N3020">
        <v>0</v>
      </c>
      <c r="O3020">
        <v>7885</v>
      </c>
      <c r="P3020" s="44" t="e">
        <f>_xlfn.XLOOKUP(Tabla5[[#This Row],[EAN CORREGIDO]],'Tabla Articulos'!B:B,'Tabla Articulos'!D:D)</f>
        <v>#N/A</v>
      </c>
      <c r="Q3020" s="44" t="e">
        <f>_xlfn.XLOOKUP(S3020,'Tabla Articulos'!B:B,'Tabla Articulos'!E:E)</f>
        <v>#N/A</v>
      </c>
      <c r="R3020" s="44" t="e">
        <f t="shared" si="94"/>
        <v>#N/A</v>
      </c>
      <c r="S3020" s="45" t="str">
        <f t="shared" si="95"/>
        <v>77980229</v>
      </c>
    </row>
    <row r="3021" spans="1:19" hidden="1" x14ac:dyDescent="0.35">
      <c r="A3021" s="22">
        <v>2</v>
      </c>
      <c r="B3021" t="s">
        <v>5624</v>
      </c>
      <c r="C3021" t="s">
        <v>802</v>
      </c>
      <c r="D3021" t="s">
        <v>5710</v>
      </c>
      <c r="E3021" t="s">
        <v>5711</v>
      </c>
      <c r="F3021">
        <v>4024650</v>
      </c>
      <c r="G3021" t="s">
        <v>5712</v>
      </c>
      <c r="H3021" t="s">
        <v>805</v>
      </c>
      <c r="I3021">
        <v>13</v>
      </c>
      <c r="J3021">
        <v>8</v>
      </c>
      <c r="K3021">
        <v>0</v>
      </c>
      <c r="L3021">
        <v>0</v>
      </c>
      <c r="M3021">
        <v>0</v>
      </c>
      <c r="N3021">
        <v>0</v>
      </c>
      <c r="O3021">
        <v>21</v>
      </c>
      <c r="P3021" s="44" t="e">
        <f>_xlfn.XLOOKUP(Tabla5[[#This Row],[EAN CORREGIDO]],'Tabla Articulos'!B:B,'Tabla Articulos'!D:D)</f>
        <v>#N/A</v>
      </c>
      <c r="Q3021" s="44" t="e">
        <f>_xlfn.XLOOKUP(S3021,'Tabla Articulos'!B:B,'Tabla Articulos'!E:E)</f>
        <v>#N/A</v>
      </c>
      <c r="R3021" s="44" t="e">
        <f t="shared" si="94"/>
        <v>#N/A</v>
      </c>
      <c r="S3021" s="45" t="str">
        <f t="shared" si="95"/>
        <v>7798085681506</v>
      </c>
    </row>
    <row r="3022" spans="1:19" hidden="1" x14ac:dyDescent="0.35">
      <c r="A3022" s="22">
        <v>2</v>
      </c>
      <c r="B3022" t="s">
        <v>5624</v>
      </c>
      <c r="C3022" t="s">
        <v>802</v>
      </c>
      <c r="D3022" t="s">
        <v>1449</v>
      </c>
      <c r="E3022" t="s">
        <v>5713</v>
      </c>
      <c r="F3022">
        <v>4018176</v>
      </c>
      <c r="G3022" t="s">
        <v>5714</v>
      </c>
      <c r="H3022" t="s">
        <v>805</v>
      </c>
      <c r="I3022">
        <v>1301</v>
      </c>
      <c r="J3022">
        <v>0</v>
      </c>
      <c r="K3022">
        <v>0</v>
      </c>
      <c r="L3022">
        <v>6</v>
      </c>
      <c r="M3022">
        <v>6</v>
      </c>
      <c r="N3022">
        <v>0</v>
      </c>
      <c r="O3022">
        <v>1289</v>
      </c>
      <c r="P3022" s="44" t="e">
        <f>_xlfn.XLOOKUP(Tabla5[[#This Row],[EAN CORREGIDO]],'Tabla Articulos'!B:B,'Tabla Articulos'!D:D)</f>
        <v>#N/A</v>
      </c>
      <c r="Q3022" s="44" t="e">
        <f>_xlfn.XLOOKUP(S3022,'Tabla Articulos'!B:B,'Tabla Articulos'!E:E)</f>
        <v>#N/A</v>
      </c>
      <c r="R3022" s="44" t="e">
        <f t="shared" si="94"/>
        <v>#N/A</v>
      </c>
      <c r="S3022" s="45" t="str">
        <f t="shared" si="95"/>
        <v>7790742363107</v>
      </c>
    </row>
    <row r="3023" spans="1:19" hidden="1" x14ac:dyDescent="0.35">
      <c r="A3023" s="22">
        <v>2</v>
      </c>
      <c r="B3023" t="s">
        <v>5624</v>
      </c>
      <c r="C3023" t="s">
        <v>802</v>
      </c>
      <c r="D3023" t="s">
        <v>3201</v>
      </c>
      <c r="E3023" t="s">
        <v>4929</v>
      </c>
      <c r="F3023">
        <v>4022850</v>
      </c>
      <c r="G3023" t="s">
        <v>4930</v>
      </c>
      <c r="H3023" t="s">
        <v>805</v>
      </c>
      <c r="I3023">
        <v>30</v>
      </c>
      <c r="J3023">
        <v>1000</v>
      </c>
      <c r="K3023">
        <v>0</v>
      </c>
      <c r="L3023">
        <v>11</v>
      </c>
      <c r="M3023">
        <v>11</v>
      </c>
      <c r="N3023">
        <v>0</v>
      </c>
      <c r="O3023">
        <v>1008</v>
      </c>
      <c r="P3023" s="44" t="e">
        <f>_xlfn.XLOOKUP(Tabla5[[#This Row],[EAN CORREGIDO]],'Tabla Articulos'!B:B,'Tabla Articulos'!D:D)</f>
        <v>#N/A</v>
      </c>
      <c r="Q3023" s="44" t="e">
        <f>_xlfn.XLOOKUP(S3023,'Tabla Articulos'!B:B,'Tabla Articulos'!E:E)</f>
        <v>#N/A</v>
      </c>
      <c r="R3023" s="44" t="e">
        <f t="shared" si="94"/>
        <v>#N/A</v>
      </c>
      <c r="S3023" s="45" t="str">
        <f t="shared" si="95"/>
        <v>7791476021011</v>
      </c>
    </row>
    <row r="3024" spans="1:19" hidden="1" x14ac:dyDescent="0.35">
      <c r="A3024" s="22">
        <v>2</v>
      </c>
      <c r="B3024" t="s">
        <v>5624</v>
      </c>
      <c r="C3024" t="s">
        <v>802</v>
      </c>
      <c r="D3024" t="s">
        <v>77</v>
      </c>
      <c r="E3024" t="s">
        <v>5336</v>
      </c>
      <c r="F3024">
        <v>2011503</v>
      </c>
      <c r="G3024" t="s">
        <v>5337</v>
      </c>
      <c r="H3024" t="s">
        <v>805</v>
      </c>
      <c r="I3024">
        <v>330</v>
      </c>
      <c r="J3024">
        <v>0</v>
      </c>
      <c r="K3024">
        <v>0</v>
      </c>
      <c r="L3024">
        <v>5</v>
      </c>
      <c r="M3024">
        <v>5</v>
      </c>
      <c r="N3024">
        <v>0</v>
      </c>
      <c r="O3024">
        <v>320</v>
      </c>
      <c r="P3024" s="44" t="str">
        <f>_xlfn.XLOOKUP(Tabla5[[#This Row],[EAN CORREGIDO]],'Tabla Articulos'!B:B,'Tabla Articulos'!D:D)</f>
        <v>TAPA 103</v>
      </c>
      <c r="Q3024" s="44">
        <f>_xlfn.XLOOKUP(S3024,'Tabla Articulos'!B:B,'Tabla Articulos'!E:E)</f>
        <v>50</v>
      </c>
      <c r="R3024" s="44">
        <f t="shared" si="94"/>
        <v>16000</v>
      </c>
      <c r="S3024" s="45" t="str">
        <f t="shared" si="95"/>
        <v>7798011210060</v>
      </c>
    </row>
    <row r="3025" spans="1:19" hidden="1" x14ac:dyDescent="0.35">
      <c r="A3025" s="22">
        <v>2</v>
      </c>
      <c r="B3025" t="s">
        <v>5624</v>
      </c>
      <c r="C3025" t="s">
        <v>802</v>
      </c>
      <c r="D3025" t="s">
        <v>3154</v>
      </c>
      <c r="E3025" t="s">
        <v>5338</v>
      </c>
      <c r="F3025">
        <v>4019835</v>
      </c>
      <c r="G3025" t="s">
        <v>5339</v>
      </c>
      <c r="H3025" t="s">
        <v>805</v>
      </c>
      <c r="I3025">
        <v>2171</v>
      </c>
      <c r="J3025">
        <v>0</v>
      </c>
      <c r="K3025">
        <v>0</v>
      </c>
      <c r="L3025">
        <v>42</v>
      </c>
      <c r="M3025">
        <v>42</v>
      </c>
      <c r="N3025">
        <v>0</v>
      </c>
      <c r="O3025">
        <v>2087</v>
      </c>
      <c r="P3025" s="44" t="e">
        <f>_xlfn.XLOOKUP(Tabla5[[#This Row],[EAN CORREGIDO]],'Tabla Articulos'!B:B,'Tabla Articulos'!D:D)</f>
        <v>#N/A</v>
      </c>
      <c r="Q3025" s="44" t="e">
        <f>_xlfn.XLOOKUP(S3025,'Tabla Articulos'!B:B,'Tabla Articulos'!E:E)</f>
        <v>#N/A</v>
      </c>
      <c r="R3025" s="44" t="e">
        <f t="shared" si="94"/>
        <v>#N/A</v>
      </c>
      <c r="S3025" s="45" t="str">
        <f t="shared" si="95"/>
        <v>7792198006713</v>
      </c>
    </row>
    <row r="3026" spans="1:19" hidden="1" x14ac:dyDescent="0.35">
      <c r="A3026" s="22">
        <v>2</v>
      </c>
      <c r="B3026" t="s">
        <v>5624</v>
      </c>
      <c r="C3026" t="s">
        <v>802</v>
      </c>
      <c r="D3026" t="s">
        <v>283</v>
      </c>
      <c r="E3026" t="s">
        <v>5340</v>
      </c>
      <c r="F3026">
        <v>2006822</v>
      </c>
      <c r="G3026" t="s">
        <v>5341</v>
      </c>
      <c r="H3026" t="s">
        <v>805</v>
      </c>
      <c r="I3026">
        <v>107</v>
      </c>
      <c r="J3026">
        <v>0</v>
      </c>
      <c r="K3026">
        <v>0</v>
      </c>
      <c r="L3026">
        <v>36</v>
      </c>
      <c r="M3026">
        <v>36</v>
      </c>
      <c r="N3026">
        <v>0</v>
      </c>
      <c r="O3026">
        <v>35</v>
      </c>
      <c r="P3026" s="44" t="str">
        <f>_xlfn.XLOOKUP(Tabla5[[#This Row],[EAN CORREGIDO]],'Tabla Articulos'!B:B,'Tabla Articulos'!D:D)</f>
        <v>BANDEJA R3</v>
      </c>
      <c r="Q3026" s="44">
        <f>_xlfn.XLOOKUP(S3026,'Tabla Articulos'!B:B,'Tabla Articulos'!E:E)</f>
        <v>500</v>
      </c>
      <c r="R3026" s="44">
        <f t="shared" si="94"/>
        <v>17500</v>
      </c>
      <c r="S3026" s="45" t="str">
        <f t="shared" si="95"/>
        <v>610000108746</v>
      </c>
    </row>
    <row r="3027" spans="1:19" hidden="1" x14ac:dyDescent="0.35">
      <c r="A3027" s="22">
        <v>2</v>
      </c>
      <c r="B3027" t="s">
        <v>5624</v>
      </c>
      <c r="C3027" t="s">
        <v>802</v>
      </c>
      <c r="D3027" t="s">
        <v>2340</v>
      </c>
      <c r="E3027" t="s">
        <v>5342</v>
      </c>
      <c r="F3027">
        <v>4023611</v>
      </c>
      <c r="G3027" t="s">
        <v>5343</v>
      </c>
      <c r="H3027" t="s">
        <v>805</v>
      </c>
      <c r="I3027">
        <v>237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237</v>
      </c>
      <c r="P3027" s="44" t="e">
        <f>_xlfn.XLOOKUP(Tabla5[[#This Row],[EAN CORREGIDO]],'Tabla Articulos'!B:B,'Tabla Articulos'!D:D)</f>
        <v>#N/A</v>
      </c>
      <c r="Q3027" s="44" t="e">
        <f>_xlfn.XLOOKUP(S3027,'Tabla Articulos'!B:B,'Tabla Articulos'!E:E)</f>
        <v>#N/A</v>
      </c>
      <c r="R3027" s="44" t="e">
        <f t="shared" si="94"/>
        <v>#N/A</v>
      </c>
      <c r="S3027" s="45" t="str">
        <f t="shared" si="95"/>
        <v>7790971000194</v>
      </c>
    </row>
    <row r="3028" spans="1:19" hidden="1" x14ac:dyDescent="0.35">
      <c r="A3028" s="22">
        <v>2</v>
      </c>
      <c r="B3028" t="s">
        <v>5624</v>
      </c>
      <c r="C3028" t="s">
        <v>802</v>
      </c>
      <c r="D3028" t="s">
        <v>1672</v>
      </c>
      <c r="E3028" t="s">
        <v>1673</v>
      </c>
      <c r="F3028">
        <v>4020297</v>
      </c>
      <c r="G3028" t="s">
        <v>1674</v>
      </c>
      <c r="H3028" t="s">
        <v>805</v>
      </c>
      <c r="I3028">
        <v>13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13</v>
      </c>
      <c r="P3028" s="44" t="e">
        <f>_xlfn.XLOOKUP(Tabla5[[#This Row],[EAN CORREGIDO]],'Tabla Articulos'!B:B,'Tabla Articulos'!D:D)</f>
        <v>#N/A</v>
      </c>
      <c r="Q3028" s="44" t="e">
        <f>_xlfn.XLOOKUP(S3028,'Tabla Articulos'!B:B,'Tabla Articulos'!E:E)</f>
        <v>#N/A</v>
      </c>
      <c r="R3028" s="44" t="e">
        <f t="shared" si="94"/>
        <v>#N/A</v>
      </c>
      <c r="S3028" s="45" t="str">
        <f t="shared" si="95"/>
        <v>7797470007921</v>
      </c>
    </row>
    <row r="3029" spans="1:19" hidden="1" x14ac:dyDescent="0.35">
      <c r="A3029" s="22">
        <v>2</v>
      </c>
      <c r="B3029" t="s">
        <v>5624</v>
      </c>
      <c r="C3029" t="s">
        <v>802</v>
      </c>
      <c r="D3029" t="s">
        <v>393</v>
      </c>
      <c r="E3029" t="s">
        <v>5845</v>
      </c>
      <c r="F3029">
        <v>2007250</v>
      </c>
      <c r="G3029" t="s">
        <v>5846</v>
      </c>
      <c r="H3029" t="s">
        <v>805</v>
      </c>
      <c r="I3029">
        <v>30</v>
      </c>
      <c r="J3029">
        <v>50</v>
      </c>
      <c r="K3029">
        <v>0</v>
      </c>
      <c r="L3029">
        <v>18</v>
      </c>
      <c r="M3029">
        <v>18</v>
      </c>
      <c r="N3029">
        <v>0</v>
      </c>
      <c r="O3029">
        <v>44</v>
      </c>
      <c r="P3029" s="44" t="str">
        <f>_xlfn.XLOOKUP(Tabla5[[#This Row],[EAN CORREGIDO]],'Tabla Articulos'!B:B,'Tabla Articulos'!D:D)</f>
        <v>TAPA R3</v>
      </c>
      <c r="Q3029" s="44">
        <f>_xlfn.XLOOKUP(S3029,'Tabla Articulos'!B:B,'Tabla Articulos'!E:E)</f>
        <v>1000</v>
      </c>
      <c r="R3029" s="44">
        <f t="shared" si="94"/>
        <v>44000</v>
      </c>
      <c r="S3029" s="45" t="str">
        <f t="shared" si="95"/>
        <v>640000108776</v>
      </c>
    </row>
    <row r="3030" spans="1:19" hidden="1" x14ac:dyDescent="0.35">
      <c r="A3030" s="22">
        <v>2</v>
      </c>
      <c r="B3030" t="s">
        <v>5624</v>
      </c>
      <c r="C3030" t="s">
        <v>802</v>
      </c>
      <c r="D3030" t="s">
        <v>1494</v>
      </c>
      <c r="E3030" t="s">
        <v>5847</v>
      </c>
      <c r="F3030">
        <v>4022695</v>
      </c>
      <c r="G3030" t="s">
        <v>5848</v>
      </c>
      <c r="H3030" t="s">
        <v>805</v>
      </c>
      <c r="I3030">
        <v>954</v>
      </c>
      <c r="J3030">
        <v>0</v>
      </c>
      <c r="K3030">
        <v>0</v>
      </c>
      <c r="L3030">
        <v>420</v>
      </c>
      <c r="M3030">
        <v>420</v>
      </c>
      <c r="N3030">
        <v>0</v>
      </c>
      <c r="O3030">
        <v>114</v>
      </c>
      <c r="P3030" s="44" t="e">
        <f>_xlfn.XLOOKUP(Tabla5[[#This Row],[EAN CORREGIDO]],'Tabla Articulos'!B:B,'Tabla Articulos'!D:D)</f>
        <v>#N/A</v>
      </c>
      <c r="Q3030" s="44" t="e">
        <f>_xlfn.XLOOKUP(S3030,'Tabla Articulos'!B:B,'Tabla Articulos'!E:E)</f>
        <v>#N/A</v>
      </c>
      <c r="R3030" s="44" t="e">
        <f t="shared" si="94"/>
        <v>#N/A</v>
      </c>
      <c r="S3030" s="45" t="str">
        <f t="shared" si="95"/>
        <v>77987877</v>
      </c>
    </row>
    <row r="3031" spans="1:19" hidden="1" x14ac:dyDescent="0.35">
      <c r="A3031" s="22">
        <v>2</v>
      </c>
      <c r="B3031" t="s">
        <v>5624</v>
      </c>
      <c r="C3031" t="s">
        <v>802</v>
      </c>
      <c r="D3031" t="s">
        <v>32</v>
      </c>
      <c r="E3031" t="s">
        <v>1675</v>
      </c>
      <c r="F3031">
        <v>2006422</v>
      </c>
      <c r="G3031" t="s">
        <v>1676</v>
      </c>
      <c r="H3031" t="s">
        <v>805</v>
      </c>
      <c r="I3031">
        <v>334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334</v>
      </c>
      <c r="P3031" s="44" t="str">
        <f>_xlfn.XLOOKUP(Tabla5[[#This Row],[EAN CORREGIDO]],'Tabla Articulos'!B:B,'Tabla Articulos'!D:D)</f>
        <v>DELANTAL DESCARTABLE</v>
      </c>
      <c r="Q3031" s="44">
        <f>_xlfn.XLOOKUP(S3031,'Tabla Articulos'!B:B,'Tabla Articulos'!E:E)</f>
        <v>100</v>
      </c>
      <c r="R3031" s="44">
        <f t="shared" si="94"/>
        <v>33400</v>
      </c>
      <c r="S3031" s="45" t="str">
        <f t="shared" si="95"/>
        <v>BAZ000387</v>
      </c>
    </row>
    <row r="3032" spans="1:19" hidden="1" x14ac:dyDescent="0.35">
      <c r="A3032" s="22">
        <v>2</v>
      </c>
      <c r="B3032" t="s">
        <v>5624</v>
      </c>
      <c r="C3032" t="s">
        <v>802</v>
      </c>
      <c r="D3032" t="s">
        <v>6237</v>
      </c>
      <c r="E3032" t="s">
        <v>6238</v>
      </c>
      <c r="F3032">
        <v>4023915</v>
      </c>
      <c r="G3032" t="s">
        <v>6239</v>
      </c>
      <c r="H3032" t="s">
        <v>805</v>
      </c>
      <c r="I3032">
        <v>1683</v>
      </c>
      <c r="J3032">
        <v>0</v>
      </c>
      <c r="K3032">
        <v>0</v>
      </c>
      <c r="L3032">
        <v>60</v>
      </c>
      <c r="M3032">
        <v>60</v>
      </c>
      <c r="N3032">
        <v>0</v>
      </c>
      <c r="O3032">
        <v>1563</v>
      </c>
      <c r="P3032" s="44" t="e">
        <f>_xlfn.XLOOKUP(Tabla5[[#This Row],[EAN CORREGIDO]],'Tabla Articulos'!B:B,'Tabla Articulos'!D:D)</f>
        <v>#N/A</v>
      </c>
      <c r="Q3032" s="44" t="e">
        <f>_xlfn.XLOOKUP(S3032,'Tabla Articulos'!B:B,'Tabla Articulos'!E:E)</f>
        <v>#N/A</v>
      </c>
      <c r="R3032" s="44" t="e">
        <f t="shared" si="94"/>
        <v>#N/A</v>
      </c>
      <c r="S3032" s="45" t="str">
        <f t="shared" si="95"/>
        <v>7790895650888</v>
      </c>
    </row>
    <row r="3033" spans="1:19" hidden="1" x14ac:dyDescent="0.35">
      <c r="A3033" s="22">
        <v>2</v>
      </c>
      <c r="B3033" t="s">
        <v>5624</v>
      </c>
      <c r="C3033" t="s">
        <v>802</v>
      </c>
      <c r="D3033" t="s">
        <v>2989</v>
      </c>
      <c r="E3033" t="s">
        <v>2990</v>
      </c>
      <c r="F3033">
        <v>4019338</v>
      </c>
      <c r="G3033" t="s">
        <v>2991</v>
      </c>
      <c r="H3033" t="s">
        <v>805</v>
      </c>
      <c r="I3033">
        <v>135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135</v>
      </c>
      <c r="P3033" s="44" t="e">
        <f>_xlfn.XLOOKUP(Tabla5[[#This Row],[EAN CORREGIDO]],'Tabla Articulos'!B:B,'Tabla Articulos'!D:D)</f>
        <v>#N/A</v>
      </c>
      <c r="Q3033" s="44" t="e">
        <f>_xlfn.XLOOKUP(S3033,'Tabla Articulos'!B:B,'Tabla Articulos'!E:E)</f>
        <v>#N/A</v>
      </c>
      <c r="R3033" s="44" t="e">
        <f t="shared" si="94"/>
        <v>#N/A</v>
      </c>
      <c r="S3033" s="45" t="str">
        <f t="shared" si="95"/>
        <v>7790150540183</v>
      </c>
    </row>
    <row r="3034" spans="1:19" hidden="1" x14ac:dyDescent="0.35">
      <c r="A3034" s="22">
        <v>2</v>
      </c>
      <c r="B3034" t="s">
        <v>5624</v>
      </c>
      <c r="C3034" t="s">
        <v>802</v>
      </c>
      <c r="D3034" t="s">
        <v>2992</v>
      </c>
      <c r="E3034" t="s">
        <v>2993</v>
      </c>
      <c r="F3034">
        <v>4019976</v>
      </c>
      <c r="G3034" t="s">
        <v>2994</v>
      </c>
      <c r="H3034" t="s">
        <v>805</v>
      </c>
      <c r="I3034">
        <v>192</v>
      </c>
      <c r="J3034">
        <v>0</v>
      </c>
      <c r="K3034">
        <v>0</v>
      </c>
      <c r="L3034">
        <v>12</v>
      </c>
      <c r="M3034">
        <v>12</v>
      </c>
      <c r="N3034">
        <v>0</v>
      </c>
      <c r="O3034">
        <v>168</v>
      </c>
      <c r="P3034" s="44" t="e">
        <f>_xlfn.XLOOKUP(Tabla5[[#This Row],[EAN CORREGIDO]],'Tabla Articulos'!B:B,'Tabla Articulos'!D:D)</f>
        <v>#N/A</v>
      </c>
      <c r="Q3034" s="44" t="e">
        <f>_xlfn.XLOOKUP(S3034,'Tabla Articulos'!B:B,'Tabla Articulos'!E:E)</f>
        <v>#N/A</v>
      </c>
      <c r="R3034" s="44" t="e">
        <f t="shared" si="94"/>
        <v>#N/A</v>
      </c>
      <c r="S3034" s="45" t="str">
        <f t="shared" si="95"/>
        <v>7792180141859</v>
      </c>
    </row>
    <row r="3035" spans="1:19" hidden="1" x14ac:dyDescent="0.35">
      <c r="A3035" s="22">
        <v>2</v>
      </c>
      <c r="B3035" t="s">
        <v>5624</v>
      </c>
      <c r="C3035" t="s">
        <v>802</v>
      </c>
      <c r="D3035" t="s">
        <v>6608</v>
      </c>
      <c r="E3035" t="s">
        <v>6609</v>
      </c>
      <c r="F3035">
        <v>4017299</v>
      </c>
      <c r="G3035" t="s">
        <v>6610</v>
      </c>
      <c r="H3035" t="s">
        <v>805</v>
      </c>
      <c r="I3035">
        <v>12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12</v>
      </c>
      <c r="P3035" s="44" t="e">
        <f>_xlfn.XLOOKUP(Tabla5[[#This Row],[EAN CORREGIDO]],'Tabla Articulos'!B:B,'Tabla Articulos'!D:D)</f>
        <v>#N/A</v>
      </c>
      <c r="Q3035" s="44" t="e">
        <f>_xlfn.XLOOKUP(S3035,'Tabla Articulos'!B:B,'Tabla Articulos'!E:E)</f>
        <v>#N/A</v>
      </c>
      <c r="R3035" s="44" t="e">
        <f t="shared" si="94"/>
        <v>#N/A</v>
      </c>
      <c r="S3035" s="45" t="str">
        <f t="shared" si="95"/>
        <v>7792798012923</v>
      </c>
    </row>
    <row r="3036" spans="1:19" hidden="1" x14ac:dyDescent="0.35">
      <c r="A3036" s="22">
        <v>2</v>
      </c>
      <c r="B3036" t="s">
        <v>5624</v>
      </c>
      <c r="C3036" t="s">
        <v>802</v>
      </c>
      <c r="D3036" t="s">
        <v>4907</v>
      </c>
      <c r="E3036" t="s">
        <v>4908</v>
      </c>
      <c r="F3036">
        <v>4048929</v>
      </c>
      <c r="G3036" t="s">
        <v>4909</v>
      </c>
      <c r="H3036" t="s">
        <v>805</v>
      </c>
      <c r="I3036">
        <v>135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135</v>
      </c>
      <c r="P3036" s="44" t="e">
        <f>_xlfn.XLOOKUP(Tabla5[[#This Row],[EAN CORREGIDO]],'Tabla Articulos'!B:B,'Tabla Articulos'!D:D)</f>
        <v>#N/A</v>
      </c>
      <c r="Q3036" s="44" t="e">
        <f>_xlfn.XLOOKUP(S3036,'Tabla Articulos'!B:B,'Tabla Articulos'!E:E)</f>
        <v>#N/A</v>
      </c>
      <c r="R3036" s="44" t="e">
        <f t="shared" si="94"/>
        <v>#N/A</v>
      </c>
      <c r="S3036" s="45" t="str">
        <f t="shared" si="95"/>
        <v>7793890261073</v>
      </c>
    </row>
    <row r="3037" spans="1:19" hidden="1" x14ac:dyDescent="0.35">
      <c r="A3037" s="22">
        <v>2</v>
      </c>
      <c r="B3037" t="s">
        <v>5624</v>
      </c>
      <c r="C3037" t="s">
        <v>802</v>
      </c>
      <c r="D3037" t="s">
        <v>2674</v>
      </c>
      <c r="E3037" t="s">
        <v>6611</v>
      </c>
      <c r="F3037">
        <v>4024701</v>
      </c>
      <c r="G3037" t="s">
        <v>6612</v>
      </c>
      <c r="H3037" t="s">
        <v>816</v>
      </c>
      <c r="I3037">
        <v>27.42</v>
      </c>
      <c r="J3037">
        <v>0</v>
      </c>
      <c r="K3037">
        <v>0</v>
      </c>
      <c r="L3037">
        <v>0</v>
      </c>
      <c r="M3037">
        <v>0</v>
      </c>
      <c r="N3037">
        <v>36</v>
      </c>
      <c r="O3037">
        <v>-8.58</v>
      </c>
      <c r="P3037" s="44" t="e">
        <f>_xlfn.XLOOKUP(Tabla5[[#This Row],[EAN CORREGIDO]],'Tabla Articulos'!B:B,'Tabla Articulos'!D:D)</f>
        <v>#N/A</v>
      </c>
      <c r="Q3037" s="44" t="e">
        <f>_xlfn.XLOOKUP(S3037,'Tabla Articulos'!B:B,'Tabla Articulos'!E:E)</f>
        <v>#N/A</v>
      </c>
      <c r="R3037" s="44" t="e">
        <f t="shared" si="94"/>
        <v>#N/A</v>
      </c>
      <c r="S3037" s="45" t="str">
        <f t="shared" si="95"/>
        <v>97795917027719</v>
      </c>
    </row>
    <row r="3038" spans="1:19" hidden="1" x14ac:dyDescent="0.35">
      <c r="A3038" s="22">
        <v>2</v>
      </c>
      <c r="B3038" t="s">
        <v>5624</v>
      </c>
      <c r="C3038" t="s">
        <v>802</v>
      </c>
      <c r="D3038" t="s">
        <v>2637</v>
      </c>
      <c r="E3038" t="s">
        <v>4910</v>
      </c>
      <c r="F3038">
        <v>4022674</v>
      </c>
      <c r="G3038" t="s">
        <v>4911</v>
      </c>
      <c r="H3038" t="s">
        <v>805</v>
      </c>
      <c r="I3038">
        <v>235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235</v>
      </c>
      <c r="P3038" s="44" t="e">
        <f>_xlfn.XLOOKUP(Tabla5[[#This Row],[EAN CORREGIDO]],'Tabla Articulos'!B:B,'Tabla Articulos'!D:D)</f>
        <v>#N/A</v>
      </c>
      <c r="Q3038" s="44" t="e">
        <f>_xlfn.XLOOKUP(S3038,'Tabla Articulos'!B:B,'Tabla Articulos'!E:E)</f>
        <v>#N/A</v>
      </c>
      <c r="R3038" s="44" t="e">
        <f t="shared" si="94"/>
        <v>#N/A</v>
      </c>
      <c r="S3038" s="45" t="str">
        <f t="shared" si="95"/>
        <v>7798001562964</v>
      </c>
    </row>
    <row r="3039" spans="1:19" hidden="1" x14ac:dyDescent="0.35">
      <c r="A3039" s="22">
        <v>2</v>
      </c>
      <c r="B3039" t="s">
        <v>5624</v>
      </c>
      <c r="C3039" t="s">
        <v>802</v>
      </c>
      <c r="D3039" t="s">
        <v>2015</v>
      </c>
      <c r="E3039" t="s">
        <v>4912</v>
      </c>
      <c r="F3039">
        <v>4020460</v>
      </c>
      <c r="G3039" t="s">
        <v>4913</v>
      </c>
      <c r="H3039" t="s">
        <v>805</v>
      </c>
      <c r="I3039">
        <v>1182</v>
      </c>
      <c r="J3039">
        <v>0</v>
      </c>
      <c r="K3039">
        <v>0</v>
      </c>
      <c r="L3039">
        <v>398</v>
      </c>
      <c r="M3039">
        <v>398</v>
      </c>
      <c r="N3039">
        <v>0</v>
      </c>
      <c r="O3039">
        <v>386</v>
      </c>
      <c r="P3039" s="44" t="e">
        <f>_xlfn.XLOOKUP(Tabla5[[#This Row],[EAN CORREGIDO]],'Tabla Articulos'!B:B,'Tabla Articulos'!D:D)</f>
        <v>#N/A</v>
      </c>
      <c r="Q3039" s="44" t="e">
        <f>_xlfn.XLOOKUP(S3039,'Tabla Articulos'!B:B,'Tabla Articulos'!E:E)</f>
        <v>#N/A</v>
      </c>
      <c r="R3039" s="44" t="e">
        <f t="shared" si="94"/>
        <v>#N/A</v>
      </c>
      <c r="S3039" s="45" t="str">
        <f t="shared" si="95"/>
        <v>7798156760062</v>
      </c>
    </row>
    <row r="3040" spans="1:19" hidden="1" x14ac:dyDescent="0.35">
      <c r="A3040" s="22">
        <v>2</v>
      </c>
      <c r="B3040" t="s">
        <v>5624</v>
      </c>
      <c r="C3040" t="s">
        <v>802</v>
      </c>
      <c r="D3040" t="s">
        <v>6613</v>
      </c>
      <c r="E3040" t="s">
        <v>6614</v>
      </c>
      <c r="F3040">
        <v>4020567</v>
      </c>
      <c r="G3040" t="s">
        <v>6615</v>
      </c>
      <c r="H3040" t="s">
        <v>805</v>
      </c>
      <c r="I3040">
        <v>25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25</v>
      </c>
      <c r="P3040" s="44" t="e">
        <f>_xlfn.XLOOKUP(Tabla5[[#This Row],[EAN CORREGIDO]],'Tabla Articulos'!B:B,'Tabla Articulos'!D:D)</f>
        <v>#N/A</v>
      </c>
      <c r="Q3040" s="44" t="e">
        <f>_xlfn.XLOOKUP(S3040,'Tabla Articulos'!B:B,'Tabla Articulos'!E:E)</f>
        <v>#N/A</v>
      </c>
      <c r="R3040" s="44" t="e">
        <f t="shared" si="94"/>
        <v>#N/A</v>
      </c>
      <c r="S3040" s="45" t="str">
        <f t="shared" si="95"/>
        <v>7798104880286</v>
      </c>
    </row>
    <row r="3041" spans="1:19" hidden="1" x14ac:dyDescent="0.35">
      <c r="A3041" s="22">
        <v>2</v>
      </c>
      <c r="B3041" t="s">
        <v>5624</v>
      </c>
      <c r="C3041" t="s">
        <v>802</v>
      </c>
      <c r="D3041" t="s">
        <v>377</v>
      </c>
      <c r="E3041" t="s">
        <v>1652</v>
      </c>
      <c r="F3041">
        <v>2006637</v>
      </c>
      <c r="G3041" t="s">
        <v>1653</v>
      </c>
      <c r="H3041" t="s">
        <v>805</v>
      </c>
      <c r="I3041">
        <v>26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26</v>
      </c>
      <c r="P3041" s="44" t="str">
        <f>_xlfn.XLOOKUP(Tabla5[[#This Row],[EAN CORREGIDO]],'Tabla Articulos'!B:B,'Tabla Articulos'!D:D)</f>
        <v>INDIVIDUAL NUTRIRE</v>
      </c>
      <c r="Q3041" s="44">
        <f>_xlfn.XLOOKUP(S3041,'Tabla Articulos'!B:B,'Tabla Articulos'!E:E)</f>
        <v>1000</v>
      </c>
      <c r="R3041" s="44">
        <f t="shared" si="94"/>
        <v>26000</v>
      </c>
      <c r="S3041" s="45" t="str">
        <f t="shared" si="95"/>
        <v>7790321020530</v>
      </c>
    </row>
    <row r="3042" spans="1:19" hidden="1" x14ac:dyDescent="0.35">
      <c r="A3042" s="22">
        <v>2</v>
      </c>
      <c r="B3042" t="s">
        <v>5624</v>
      </c>
      <c r="C3042" t="s">
        <v>802</v>
      </c>
      <c r="D3042" t="s">
        <v>1658</v>
      </c>
      <c r="E3042" t="s">
        <v>1659</v>
      </c>
      <c r="F3042">
        <v>4024491</v>
      </c>
      <c r="G3042" t="s">
        <v>1660</v>
      </c>
      <c r="H3042" t="s">
        <v>805</v>
      </c>
      <c r="I3042">
        <v>82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82</v>
      </c>
      <c r="P3042" s="44" t="e">
        <f>_xlfn.XLOOKUP(Tabla5[[#This Row],[EAN CORREGIDO]],'Tabla Articulos'!B:B,'Tabla Articulos'!D:D)</f>
        <v>#N/A</v>
      </c>
      <c r="Q3042" s="44" t="e">
        <f>_xlfn.XLOOKUP(S3042,'Tabla Articulos'!B:B,'Tabla Articulos'!E:E)</f>
        <v>#N/A</v>
      </c>
      <c r="R3042" s="44" t="e">
        <f t="shared" si="94"/>
        <v>#N/A</v>
      </c>
      <c r="S3042" s="45" t="str">
        <f t="shared" si="95"/>
        <v>7798110340057</v>
      </c>
    </row>
    <row r="3043" spans="1:19" hidden="1" x14ac:dyDescent="0.35">
      <c r="A3043" s="22">
        <v>2</v>
      </c>
      <c r="B3043" t="s">
        <v>5624</v>
      </c>
      <c r="C3043" t="s">
        <v>802</v>
      </c>
      <c r="D3043" t="s">
        <v>6240</v>
      </c>
      <c r="E3043" t="s">
        <v>6241</v>
      </c>
      <c r="F3043">
        <v>2006433</v>
      </c>
      <c r="G3043" t="s">
        <v>6242</v>
      </c>
      <c r="H3043" t="s">
        <v>805</v>
      </c>
      <c r="I3043">
        <v>182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182</v>
      </c>
      <c r="P3043" s="44" t="str">
        <f>_xlfn.XLOOKUP(Tabla5[[#This Row],[EAN CORREGIDO]],'Tabla Articulos'!B:B,'Tabla Articulos'!D:D)</f>
        <v>BANDEJA P/ SANDWICH</v>
      </c>
      <c r="Q3043" s="44">
        <f>_xlfn.XLOOKUP(S3043,'Tabla Articulos'!B:B,'Tabla Articulos'!E:E)</f>
        <v>75</v>
      </c>
      <c r="R3043" s="44">
        <f t="shared" si="94"/>
        <v>13650</v>
      </c>
      <c r="S3043" s="45" t="str">
        <f t="shared" si="95"/>
        <v>13003002A</v>
      </c>
    </row>
    <row r="3044" spans="1:19" hidden="1" x14ac:dyDescent="0.35">
      <c r="A3044" s="22">
        <v>2</v>
      </c>
      <c r="B3044" t="s">
        <v>5624</v>
      </c>
      <c r="C3044" t="s">
        <v>802</v>
      </c>
      <c r="D3044" t="s">
        <v>3016</v>
      </c>
      <c r="E3044" t="s">
        <v>3017</v>
      </c>
      <c r="F3044">
        <v>4020574</v>
      </c>
      <c r="G3044" t="s">
        <v>3018</v>
      </c>
      <c r="H3044" t="s">
        <v>805</v>
      </c>
      <c r="I3044">
        <v>26157</v>
      </c>
      <c r="J3044">
        <v>0</v>
      </c>
      <c r="K3044">
        <v>0</v>
      </c>
      <c r="L3044">
        <v>506</v>
      </c>
      <c r="M3044">
        <v>506</v>
      </c>
      <c r="N3044">
        <v>0</v>
      </c>
      <c r="O3044">
        <v>25145</v>
      </c>
      <c r="P3044" s="44" t="e">
        <f>_xlfn.XLOOKUP(Tabla5[[#This Row],[EAN CORREGIDO]],'Tabla Articulos'!B:B,'Tabla Articulos'!D:D)</f>
        <v>#N/A</v>
      </c>
      <c r="Q3044" s="44" t="e">
        <f>_xlfn.XLOOKUP(S3044,'Tabla Articulos'!B:B,'Tabla Articulos'!E:E)</f>
        <v>#N/A</v>
      </c>
      <c r="R3044" s="44" t="e">
        <f t="shared" si="94"/>
        <v>#N/A</v>
      </c>
      <c r="S3044" s="45" t="str">
        <f t="shared" si="95"/>
        <v>7798174970016</v>
      </c>
    </row>
    <row r="3045" spans="1:19" hidden="1" x14ac:dyDescent="0.35">
      <c r="A3045" s="22">
        <v>2</v>
      </c>
      <c r="B3045" t="s">
        <v>5624</v>
      </c>
      <c r="C3045" t="s">
        <v>802</v>
      </c>
      <c r="D3045" t="s">
        <v>6243</v>
      </c>
      <c r="E3045" t="s">
        <v>6244</v>
      </c>
      <c r="F3045">
        <v>4017792</v>
      </c>
      <c r="G3045" t="s">
        <v>6245</v>
      </c>
      <c r="H3045" t="s">
        <v>816</v>
      </c>
      <c r="I3045">
        <v>40.15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40.15</v>
      </c>
      <c r="P3045" s="44" t="e">
        <f>_xlfn.XLOOKUP(Tabla5[[#This Row],[EAN CORREGIDO]],'Tabla Articulos'!B:B,'Tabla Articulos'!D:D)</f>
        <v>#N/A</v>
      </c>
      <c r="Q3045" s="44" t="e">
        <f>_xlfn.XLOOKUP(S3045,'Tabla Articulos'!B:B,'Tabla Articulos'!E:E)</f>
        <v>#N/A</v>
      </c>
      <c r="R3045" s="44" t="e">
        <f t="shared" si="94"/>
        <v>#N/A</v>
      </c>
      <c r="S3045" s="45" t="str">
        <f t="shared" si="95"/>
        <v>7790625000846</v>
      </c>
    </row>
    <row r="3046" spans="1:19" hidden="1" x14ac:dyDescent="0.35">
      <c r="A3046" s="22">
        <v>2</v>
      </c>
      <c r="B3046" t="s">
        <v>5624</v>
      </c>
      <c r="C3046" t="s">
        <v>802</v>
      </c>
      <c r="D3046" t="s">
        <v>5958</v>
      </c>
      <c r="E3046" t="s">
        <v>6246</v>
      </c>
      <c r="F3046">
        <v>4018979</v>
      </c>
      <c r="G3046" t="s">
        <v>6247</v>
      </c>
      <c r="H3046" t="s">
        <v>805</v>
      </c>
      <c r="I3046">
        <v>377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377</v>
      </c>
      <c r="P3046" s="44" t="e">
        <f>_xlfn.XLOOKUP(Tabla5[[#This Row],[EAN CORREGIDO]],'Tabla Articulos'!B:B,'Tabla Articulos'!D:D)</f>
        <v>#N/A</v>
      </c>
      <c r="Q3046" s="44" t="e">
        <f>_xlfn.XLOOKUP(S3046,'Tabla Articulos'!B:B,'Tabla Articulos'!E:E)</f>
        <v>#N/A</v>
      </c>
      <c r="R3046" s="44" t="e">
        <f t="shared" si="94"/>
        <v>#N/A</v>
      </c>
      <c r="S3046" s="45" t="str">
        <f t="shared" si="95"/>
        <v>7790040110748</v>
      </c>
    </row>
    <row r="3047" spans="1:19" hidden="1" x14ac:dyDescent="0.35">
      <c r="A3047" s="22">
        <v>2</v>
      </c>
      <c r="B3047" t="s">
        <v>5624</v>
      </c>
      <c r="C3047" t="s">
        <v>802</v>
      </c>
      <c r="D3047" t="s">
        <v>1986</v>
      </c>
      <c r="E3047" t="s">
        <v>1987</v>
      </c>
      <c r="F3047">
        <v>4076948</v>
      </c>
      <c r="G3047" t="s">
        <v>1988</v>
      </c>
      <c r="H3047" t="s">
        <v>816</v>
      </c>
      <c r="I3047">
        <v>42.76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42.76</v>
      </c>
      <c r="P3047" s="44" t="e">
        <f>_xlfn.XLOOKUP(Tabla5[[#This Row],[EAN CORREGIDO]],'Tabla Articulos'!B:B,'Tabla Articulos'!D:D)</f>
        <v>#N/A</v>
      </c>
      <c r="Q3047" s="44" t="e">
        <f>_xlfn.XLOOKUP(S3047,'Tabla Articulos'!B:B,'Tabla Articulos'!E:E)</f>
        <v>#N/A</v>
      </c>
      <c r="R3047" s="44" t="e">
        <f t="shared" si="94"/>
        <v>#N/A</v>
      </c>
      <c r="S3047" s="45" t="str">
        <f t="shared" si="95"/>
        <v>7790000000764</v>
      </c>
    </row>
    <row r="3048" spans="1:19" hidden="1" x14ac:dyDescent="0.35">
      <c r="A3048" s="22">
        <v>2</v>
      </c>
      <c r="B3048" t="s">
        <v>5624</v>
      </c>
      <c r="C3048" t="s">
        <v>802</v>
      </c>
      <c r="D3048" t="s">
        <v>5179</v>
      </c>
      <c r="E3048" t="s">
        <v>6086</v>
      </c>
      <c r="F3048">
        <v>4076753</v>
      </c>
      <c r="G3048" t="s">
        <v>6087</v>
      </c>
      <c r="H3048" t="s">
        <v>805</v>
      </c>
      <c r="I3048">
        <v>37</v>
      </c>
      <c r="J3048">
        <v>0</v>
      </c>
      <c r="K3048">
        <v>0</v>
      </c>
      <c r="L3048">
        <v>13</v>
      </c>
      <c r="M3048">
        <v>13</v>
      </c>
      <c r="N3048">
        <v>0</v>
      </c>
      <c r="O3048">
        <v>11</v>
      </c>
      <c r="P3048" s="44" t="e">
        <f>_xlfn.XLOOKUP(Tabla5[[#This Row],[EAN CORREGIDO]],'Tabla Articulos'!B:B,'Tabla Articulos'!D:D)</f>
        <v>#N/A</v>
      </c>
      <c r="Q3048" s="44" t="e">
        <f>_xlfn.XLOOKUP(S3048,'Tabla Articulos'!B:B,'Tabla Articulos'!E:E)</f>
        <v>#N/A</v>
      </c>
      <c r="R3048" s="44" t="e">
        <f t="shared" si="94"/>
        <v>#N/A</v>
      </c>
      <c r="S3048" s="45" t="str">
        <f t="shared" si="95"/>
        <v>7794000008557</v>
      </c>
    </row>
    <row r="3049" spans="1:19" hidden="1" x14ac:dyDescent="0.35">
      <c r="A3049" s="22">
        <v>2</v>
      </c>
      <c r="B3049" t="s">
        <v>5624</v>
      </c>
      <c r="C3049" t="s">
        <v>802</v>
      </c>
      <c r="D3049" t="s">
        <v>1580</v>
      </c>
      <c r="E3049" t="s">
        <v>6088</v>
      </c>
      <c r="F3049">
        <v>4024068</v>
      </c>
      <c r="G3049" t="s">
        <v>6089</v>
      </c>
      <c r="H3049" t="s">
        <v>805</v>
      </c>
      <c r="I3049">
        <v>18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18</v>
      </c>
      <c r="P3049" s="44" t="e">
        <f>_xlfn.XLOOKUP(Tabla5[[#This Row],[EAN CORREGIDO]],'Tabla Articulos'!B:B,'Tabla Articulos'!D:D)</f>
        <v>#N/A</v>
      </c>
      <c r="Q3049" s="44" t="e">
        <f>_xlfn.XLOOKUP(S3049,'Tabla Articulos'!B:B,'Tabla Articulos'!E:E)</f>
        <v>#N/A</v>
      </c>
      <c r="R3049" s="44" t="e">
        <f t="shared" si="94"/>
        <v>#N/A</v>
      </c>
      <c r="S3049" s="45" t="str">
        <f t="shared" si="95"/>
        <v>7792260000533</v>
      </c>
    </row>
    <row r="3050" spans="1:19" hidden="1" x14ac:dyDescent="0.35">
      <c r="A3050" s="22">
        <v>2</v>
      </c>
      <c r="B3050" t="s">
        <v>5624</v>
      </c>
      <c r="C3050" t="s">
        <v>802</v>
      </c>
      <c r="D3050" t="s">
        <v>2490</v>
      </c>
      <c r="E3050" t="s">
        <v>2491</v>
      </c>
      <c r="F3050">
        <v>4020454</v>
      </c>
      <c r="G3050" t="s">
        <v>2492</v>
      </c>
      <c r="H3050" t="s">
        <v>805</v>
      </c>
      <c r="I3050">
        <v>1530</v>
      </c>
      <c r="J3050">
        <v>0</v>
      </c>
      <c r="K3050">
        <v>0</v>
      </c>
      <c r="L3050">
        <v>105</v>
      </c>
      <c r="M3050">
        <v>105</v>
      </c>
      <c r="N3050">
        <v>0</v>
      </c>
      <c r="O3050">
        <v>1320</v>
      </c>
      <c r="P3050" s="44" t="e">
        <f>_xlfn.XLOOKUP(Tabla5[[#This Row],[EAN CORREGIDO]],'Tabla Articulos'!B:B,'Tabla Articulos'!D:D)</f>
        <v>#N/A</v>
      </c>
      <c r="Q3050" s="44" t="e">
        <f>_xlfn.XLOOKUP(S3050,'Tabla Articulos'!B:B,'Tabla Articulos'!E:E)</f>
        <v>#N/A</v>
      </c>
      <c r="R3050" s="44" t="e">
        <f t="shared" si="94"/>
        <v>#N/A</v>
      </c>
      <c r="S3050" s="45" t="str">
        <f t="shared" si="95"/>
        <v>7798132920404</v>
      </c>
    </row>
    <row r="3051" spans="1:19" hidden="1" x14ac:dyDescent="0.35">
      <c r="A3051" s="22">
        <v>2</v>
      </c>
      <c r="B3051" t="s">
        <v>5624</v>
      </c>
      <c r="C3051" t="s">
        <v>802</v>
      </c>
      <c r="D3051" t="s">
        <v>1111</v>
      </c>
      <c r="E3051" t="s">
        <v>1112</v>
      </c>
      <c r="F3051">
        <v>4018275</v>
      </c>
      <c r="G3051" t="s">
        <v>1113</v>
      </c>
      <c r="H3051" t="s">
        <v>805</v>
      </c>
      <c r="I3051">
        <v>6255</v>
      </c>
      <c r="J3051">
        <v>0</v>
      </c>
      <c r="K3051">
        <v>0</v>
      </c>
      <c r="L3051">
        <v>96</v>
      </c>
      <c r="M3051">
        <v>96</v>
      </c>
      <c r="N3051">
        <v>0</v>
      </c>
      <c r="O3051">
        <v>6063</v>
      </c>
      <c r="P3051" s="44" t="e">
        <f>_xlfn.XLOOKUP(Tabla5[[#This Row],[EAN CORREGIDO]],'Tabla Articulos'!B:B,'Tabla Articulos'!D:D)</f>
        <v>#N/A</v>
      </c>
      <c r="Q3051" s="44" t="e">
        <f>_xlfn.XLOOKUP(S3051,'Tabla Articulos'!B:B,'Tabla Articulos'!E:E)</f>
        <v>#N/A</v>
      </c>
      <c r="R3051" s="44" t="e">
        <f t="shared" si="94"/>
        <v>#N/A</v>
      </c>
      <c r="S3051" s="45" t="str">
        <f t="shared" si="95"/>
        <v>7798344910286</v>
      </c>
    </row>
    <row r="3052" spans="1:19" hidden="1" x14ac:dyDescent="0.35">
      <c r="A3052" s="22">
        <v>2</v>
      </c>
      <c r="B3052" t="s">
        <v>5624</v>
      </c>
      <c r="C3052" t="s">
        <v>802</v>
      </c>
      <c r="D3052" t="s">
        <v>1116</v>
      </c>
      <c r="E3052" t="s">
        <v>1117</v>
      </c>
      <c r="F3052">
        <v>4023362</v>
      </c>
      <c r="G3052" t="s">
        <v>1118</v>
      </c>
      <c r="H3052" t="s">
        <v>805</v>
      </c>
      <c r="I3052">
        <v>45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45</v>
      </c>
      <c r="P3052" s="44" t="e">
        <f>_xlfn.XLOOKUP(Tabla5[[#This Row],[EAN CORREGIDO]],'Tabla Articulos'!B:B,'Tabla Articulos'!D:D)</f>
        <v>#N/A</v>
      </c>
      <c r="Q3052" s="44" t="e">
        <f>_xlfn.XLOOKUP(S3052,'Tabla Articulos'!B:B,'Tabla Articulos'!E:E)</f>
        <v>#N/A</v>
      </c>
      <c r="R3052" s="44" t="e">
        <f t="shared" si="94"/>
        <v>#N/A</v>
      </c>
      <c r="S3052" s="45" t="str">
        <f t="shared" si="95"/>
        <v>7790387001419</v>
      </c>
    </row>
    <row r="3053" spans="1:19" hidden="1" x14ac:dyDescent="0.35">
      <c r="A3053" s="22">
        <v>2</v>
      </c>
      <c r="B3053" t="s">
        <v>5624</v>
      </c>
      <c r="C3053" t="s">
        <v>802</v>
      </c>
      <c r="D3053" t="s">
        <v>234</v>
      </c>
      <c r="E3053" t="s">
        <v>5715</v>
      </c>
      <c r="F3053">
        <v>2016496</v>
      </c>
      <c r="G3053" t="s">
        <v>5716</v>
      </c>
      <c r="H3053" t="s">
        <v>805</v>
      </c>
      <c r="I3053">
        <v>55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55</v>
      </c>
      <c r="P3053" s="44" t="str">
        <f>_xlfn.XLOOKUP(Tabla5[[#This Row],[EAN CORREGIDO]],'Tabla Articulos'!B:B,'Tabla Articulos'!D:D)</f>
        <v>SERVILLETA C/ LOGO C. GOURMET 33X21.5</v>
      </c>
      <c r="Q3053" s="44">
        <f>_xlfn.XLOOKUP(S3053,'Tabla Articulos'!B:B,'Tabla Articulos'!E:E)</f>
        <v>1000</v>
      </c>
      <c r="R3053" s="44">
        <f t="shared" si="94"/>
        <v>55000</v>
      </c>
      <c r="S3053" s="45" t="str">
        <f t="shared" si="95"/>
        <v>7790000000705</v>
      </c>
    </row>
    <row r="3054" spans="1:19" hidden="1" x14ac:dyDescent="0.35">
      <c r="A3054" s="22">
        <v>2</v>
      </c>
      <c r="B3054" t="s">
        <v>5624</v>
      </c>
      <c r="C3054" t="s">
        <v>802</v>
      </c>
      <c r="D3054" t="s">
        <v>1119</v>
      </c>
      <c r="E3054" t="s">
        <v>1120</v>
      </c>
      <c r="F3054">
        <v>4020349</v>
      </c>
      <c r="G3054" t="s">
        <v>1121</v>
      </c>
      <c r="H3054" t="s">
        <v>805</v>
      </c>
      <c r="I3054">
        <v>40316</v>
      </c>
      <c r="J3054">
        <v>0</v>
      </c>
      <c r="K3054">
        <v>0</v>
      </c>
      <c r="L3054">
        <v>487</v>
      </c>
      <c r="M3054">
        <v>487</v>
      </c>
      <c r="N3054">
        <v>0</v>
      </c>
      <c r="O3054">
        <v>39342</v>
      </c>
      <c r="P3054" s="44" t="e">
        <f>_xlfn.XLOOKUP(Tabla5[[#This Row],[EAN CORREGIDO]],'Tabla Articulos'!B:B,'Tabla Articulos'!D:D)</f>
        <v>#N/A</v>
      </c>
      <c r="Q3054" s="44" t="e">
        <f>_xlfn.XLOOKUP(S3054,'Tabla Articulos'!B:B,'Tabla Articulos'!E:E)</f>
        <v>#N/A</v>
      </c>
      <c r="R3054" s="44" t="e">
        <f t="shared" si="94"/>
        <v>#N/A</v>
      </c>
      <c r="S3054" s="45" t="str">
        <f t="shared" si="95"/>
        <v>7798028020515</v>
      </c>
    </row>
    <row r="3055" spans="1:19" hidden="1" x14ac:dyDescent="0.35">
      <c r="A3055" s="22">
        <v>2</v>
      </c>
      <c r="B3055" t="s">
        <v>5624</v>
      </c>
      <c r="C3055" t="s">
        <v>802</v>
      </c>
      <c r="D3055" t="s">
        <v>4718</v>
      </c>
      <c r="E3055" t="s">
        <v>4719</v>
      </c>
      <c r="F3055">
        <v>4019794</v>
      </c>
      <c r="G3055" t="s">
        <v>4720</v>
      </c>
      <c r="H3055" t="s">
        <v>805</v>
      </c>
      <c r="I3055">
        <v>80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80</v>
      </c>
      <c r="P3055" s="44" t="e">
        <f>_xlfn.XLOOKUP(Tabla5[[#This Row],[EAN CORREGIDO]],'Tabla Articulos'!B:B,'Tabla Articulos'!D:D)</f>
        <v>#N/A</v>
      </c>
      <c r="Q3055" s="44" t="e">
        <f>_xlfn.XLOOKUP(S3055,'Tabla Articulos'!B:B,'Tabla Articulos'!E:E)</f>
        <v>#N/A</v>
      </c>
      <c r="R3055" s="44" t="e">
        <f t="shared" si="94"/>
        <v>#N/A</v>
      </c>
      <c r="S3055" s="45" t="str">
        <f t="shared" si="95"/>
        <v>7791113000911</v>
      </c>
    </row>
    <row r="3056" spans="1:19" hidden="1" x14ac:dyDescent="0.35">
      <c r="A3056" s="22">
        <v>2</v>
      </c>
      <c r="B3056" t="s">
        <v>5624</v>
      </c>
      <c r="C3056" t="s">
        <v>802</v>
      </c>
      <c r="D3056" t="s">
        <v>1151</v>
      </c>
      <c r="E3056" t="s">
        <v>4721</v>
      </c>
      <c r="F3056">
        <v>4021281</v>
      </c>
      <c r="G3056" t="s">
        <v>4722</v>
      </c>
      <c r="H3056" t="s">
        <v>805</v>
      </c>
      <c r="I3056">
        <v>391</v>
      </c>
      <c r="J3056">
        <v>0</v>
      </c>
      <c r="K3056">
        <v>0</v>
      </c>
      <c r="L3056">
        <v>28</v>
      </c>
      <c r="M3056">
        <v>28</v>
      </c>
      <c r="N3056">
        <v>0</v>
      </c>
      <c r="O3056">
        <v>335</v>
      </c>
      <c r="P3056" s="44" t="e">
        <f>_xlfn.XLOOKUP(Tabla5[[#This Row],[EAN CORREGIDO]],'Tabla Articulos'!B:B,'Tabla Articulos'!D:D)</f>
        <v>#N/A</v>
      </c>
      <c r="Q3056" s="44" t="e">
        <f>_xlfn.XLOOKUP(S3056,'Tabla Articulos'!B:B,'Tabla Articulos'!E:E)</f>
        <v>#N/A</v>
      </c>
      <c r="R3056" s="44" t="e">
        <f t="shared" si="94"/>
        <v>#N/A</v>
      </c>
      <c r="S3056" s="45" t="str">
        <f t="shared" si="95"/>
        <v>7792378000814</v>
      </c>
    </row>
    <row r="3057" spans="1:19" hidden="1" x14ac:dyDescent="0.35">
      <c r="A3057" s="22">
        <v>2</v>
      </c>
      <c r="B3057" t="s">
        <v>5624</v>
      </c>
      <c r="C3057" t="s">
        <v>802</v>
      </c>
      <c r="D3057" t="s">
        <v>1266</v>
      </c>
      <c r="E3057" t="s">
        <v>6575</v>
      </c>
      <c r="F3057">
        <v>4017767</v>
      </c>
      <c r="G3057" t="s">
        <v>6576</v>
      </c>
      <c r="H3057" t="s">
        <v>816</v>
      </c>
      <c r="I3057">
        <v>464.39</v>
      </c>
      <c r="J3057">
        <v>0</v>
      </c>
      <c r="K3057">
        <v>0</v>
      </c>
      <c r="L3057">
        <v>34</v>
      </c>
      <c r="M3057">
        <v>34</v>
      </c>
      <c r="N3057">
        <v>0</v>
      </c>
      <c r="O3057">
        <v>396.39</v>
      </c>
      <c r="P3057" s="44" t="e">
        <f>_xlfn.XLOOKUP(Tabla5[[#This Row],[EAN CORREGIDO]],'Tabla Articulos'!B:B,'Tabla Articulos'!D:D)</f>
        <v>#N/A</v>
      </c>
      <c r="Q3057" s="44" t="e">
        <f>_xlfn.XLOOKUP(S3057,'Tabla Articulos'!B:B,'Tabla Articulos'!E:E)</f>
        <v>#N/A</v>
      </c>
      <c r="R3057" s="44" t="e">
        <f t="shared" si="94"/>
        <v>#N/A</v>
      </c>
      <c r="S3057" s="45" t="str">
        <f t="shared" si="95"/>
        <v>7790212030143</v>
      </c>
    </row>
    <row r="3058" spans="1:19" hidden="1" x14ac:dyDescent="0.35">
      <c r="A3058" s="22">
        <v>2</v>
      </c>
      <c r="B3058" t="s">
        <v>5624</v>
      </c>
      <c r="C3058" t="s">
        <v>802</v>
      </c>
      <c r="D3058" t="s">
        <v>314</v>
      </c>
      <c r="E3058" t="s">
        <v>4725</v>
      </c>
      <c r="F3058">
        <v>2006449</v>
      </c>
      <c r="G3058" t="s">
        <v>4726</v>
      </c>
      <c r="H3058" t="s">
        <v>805</v>
      </c>
      <c r="I3058">
        <v>36</v>
      </c>
      <c r="J3058">
        <v>0</v>
      </c>
      <c r="K3058">
        <v>0</v>
      </c>
      <c r="L3058">
        <v>2</v>
      </c>
      <c r="M3058">
        <v>2</v>
      </c>
      <c r="N3058">
        <v>0</v>
      </c>
      <c r="O3058">
        <v>32</v>
      </c>
      <c r="P3058" s="44" t="str">
        <f>_xlfn.XLOOKUP(Tabla5[[#This Row],[EAN CORREGIDO]],'Tabla Articulos'!B:B,'Tabla Articulos'!D:D)</f>
        <v>CUCHARA SOPERA</v>
      </c>
      <c r="Q3058" s="44">
        <f>_xlfn.XLOOKUP(S3058,'Tabla Articulos'!B:B,'Tabla Articulos'!E:E)</f>
        <v>1000</v>
      </c>
      <c r="R3058" s="44">
        <f t="shared" si="94"/>
        <v>32000</v>
      </c>
      <c r="S3058" s="45" t="str">
        <f t="shared" si="95"/>
        <v>7790321020186</v>
      </c>
    </row>
    <row r="3059" spans="1:19" hidden="1" x14ac:dyDescent="0.35">
      <c r="A3059" s="22">
        <v>2</v>
      </c>
      <c r="B3059" t="s">
        <v>5624</v>
      </c>
      <c r="C3059" t="s">
        <v>802</v>
      </c>
      <c r="D3059" t="s">
        <v>189</v>
      </c>
      <c r="E3059" t="s">
        <v>5870</v>
      </c>
      <c r="F3059">
        <v>2007506</v>
      </c>
      <c r="G3059" t="s">
        <v>5871</v>
      </c>
      <c r="H3059" t="s">
        <v>805</v>
      </c>
      <c r="I3059">
        <v>275</v>
      </c>
      <c r="J3059">
        <v>0</v>
      </c>
      <c r="K3059">
        <v>0</v>
      </c>
      <c r="L3059">
        <v>9</v>
      </c>
      <c r="M3059">
        <v>9</v>
      </c>
      <c r="N3059">
        <v>0</v>
      </c>
      <c r="O3059">
        <v>257</v>
      </c>
      <c r="P3059" s="44" t="str">
        <f>_xlfn.XLOOKUP(Tabla5[[#This Row],[EAN CORREGIDO]],'Tabla Articulos'!B:B,'Tabla Articulos'!D:D)</f>
        <v>ARRANQUE 40X60</v>
      </c>
      <c r="Q3059" s="44">
        <f>_xlfn.XLOOKUP(S3059,'Tabla Articulos'!B:B,'Tabla Articulos'!E:E)</f>
        <v>1</v>
      </c>
      <c r="R3059" s="44">
        <f t="shared" si="94"/>
        <v>257</v>
      </c>
      <c r="S3059" s="45" t="str">
        <f t="shared" si="95"/>
        <v>7790000000480</v>
      </c>
    </row>
    <row r="3060" spans="1:19" hidden="1" x14ac:dyDescent="0.35">
      <c r="A3060" s="22">
        <v>2</v>
      </c>
      <c r="B3060" t="s">
        <v>5624</v>
      </c>
      <c r="C3060" t="s">
        <v>802</v>
      </c>
      <c r="D3060" t="s">
        <v>5872</v>
      </c>
      <c r="E3060" t="s">
        <v>5873</v>
      </c>
      <c r="F3060">
        <v>4020617</v>
      </c>
      <c r="G3060" t="s">
        <v>5874</v>
      </c>
      <c r="H3060" t="s">
        <v>805</v>
      </c>
      <c r="I3060">
        <v>22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22</v>
      </c>
      <c r="P3060" s="44" t="e">
        <f>_xlfn.XLOOKUP(Tabla5[[#This Row],[EAN CORREGIDO]],'Tabla Articulos'!B:B,'Tabla Articulos'!D:D)</f>
        <v>#N/A</v>
      </c>
      <c r="Q3060" s="44" t="e">
        <f>_xlfn.XLOOKUP(S3060,'Tabla Articulos'!B:B,'Tabla Articulos'!E:E)</f>
        <v>#N/A</v>
      </c>
      <c r="R3060" s="44" t="e">
        <f t="shared" si="94"/>
        <v>#N/A</v>
      </c>
      <c r="S3060" s="45" t="str">
        <f t="shared" si="95"/>
        <v>7793360129889</v>
      </c>
    </row>
    <row r="3061" spans="1:19" hidden="1" x14ac:dyDescent="0.35">
      <c r="A3061" s="22">
        <v>2</v>
      </c>
      <c r="B3061" t="s">
        <v>5624</v>
      </c>
      <c r="C3061" t="s">
        <v>802</v>
      </c>
      <c r="D3061" t="s">
        <v>5461</v>
      </c>
      <c r="E3061" t="s">
        <v>6705</v>
      </c>
      <c r="F3061">
        <v>4019753</v>
      </c>
      <c r="G3061" t="s">
        <v>6706</v>
      </c>
      <c r="H3061" t="s">
        <v>805</v>
      </c>
      <c r="I3061">
        <v>49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49</v>
      </c>
      <c r="P3061" s="44" t="e">
        <f>_xlfn.XLOOKUP(Tabla5[[#This Row],[EAN CORREGIDO]],'Tabla Articulos'!B:B,'Tabla Articulos'!D:D)</f>
        <v>#N/A</v>
      </c>
      <c r="Q3061" s="44" t="e">
        <f>_xlfn.XLOOKUP(S3061,'Tabla Articulos'!B:B,'Tabla Articulos'!E:E)</f>
        <v>#N/A</v>
      </c>
      <c r="R3061" s="44" t="e">
        <f t="shared" si="94"/>
        <v>#N/A</v>
      </c>
      <c r="S3061" s="45" t="str">
        <f t="shared" si="95"/>
        <v>7790279000049</v>
      </c>
    </row>
    <row r="3062" spans="1:19" hidden="1" x14ac:dyDescent="0.35">
      <c r="A3062" s="22">
        <v>2</v>
      </c>
      <c r="B3062" t="s">
        <v>5624</v>
      </c>
      <c r="C3062" t="s">
        <v>802</v>
      </c>
      <c r="D3062" t="s">
        <v>3977</v>
      </c>
      <c r="E3062" t="s">
        <v>5383</v>
      </c>
      <c r="F3062">
        <v>4077457</v>
      </c>
      <c r="G3062" t="s">
        <v>5384</v>
      </c>
      <c r="H3062" t="s">
        <v>805</v>
      </c>
      <c r="I3062">
        <v>398</v>
      </c>
      <c r="J3062">
        <v>0</v>
      </c>
      <c r="K3062">
        <v>0</v>
      </c>
      <c r="L3062">
        <v>7</v>
      </c>
      <c r="M3062">
        <v>7</v>
      </c>
      <c r="N3062">
        <v>0</v>
      </c>
      <c r="O3062">
        <v>384</v>
      </c>
      <c r="P3062" s="44" t="e">
        <f>_xlfn.XLOOKUP(Tabla5[[#This Row],[EAN CORREGIDO]],'Tabla Articulos'!B:B,'Tabla Articulos'!D:D)</f>
        <v>#N/A</v>
      </c>
      <c r="Q3062" s="44" t="e">
        <f>_xlfn.XLOOKUP(S3062,'Tabla Articulos'!B:B,'Tabla Articulos'!E:E)</f>
        <v>#N/A</v>
      </c>
      <c r="R3062" s="44" t="e">
        <f t="shared" si="94"/>
        <v>#N/A</v>
      </c>
      <c r="S3062" s="45" t="str">
        <f t="shared" si="95"/>
        <v>7790045826637</v>
      </c>
    </row>
    <row r="3063" spans="1:19" hidden="1" x14ac:dyDescent="0.35">
      <c r="A3063" s="22">
        <v>2</v>
      </c>
      <c r="B3063" t="s">
        <v>5624</v>
      </c>
      <c r="C3063" t="s">
        <v>802</v>
      </c>
      <c r="D3063" t="s">
        <v>5391</v>
      </c>
      <c r="E3063" t="s">
        <v>5392</v>
      </c>
      <c r="F3063">
        <v>4024052</v>
      </c>
      <c r="G3063" t="s">
        <v>5393</v>
      </c>
      <c r="H3063" t="s">
        <v>805</v>
      </c>
      <c r="I3063">
        <v>1133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1133</v>
      </c>
      <c r="P3063" s="44" t="e">
        <f>_xlfn.XLOOKUP(Tabla5[[#This Row],[EAN CORREGIDO]],'Tabla Articulos'!B:B,'Tabla Articulos'!D:D)</f>
        <v>#N/A</v>
      </c>
      <c r="Q3063" s="44" t="e">
        <f>_xlfn.XLOOKUP(S3063,'Tabla Articulos'!B:B,'Tabla Articulos'!E:E)</f>
        <v>#N/A</v>
      </c>
      <c r="R3063" s="44" t="e">
        <f t="shared" si="94"/>
        <v>#N/A</v>
      </c>
      <c r="S3063" s="45" t="str">
        <f t="shared" si="95"/>
        <v>7798188380214</v>
      </c>
    </row>
    <row r="3064" spans="1:19" hidden="1" x14ac:dyDescent="0.35">
      <c r="A3064" s="22">
        <v>2</v>
      </c>
      <c r="B3064" t="s">
        <v>5624</v>
      </c>
      <c r="C3064" t="s">
        <v>802</v>
      </c>
      <c r="D3064" t="s">
        <v>5399</v>
      </c>
      <c r="E3064" t="s">
        <v>5400</v>
      </c>
      <c r="F3064">
        <v>4020359</v>
      </c>
      <c r="G3064" t="s">
        <v>5401</v>
      </c>
      <c r="H3064" t="s">
        <v>805</v>
      </c>
      <c r="I3064">
        <v>2193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2193</v>
      </c>
      <c r="P3064" s="44" t="e">
        <f>_xlfn.XLOOKUP(Tabla5[[#This Row],[EAN CORREGIDO]],'Tabla Articulos'!B:B,'Tabla Articulos'!D:D)</f>
        <v>#N/A</v>
      </c>
      <c r="Q3064" s="44" t="e">
        <f>_xlfn.XLOOKUP(S3064,'Tabla Articulos'!B:B,'Tabla Articulos'!E:E)</f>
        <v>#N/A</v>
      </c>
      <c r="R3064" s="44" t="e">
        <f t="shared" si="94"/>
        <v>#N/A</v>
      </c>
      <c r="S3064" s="45" t="str">
        <f t="shared" si="95"/>
        <v>7798082000492</v>
      </c>
    </row>
    <row r="3065" spans="1:19" hidden="1" x14ac:dyDescent="0.35">
      <c r="A3065" s="22">
        <v>2</v>
      </c>
      <c r="B3065" t="s">
        <v>5624</v>
      </c>
      <c r="C3065" t="s">
        <v>802</v>
      </c>
      <c r="D3065" t="s">
        <v>6076</v>
      </c>
      <c r="E3065" t="s">
        <v>6707</v>
      </c>
      <c r="F3065">
        <v>4017351</v>
      </c>
      <c r="G3065" t="s">
        <v>6708</v>
      </c>
      <c r="H3065" t="s">
        <v>805</v>
      </c>
      <c r="I3065">
        <v>154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154</v>
      </c>
      <c r="P3065" s="44" t="e">
        <f>_xlfn.XLOOKUP(Tabla5[[#This Row],[EAN CORREGIDO]],'Tabla Articulos'!B:B,'Tabla Articulos'!D:D)</f>
        <v>#N/A</v>
      </c>
      <c r="Q3065" s="44" t="e">
        <f>_xlfn.XLOOKUP(S3065,'Tabla Articulos'!B:B,'Tabla Articulos'!E:E)</f>
        <v>#N/A</v>
      </c>
      <c r="R3065" s="44" t="e">
        <f t="shared" si="94"/>
        <v>#N/A</v>
      </c>
      <c r="S3065" s="45" t="str">
        <f t="shared" si="95"/>
        <v>7790895647017</v>
      </c>
    </row>
    <row r="3066" spans="1:19" hidden="1" x14ac:dyDescent="0.35">
      <c r="A3066" s="22">
        <v>2</v>
      </c>
      <c r="B3066" t="s">
        <v>5624</v>
      </c>
      <c r="C3066" t="s">
        <v>802</v>
      </c>
      <c r="D3066" t="s">
        <v>5402</v>
      </c>
      <c r="E3066" t="s">
        <v>5403</v>
      </c>
      <c r="F3066">
        <v>4020710</v>
      </c>
      <c r="G3066" t="s">
        <v>5404</v>
      </c>
      <c r="H3066" t="s">
        <v>805</v>
      </c>
      <c r="I3066">
        <v>169</v>
      </c>
      <c r="J3066">
        <v>0</v>
      </c>
      <c r="K3066">
        <v>0</v>
      </c>
      <c r="L3066">
        <v>11</v>
      </c>
      <c r="M3066">
        <v>11</v>
      </c>
      <c r="N3066">
        <v>0</v>
      </c>
      <c r="O3066">
        <v>147</v>
      </c>
      <c r="P3066" s="44" t="e">
        <f>_xlfn.XLOOKUP(Tabla5[[#This Row],[EAN CORREGIDO]],'Tabla Articulos'!B:B,'Tabla Articulos'!D:D)</f>
        <v>#N/A</v>
      </c>
      <c r="Q3066" s="44" t="e">
        <f>_xlfn.XLOOKUP(S3066,'Tabla Articulos'!B:B,'Tabla Articulos'!E:E)</f>
        <v>#N/A</v>
      </c>
      <c r="R3066" s="44" t="e">
        <f t="shared" si="94"/>
        <v>#N/A</v>
      </c>
      <c r="S3066" s="45" t="str">
        <f t="shared" si="95"/>
        <v>7798011976485</v>
      </c>
    </row>
    <row r="3067" spans="1:19" hidden="1" x14ac:dyDescent="0.35">
      <c r="A3067" s="22">
        <v>2</v>
      </c>
      <c r="B3067" t="s">
        <v>5624</v>
      </c>
      <c r="C3067" t="s">
        <v>802</v>
      </c>
      <c r="D3067" t="s">
        <v>6709</v>
      </c>
      <c r="E3067" t="s">
        <v>6710</v>
      </c>
      <c r="F3067">
        <v>4018061</v>
      </c>
      <c r="G3067" t="s">
        <v>6711</v>
      </c>
      <c r="H3067" t="s">
        <v>816</v>
      </c>
      <c r="I3067">
        <v>2686.7</v>
      </c>
      <c r="J3067">
        <v>0</v>
      </c>
      <c r="K3067">
        <v>0</v>
      </c>
      <c r="L3067">
        <v>20</v>
      </c>
      <c r="M3067">
        <v>20</v>
      </c>
      <c r="N3067">
        <v>0</v>
      </c>
      <c r="O3067">
        <v>2646.7</v>
      </c>
      <c r="P3067" s="44" t="e">
        <f>_xlfn.XLOOKUP(Tabla5[[#This Row],[EAN CORREGIDO]],'Tabla Articulos'!B:B,'Tabla Articulos'!D:D)</f>
        <v>#N/A</v>
      </c>
      <c r="Q3067" s="44" t="e">
        <f>_xlfn.XLOOKUP(S3067,'Tabla Articulos'!B:B,'Tabla Articulos'!E:E)</f>
        <v>#N/A</v>
      </c>
      <c r="R3067" s="44" t="e">
        <f t="shared" si="94"/>
        <v>#N/A</v>
      </c>
      <c r="S3067" s="45" t="str">
        <f t="shared" si="95"/>
        <v>7790216020107</v>
      </c>
    </row>
    <row r="3068" spans="1:19" hidden="1" x14ac:dyDescent="0.35">
      <c r="A3068" s="22">
        <v>2</v>
      </c>
      <c r="B3068" t="s">
        <v>5624</v>
      </c>
      <c r="C3068" t="s">
        <v>802</v>
      </c>
      <c r="D3068" t="s">
        <v>5407</v>
      </c>
      <c r="E3068" t="s">
        <v>5408</v>
      </c>
      <c r="F3068">
        <v>4018011</v>
      </c>
      <c r="G3068" t="s">
        <v>5409</v>
      </c>
      <c r="H3068" t="s">
        <v>816</v>
      </c>
      <c r="I3068">
        <v>795.93</v>
      </c>
      <c r="J3068">
        <v>0</v>
      </c>
      <c r="K3068">
        <v>0</v>
      </c>
      <c r="L3068">
        <v>338.4</v>
      </c>
      <c r="M3068">
        <v>338.4</v>
      </c>
      <c r="N3068">
        <v>0</v>
      </c>
      <c r="O3068">
        <v>119.13</v>
      </c>
      <c r="P3068" s="44" t="e">
        <f>_xlfn.XLOOKUP(Tabla5[[#This Row],[EAN CORREGIDO]],'Tabla Articulos'!B:B,'Tabla Articulos'!D:D)</f>
        <v>#N/A</v>
      </c>
      <c r="Q3068" s="44" t="e">
        <f>_xlfn.XLOOKUP(S3068,'Tabla Articulos'!B:B,'Tabla Articulos'!E:E)</f>
        <v>#N/A</v>
      </c>
      <c r="R3068" s="44" t="e">
        <f t="shared" si="94"/>
        <v>#N/A</v>
      </c>
      <c r="S3068" s="45" t="str">
        <f t="shared" si="95"/>
        <v>7790216010012</v>
      </c>
    </row>
    <row r="3069" spans="1:19" hidden="1" x14ac:dyDescent="0.35">
      <c r="A3069" s="22">
        <v>2</v>
      </c>
      <c r="B3069" t="s">
        <v>5624</v>
      </c>
      <c r="C3069" t="s">
        <v>802</v>
      </c>
      <c r="D3069" t="s">
        <v>2722</v>
      </c>
      <c r="E3069" t="s">
        <v>6712</v>
      </c>
      <c r="F3069">
        <v>4017223</v>
      </c>
      <c r="G3069" t="s">
        <v>6713</v>
      </c>
      <c r="H3069" t="s">
        <v>805</v>
      </c>
      <c r="I3069">
        <v>3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3</v>
      </c>
      <c r="P3069" s="44" t="e">
        <f>_xlfn.XLOOKUP(Tabla5[[#This Row],[EAN CORREGIDO]],'Tabla Articulos'!B:B,'Tabla Articulos'!D:D)</f>
        <v>#N/A</v>
      </c>
      <c r="Q3069" s="44" t="e">
        <f>_xlfn.XLOOKUP(S3069,'Tabla Articulos'!B:B,'Tabla Articulos'!E:E)</f>
        <v>#N/A</v>
      </c>
      <c r="R3069" s="44" t="e">
        <f t="shared" si="94"/>
        <v>#N/A</v>
      </c>
      <c r="S3069" s="45" t="str">
        <f t="shared" si="95"/>
        <v>7798290580083</v>
      </c>
    </row>
    <row r="3070" spans="1:19" hidden="1" x14ac:dyDescent="0.35">
      <c r="A3070" s="22">
        <v>2</v>
      </c>
      <c r="B3070" t="s">
        <v>5624</v>
      </c>
      <c r="C3070" t="s">
        <v>802</v>
      </c>
      <c r="D3070" t="s">
        <v>5630</v>
      </c>
      <c r="E3070" t="s">
        <v>5631</v>
      </c>
      <c r="F3070">
        <v>4017733</v>
      </c>
      <c r="G3070" t="s">
        <v>5632</v>
      </c>
      <c r="H3070" t="s">
        <v>816</v>
      </c>
      <c r="I3070">
        <v>76.099999999999994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76.099999999999994</v>
      </c>
      <c r="P3070" s="44" t="e">
        <f>_xlfn.XLOOKUP(Tabla5[[#This Row],[EAN CORREGIDO]],'Tabla Articulos'!B:B,'Tabla Articulos'!D:D)</f>
        <v>#N/A</v>
      </c>
      <c r="Q3070" s="44" t="e">
        <f>_xlfn.XLOOKUP(S3070,'Tabla Articulos'!B:B,'Tabla Articulos'!E:E)</f>
        <v>#N/A</v>
      </c>
      <c r="R3070" s="44" t="e">
        <f t="shared" si="94"/>
        <v>#N/A</v>
      </c>
      <c r="S3070" s="45" t="str">
        <f t="shared" si="95"/>
        <v>7790212031203</v>
      </c>
    </row>
    <row r="3071" spans="1:19" hidden="1" x14ac:dyDescent="0.35">
      <c r="A3071" s="22">
        <v>2</v>
      </c>
      <c r="B3071" t="s">
        <v>5624</v>
      </c>
      <c r="C3071" t="s">
        <v>802</v>
      </c>
      <c r="D3071" t="s">
        <v>5633</v>
      </c>
      <c r="E3071" t="s">
        <v>5634</v>
      </c>
      <c r="F3071">
        <v>4018297</v>
      </c>
      <c r="G3071" t="s">
        <v>5635</v>
      </c>
      <c r="H3071" t="s">
        <v>805</v>
      </c>
      <c r="I3071">
        <v>4511</v>
      </c>
      <c r="J3071">
        <v>0</v>
      </c>
      <c r="K3071">
        <v>0</v>
      </c>
      <c r="L3071">
        <v>14</v>
      </c>
      <c r="M3071">
        <v>14</v>
      </c>
      <c r="N3071">
        <v>0</v>
      </c>
      <c r="O3071">
        <v>4483</v>
      </c>
      <c r="P3071" s="44" t="e">
        <f>_xlfn.XLOOKUP(Tabla5[[#This Row],[EAN CORREGIDO]],'Tabla Articulos'!B:B,'Tabla Articulos'!D:D)</f>
        <v>#N/A</v>
      </c>
      <c r="Q3071" s="44" t="e">
        <f>_xlfn.XLOOKUP(S3071,'Tabla Articulos'!B:B,'Tabla Articulos'!E:E)</f>
        <v>#N/A</v>
      </c>
      <c r="R3071" s="44" t="e">
        <f t="shared" si="94"/>
        <v>#N/A</v>
      </c>
      <c r="S3071" s="45" t="str">
        <f t="shared" si="95"/>
        <v>7794820902714</v>
      </c>
    </row>
    <row r="3072" spans="1:19" hidden="1" x14ac:dyDescent="0.35">
      <c r="A3072" s="22">
        <v>2</v>
      </c>
      <c r="B3072" t="s">
        <v>5624</v>
      </c>
      <c r="C3072" t="s">
        <v>802</v>
      </c>
      <c r="D3072" t="s">
        <v>5636</v>
      </c>
      <c r="E3072" t="s">
        <v>5637</v>
      </c>
      <c r="F3072">
        <v>4018560</v>
      </c>
      <c r="G3072" t="s">
        <v>5638</v>
      </c>
      <c r="H3072" t="s">
        <v>5639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 s="44" t="e">
        <f>_xlfn.XLOOKUP(Tabla5[[#This Row],[EAN CORREGIDO]],'Tabla Articulos'!B:B,'Tabla Articulos'!D:D)</f>
        <v>#N/A</v>
      </c>
      <c r="Q3072" s="44" t="e">
        <f>_xlfn.XLOOKUP(S3072,'Tabla Articulos'!B:B,'Tabla Articulos'!E:E)</f>
        <v>#N/A</v>
      </c>
      <c r="R3072" s="44" t="e">
        <f t="shared" si="94"/>
        <v>#N/A</v>
      </c>
      <c r="S3072" s="45" t="str">
        <f t="shared" si="95"/>
        <v>7790213012188</v>
      </c>
    </row>
    <row r="3073" spans="1:19" hidden="1" x14ac:dyDescent="0.35">
      <c r="A3073" s="22">
        <v>2</v>
      </c>
      <c r="B3073" t="s">
        <v>5624</v>
      </c>
      <c r="C3073" t="s">
        <v>802</v>
      </c>
      <c r="D3073" t="s">
        <v>830</v>
      </c>
      <c r="E3073" t="s">
        <v>831</v>
      </c>
      <c r="F3073">
        <v>4018059</v>
      </c>
      <c r="G3073" t="s">
        <v>832</v>
      </c>
      <c r="H3073" t="s">
        <v>816</v>
      </c>
      <c r="I3073">
        <v>214.93299999999999</v>
      </c>
      <c r="J3073">
        <v>0</v>
      </c>
      <c r="K3073">
        <v>0</v>
      </c>
      <c r="L3073">
        <v>44.18</v>
      </c>
      <c r="M3073">
        <v>47.18</v>
      </c>
      <c r="N3073">
        <v>0</v>
      </c>
      <c r="O3073">
        <v>123.57299999999999</v>
      </c>
      <c r="P3073" s="44" t="e">
        <f>_xlfn.XLOOKUP(Tabla5[[#This Row],[EAN CORREGIDO]],'Tabla Articulos'!B:B,'Tabla Articulos'!D:D)</f>
        <v>#N/A</v>
      </c>
      <c r="Q3073" s="44" t="e">
        <f>_xlfn.XLOOKUP(S3073,'Tabla Articulos'!B:B,'Tabla Articulos'!E:E)</f>
        <v>#N/A</v>
      </c>
      <c r="R3073" s="44" t="e">
        <f t="shared" ref="R3073:R3136" si="96">O3073*Q3073</f>
        <v>#N/A</v>
      </c>
      <c r="S3073" s="45" t="str">
        <f t="shared" ref="S3073:S3136" si="97">TRIM(E3073)</f>
        <v>7790216020098</v>
      </c>
    </row>
    <row r="3074" spans="1:19" hidden="1" x14ac:dyDescent="0.35">
      <c r="A3074" s="22">
        <v>2</v>
      </c>
      <c r="B3074" t="s">
        <v>5624</v>
      </c>
      <c r="C3074" t="s">
        <v>802</v>
      </c>
      <c r="D3074" t="s">
        <v>351</v>
      </c>
      <c r="E3074" t="s">
        <v>833</v>
      </c>
      <c r="F3074">
        <v>2007128</v>
      </c>
      <c r="G3074" t="s">
        <v>834</v>
      </c>
      <c r="H3074" t="s">
        <v>805</v>
      </c>
      <c r="I3074">
        <v>63</v>
      </c>
      <c r="J3074">
        <v>20</v>
      </c>
      <c r="K3074">
        <v>0</v>
      </c>
      <c r="L3074">
        <v>4</v>
      </c>
      <c r="M3074">
        <v>4</v>
      </c>
      <c r="N3074">
        <v>0</v>
      </c>
      <c r="O3074">
        <v>75</v>
      </c>
      <c r="P3074" s="44" t="str">
        <f>_xlfn.XLOOKUP(Tabla5[[#This Row],[EAN CORREGIDO]],'Tabla Articulos'!B:B,'Tabla Articulos'!D:D)</f>
        <v>TENEDOR DESCARTABLE</v>
      </c>
      <c r="Q3074" s="44">
        <f>_xlfn.XLOOKUP(S3074,'Tabla Articulos'!B:B,'Tabla Articulos'!E:E)</f>
        <v>1000</v>
      </c>
      <c r="R3074" s="44">
        <f t="shared" si="96"/>
        <v>75000</v>
      </c>
      <c r="S3074" s="45" t="str">
        <f t="shared" si="97"/>
        <v>7790000000251</v>
      </c>
    </row>
    <row r="3075" spans="1:19" hidden="1" x14ac:dyDescent="0.35">
      <c r="A3075" s="22">
        <v>2</v>
      </c>
      <c r="B3075" t="s">
        <v>5624</v>
      </c>
      <c r="C3075" t="s">
        <v>802</v>
      </c>
      <c r="D3075" t="s">
        <v>196</v>
      </c>
      <c r="E3075" t="s">
        <v>5456</v>
      </c>
      <c r="F3075">
        <v>2007184</v>
      </c>
      <c r="G3075" t="s">
        <v>5457</v>
      </c>
      <c r="H3075" t="s">
        <v>805</v>
      </c>
      <c r="I3075">
        <v>149</v>
      </c>
      <c r="J3075">
        <v>0</v>
      </c>
      <c r="K3075">
        <v>0</v>
      </c>
      <c r="L3075">
        <v>6</v>
      </c>
      <c r="M3075">
        <v>6</v>
      </c>
      <c r="N3075">
        <v>0</v>
      </c>
      <c r="O3075">
        <v>137</v>
      </c>
      <c r="P3075" s="44" t="str">
        <f>_xlfn.XLOOKUP(Tabla5[[#This Row],[EAN CORREGIDO]],'Tabla Articulos'!B:B,'Tabla Articulos'!D:D)</f>
        <v>FILM PVC 38</v>
      </c>
      <c r="Q3075" s="44">
        <f>_xlfn.XLOOKUP(S3075,'Tabla Articulos'!B:B,'Tabla Articulos'!E:E)</f>
        <v>1</v>
      </c>
      <c r="R3075" s="44">
        <f t="shared" si="96"/>
        <v>137</v>
      </c>
      <c r="S3075" s="45" t="str">
        <f t="shared" si="97"/>
        <v>7790000000228</v>
      </c>
    </row>
    <row r="3076" spans="1:19" hidden="1" x14ac:dyDescent="0.35">
      <c r="A3076" s="22">
        <v>2</v>
      </c>
      <c r="B3076" t="s">
        <v>5624</v>
      </c>
      <c r="C3076" t="s">
        <v>802</v>
      </c>
      <c r="D3076" t="s">
        <v>5461</v>
      </c>
      <c r="E3076" t="s">
        <v>5462</v>
      </c>
      <c r="F3076">
        <v>4024851</v>
      </c>
      <c r="G3076" t="s">
        <v>5463</v>
      </c>
      <c r="H3076" t="s">
        <v>805</v>
      </c>
      <c r="I3076">
        <v>195</v>
      </c>
      <c r="J3076">
        <v>0</v>
      </c>
      <c r="K3076">
        <v>0</v>
      </c>
      <c r="L3076">
        <v>5</v>
      </c>
      <c r="M3076">
        <v>5</v>
      </c>
      <c r="N3076">
        <v>0</v>
      </c>
      <c r="O3076">
        <v>185</v>
      </c>
      <c r="P3076" s="44" t="e">
        <f>_xlfn.XLOOKUP(Tabla5[[#This Row],[EAN CORREGIDO]],'Tabla Articulos'!B:B,'Tabla Articulos'!D:D)</f>
        <v>#N/A</v>
      </c>
      <c r="Q3076" s="44" t="e">
        <f>_xlfn.XLOOKUP(S3076,'Tabla Articulos'!B:B,'Tabla Articulos'!E:E)</f>
        <v>#N/A</v>
      </c>
      <c r="R3076" s="44" t="e">
        <f t="shared" si="96"/>
        <v>#N/A</v>
      </c>
      <c r="S3076" s="45" t="str">
        <f t="shared" si="97"/>
        <v>7791476057058</v>
      </c>
    </row>
    <row r="3077" spans="1:19" hidden="1" x14ac:dyDescent="0.35">
      <c r="A3077" s="22">
        <v>2</v>
      </c>
      <c r="B3077" t="s">
        <v>5624</v>
      </c>
      <c r="C3077" t="s">
        <v>802</v>
      </c>
      <c r="D3077" t="s">
        <v>3652</v>
      </c>
      <c r="E3077" t="s">
        <v>6645</v>
      </c>
      <c r="F3077">
        <v>4019807</v>
      </c>
      <c r="G3077" t="s">
        <v>6646</v>
      </c>
      <c r="H3077" t="s">
        <v>805</v>
      </c>
      <c r="I3077">
        <v>120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120</v>
      </c>
      <c r="P3077" s="44" t="e">
        <f>_xlfn.XLOOKUP(Tabla5[[#This Row],[EAN CORREGIDO]],'Tabla Articulos'!B:B,'Tabla Articulos'!D:D)</f>
        <v>#N/A</v>
      </c>
      <c r="Q3077" s="44" t="e">
        <f>_xlfn.XLOOKUP(S3077,'Tabla Articulos'!B:B,'Tabla Articulos'!E:E)</f>
        <v>#N/A</v>
      </c>
      <c r="R3077" s="44" t="e">
        <f t="shared" si="96"/>
        <v>#N/A</v>
      </c>
      <c r="S3077" s="45" t="str">
        <f t="shared" si="97"/>
        <v>7791113001239</v>
      </c>
    </row>
    <row r="3078" spans="1:19" hidden="1" x14ac:dyDescent="0.35">
      <c r="A3078" s="22">
        <v>2</v>
      </c>
      <c r="B3078" t="s">
        <v>5624</v>
      </c>
      <c r="C3078" t="s">
        <v>802</v>
      </c>
      <c r="D3078" t="s">
        <v>4691</v>
      </c>
      <c r="E3078" t="s">
        <v>6647</v>
      </c>
      <c r="F3078">
        <v>4018786</v>
      </c>
      <c r="G3078" t="s">
        <v>6648</v>
      </c>
      <c r="H3078" t="s">
        <v>805</v>
      </c>
      <c r="I3078">
        <v>27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27</v>
      </c>
      <c r="P3078" s="44" t="e">
        <f>_xlfn.XLOOKUP(Tabla5[[#This Row],[EAN CORREGIDO]],'Tabla Articulos'!B:B,'Tabla Articulos'!D:D)</f>
        <v>#N/A</v>
      </c>
      <c r="Q3078" s="44" t="e">
        <f>_xlfn.XLOOKUP(S3078,'Tabla Articulos'!B:B,'Tabla Articulos'!E:E)</f>
        <v>#N/A</v>
      </c>
      <c r="R3078" s="44" t="e">
        <f t="shared" si="96"/>
        <v>#N/A</v>
      </c>
      <c r="S3078" s="45" t="str">
        <f t="shared" si="97"/>
        <v>7790040143364</v>
      </c>
    </row>
    <row r="3079" spans="1:19" hidden="1" x14ac:dyDescent="0.35">
      <c r="A3079" s="22">
        <v>2</v>
      </c>
      <c r="B3079" t="s">
        <v>5624</v>
      </c>
      <c r="C3079" t="s">
        <v>802</v>
      </c>
      <c r="D3079" t="s">
        <v>1369</v>
      </c>
      <c r="E3079" t="s">
        <v>5140</v>
      </c>
      <c r="F3079">
        <v>4020753</v>
      </c>
      <c r="G3079" t="s">
        <v>5141</v>
      </c>
      <c r="H3079" t="s">
        <v>805</v>
      </c>
      <c r="I3079">
        <v>26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26</v>
      </c>
      <c r="P3079" s="44" t="e">
        <f>_xlfn.XLOOKUP(Tabla5[[#This Row],[EAN CORREGIDO]],'Tabla Articulos'!B:B,'Tabla Articulos'!D:D)</f>
        <v>#N/A</v>
      </c>
      <c r="Q3079" s="44" t="e">
        <f>_xlfn.XLOOKUP(S3079,'Tabla Articulos'!B:B,'Tabla Articulos'!E:E)</f>
        <v>#N/A</v>
      </c>
      <c r="R3079" s="44" t="e">
        <f t="shared" si="96"/>
        <v>#N/A</v>
      </c>
      <c r="S3079" s="45" t="str">
        <f t="shared" si="97"/>
        <v>7793875312158</v>
      </c>
    </row>
    <row r="3080" spans="1:19" hidden="1" x14ac:dyDescent="0.35">
      <c r="A3080" s="22">
        <v>2</v>
      </c>
      <c r="B3080" t="s">
        <v>5624</v>
      </c>
      <c r="C3080" t="s">
        <v>802</v>
      </c>
      <c r="D3080" t="s">
        <v>3649</v>
      </c>
      <c r="E3080" t="s">
        <v>5142</v>
      </c>
      <c r="F3080">
        <v>4049281</v>
      </c>
      <c r="G3080" t="s">
        <v>5143</v>
      </c>
      <c r="H3080" t="s">
        <v>805</v>
      </c>
      <c r="I3080">
        <v>671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671</v>
      </c>
      <c r="P3080" s="44" t="e">
        <f>_xlfn.XLOOKUP(Tabla5[[#This Row],[EAN CORREGIDO]],'Tabla Articulos'!B:B,'Tabla Articulos'!D:D)</f>
        <v>#N/A</v>
      </c>
      <c r="Q3080" s="44" t="e">
        <f>_xlfn.XLOOKUP(S3080,'Tabla Articulos'!B:B,'Tabla Articulos'!E:E)</f>
        <v>#N/A</v>
      </c>
      <c r="R3080" s="44" t="e">
        <f t="shared" si="96"/>
        <v>#N/A</v>
      </c>
      <c r="S3080" s="45" t="str">
        <f t="shared" si="97"/>
        <v>7798016195478</v>
      </c>
    </row>
    <row r="3081" spans="1:19" hidden="1" x14ac:dyDescent="0.35">
      <c r="A3081" s="22">
        <v>2</v>
      </c>
      <c r="B3081" t="s">
        <v>5624</v>
      </c>
      <c r="C3081" t="s">
        <v>802</v>
      </c>
      <c r="D3081" t="s">
        <v>1104</v>
      </c>
      <c r="E3081" t="s">
        <v>1794</v>
      </c>
      <c r="F3081">
        <v>4019797</v>
      </c>
      <c r="G3081" t="s">
        <v>1795</v>
      </c>
      <c r="H3081" t="s">
        <v>805</v>
      </c>
      <c r="I3081">
        <v>952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952</v>
      </c>
      <c r="P3081" s="44" t="e">
        <f>_xlfn.XLOOKUP(Tabla5[[#This Row],[EAN CORREGIDO]],'Tabla Articulos'!B:B,'Tabla Articulos'!D:D)</f>
        <v>#N/A</v>
      </c>
      <c r="Q3081" s="44" t="e">
        <f>_xlfn.XLOOKUP(S3081,'Tabla Articulos'!B:B,'Tabla Articulos'!E:E)</f>
        <v>#N/A</v>
      </c>
      <c r="R3081" s="44" t="e">
        <f t="shared" si="96"/>
        <v>#N/A</v>
      </c>
      <c r="S3081" s="45" t="str">
        <f t="shared" si="97"/>
        <v>7791113001895</v>
      </c>
    </row>
    <row r="3082" spans="1:19" hidden="1" x14ac:dyDescent="0.35">
      <c r="A3082" s="22">
        <v>2</v>
      </c>
      <c r="B3082" t="s">
        <v>5624</v>
      </c>
      <c r="C3082" t="s">
        <v>802</v>
      </c>
      <c r="D3082" t="s">
        <v>1796</v>
      </c>
      <c r="E3082" t="s">
        <v>1797</v>
      </c>
      <c r="F3082">
        <v>4022558</v>
      </c>
      <c r="G3082" t="s">
        <v>1798</v>
      </c>
      <c r="H3082" t="s">
        <v>805</v>
      </c>
      <c r="I3082">
        <v>1269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1269</v>
      </c>
      <c r="P3082" s="44" t="e">
        <f>_xlfn.XLOOKUP(Tabla5[[#This Row],[EAN CORREGIDO]],'Tabla Articulos'!B:B,'Tabla Articulos'!D:D)</f>
        <v>#N/A</v>
      </c>
      <c r="Q3082" s="44" t="e">
        <f>_xlfn.XLOOKUP(S3082,'Tabla Articulos'!B:B,'Tabla Articulos'!E:E)</f>
        <v>#N/A</v>
      </c>
      <c r="R3082" s="44" t="e">
        <f t="shared" si="96"/>
        <v>#N/A</v>
      </c>
      <c r="S3082" s="45" t="str">
        <f t="shared" si="97"/>
        <v>7790279000209</v>
      </c>
    </row>
    <row r="3083" spans="1:19" hidden="1" x14ac:dyDescent="0.35">
      <c r="A3083" s="22">
        <v>2</v>
      </c>
      <c r="B3083" t="s">
        <v>5624</v>
      </c>
      <c r="C3083" t="s">
        <v>802</v>
      </c>
      <c r="D3083" t="s">
        <v>1252</v>
      </c>
      <c r="E3083" t="s">
        <v>4696</v>
      </c>
      <c r="F3083">
        <v>4018459</v>
      </c>
      <c r="G3083" t="s">
        <v>4697</v>
      </c>
      <c r="H3083" t="s">
        <v>805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  <c r="P3083" s="44" t="e">
        <f>_xlfn.XLOOKUP(Tabla5[[#This Row],[EAN CORREGIDO]],'Tabla Articulos'!B:B,'Tabla Articulos'!D:D)</f>
        <v>#N/A</v>
      </c>
      <c r="Q3083" s="44" t="e">
        <f>_xlfn.XLOOKUP(S3083,'Tabla Articulos'!B:B,'Tabla Articulos'!E:E)</f>
        <v>#N/A</v>
      </c>
      <c r="R3083" s="44" t="e">
        <f t="shared" si="96"/>
        <v>#N/A</v>
      </c>
      <c r="S3083" s="45" t="str">
        <f t="shared" si="97"/>
        <v>7798041132481</v>
      </c>
    </row>
    <row r="3084" spans="1:19" hidden="1" x14ac:dyDescent="0.35">
      <c r="A3084" s="22">
        <v>2</v>
      </c>
      <c r="B3084" t="s">
        <v>5624</v>
      </c>
      <c r="C3084" t="s">
        <v>802</v>
      </c>
      <c r="D3084" t="s">
        <v>1497</v>
      </c>
      <c r="E3084" t="s">
        <v>4704</v>
      </c>
      <c r="F3084">
        <v>4019738</v>
      </c>
      <c r="G3084" t="s">
        <v>4705</v>
      </c>
      <c r="H3084" t="s">
        <v>805</v>
      </c>
      <c r="I3084">
        <v>42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42</v>
      </c>
      <c r="P3084" s="44" t="e">
        <f>_xlfn.XLOOKUP(Tabla5[[#This Row],[EAN CORREGIDO]],'Tabla Articulos'!B:B,'Tabla Articulos'!D:D)</f>
        <v>#N/A</v>
      </c>
      <c r="Q3084" s="44" t="e">
        <f>_xlfn.XLOOKUP(S3084,'Tabla Articulos'!B:B,'Tabla Articulos'!E:E)</f>
        <v>#N/A</v>
      </c>
      <c r="R3084" s="44" t="e">
        <f t="shared" si="96"/>
        <v>#N/A</v>
      </c>
      <c r="S3084" s="45" t="str">
        <f t="shared" si="97"/>
        <v>7790530850093</v>
      </c>
    </row>
    <row r="3085" spans="1:19" hidden="1" x14ac:dyDescent="0.35">
      <c r="A3085" s="22">
        <v>2</v>
      </c>
      <c r="B3085" t="s">
        <v>5624</v>
      </c>
      <c r="C3085" t="s">
        <v>802</v>
      </c>
      <c r="D3085" t="s">
        <v>3174</v>
      </c>
      <c r="E3085" t="s">
        <v>3175</v>
      </c>
      <c r="F3085">
        <v>4022392</v>
      </c>
      <c r="G3085" t="s">
        <v>3176</v>
      </c>
      <c r="H3085" t="s">
        <v>805</v>
      </c>
      <c r="I3085">
        <v>17</v>
      </c>
      <c r="J3085">
        <v>0</v>
      </c>
      <c r="K3085">
        <v>0</v>
      </c>
      <c r="L3085">
        <v>0</v>
      </c>
      <c r="M3085">
        <v>0</v>
      </c>
      <c r="N3085">
        <v>17</v>
      </c>
      <c r="O3085">
        <v>0</v>
      </c>
      <c r="P3085" s="44" t="e">
        <f>_xlfn.XLOOKUP(Tabla5[[#This Row],[EAN CORREGIDO]],'Tabla Articulos'!B:B,'Tabla Articulos'!D:D)</f>
        <v>#N/A</v>
      </c>
      <c r="Q3085" s="44" t="e">
        <f>_xlfn.XLOOKUP(S3085,'Tabla Articulos'!B:B,'Tabla Articulos'!E:E)</f>
        <v>#N/A</v>
      </c>
      <c r="R3085" s="44" t="e">
        <f t="shared" si="96"/>
        <v>#N/A</v>
      </c>
      <c r="S3085" s="45" t="str">
        <f t="shared" si="97"/>
        <v>7798184271530</v>
      </c>
    </row>
    <row r="3086" spans="1:19" hidden="1" x14ac:dyDescent="0.35">
      <c r="A3086" s="22">
        <v>2</v>
      </c>
      <c r="B3086" t="s">
        <v>5624</v>
      </c>
      <c r="C3086" t="s">
        <v>802</v>
      </c>
      <c r="D3086" t="s">
        <v>6277</v>
      </c>
      <c r="E3086" t="s">
        <v>6278</v>
      </c>
      <c r="F3086">
        <v>4021165</v>
      </c>
      <c r="G3086" t="s">
        <v>6279</v>
      </c>
      <c r="H3086" t="s">
        <v>805</v>
      </c>
      <c r="I3086">
        <v>29</v>
      </c>
      <c r="J3086">
        <v>16</v>
      </c>
      <c r="K3086">
        <v>0</v>
      </c>
      <c r="L3086">
        <v>0</v>
      </c>
      <c r="M3086">
        <v>0</v>
      </c>
      <c r="N3086">
        <v>0</v>
      </c>
      <c r="O3086">
        <v>45</v>
      </c>
      <c r="P3086" s="44" t="e">
        <f>_xlfn.XLOOKUP(Tabla5[[#This Row],[EAN CORREGIDO]],'Tabla Articulos'!B:B,'Tabla Articulos'!D:D)</f>
        <v>#N/A</v>
      </c>
      <c r="Q3086" s="44" t="e">
        <f>_xlfn.XLOOKUP(S3086,'Tabla Articulos'!B:B,'Tabla Articulos'!E:E)</f>
        <v>#N/A</v>
      </c>
      <c r="R3086" s="44" t="e">
        <f t="shared" si="96"/>
        <v>#N/A</v>
      </c>
      <c r="S3086" s="45" t="str">
        <f t="shared" si="97"/>
        <v>7790895647123</v>
      </c>
    </row>
    <row r="3087" spans="1:19" hidden="1" x14ac:dyDescent="0.35">
      <c r="A3087" s="22">
        <v>2</v>
      </c>
      <c r="B3087" t="s">
        <v>5624</v>
      </c>
      <c r="C3087" t="s">
        <v>802</v>
      </c>
      <c r="D3087" t="s">
        <v>2191</v>
      </c>
      <c r="E3087" t="s">
        <v>3179</v>
      </c>
      <c r="F3087">
        <v>4019576</v>
      </c>
      <c r="G3087" t="s">
        <v>3180</v>
      </c>
      <c r="H3087" t="s">
        <v>805</v>
      </c>
      <c r="I3087">
        <v>1059</v>
      </c>
      <c r="J3087">
        <v>0</v>
      </c>
      <c r="K3087">
        <v>0</v>
      </c>
      <c r="L3087">
        <v>11</v>
      </c>
      <c r="M3087">
        <v>11</v>
      </c>
      <c r="N3087">
        <v>0</v>
      </c>
      <c r="O3087">
        <v>1037</v>
      </c>
      <c r="P3087" s="44" t="e">
        <f>_xlfn.XLOOKUP(Tabla5[[#This Row],[EAN CORREGIDO]],'Tabla Articulos'!B:B,'Tabla Articulos'!D:D)</f>
        <v>#N/A</v>
      </c>
      <c r="Q3087" s="44" t="e">
        <f>_xlfn.XLOOKUP(S3087,'Tabla Articulos'!B:B,'Tabla Articulos'!E:E)</f>
        <v>#N/A</v>
      </c>
      <c r="R3087" s="44" t="e">
        <f t="shared" si="96"/>
        <v>#N/A</v>
      </c>
      <c r="S3087" s="45" t="str">
        <f t="shared" si="97"/>
        <v>7790530850048</v>
      </c>
    </row>
    <row r="3088" spans="1:19" hidden="1" x14ac:dyDescent="0.35">
      <c r="A3088" s="22">
        <v>2</v>
      </c>
      <c r="B3088" t="s">
        <v>5624</v>
      </c>
      <c r="C3088" t="s">
        <v>802</v>
      </c>
      <c r="D3088" t="s">
        <v>3181</v>
      </c>
      <c r="E3088" t="s">
        <v>3182</v>
      </c>
      <c r="F3088">
        <v>4023281</v>
      </c>
      <c r="G3088" t="s">
        <v>3183</v>
      </c>
      <c r="H3088" t="s">
        <v>805</v>
      </c>
      <c r="I3088">
        <v>1342</v>
      </c>
      <c r="J3088">
        <v>0</v>
      </c>
      <c r="K3088">
        <v>0</v>
      </c>
      <c r="L3088">
        <v>143</v>
      </c>
      <c r="M3088">
        <v>143</v>
      </c>
      <c r="N3088">
        <v>0</v>
      </c>
      <c r="O3088">
        <v>1056</v>
      </c>
      <c r="P3088" s="44" t="e">
        <f>_xlfn.XLOOKUP(Tabla5[[#This Row],[EAN CORREGIDO]],'Tabla Articulos'!B:B,'Tabla Articulos'!D:D)</f>
        <v>#N/A</v>
      </c>
      <c r="Q3088" s="44" t="e">
        <f>_xlfn.XLOOKUP(S3088,'Tabla Articulos'!B:B,'Tabla Articulos'!E:E)</f>
        <v>#N/A</v>
      </c>
      <c r="R3088" s="44" t="e">
        <f t="shared" si="96"/>
        <v>#N/A</v>
      </c>
      <c r="S3088" s="45" t="str">
        <f t="shared" si="97"/>
        <v>7798049540504</v>
      </c>
    </row>
    <row r="3089" spans="1:19" hidden="1" x14ac:dyDescent="0.35">
      <c r="A3089" s="22">
        <v>2</v>
      </c>
      <c r="B3089" t="s">
        <v>5624</v>
      </c>
      <c r="C3089" t="s">
        <v>802</v>
      </c>
      <c r="D3089" t="s">
        <v>6045</v>
      </c>
      <c r="E3089" t="s">
        <v>6323</v>
      </c>
      <c r="F3089">
        <v>4018985</v>
      </c>
      <c r="G3089" t="s">
        <v>6324</v>
      </c>
      <c r="H3089" t="s">
        <v>805</v>
      </c>
      <c r="I3089">
        <v>294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294</v>
      </c>
      <c r="P3089" s="44" t="e">
        <f>_xlfn.XLOOKUP(Tabla5[[#This Row],[EAN CORREGIDO]],'Tabla Articulos'!B:B,'Tabla Articulos'!D:D)</f>
        <v>#N/A</v>
      </c>
      <c r="Q3089" s="44" t="e">
        <f>_xlfn.XLOOKUP(S3089,'Tabla Articulos'!B:B,'Tabla Articulos'!E:E)</f>
        <v>#N/A</v>
      </c>
      <c r="R3089" s="44" t="e">
        <f t="shared" si="96"/>
        <v>#N/A</v>
      </c>
      <c r="S3089" s="45" t="str">
        <f t="shared" si="97"/>
        <v>7790040133242</v>
      </c>
    </row>
    <row r="3090" spans="1:19" hidden="1" x14ac:dyDescent="0.35">
      <c r="A3090" s="22">
        <v>2</v>
      </c>
      <c r="B3090" t="s">
        <v>5624</v>
      </c>
      <c r="C3090" t="s">
        <v>802</v>
      </c>
      <c r="D3090" t="s">
        <v>6048</v>
      </c>
      <c r="E3090" t="s">
        <v>6049</v>
      </c>
      <c r="F3090">
        <v>4023913</v>
      </c>
      <c r="G3090" t="s">
        <v>6050</v>
      </c>
      <c r="H3090" t="s">
        <v>805</v>
      </c>
      <c r="I3090">
        <v>536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536</v>
      </c>
      <c r="P3090" s="44" t="e">
        <f>_xlfn.XLOOKUP(Tabla5[[#This Row],[EAN CORREGIDO]],'Tabla Articulos'!B:B,'Tabla Articulos'!D:D)</f>
        <v>#N/A</v>
      </c>
      <c r="Q3090" s="44" t="e">
        <f>_xlfn.XLOOKUP(S3090,'Tabla Articulos'!B:B,'Tabla Articulos'!E:E)</f>
        <v>#N/A</v>
      </c>
      <c r="R3090" s="44" t="e">
        <f t="shared" si="96"/>
        <v>#N/A</v>
      </c>
      <c r="S3090" s="45" t="str">
        <f t="shared" si="97"/>
        <v>7790895650864</v>
      </c>
    </row>
    <row r="3091" spans="1:19" hidden="1" x14ac:dyDescent="0.35">
      <c r="A3091" s="22">
        <v>2</v>
      </c>
      <c r="B3091" t="s">
        <v>5624</v>
      </c>
      <c r="C3091" t="s">
        <v>802</v>
      </c>
      <c r="D3091" t="s">
        <v>2377</v>
      </c>
      <c r="E3091" t="s">
        <v>2378</v>
      </c>
      <c r="F3091">
        <v>4020188</v>
      </c>
      <c r="G3091" t="s">
        <v>2379</v>
      </c>
      <c r="H3091" t="s">
        <v>805</v>
      </c>
      <c r="I3091">
        <v>230</v>
      </c>
      <c r="J3091">
        <v>0</v>
      </c>
      <c r="K3091">
        <v>0</v>
      </c>
      <c r="L3091">
        <v>1</v>
      </c>
      <c r="M3091">
        <v>1</v>
      </c>
      <c r="N3091">
        <v>0</v>
      </c>
      <c r="O3091">
        <v>228</v>
      </c>
      <c r="P3091" s="44" t="e">
        <f>_xlfn.XLOOKUP(Tabla5[[#This Row],[EAN CORREGIDO]],'Tabla Articulos'!B:B,'Tabla Articulos'!D:D)</f>
        <v>#N/A</v>
      </c>
      <c r="Q3091" s="44" t="e">
        <f>_xlfn.XLOOKUP(S3091,'Tabla Articulos'!B:B,'Tabla Articulos'!E:E)</f>
        <v>#N/A</v>
      </c>
      <c r="R3091" s="44" t="e">
        <f t="shared" si="96"/>
        <v>#N/A</v>
      </c>
      <c r="S3091" s="45" t="str">
        <f t="shared" si="97"/>
        <v>7793875317146</v>
      </c>
    </row>
    <row r="3092" spans="1:19" hidden="1" x14ac:dyDescent="0.35">
      <c r="A3092" s="22">
        <v>2</v>
      </c>
      <c r="B3092" t="s">
        <v>5624</v>
      </c>
      <c r="C3092" t="s">
        <v>802</v>
      </c>
      <c r="D3092" t="s">
        <v>2380</v>
      </c>
      <c r="E3092" t="s">
        <v>2381</v>
      </c>
      <c r="F3092">
        <v>4018253</v>
      </c>
      <c r="G3092" t="s">
        <v>2382</v>
      </c>
      <c r="H3092" t="s">
        <v>1034</v>
      </c>
      <c r="I3092">
        <v>5397</v>
      </c>
      <c r="J3092">
        <v>0</v>
      </c>
      <c r="K3092">
        <v>0</v>
      </c>
      <c r="L3092">
        <v>320</v>
      </c>
      <c r="M3092">
        <v>320</v>
      </c>
      <c r="N3092">
        <v>0</v>
      </c>
      <c r="O3092">
        <v>4757</v>
      </c>
      <c r="P3092" s="44" t="e">
        <f>_xlfn.XLOOKUP(Tabla5[[#This Row],[EAN CORREGIDO]],'Tabla Articulos'!B:B,'Tabla Articulos'!D:D)</f>
        <v>#N/A</v>
      </c>
      <c r="Q3092" s="44" t="e">
        <f>_xlfn.XLOOKUP(S3092,'Tabla Articulos'!B:B,'Tabla Articulos'!E:E)</f>
        <v>#N/A</v>
      </c>
      <c r="R3092" s="44" t="e">
        <f t="shared" si="96"/>
        <v>#N/A</v>
      </c>
      <c r="S3092" s="45" t="str">
        <f t="shared" si="97"/>
        <v>7790787960446</v>
      </c>
    </row>
    <row r="3093" spans="1:19" hidden="1" x14ac:dyDescent="0.35">
      <c r="A3093" s="22">
        <v>2</v>
      </c>
      <c r="B3093" t="s">
        <v>5624</v>
      </c>
      <c r="C3093" t="s">
        <v>802</v>
      </c>
      <c r="D3093" t="s">
        <v>1759</v>
      </c>
      <c r="E3093" t="s">
        <v>6051</v>
      </c>
      <c r="F3093">
        <v>4048948</v>
      </c>
      <c r="G3093" t="s">
        <v>6052</v>
      </c>
      <c r="H3093" t="s">
        <v>805</v>
      </c>
      <c r="I3093">
        <v>622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622</v>
      </c>
      <c r="P3093" s="44" t="e">
        <f>_xlfn.XLOOKUP(Tabla5[[#This Row],[EAN CORREGIDO]],'Tabla Articulos'!B:B,'Tabla Articulos'!D:D)</f>
        <v>#N/A</v>
      </c>
      <c r="Q3093" s="44" t="e">
        <f>_xlfn.XLOOKUP(S3093,'Tabla Articulos'!B:B,'Tabla Articulos'!E:E)</f>
        <v>#N/A</v>
      </c>
      <c r="R3093" s="44" t="e">
        <f t="shared" si="96"/>
        <v>#N/A</v>
      </c>
      <c r="S3093" s="45" t="str">
        <f t="shared" si="97"/>
        <v>7798096031703</v>
      </c>
    </row>
    <row r="3094" spans="1:19" hidden="1" x14ac:dyDescent="0.35">
      <c r="A3094" s="22">
        <v>2</v>
      </c>
      <c r="B3094" t="s">
        <v>5624</v>
      </c>
      <c r="C3094" t="s">
        <v>802</v>
      </c>
      <c r="D3094" t="s">
        <v>846</v>
      </c>
      <c r="E3094" t="s">
        <v>847</v>
      </c>
      <c r="F3094">
        <v>4018577</v>
      </c>
      <c r="G3094" t="s">
        <v>848</v>
      </c>
      <c r="H3094" t="s">
        <v>816</v>
      </c>
      <c r="I3094">
        <v>0.1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0.1</v>
      </c>
      <c r="P3094" s="44" t="e">
        <f>_xlfn.XLOOKUP(Tabla5[[#This Row],[EAN CORREGIDO]],'Tabla Articulos'!B:B,'Tabla Articulos'!D:D)</f>
        <v>#N/A</v>
      </c>
      <c r="Q3094" s="44" t="e">
        <f>_xlfn.XLOOKUP(S3094,'Tabla Articulos'!B:B,'Tabla Articulos'!E:E)</f>
        <v>#N/A</v>
      </c>
      <c r="R3094" s="44" t="e">
        <f t="shared" si="96"/>
        <v>#N/A</v>
      </c>
      <c r="S3094" s="45" t="str">
        <f t="shared" si="97"/>
        <v>7790213012196</v>
      </c>
    </row>
    <row r="3095" spans="1:19" hidden="1" x14ac:dyDescent="0.35">
      <c r="A3095" s="22">
        <v>2</v>
      </c>
      <c r="B3095" t="s">
        <v>5624</v>
      </c>
      <c r="C3095" t="s">
        <v>802</v>
      </c>
      <c r="D3095" t="s">
        <v>5707</v>
      </c>
      <c r="E3095" t="s">
        <v>5708</v>
      </c>
      <c r="F3095">
        <v>4018490</v>
      </c>
      <c r="G3095" t="s">
        <v>5709</v>
      </c>
      <c r="H3095" t="s">
        <v>805</v>
      </c>
      <c r="I3095">
        <v>5</v>
      </c>
      <c r="J3095">
        <v>0</v>
      </c>
      <c r="K3095">
        <v>0</v>
      </c>
      <c r="L3095">
        <v>1</v>
      </c>
      <c r="M3095">
        <v>1</v>
      </c>
      <c r="N3095">
        <v>0</v>
      </c>
      <c r="O3095">
        <v>3</v>
      </c>
      <c r="P3095" s="44" t="e">
        <f>_xlfn.XLOOKUP(Tabla5[[#This Row],[EAN CORREGIDO]],'Tabla Articulos'!B:B,'Tabla Articulos'!D:D)</f>
        <v>#N/A</v>
      </c>
      <c r="Q3095" s="44" t="e">
        <f>_xlfn.XLOOKUP(S3095,'Tabla Articulos'!B:B,'Tabla Articulos'!E:E)</f>
        <v>#N/A</v>
      </c>
      <c r="R3095" s="44" t="e">
        <f t="shared" si="96"/>
        <v>#N/A</v>
      </c>
      <c r="S3095" s="45" t="str">
        <f t="shared" si="97"/>
        <v>7790213012019</v>
      </c>
    </row>
    <row r="3096" spans="1:19" hidden="1" x14ac:dyDescent="0.35">
      <c r="A3096" s="22">
        <v>2</v>
      </c>
      <c r="B3096" t="s">
        <v>5624</v>
      </c>
      <c r="C3096" t="s">
        <v>802</v>
      </c>
      <c r="D3096" t="s">
        <v>1104</v>
      </c>
      <c r="E3096" t="s">
        <v>1105</v>
      </c>
      <c r="F3096">
        <v>4076531</v>
      </c>
      <c r="G3096" t="s">
        <v>1106</v>
      </c>
      <c r="H3096" t="s">
        <v>805</v>
      </c>
      <c r="I3096">
        <v>72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72</v>
      </c>
      <c r="P3096" s="44" t="e">
        <f>_xlfn.XLOOKUP(Tabla5[[#This Row],[EAN CORREGIDO]],'Tabla Articulos'!B:B,'Tabla Articulos'!D:D)</f>
        <v>#N/A</v>
      </c>
      <c r="Q3096" s="44" t="e">
        <f>_xlfn.XLOOKUP(S3096,'Tabla Articulos'!B:B,'Tabla Articulos'!E:E)</f>
        <v>#N/A</v>
      </c>
      <c r="R3096" s="44" t="e">
        <f t="shared" si="96"/>
        <v>#N/A</v>
      </c>
      <c r="S3096" s="45" t="str">
        <f t="shared" si="97"/>
        <v>7790971002211</v>
      </c>
    </row>
    <row r="3097" spans="1:19" hidden="1" x14ac:dyDescent="0.35">
      <c r="A3097" s="22">
        <v>2</v>
      </c>
      <c r="B3097" t="s">
        <v>5624</v>
      </c>
      <c r="C3097" t="s">
        <v>802</v>
      </c>
      <c r="D3097" t="s">
        <v>1207</v>
      </c>
      <c r="E3097" t="s">
        <v>3152</v>
      </c>
      <c r="F3097">
        <v>4022301</v>
      </c>
      <c r="G3097" t="s">
        <v>3153</v>
      </c>
      <c r="H3097" t="s">
        <v>805</v>
      </c>
      <c r="I3097">
        <v>3878</v>
      </c>
      <c r="J3097">
        <v>0</v>
      </c>
      <c r="K3097">
        <v>0</v>
      </c>
      <c r="L3097">
        <v>5</v>
      </c>
      <c r="M3097">
        <v>5</v>
      </c>
      <c r="N3097">
        <v>0</v>
      </c>
      <c r="O3097">
        <v>3868</v>
      </c>
      <c r="P3097" s="44" t="e">
        <f>_xlfn.XLOOKUP(Tabla5[[#This Row],[EAN CORREGIDO]],'Tabla Articulos'!B:B,'Tabla Articulos'!D:D)</f>
        <v>#N/A</v>
      </c>
      <c r="Q3097" s="44" t="e">
        <f>_xlfn.XLOOKUP(S3097,'Tabla Articulos'!B:B,'Tabla Articulos'!E:E)</f>
        <v>#N/A</v>
      </c>
      <c r="R3097" s="44" t="e">
        <f t="shared" si="96"/>
        <v>#N/A</v>
      </c>
      <c r="S3097" s="45" t="str">
        <f t="shared" si="97"/>
        <v>7797470003718</v>
      </c>
    </row>
    <row r="3098" spans="1:19" hidden="1" x14ac:dyDescent="0.35">
      <c r="A3098" s="22">
        <v>2</v>
      </c>
      <c r="B3098" t="s">
        <v>5624</v>
      </c>
      <c r="C3098" t="s">
        <v>802</v>
      </c>
      <c r="D3098" t="s">
        <v>3154</v>
      </c>
      <c r="E3098" t="s">
        <v>3155</v>
      </c>
      <c r="F3098">
        <v>4019376</v>
      </c>
      <c r="G3098" t="s">
        <v>3156</v>
      </c>
      <c r="H3098" t="s">
        <v>1034</v>
      </c>
      <c r="I3098">
        <v>165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165</v>
      </c>
      <c r="P3098" s="44" t="e">
        <f>_xlfn.XLOOKUP(Tabla5[[#This Row],[EAN CORREGIDO]],'Tabla Articulos'!B:B,'Tabla Articulos'!D:D)</f>
        <v>#N/A</v>
      </c>
      <c r="Q3098" s="44" t="e">
        <f>_xlfn.XLOOKUP(S3098,'Tabla Articulos'!B:B,'Tabla Articulos'!E:E)</f>
        <v>#N/A</v>
      </c>
      <c r="R3098" s="44" t="e">
        <f t="shared" si="96"/>
        <v>#N/A</v>
      </c>
      <c r="S3098" s="45" t="str">
        <f t="shared" si="97"/>
        <v>7790150231258</v>
      </c>
    </row>
    <row r="3099" spans="1:19" hidden="1" x14ac:dyDescent="0.35">
      <c r="A3099" s="22">
        <v>2</v>
      </c>
      <c r="B3099" t="s">
        <v>5624</v>
      </c>
      <c r="C3099" t="s">
        <v>802</v>
      </c>
      <c r="D3099" t="s">
        <v>3160</v>
      </c>
      <c r="E3099" t="s">
        <v>3161</v>
      </c>
      <c r="F3099">
        <v>4019870</v>
      </c>
      <c r="G3099" t="s">
        <v>3162</v>
      </c>
      <c r="H3099" t="s">
        <v>805</v>
      </c>
      <c r="I3099">
        <v>762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762</v>
      </c>
      <c r="P3099" s="44" t="e">
        <f>_xlfn.XLOOKUP(Tabla5[[#This Row],[EAN CORREGIDO]],'Tabla Articulos'!B:B,'Tabla Articulos'!D:D)</f>
        <v>#N/A</v>
      </c>
      <c r="Q3099" s="44" t="e">
        <f>_xlfn.XLOOKUP(S3099,'Tabla Articulos'!B:B,'Tabla Articulos'!E:E)</f>
        <v>#N/A</v>
      </c>
      <c r="R3099" s="44" t="e">
        <f t="shared" si="96"/>
        <v>#N/A</v>
      </c>
      <c r="S3099" s="45" t="str">
        <f t="shared" si="97"/>
        <v>7790499017629</v>
      </c>
    </row>
    <row r="3100" spans="1:19" hidden="1" x14ac:dyDescent="0.35">
      <c r="A3100" s="22">
        <v>2</v>
      </c>
      <c r="B3100" t="s">
        <v>5624</v>
      </c>
      <c r="C3100" t="s">
        <v>802</v>
      </c>
      <c r="D3100" t="s">
        <v>1237</v>
      </c>
      <c r="E3100" t="s">
        <v>1812</v>
      </c>
      <c r="F3100">
        <v>4023610</v>
      </c>
      <c r="G3100" t="s">
        <v>1813</v>
      </c>
      <c r="H3100" t="s">
        <v>805</v>
      </c>
      <c r="I3100">
        <v>14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14</v>
      </c>
      <c r="P3100" s="44" t="e">
        <f>_xlfn.XLOOKUP(Tabla5[[#This Row],[EAN CORREGIDO]],'Tabla Articulos'!B:B,'Tabla Articulos'!D:D)</f>
        <v>#N/A</v>
      </c>
      <c r="Q3100" s="44" t="e">
        <f>_xlfn.XLOOKUP(S3100,'Tabla Articulos'!B:B,'Tabla Articulos'!E:E)</f>
        <v>#N/A</v>
      </c>
      <c r="R3100" s="44" t="e">
        <f t="shared" si="96"/>
        <v>#N/A</v>
      </c>
      <c r="S3100" s="45" t="str">
        <f t="shared" si="97"/>
        <v>7790971000170</v>
      </c>
    </row>
    <row r="3101" spans="1:19" hidden="1" x14ac:dyDescent="0.35">
      <c r="A3101" s="22">
        <v>2</v>
      </c>
      <c r="B3101" t="s">
        <v>5624</v>
      </c>
      <c r="C3101" t="s">
        <v>802</v>
      </c>
      <c r="D3101" t="s">
        <v>1819</v>
      </c>
      <c r="E3101" t="s">
        <v>1820</v>
      </c>
      <c r="F3101">
        <v>2006230</v>
      </c>
      <c r="G3101" t="s">
        <v>1821</v>
      </c>
      <c r="H3101" t="s">
        <v>805</v>
      </c>
      <c r="I3101">
        <v>98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98</v>
      </c>
      <c r="P3101" s="44" t="e">
        <f>_xlfn.XLOOKUP(Tabla5[[#This Row],[EAN CORREGIDO]],'Tabla Articulos'!B:B,'Tabla Articulos'!D:D)</f>
        <v>#N/A</v>
      </c>
      <c r="Q3101" s="44" t="e">
        <f>_xlfn.XLOOKUP(S3101,'Tabla Articulos'!B:B,'Tabla Articulos'!E:E)</f>
        <v>#N/A</v>
      </c>
      <c r="R3101" s="44" t="e">
        <f t="shared" si="96"/>
        <v>#N/A</v>
      </c>
      <c r="S3101" s="45" t="str">
        <f t="shared" si="97"/>
        <v>LIM000242</v>
      </c>
    </row>
    <row r="3102" spans="1:19" hidden="1" x14ac:dyDescent="0.35">
      <c r="A3102" s="22">
        <v>2</v>
      </c>
      <c r="B3102" t="s">
        <v>5624</v>
      </c>
      <c r="C3102" t="s">
        <v>802</v>
      </c>
      <c r="D3102" t="s">
        <v>5893</v>
      </c>
      <c r="E3102" t="s">
        <v>5894</v>
      </c>
      <c r="F3102">
        <v>4020337</v>
      </c>
      <c r="G3102" t="s">
        <v>5895</v>
      </c>
      <c r="H3102" t="s">
        <v>805</v>
      </c>
      <c r="I3102">
        <v>0</v>
      </c>
      <c r="J3102">
        <v>80</v>
      </c>
      <c r="K3102">
        <v>0</v>
      </c>
      <c r="L3102">
        <v>0</v>
      </c>
      <c r="M3102">
        <v>0</v>
      </c>
      <c r="N3102">
        <v>2</v>
      </c>
      <c r="O3102">
        <v>78</v>
      </c>
      <c r="P3102" s="44" t="e">
        <f>_xlfn.XLOOKUP(Tabla5[[#This Row],[EAN CORREGIDO]],'Tabla Articulos'!B:B,'Tabla Articulos'!D:D)</f>
        <v>#N/A</v>
      </c>
      <c r="Q3102" s="44" t="e">
        <f>_xlfn.XLOOKUP(S3102,'Tabla Articulos'!B:B,'Tabla Articulos'!E:E)</f>
        <v>#N/A</v>
      </c>
      <c r="R3102" s="44" t="e">
        <f t="shared" si="96"/>
        <v>#N/A</v>
      </c>
      <c r="S3102" s="45" t="str">
        <f t="shared" si="97"/>
        <v>7798177410113</v>
      </c>
    </row>
    <row r="3103" spans="1:19" hidden="1" x14ac:dyDescent="0.35">
      <c r="A3103" s="22">
        <v>2</v>
      </c>
      <c r="B3103" t="s">
        <v>5624</v>
      </c>
      <c r="C3103" t="s">
        <v>802</v>
      </c>
      <c r="D3103" t="s">
        <v>1827</v>
      </c>
      <c r="E3103" t="s">
        <v>1828</v>
      </c>
      <c r="F3103">
        <v>4020248</v>
      </c>
      <c r="G3103" t="s">
        <v>1829</v>
      </c>
      <c r="H3103" t="s">
        <v>805</v>
      </c>
      <c r="I3103">
        <v>436</v>
      </c>
      <c r="J3103">
        <v>0</v>
      </c>
      <c r="K3103">
        <v>0</v>
      </c>
      <c r="L3103">
        <v>2</v>
      </c>
      <c r="M3103">
        <v>2</v>
      </c>
      <c r="N3103">
        <v>0</v>
      </c>
      <c r="O3103">
        <v>432</v>
      </c>
      <c r="P3103" s="44" t="e">
        <f>_xlfn.XLOOKUP(Tabla5[[#This Row],[EAN CORREGIDO]],'Tabla Articulos'!B:B,'Tabla Articulos'!D:D)</f>
        <v>#N/A</v>
      </c>
      <c r="Q3103" s="44" t="e">
        <f>_xlfn.XLOOKUP(S3103,'Tabla Articulos'!B:B,'Tabla Articulos'!E:E)</f>
        <v>#N/A</v>
      </c>
      <c r="R3103" s="44" t="e">
        <f t="shared" si="96"/>
        <v>#N/A</v>
      </c>
      <c r="S3103" s="45" t="str">
        <f t="shared" si="97"/>
        <v>7793875360326</v>
      </c>
    </row>
    <row r="3104" spans="1:19" hidden="1" x14ac:dyDescent="0.35">
      <c r="A3104" s="22">
        <v>2</v>
      </c>
      <c r="B3104" t="s">
        <v>5624</v>
      </c>
      <c r="C3104" t="s">
        <v>802</v>
      </c>
      <c r="D3104" t="s">
        <v>1832</v>
      </c>
      <c r="E3104" t="s">
        <v>1833</v>
      </c>
      <c r="F3104">
        <v>4019843</v>
      </c>
      <c r="G3104" t="s">
        <v>1834</v>
      </c>
      <c r="H3104" t="s">
        <v>805</v>
      </c>
      <c r="I3104">
        <v>93</v>
      </c>
      <c r="J3104">
        <v>0</v>
      </c>
      <c r="K3104">
        <v>0</v>
      </c>
      <c r="L3104">
        <v>3</v>
      </c>
      <c r="M3104">
        <v>3</v>
      </c>
      <c r="N3104">
        <v>0</v>
      </c>
      <c r="O3104">
        <v>87</v>
      </c>
      <c r="P3104" s="44" t="e">
        <f>_xlfn.XLOOKUP(Tabla5[[#This Row],[EAN CORREGIDO]],'Tabla Articulos'!B:B,'Tabla Articulos'!D:D)</f>
        <v>#N/A</v>
      </c>
      <c r="Q3104" s="44" t="e">
        <f>_xlfn.XLOOKUP(S3104,'Tabla Articulos'!B:B,'Tabla Articulos'!E:E)</f>
        <v>#N/A</v>
      </c>
      <c r="R3104" s="44" t="e">
        <f t="shared" si="96"/>
        <v>#N/A</v>
      </c>
      <c r="S3104" s="45" t="str">
        <f t="shared" si="97"/>
        <v>7790530850185</v>
      </c>
    </row>
    <row r="3105" spans="1:19" hidden="1" x14ac:dyDescent="0.35">
      <c r="A3105" s="22">
        <v>2</v>
      </c>
      <c r="B3105" t="s">
        <v>5624</v>
      </c>
      <c r="C3105" t="s">
        <v>802</v>
      </c>
      <c r="D3105" t="s">
        <v>1266</v>
      </c>
      <c r="E3105" t="s">
        <v>2369</v>
      </c>
      <c r="F3105">
        <v>4021174</v>
      </c>
      <c r="G3105" t="s">
        <v>2370</v>
      </c>
      <c r="H3105" t="s">
        <v>816</v>
      </c>
      <c r="I3105">
        <v>2669.37</v>
      </c>
      <c r="J3105">
        <v>0</v>
      </c>
      <c r="K3105">
        <v>0</v>
      </c>
      <c r="L3105">
        <v>507.17</v>
      </c>
      <c r="M3105">
        <v>437.17</v>
      </c>
      <c r="N3105">
        <v>0</v>
      </c>
      <c r="O3105">
        <v>1725.03</v>
      </c>
      <c r="P3105" s="44" t="e">
        <f>_xlfn.XLOOKUP(Tabla5[[#This Row],[EAN CORREGIDO]],'Tabla Articulos'!B:B,'Tabla Articulos'!D:D)</f>
        <v>#N/A</v>
      </c>
      <c r="Q3105" s="44" t="e">
        <f>_xlfn.XLOOKUP(S3105,'Tabla Articulos'!B:B,'Tabla Articulos'!E:E)</f>
        <v>#N/A</v>
      </c>
      <c r="R3105" s="44" t="e">
        <f t="shared" si="96"/>
        <v>#N/A</v>
      </c>
      <c r="S3105" s="45" t="str">
        <f t="shared" si="97"/>
        <v>7790212030092</v>
      </c>
    </row>
    <row r="3106" spans="1:19" hidden="1" x14ac:dyDescent="0.35">
      <c r="A3106" s="22">
        <v>2</v>
      </c>
      <c r="B3106" t="s">
        <v>5624</v>
      </c>
      <c r="C3106" t="s">
        <v>802</v>
      </c>
      <c r="D3106" t="s">
        <v>6045</v>
      </c>
      <c r="E3106" t="s">
        <v>6046</v>
      </c>
      <c r="F3106">
        <v>4019029</v>
      </c>
      <c r="G3106" t="s">
        <v>6047</v>
      </c>
      <c r="H3106" t="s">
        <v>805</v>
      </c>
      <c r="I3106">
        <v>123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123</v>
      </c>
      <c r="P3106" s="44" t="e">
        <f>_xlfn.XLOOKUP(Tabla5[[#This Row],[EAN CORREGIDO]],'Tabla Articulos'!B:B,'Tabla Articulos'!D:D)</f>
        <v>#N/A</v>
      </c>
      <c r="Q3106" s="44" t="e">
        <f>_xlfn.XLOOKUP(S3106,'Tabla Articulos'!B:B,'Tabla Articulos'!E:E)</f>
        <v>#N/A</v>
      </c>
      <c r="R3106" s="44" t="e">
        <f t="shared" si="96"/>
        <v>#N/A</v>
      </c>
      <c r="S3106" s="45" t="str">
        <f t="shared" si="97"/>
        <v>7790040143777</v>
      </c>
    </row>
    <row r="3107" spans="1:19" hidden="1" x14ac:dyDescent="0.35">
      <c r="A3107" s="22">
        <v>2</v>
      </c>
      <c r="B3107" t="s">
        <v>5624</v>
      </c>
      <c r="C3107" t="s">
        <v>802</v>
      </c>
      <c r="D3107" t="s">
        <v>2763</v>
      </c>
      <c r="E3107" t="s">
        <v>2764</v>
      </c>
      <c r="F3107">
        <v>4049031</v>
      </c>
      <c r="G3107" t="s">
        <v>2765</v>
      </c>
      <c r="H3107" t="s">
        <v>805</v>
      </c>
      <c r="I3107">
        <v>37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37</v>
      </c>
      <c r="P3107" s="44" t="e">
        <f>_xlfn.XLOOKUP(Tabla5[[#This Row],[EAN CORREGIDO]],'Tabla Articulos'!B:B,'Tabla Articulos'!D:D)</f>
        <v>#N/A</v>
      </c>
      <c r="Q3107" s="44" t="e">
        <f>_xlfn.XLOOKUP(S3107,'Tabla Articulos'!B:B,'Tabla Articulos'!E:E)</f>
        <v>#N/A</v>
      </c>
      <c r="R3107" s="44" t="e">
        <f t="shared" si="96"/>
        <v>#N/A</v>
      </c>
      <c r="S3107" s="45" t="str">
        <f t="shared" si="97"/>
        <v>7792378000838</v>
      </c>
    </row>
    <row r="3108" spans="1:19" hidden="1" x14ac:dyDescent="0.35">
      <c r="A3108" s="22">
        <v>2</v>
      </c>
      <c r="B3108" t="s">
        <v>5624</v>
      </c>
      <c r="C3108" t="s">
        <v>802</v>
      </c>
      <c r="D3108" t="s">
        <v>2766</v>
      </c>
      <c r="E3108" t="s">
        <v>2767</v>
      </c>
      <c r="F3108">
        <v>4018641</v>
      </c>
      <c r="G3108" t="s">
        <v>2768</v>
      </c>
      <c r="H3108" t="s">
        <v>805</v>
      </c>
      <c r="I3108">
        <v>135</v>
      </c>
      <c r="J3108">
        <v>0</v>
      </c>
      <c r="K3108">
        <v>0</v>
      </c>
      <c r="L3108">
        <v>64</v>
      </c>
      <c r="M3108">
        <v>64</v>
      </c>
      <c r="N3108">
        <v>0</v>
      </c>
      <c r="O3108">
        <v>7</v>
      </c>
      <c r="P3108" s="44" t="e">
        <f>_xlfn.XLOOKUP(Tabla5[[#This Row],[EAN CORREGIDO]],'Tabla Articulos'!B:B,'Tabla Articulos'!D:D)</f>
        <v>#N/A</v>
      </c>
      <c r="Q3108" s="44" t="e">
        <f>_xlfn.XLOOKUP(S3108,'Tabla Articulos'!B:B,'Tabla Articulos'!E:E)</f>
        <v>#N/A</v>
      </c>
      <c r="R3108" s="44" t="e">
        <f t="shared" si="96"/>
        <v>#N/A</v>
      </c>
      <c r="S3108" s="45" t="str">
        <f t="shared" si="97"/>
        <v>77902113030047</v>
      </c>
    </row>
    <row r="3109" spans="1:19" hidden="1" x14ac:dyDescent="0.35">
      <c r="A3109" s="22">
        <v>2</v>
      </c>
      <c r="B3109" t="s">
        <v>5624</v>
      </c>
      <c r="C3109" t="s">
        <v>802</v>
      </c>
      <c r="D3109" t="s">
        <v>6194</v>
      </c>
      <c r="E3109" t="s">
        <v>6195</v>
      </c>
      <c r="F3109">
        <v>4023577</v>
      </c>
      <c r="G3109" t="s">
        <v>6196</v>
      </c>
      <c r="H3109" t="s">
        <v>805</v>
      </c>
      <c r="I3109">
        <v>24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24</v>
      </c>
      <c r="P3109" s="44" t="e">
        <f>_xlfn.XLOOKUP(Tabla5[[#This Row],[EAN CORREGIDO]],'Tabla Articulos'!B:B,'Tabla Articulos'!D:D)</f>
        <v>#N/A</v>
      </c>
      <c r="Q3109" s="44" t="e">
        <f>_xlfn.XLOOKUP(S3109,'Tabla Articulos'!B:B,'Tabla Articulos'!E:E)</f>
        <v>#N/A</v>
      </c>
      <c r="R3109" s="44" t="e">
        <f t="shared" si="96"/>
        <v>#N/A</v>
      </c>
      <c r="S3109" s="45" t="str">
        <f t="shared" si="97"/>
        <v>724751055309</v>
      </c>
    </row>
    <row r="3110" spans="1:19" hidden="1" x14ac:dyDescent="0.35">
      <c r="A3110" s="22">
        <v>2</v>
      </c>
      <c r="B3110" t="s">
        <v>5624</v>
      </c>
      <c r="C3110" t="s">
        <v>802</v>
      </c>
      <c r="D3110" t="s">
        <v>1769</v>
      </c>
      <c r="E3110" t="s">
        <v>2775</v>
      </c>
      <c r="F3110">
        <v>4024289</v>
      </c>
      <c r="G3110" t="s">
        <v>2776</v>
      </c>
      <c r="H3110" t="s">
        <v>805</v>
      </c>
      <c r="I3110">
        <v>725</v>
      </c>
      <c r="J3110">
        <v>0</v>
      </c>
      <c r="K3110">
        <v>0</v>
      </c>
      <c r="L3110">
        <v>79</v>
      </c>
      <c r="M3110">
        <v>79</v>
      </c>
      <c r="N3110">
        <v>0</v>
      </c>
      <c r="O3110">
        <v>567</v>
      </c>
      <c r="P3110" s="44" t="e">
        <f>_xlfn.XLOOKUP(Tabla5[[#This Row],[EAN CORREGIDO]],'Tabla Articulos'!B:B,'Tabla Articulos'!D:D)</f>
        <v>#N/A</v>
      </c>
      <c r="Q3110" s="44" t="e">
        <f>_xlfn.XLOOKUP(S3110,'Tabla Articulos'!B:B,'Tabla Articulos'!E:E)</f>
        <v>#N/A</v>
      </c>
      <c r="R3110" s="44" t="e">
        <f t="shared" si="96"/>
        <v>#N/A</v>
      </c>
      <c r="S3110" s="45" t="str">
        <f t="shared" si="97"/>
        <v>7790499001055</v>
      </c>
    </row>
    <row r="3111" spans="1:19" hidden="1" x14ac:dyDescent="0.35">
      <c r="A3111" s="22">
        <v>2</v>
      </c>
      <c r="B3111" t="s">
        <v>5624</v>
      </c>
      <c r="C3111" t="s">
        <v>802</v>
      </c>
      <c r="D3111" t="s">
        <v>1066</v>
      </c>
      <c r="E3111" t="s">
        <v>6053</v>
      </c>
      <c r="F3111">
        <v>4020330</v>
      </c>
      <c r="G3111" t="s">
        <v>6054</v>
      </c>
      <c r="H3111" t="s">
        <v>805</v>
      </c>
      <c r="I3111">
        <v>702</v>
      </c>
      <c r="J3111">
        <v>0</v>
      </c>
      <c r="K3111">
        <v>0</v>
      </c>
      <c r="L3111">
        <v>67</v>
      </c>
      <c r="M3111">
        <v>67</v>
      </c>
      <c r="N3111">
        <v>0</v>
      </c>
      <c r="O3111">
        <v>568</v>
      </c>
      <c r="P3111" s="44" t="e">
        <f>_xlfn.XLOOKUP(Tabla5[[#This Row],[EAN CORREGIDO]],'Tabla Articulos'!B:B,'Tabla Articulos'!D:D)</f>
        <v>#N/A</v>
      </c>
      <c r="Q3111" s="44" t="e">
        <f>_xlfn.XLOOKUP(S3111,'Tabla Articulos'!B:B,'Tabla Articulos'!E:E)</f>
        <v>#N/A</v>
      </c>
      <c r="R3111" s="44" t="e">
        <f t="shared" si="96"/>
        <v>#N/A</v>
      </c>
      <c r="S3111" s="45" t="str">
        <f t="shared" si="97"/>
        <v>7798132920343</v>
      </c>
    </row>
    <row r="3112" spans="1:19" hidden="1" x14ac:dyDescent="0.35">
      <c r="A3112" s="22">
        <v>2</v>
      </c>
      <c r="B3112" t="s">
        <v>5624</v>
      </c>
      <c r="C3112" t="s">
        <v>802</v>
      </c>
      <c r="D3112" t="s">
        <v>3635</v>
      </c>
      <c r="E3112" t="s">
        <v>6055</v>
      </c>
      <c r="F3112">
        <v>4019465</v>
      </c>
      <c r="G3112" t="s">
        <v>6056</v>
      </c>
      <c r="H3112" t="s">
        <v>805</v>
      </c>
      <c r="I3112">
        <v>4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v>3</v>
      </c>
      <c r="P3112" s="44" t="e">
        <f>_xlfn.XLOOKUP(Tabla5[[#This Row],[EAN CORREGIDO]],'Tabla Articulos'!B:B,'Tabla Articulos'!D:D)</f>
        <v>#N/A</v>
      </c>
      <c r="Q3112" s="44" t="e">
        <f>_xlfn.XLOOKUP(S3112,'Tabla Articulos'!B:B,'Tabla Articulos'!E:E)</f>
        <v>#N/A</v>
      </c>
      <c r="R3112" s="44" t="e">
        <f t="shared" si="96"/>
        <v>#N/A</v>
      </c>
      <c r="S3112" s="45" t="str">
        <f t="shared" si="97"/>
        <v>7790070318374</v>
      </c>
    </row>
    <row r="3113" spans="1:19" hidden="1" x14ac:dyDescent="0.35">
      <c r="A3113" s="22">
        <v>2</v>
      </c>
      <c r="B3113" t="s">
        <v>5624</v>
      </c>
      <c r="C3113" t="s">
        <v>802</v>
      </c>
      <c r="D3113" t="s">
        <v>363</v>
      </c>
      <c r="E3113" t="s">
        <v>2390</v>
      </c>
      <c r="F3113">
        <v>2011504</v>
      </c>
      <c r="G3113" t="s">
        <v>2391</v>
      </c>
      <c r="H3113" t="s">
        <v>805</v>
      </c>
      <c r="I3113">
        <v>214</v>
      </c>
      <c r="J3113">
        <v>0</v>
      </c>
      <c r="K3113">
        <v>0</v>
      </c>
      <c r="L3113">
        <v>4</v>
      </c>
      <c r="M3113">
        <v>4</v>
      </c>
      <c r="N3113">
        <v>0</v>
      </c>
      <c r="O3113">
        <v>206</v>
      </c>
      <c r="P3113" s="44" t="str">
        <f>_xlfn.XLOOKUP(Tabla5[[#This Row],[EAN CORREGIDO]],'Tabla Articulos'!B:B,'Tabla Articulos'!D:D)</f>
        <v>BANDEJA 102</v>
      </c>
      <c r="Q3113" s="44">
        <f>_xlfn.XLOOKUP(S3113,'Tabla Articulos'!B:B,'Tabla Articulos'!E:E)</f>
        <v>100</v>
      </c>
      <c r="R3113" s="44">
        <f t="shared" si="96"/>
        <v>20600</v>
      </c>
      <c r="S3113" s="45" t="str">
        <f t="shared" si="97"/>
        <v>7798011210039</v>
      </c>
    </row>
    <row r="3114" spans="1:19" hidden="1" x14ac:dyDescent="0.35">
      <c r="A3114" s="22">
        <v>2</v>
      </c>
      <c r="B3114" t="s">
        <v>5624</v>
      </c>
      <c r="C3114" t="s">
        <v>802</v>
      </c>
      <c r="D3114" t="s">
        <v>2392</v>
      </c>
      <c r="E3114" t="s">
        <v>2393</v>
      </c>
      <c r="F3114">
        <v>4022808</v>
      </c>
      <c r="G3114" t="s">
        <v>2394</v>
      </c>
      <c r="H3114" t="s">
        <v>805</v>
      </c>
      <c r="I3114">
        <v>34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34</v>
      </c>
      <c r="P3114" s="44" t="e">
        <f>_xlfn.XLOOKUP(Tabla5[[#This Row],[EAN CORREGIDO]],'Tabla Articulos'!B:B,'Tabla Articulos'!D:D)</f>
        <v>#N/A</v>
      </c>
      <c r="Q3114" s="44" t="e">
        <f>_xlfn.XLOOKUP(S3114,'Tabla Articulos'!B:B,'Tabla Articulos'!E:E)</f>
        <v>#N/A</v>
      </c>
      <c r="R3114" s="44" t="e">
        <f t="shared" si="96"/>
        <v>#N/A</v>
      </c>
      <c r="S3114" s="45" t="str">
        <f t="shared" si="97"/>
        <v>7793323003317</v>
      </c>
    </row>
    <row r="3115" spans="1:19" hidden="1" x14ac:dyDescent="0.35">
      <c r="A3115" s="22">
        <v>2</v>
      </c>
      <c r="B3115" t="s">
        <v>5624</v>
      </c>
      <c r="C3115" t="s">
        <v>802</v>
      </c>
      <c r="D3115" t="s">
        <v>403</v>
      </c>
      <c r="E3115" t="s">
        <v>2399</v>
      </c>
      <c r="F3115">
        <v>2006473</v>
      </c>
      <c r="G3115" t="s">
        <v>2400</v>
      </c>
      <c r="H3115" t="s">
        <v>1534</v>
      </c>
      <c r="I3115">
        <v>30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30</v>
      </c>
      <c r="P3115" s="44" t="str">
        <f>_xlfn.XLOOKUP(Tabla5[[#This Row],[EAN CORREGIDO]],'Tabla Articulos'!B:B,'Tabla Articulos'!D:D)</f>
        <v>TAPA DOMO</v>
      </c>
      <c r="Q3115" s="44">
        <f>_xlfn.XLOOKUP(S3115,'Tabla Articulos'!B:B,'Tabla Articulos'!E:E)</f>
        <v>800</v>
      </c>
      <c r="R3115" s="44">
        <f t="shared" si="96"/>
        <v>24000</v>
      </c>
      <c r="S3115" s="45" t="str">
        <f t="shared" si="97"/>
        <v>7790321020389</v>
      </c>
    </row>
    <row r="3116" spans="1:19" hidden="1" x14ac:dyDescent="0.35">
      <c r="A3116" s="22">
        <v>2</v>
      </c>
      <c r="B3116" t="s">
        <v>5624</v>
      </c>
      <c r="C3116" t="s">
        <v>802</v>
      </c>
      <c r="D3116" t="s">
        <v>6328</v>
      </c>
      <c r="E3116" t="s">
        <v>6329</v>
      </c>
      <c r="F3116">
        <v>4076544</v>
      </c>
      <c r="G3116" t="s">
        <v>6330</v>
      </c>
      <c r="H3116" t="s">
        <v>1034</v>
      </c>
      <c r="I3116">
        <v>100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100</v>
      </c>
      <c r="P3116" s="44" t="e">
        <f>_xlfn.XLOOKUP(Tabla5[[#This Row],[EAN CORREGIDO]],'Tabla Articulos'!B:B,'Tabla Articulos'!D:D)</f>
        <v>#N/A</v>
      </c>
      <c r="Q3116" s="44" t="e">
        <f>_xlfn.XLOOKUP(S3116,'Tabla Articulos'!B:B,'Tabla Articulos'!E:E)</f>
        <v>#N/A</v>
      </c>
      <c r="R3116" s="44" t="e">
        <f t="shared" si="96"/>
        <v>#N/A</v>
      </c>
      <c r="S3116" s="45" t="str">
        <f t="shared" si="97"/>
        <v>7798011977680</v>
      </c>
    </row>
    <row r="3117" spans="1:19" hidden="1" x14ac:dyDescent="0.35">
      <c r="A3117" s="22">
        <v>2</v>
      </c>
      <c r="B3117" t="s">
        <v>5624</v>
      </c>
      <c r="C3117" t="s">
        <v>802</v>
      </c>
      <c r="D3117" t="s">
        <v>6331</v>
      </c>
      <c r="E3117" t="s">
        <v>6332</v>
      </c>
      <c r="F3117">
        <v>4017235</v>
      </c>
      <c r="G3117" t="s">
        <v>6333</v>
      </c>
      <c r="H3117" t="s">
        <v>805</v>
      </c>
      <c r="I3117">
        <v>24</v>
      </c>
      <c r="J3117">
        <v>36</v>
      </c>
      <c r="K3117">
        <v>0</v>
      </c>
      <c r="L3117">
        <v>0</v>
      </c>
      <c r="M3117">
        <v>0</v>
      </c>
      <c r="N3117">
        <v>0</v>
      </c>
      <c r="O3117">
        <v>60</v>
      </c>
      <c r="P3117" s="44" t="e">
        <f>_xlfn.XLOOKUP(Tabla5[[#This Row],[EAN CORREGIDO]],'Tabla Articulos'!B:B,'Tabla Articulos'!D:D)</f>
        <v>#N/A</v>
      </c>
      <c r="Q3117" s="44" t="e">
        <f>_xlfn.XLOOKUP(S3117,'Tabla Articulos'!B:B,'Tabla Articulos'!E:E)</f>
        <v>#N/A</v>
      </c>
      <c r="R3117" s="44" t="e">
        <f t="shared" si="96"/>
        <v>#N/A</v>
      </c>
      <c r="S3117" s="45" t="str">
        <f t="shared" si="97"/>
        <v>7790895003202</v>
      </c>
    </row>
    <row r="3118" spans="1:19" hidden="1" x14ac:dyDescent="0.35">
      <c r="A3118" s="22">
        <v>2</v>
      </c>
      <c r="B3118" t="s">
        <v>5624</v>
      </c>
      <c r="C3118" t="s">
        <v>802</v>
      </c>
      <c r="D3118" t="s">
        <v>77</v>
      </c>
      <c r="E3118" t="s">
        <v>6334</v>
      </c>
      <c r="F3118">
        <v>2006391</v>
      </c>
      <c r="G3118" t="s">
        <v>6335</v>
      </c>
      <c r="H3118" t="s">
        <v>805</v>
      </c>
      <c r="I3118">
        <v>299</v>
      </c>
      <c r="J3118">
        <v>0</v>
      </c>
      <c r="K3118">
        <v>0</v>
      </c>
      <c r="L3118">
        <v>6</v>
      </c>
      <c r="M3118">
        <v>6</v>
      </c>
      <c r="N3118">
        <v>0</v>
      </c>
      <c r="O3118">
        <v>287</v>
      </c>
      <c r="P3118" s="44" t="str">
        <f>_xlfn.XLOOKUP(Tabla5[[#This Row],[EAN CORREGIDO]],'Tabla Articulos'!B:B,'Tabla Articulos'!D:D)</f>
        <v>TAPA 103</v>
      </c>
      <c r="Q3118" s="44">
        <f>_xlfn.XLOOKUP(S3118,'Tabla Articulos'!B:B,'Tabla Articulos'!E:E)</f>
        <v>50</v>
      </c>
      <c r="R3118" s="44">
        <f t="shared" si="96"/>
        <v>14350</v>
      </c>
      <c r="S3118" s="45" t="str">
        <f t="shared" si="97"/>
        <v>7790321020276</v>
      </c>
    </row>
    <row r="3119" spans="1:19" hidden="1" x14ac:dyDescent="0.35">
      <c r="A3119" s="22">
        <v>2</v>
      </c>
      <c r="B3119" t="s">
        <v>5624</v>
      </c>
      <c r="C3119" t="s">
        <v>802</v>
      </c>
      <c r="D3119" t="s">
        <v>2415</v>
      </c>
      <c r="E3119" t="s">
        <v>6402</v>
      </c>
      <c r="F3119">
        <v>4019559</v>
      </c>
      <c r="G3119" t="s">
        <v>6403</v>
      </c>
      <c r="H3119" t="s">
        <v>805</v>
      </c>
      <c r="I3119">
        <v>288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288</v>
      </c>
      <c r="P3119" s="44" t="e">
        <f>_xlfn.XLOOKUP(Tabla5[[#This Row],[EAN CORREGIDO]],'Tabla Articulos'!B:B,'Tabla Articulos'!D:D)</f>
        <v>#N/A</v>
      </c>
      <c r="Q3119" s="44" t="e">
        <f>_xlfn.XLOOKUP(S3119,'Tabla Articulos'!B:B,'Tabla Articulos'!E:E)</f>
        <v>#N/A</v>
      </c>
      <c r="R3119" s="44" t="e">
        <f t="shared" si="96"/>
        <v>#N/A</v>
      </c>
      <c r="S3119" s="45" t="str">
        <f t="shared" si="97"/>
        <v>7790150570180</v>
      </c>
    </row>
    <row r="3120" spans="1:19" hidden="1" x14ac:dyDescent="0.35">
      <c r="A3120" s="22">
        <v>2</v>
      </c>
      <c r="B3120" t="s">
        <v>5624</v>
      </c>
      <c r="C3120" t="s">
        <v>802</v>
      </c>
      <c r="D3120" t="s">
        <v>3687</v>
      </c>
      <c r="E3120" t="s">
        <v>3688</v>
      </c>
      <c r="F3120">
        <v>4021392</v>
      </c>
      <c r="G3120" t="s">
        <v>3689</v>
      </c>
      <c r="H3120" t="s">
        <v>805</v>
      </c>
      <c r="I3120">
        <v>62</v>
      </c>
      <c r="J3120">
        <v>0</v>
      </c>
      <c r="K3120">
        <v>0</v>
      </c>
      <c r="L3120">
        <v>1</v>
      </c>
      <c r="M3120">
        <v>1</v>
      </c>
      <c r="N3120">
        <v>0</v>
      </c>
      <c r="O3120">
        <v>60</v>
      </c>
      <c r="P3120" s="44" t="e">
        <f>_xlfn.XLOOKUP(Tabla5[[#This Row],[EAN CORREGIDO]],'Tabla Articulos'!B:B,'Tabla Articulos'!D:D)</f>
        <v>#N/A</v>
      </c>
      <c r="Q3120" s="44" t="e">
        <f>_xlfn.XLOOKUP(S3120,'Tabla Articulos'!B:B,'Tabla Articulos'!E:E)</f>
        <v>#N/A</v>
      </c>
      <c r="R3120" s="44" t="e">
        <f t="shared" si="96"/>
        <v>#N/A</v>
      </c>
      <c r="S3120" s="45" t="str">
        <f t="shared" si="97"/>
        <v>7793323002358</v>
      </c>
    </row>
    <row r="3121" spans="1:19" hidden="1" x14ac:dyDescent="0.35">
      <c r="A3121" s="22">
        <v>2</v>
      </c>
      <c r="B3121" t="s">
        <v>5624</v>
      </c>
      <c r="C3121" t="s">
        <v>802</v>
      </c>
      <c r="D3121" t="s">
        <v>5399</v>
      </c>
      <c r="E3121" t="s">
        <v>6404</v>
      </c>
      <c r="F3121">
        <v>4020796</v>
      </c>
      <c r="G3121" t="s">
        <v>6405</v>
      </c>
      <c r="H3121" t="s">
        <v>805</v>
      </c>
      <c r="I3121">
        <v>272</v>
      </c>
      <c r="J3121">
        <v>0</v>
      </c>
      <c r="K3121">
        <v>0</v>
      </c>
      <c r="L3121">
        <v>50</v>
      </c>
      <c r="M3121">
        <v>50</v>
      </c>
      <c r="N3121">
        <v>0</v>
      </c>
      <c r="O3121">
        <v>172</v>
      </c>
      <c r="P3121" s="44" t="e">
        <f>_xlfn.XLOOKUP(Tabla5[[#This Row],[EAN CORREGIDO]],'Tabla Articulos'!B:B,'Tabla Articulos'!D:D)</f>
        <v>#N/A</v>
      </c>
      <c r="Q3121" s="44" t="e">
        <f>_xlfn.XLOOKUP(S3121,'Tabla Articulos'!B:B,'Tabla Articulos'!E:E)</f>
        <v>#N/A</v>
      </c>
      <c r="R3121" s="44" t="e">
        <f t="shared" si="96"/>
        <v>#N/A</v>
      </c>
      <c r="S3121" s="45" t="str">
        <f t="shared" si="97"/>
        <v>7798082000539</v>
      </c>
    </row>
    <row r="3122" spans="1:19" hidden="1" x14ac:dyDescent="0.35">
      <c r="A3122" s="22">
        <v>2</v>
      </c>
      <c r="B3122" t="s">
        <v>5624</v>
      </c>
      <c r="C3122" t="s">
        <v>802</v>
      </c>
      <c r="D3122" t="s">
        <v>3705</v>
      </c>
      <c r="E3122" t="s">
        <v>3706</v>
      </c>
      <c r="F3122">
        <v>4077270</v>
      </c>
      <c r="G3122" t="s">
        <v>3707</v>
      </c>
      <c r="H3122" t="s">
        <v>805</v>
      </c>
      <c r="I3122">
        <v>231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231</v>
      </c>
      <c r="P3122" s="44" t="e">
        <f>_xlfn.XLOOKUP(Tabla5[[#This Row],[EAN CORREGIDO]],'Tabla Articulos'!B:B,'Tabla Articulos'!D:D)</f>
        <v>#N/A</v>
      </c>
      <c r="Q3122" s="44" t="e">
        <f>_xlfn.XLOOKUP(S3122,'Tabla Articulos'!B:B,'Tabla Articulos'!E:E)</f>
        <v>#N/A</v>
      </c>
      <c r="R3122" s="44" t="e">
        <f t="shared" si="96"/>
        <v>#N/A</v>
      </c>
      <c r="S3122" s="45" t="str">
        <f t="shared" si="97"/>
        <v>7791885004841</v>
      </c>
    </row>
    <row r="3123" spans="1:19" hidden="1" x14ac:dyDescent="0.35">
      <c r="A3123" s="22">
        <v>2</v>
      </c>
      <c r="B3123" t="s">
        <v>5624</v>
      </c>
      <c r="C3123" t="s">
        <v>802</v>
      </c>
      <c r="D3123" t="s">
        <v>322</v>
      </c>
      <c r="E3123" t="s">
        <v>6406</v>
      </c>
      <c r="F3123">
        <v>2006180</v>
      </c>
      <c r="G3123" t="s">
        <v>6407</v>
      </c>
      <c r="H3123" t="s">
        <v>805</v>
      </c>
      <c r="I3123">
        <v>2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2</v>
      </c>
      <c r="P3123" s="44" t="str">
        <f>_xlfn.XLOOKUP(Tabla5[[#This Row],[EAN CORREGIDO]],'Tabla Articulos'!B:B,'Tabla Articulos'!D:D)</f>
        <v>VASO PLASTICO 180</v>
      </c>
      <c r="Q3123" s="44">
        <f>_xlfn.XLOOKUP(S3123,'Tabla Articulos'!B:B,'Tabla Articulos'!E:E)</f>
        <v>100</v>
      </c>
      <c r="R3123" s="44">
        <f t="shared" si="96"/>
        <v>200</v>
      </c>
      <c r="S3123" s="45" t="str">
        <f t="shared" si="97"/>
        <v>7790321020408</v>
      </c>
    </row>
    <row r="3124" spans="1:19" hidden="1" x14ac:dyDescent="0.35">
      <c r="A3124" s="22">
        <v>2</v>
      </c>
      <c r="B3124" t="s">
        <v>5624</v>
      </c>
      <c r="C3124" t="s">
        <v>802</v>
      </c>
      <c r="D3124" t="s">
        <v>1237</v>
      </c>
      <c r="E3124" t="s">
        <v>1238</v>
      </c>
      <c r="F3124">
        <v>4020022</v>
      </c>
      <c r="G3124" t="s">
        <v>1239</v>
      </c>
      <c r="H3124" t="s">
        <v>805</v>
      </c>
      <c r="I3124">
        <v>1904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1904</v>
      </c>
      <c r="P3124" s="44" t="e">
        <f>_xlfn.XLOOKUP(Tabla5[[#This Row],[EAN CORREGIDO]],'Tabla Articulos'!B:B,'Tabla Articulos'!D:D)</f>
        <v>#N/A</v>
      </c>
      <c r="Q3124" s="44" t="e">
        <f>_xlfn.XLOOKUP(S3124,'Tabla Articulos'!B:B,'Tabla Articulos'!E:E)</f>
        <v>#N/A</v>
      </c>
      <c r="R3124" s="44" t="e">
        <f t="shared" si="96"/>
        <v>#N/A</v>
      </c>
      <c r="S3124" s="45" t="str">
        <f t="shared" si="97"/>
        <v>7791113004599</v>
      </c>
    </row>
    <row r="3125" spans="1:19" hidden="1" x14ac:dyDescent="0.35">
      <c r="A3125" s="22">
        <v>2</v>
      </c>
      <c r="B3125" t="s">
        <v>5624</v>
      </c>
      <c r="C3125" t="s">
        <v>802</v>
      </c>
      <c r="D3125" t="s">
        <v>1240</v>
      </c>
      <c r="E3125" t="s">
        <v>1241</v>
      </c>
      <c r="F3125">
        <v>4021176</v>
      </c>
      <c r="G3125" t="s">
        <v>1242</v>
      </c>
      <c r="H3125" t="s">
        <v>816</v>
      </c>
      <c r="I3125">
        <v>97.65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97.65</v>
      </c>
      <c r="P3125" s="44" t="e">
        <f>_xlfn.XLOOKUP(Tabla5[[#This Row],[EAN CORREGIDO]],'Tabla Articulos'!B:B,'Tabla Articulos'!D:D)</f>
        <v>#N/A</v>
      </c>
      <c r="Q3125" s="44" t="e">
        <f>_xlfn.XLOOKUP(S3125,'Tabla Articulos'!B:B,'Tabla Articulos'!E:E)</f>
        <v>#N/A</v>
      </c>
      <c r="R3125" s="44" t="e">
        <f t="shared" si="96"/>
        <v>#N/A</v>
      </c>
      <c r="S3125" s="45" t="str">
        <f t="shared" si="97"/>
        <v>7790212031216</v>
      </c>
    </row>
    <row r="3126" spans="1:19" hidden="1" x14ac:dyDescent="0.35">
      <c r="A3126" s="22">
        <v>2</v>
      </c>
      <c r="B3126" t="s">
        <v>5624</v>
      </c>
      <c r="C3126" t="s">
        <v>802</v>
      </c>
      <c r="D3126" t="s">
        <v>318</v>
      </c>
      <c r="E3126" t="s">
        <v>1245</v>
      </c>
      <c r="F3126">
        <v>2006162</v>
      </c>
      <c r="G3126" t="s">
        <v>1246</v>
      </c>
      <c r="H3126" t="s">
        <v>805</v>
      </c>
      <c r="I3126">
        <v>5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5</v>
      </c>
      <c r="P3126" s="44" t="str">
        <f>_xlfn.XLOOKUP(Tabla5[[#This Row],[EAN CORREGIDO]],'Tabla Articulos'!B:B,'Tabla Articulos'!D:D)</f>
        <v>CAMISETA 50X60 REF</v>
      </c>
      <c r="Q3126" s="44">
        <f>_xlfn.XLOOKUP(S3126,'Tabla Articulos'!B:B,'Tabla Articulos'!E:E)</f>
        <v>100</v>
      </c>
      <c r="R3126" s="44">
        <f t="shared" si="96"/>
        <v>500</v>
      </c>
      <c r="S3126" s="45" t="str">
        <f t="shared" si="97"/>
        <v>7790321020167</v>
      </c>
    </row>
    <row r="3127" spans="1:19" hidden="1" x14ac:dyDescent="0.35">
      <c r="A3127" s="22">
        <v>2</v>
      </c>
      <c r="B3127" t="s">
        <v>5624</v>
      </c>
      <c r="C3127" t="s">
        <v>802</v>
      </c>
      <c r="D3127" t="s">
        <v>1247</v>
      </c>
      <c r="E3127" t="s">
        <v>1248</v>
      </c>
      <c r="F3127">
        <v>4022177</v>
      </c>
      <c r="G3127" t="s">
        <v>1249</v>
      </c>
      <c r="H3127" t="s">
        <v>805</v>
      </c>
      <c r="I3127">
        <v>273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273</v>
      </c>
      <c r="P3127" s="44" t="e">
        <f>_xlfn.XLOOKUP(Tabla5[[#This Row],[EAN CORREGIDO]],'Tabla Articulos'!B:B,'Tabla Articulos'!D:D)</f>
        <v>#N/A</v>
      </c>
      <c r="Q3127" s="44" t="e">
        <f>_xlfn.XLOOKUP(S3127,'Tabla Articulos'!B:B,'Tabla Articulos'!E:E)</f>
        <v>#N/A</v>
      </c>
      <c r="R3127" s="44" t="e">
        <f t="shared" si="96"/>
        <v>#N/A</v>
      </c>
      <c r="S3127" s="45" t="str">
        <f t="shared" si="97"/>
        <v>7798011977390</v>
      </c>
    </row>
    <row r="3128" spans="1:19" hidden="1" x14ac:dyDescent="0.35">
      <c r="A3128" s="22">
        <v>2</v>
      </c>
      <c r="B3128" t="s">
        <v>5624</v>
      </c>
      <c r="C3128" t="s">
        <v>802</v>
      </c>
      <c r="D3128" t="s">
        <v>1252</v>
      </c>
      <c r="E3128" t="s">
        <v>1253</v>
      </c>
      <c r="F3128">
        <v>4018465</v>
      </c>
      <c r="G3128" t="s">
        <v>1254</v>
      </c>
      <c r="H3128" t="s">
        <v>805</v>
      </c>
      <c r="I3128">
        <v>3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3</v>
      </c>
      <c r="P3128" s="44" t="e">
        <f>_xlfn.XLOOKUP(Tabla5[[#This Row],[EAN CORREGIDO]],'Tabla Articulos'!B:B,'Tabla Articulos'!D:D)</f>
        <v>#N/A</v>
      </c>
      <c r="Q3128" s="44" t="e">
        <f>_xlfn.XLOOKUP(S3128,'Tabla Articulos'!B:B,'Tabla Articulos'!E:E)</f>
        <v>#N/A</v>
      </c>
      <c r="R3128" s="44" t="e">
        <f t="shared" si="96"/>
        <v>#N/A</v>
      </c>
      <c r="S3128" s="45" t="str">
        <f t="shared" si="97"/>
        <v>7798041132477</v>
      </c>
    </row>
    <row r="3129" spans="1:19" hidden="1" x14ac:dyDescent="0.35">
      <c r="A3129" s="22">
        <v>2</v>
      </c>
      <c r="B3129" t="s">
        <v>5624</v>
      </c>
      <c r="C3129" t="s">
        <v>802</v>
      </c>
      <c r="D3129" t="s">
        <v>276</v>
      </c>
      <c r="E3129" t="s">
        <v>3710</v>
      </c>
      <c r="F3129">
        <v>2016596</v>
      </c>
      <c r="G3129" t="s">
        <v>3711</v>
      </c>
      <c r="H3129" t="s">
        <v>805</v>
      </c>
      <c r="I3129">
        <v>90</v>
      </c>
      <c r="J3129">
        <v>0</v>
      </c>
      <c r="K3129">
        <v>0</v>
      </c>
      <c r="L3129">
        <v>8</v>
      </c>
      <c r="M3129">
        <v>8</v>
      </c>
      <c r="N3129">
        <v>0</v>
      </c>
      <c r="O3129">
        <v>74</v>
      </c>
      <c r="P3129" s="44" t="str">
        <f>_xlfn.XLOOKUP(Tabla5[[#This Row],[EAN CORREGIDO]],'Tabla Articulos'!B:B,'Tabla Articulos'!D:D)</f>
        <v>CUCHILLO DESCARTABLE</v>
      </c>
      <c r="Q3129" s="44">
        <f>_xlfn.XLOOKUP(S3129,'Tabla Articulos'!B:B,'Tabla Articulos'!E:E)</f>
        <v>1000</v>
      </c>
      <c r="R3129" s="44">
        <f t="shared" si="96"/>
        <v>74000</v>
      </c>
      <c r="S3129" s="45" t="str">
        <f t="shared" si="97"/>
        <v>714604111788</v>
      </c>
    </row>
    <row r="3130" spans="1:19" hidden="1" x14ac:dyDescent="0.35">
      <c r="A3130" s="22">
        <v>2</v>
      </c>
      <c r="B3130" t="s">
        <v>5624</v>
      </c>
      <c r="C3130" t="s">
        <v>802</v>
      </c>
      <c r="D3130" t="s">
        <v>4558</v>
      </c>
      <c r="E3130" t="s">
        <v>4559</v>
      </c>
      <c r="F3130">
        <v>4020348</v>
      </c>
      <c r="G3130" t="s">
        <v>4560</v>
      </c>
      <c r="H3130" t="s">
        <v>805</v>
      </c>
      <c r="I3130">
        <v>167</v>
      </c>
      <c r="J3130">
        <v>0</v>
      </c>
      <c r="K3130">
        <v>0</v>
      </c>
      <c r="L3130">
        <v>3</v>
      </c>
      <c r="M3130">
        <v>3</v>
      </c>
      <c r="N3130">
        <v>0</v>
      </c>
      <c r="O3130">
        <v>161</v>
      </c>
      <c r="P3130" s="44" t="e">
        <f>_xlfn.XLOOKUP(Tabla5[[#This Row],[EAN CORREGIDO]],'Tabla Articulos'!B:B,'Tabla Articulos'!D:D)</f>
        <v>#N/A</v>
      </c>
      <c r="Q3130" s="44" t="e">
        <f>_xlfn.XLOOKUP(S3130,'Tabla Articulos'!B:B,'Tabla Articulos'!E:E)</f>
        <v>#N/A</v>
      </c>
      <c r="R3130" s="44" t="e">
        <f t="shared" si="96"/>
        <v>#N/A</v>
      </c>
      <c r="S3130" s="45" t="str">
        <f t="shared" si="97"/>
        <v>7798011976607</v>
      </c>
    </row>
    <row r="3131" spans="1:19" hidden="1" x14ac:dyDescent="0.35">
      <c r="A3131" s="22">
        <v>2</v>
      </c>
      <c r="B3131" t="s">
        <v>5624</v>
      </c>
      <c r="C3131" t="s">
        <v>802</v>
      </c>
      <c r="D3131" t="s">
        <v>2751</v>
      </c>
      <c r="E3131" t="s">
        <v>3441</v>
      </c>
      <c r="F3131">
        <v>4019690</v>
      </c>
      <c r="G3131" t="s">
        <v>3442</v>
      </c>
      <c r="H3131" t="s">
        <v>805</v>
      </c>
      <c r="I3131">
        <v>1967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1967</v>
      </c>
      <c r="P3131" s="44" t="e">
        <f>_xlfn.XLOOKUP(Tabla5[[#This Row],[EAN CORREGIDO]],'Tabla Articulos'!B:B,'Tabla Articulos'!D:D)</f>
        <v>#N/A</v>
      </c>
      <c r="Q3131" s="44" t="e">
        <f>_xlfn.XLOOKUP(S3131,'Tabla Articulos'!B:B,'Tabla Articulos'!E:E)</f>
        <v>#N/A</v>
      </c>
      <c r="R3131" s="44" t="e">
        <f t="shared" si="96"/>
        <v>#N/A</v>
      </c>
      <c r="S3131" s="45" t="str">
        <f t="shared" si="97"/>
        <v>7790971002327</v>
      </c>
    </row>
    <row r="3132" spans="1:19" hidden="1" x14ac:dyDescent="0.35">
      <c r="A3132" s="22">
        <v>2</v>
      </c>
      <c r="B3132" t="s">
        <v>5624</v>
      </c>
      <c r="C3132" t="s">
        <v>802</v>
      </c>
      <c r="D3132" t="s">
        <v>3443</v>
      </c>
      <c r="E3132" t="s">
        <v>3444</v>
      </c>
      <c r="F3132">
        <v>2016562</v>
      </c>
      <c r="G3132" t="s">
        <v>3445</v>
      </c>
      <c r="H3132" t="s">
        <v>805</v>
      </c>
      <c r="I3132">
        <v>10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10</v>
      </c>
      <c r="P3132" s="44" t="str">
        <f>_xlfn.XLOOKUP(Tabla5[[#This Row],[EAN CORREGIDO]],'Tabla Articulos'!B:B,'Tabla Articulos'!D:D)</f>
        <v>TAPA DEGUSTADOR</v>
      </c>
      <c r="Q3132" s="44">
        <f>_xlfn.XLOOKUP(S3132,'Tabla Articulos'!B:B,'Tabla Articulos'!E:E)</f>
        <v>2000</v>
      </c>
      <c r="R3132" s="44">
        <f t="shared" si="96"/>
        <v>20000</v>
      </c>
      <c r="S3132" s="45" t="str">
        <f t="shared" si="97"/>
        <v>7790000000736</v>
      </c>
    </row>
    <row r="3133" spans="1:19" hidden="1" x14ac:dyDescent="0.35">
      <c r="A3133" s="22">
        <v>2</v>
      </c>
      <c r="B3133" t="s">
        <v>5624</v>
      </c>
      <c r="C3133" t="s">
        <v>802</v>
      </c>
      <c r="D3133" t="s">
        <v>1663</v>
      </c>
      <c r="E3133" t="s">
        <v>3446</v>
      </c>
      <c r="F3133">
        <v>4022746</v>
      </c>
      <c r="G3133" t="s">
        <v>3447</v>
      </c>
      <c r="H3133" t="s">
        <v>805</v>
      </c>
      <c r="I3133">
        <v>156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156</v>
      </c>
      <c r="P3133" s="44" t="e">
        <f>_xlfn.XLOOKUP(Tabla5[[#This Row],[EAN CORREGIDO]],'Tabla Articulos'!B:B,'Tabla Articulos'!D:D)</f>
        <v>#N/A</v>
      </c>
      <c r="Q3133" s="44" t="e">
        <f>_xlfn.XLOOKUP(S3133,'Tabla Articulos'!B:B,'Tabla Articulos'!E:E)</f>
        <v>#N/A</v>
      </c>
      <c r="R3133" s="44" t="e">
        <f t="shared" si="96"/>
        <v>#N/A</v>
      </c>
      <c r="S3133" s="45" t="str">
        <f t="shared" si="97"/>
        <v>7798138555464</v>
      </c>
    </row>
    <row r="3134" spans="1:19" hidden="1" x14ac:dyDescent="0.35">
      <c r="A3134" s="22">
        <v>2</v>
      </c>
      <c r="B3134" t="s">
        <v>5624</v>
      </c>
      <c r="C3134" t="s">
        <v>802</v>
      </c>
      <c r="D3134" t="s">
        <v>229</v>
      </c>
      <c r="E3134" t="s">
        <v>3456</v>
      </c>
      <c r="F3134">
        <v>2006470</v>
      </c>
      <c r="G3134" t="s">
        <v>3457</v>
      </c>
      <c r="H3134" t="s">
        <v>805</v>
      </c>
      <c r="I3134">
        <v>2500</v>
      </c>
      <c r="J3134">
        <v>2500</v>
      </c>
      <c r="K3134">
        <v>0</v>
      </c>
      <c r="L3134">
        <v>0</v>
      </c>
      <c r="M3134">
        <v>0</v>
      </c>
      <c r="N3134">
        <v>0</v>
      </c>
      <c r="O3134">
        <v>5000</v>
      </c>
      <c r="P3134" s="44" t="e">
        <f>_xlfn.XLOOKUP(Tabla5[[#This Row],[EAN CORREGIDO]],'Tabla Articulos'!B:B,'Tabla Articulos'!D:D)</f>
        <v>#N/A</v>
      </c>
      <c r="Q3134" s="44" t="e">
        <f>_xlfn.XLOOKUP(S3134,'Tabla Articulos'!B:B,'Tabla Articulos'!E:E)</f>
        <v>#N/A</v>
      </c>
      <c r="R3134" s="44" t="e">
        <f t="shared" si="96"/>
        <v>#N/A</v>
      </c>
      <c r="S3134" s="45" t="str">
        <f t="shared" si="97"/>
        <v>EMB000033</v>
      </c>
    </row>
    <row r="3135" spans="1:19" hidden="1" x14ac:dyDescent="0.35">
      <c r="A3135" s="22">
        <v>2</v>
      </c>
      <c r="B3135" t="s">
        <v>5624</v>
      </c>
      <c r="C3135" t="s">
        <v>802</v>
      </c>
      <c r="D3135" t="s">
        <v>6325</v>
      </c>
      <c r="E3135" t="s">
        <v>6326</v>
      </c>
      <c r="F3135">
        <v>4076402</v>
      </c>
      <c r="G3135" t="s">
        <v>6327</v>
      </c>
      <c r="H3135" t="s">
        <v>805</v>
      </c>
      <c r="I3135">
        <v>15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15</v>
      </c>
      <c r="P3135" s="44" t="e">
        <f>_xlfn.XLOOKUP(Tabla5[[#This Row],[EAN CORREGIDO]],'Tabla Articulos'!B:B,'Tabla Articulos'!D:D)</f>
        <v>#N/A</v>
      </c>
      <c r="Q3135" s="44" t="e">
        <f>_xlfn.XLOOKUP(S3135,'Tabla Articulos'!B:B,'Tabla Articulos'!E:E)</f>
        <v>#N/A</v>
      </c>
      <c r="R3135" s="44" t="e">
        <f t="shared" si="96"/>
        <v>#N/A</v>
      </c>
      <c r="S3135" s="45" t="str">
        <f t="shared" si="97"/>
        <v>7793890261912</v>
      </c>
    </row>
    <row r="3136" spans="1:19" hidden="1" x14ac:dyDescent="0.35">
      <c r="A3136" s="22">
        <v>2</v>
      </c>
      <c r="B3136" t="s">
        <v>5624</v>
      </c>
      <c r="C3136" t="s">
        <v>802</v>
      </c>
      <c r="D3136" t="s">
        <v>2756</v>
      </c>
      <c r="E3136" t="s">
        <v>2757</v>
      </c>
      <c r="F3136">
        <v>4020496</v>
      </c>
      <c r="G3136" t="s">
        <v>2758</v>
      </c>
      <c r="H3136" t="s">
        <v>805</v>
      </c>
      <c r="I3136">
        <v>531</v>
      </c>
      <c r="J3136">
        <v>0</v>
      </c>
      <c r="K3136">
        <v>0</v>
      </c>
      <c r="L3136">
        <v>3</v>
      </c>
      <c r="M3136">
        <v>3</v>
      </c>
      <c r="N3136">
        <v>0</v>
      </c>
      <c r="O3136">
        <v>525</v>
      </c>
      <c r="P3136" s="44" t="e">
        <f>_xlfn.XLOOKUP(Tabla5[[#This Row],[EAN CORREGIDO]],'Tabla Articulos'!B:B,'Tabla Articulos'!D:D)</f>
        <v>#N/A</v>
      </c>
      <c r="Q3136" s="44" t="e">
        <f>_xlfn.XLOOKUP(S3136,'Tabla Articulos'!B:B,'Tabla Articulos'!E:E)</f>
        <v>#N/A</v>
      </c>
      <c r="R3136" s="44" t="e">
        <f t="shared" si="96"/>
        <v>#N/A</v>
      </c>
      <c r="S3136" s="45" t="str">
        <f t="shared" si="97"/>
        <v>7791113000478</v>
      </c>
    </row>
    <row r="3137" spans="1:19" hidden="1" x14ac:dyDescent="0.35">
      <c r="A3137" s="22">
        <v>2</v>
      </c>
      <c r="B3137" t="s">
        <v>5624</v>
      </c>
      <c r="C3137" t="s">
        <v>802</v>
      </c>
      <c r="D3137" t="s">
        <v>6189</v>
      </c>
      <c r="E3137" t="s">
        <v>6190</v>
      </c>
      <c r="F3137">
        <v>4017783</v>
      </c>
      <c r="G3137" t="s">
        <v>6191</v>
      </c>
      <c r="H3137" t="s">
        <v>816</v>
      </c>
      <c r="I3137">
        <v>188.38</v>
      </c>
      <c r="J3137">
        <v>0</v>
      </c>
      <c r="K3137">
        <v>0</v>
      </c>
      <c r="L3137">
        <v>81.900000000000006</v>
      </c>
      <c r="M3137">
        <v>81.900000000000006</v>
      </c>
      <c r="N3137">
        <v>0</v>
      </c>
      <c r="O3137">
        <v>24.58</v>
      </c>
      <c r="P3137" s="44" t="e">
        <f>_xlfn.XLOOKUP(Tabla5[[#This Row],[EAN CORREGIDO]],'Tabla Articulos'!B:B,'Tabla Articulos'!D:D)</f>
        <v>#N/A</v>
      </c>
      <c r="Q3137" s="44" t="e">
        <f>_xlfn.XLOOKUP(S3137,'Tabla Articulos'!B:B,'Tabla Articulos'!E:E)</f>
        <v>#N/A</v>
      </c>
      <c r="R3137" s="44" t="e">
        <f t="shared" ref="R3137:R3200" si="98">O3137*Q3137</f>
        <v>#N/A</v>
      </c>
      <c r="S3137" s="45" t="str">
        <f t="shared" ref="S3137:S3200" si="99">TRIM(E3137)</f>
        <v>7790212031248</v>
      </c>
    </row>
    <row r="3138" spans="1:19" hidden="1" x14ac:dyDescent="0.35">
      <c r="A3138" s="22">
        <v>2</v>
      </c>
      <c r="B3138" t="s">
        <v>5624</v>
      </c>
      <c r="C3138" t="s">
        <v>802</v>
      </c>
      <c r="D3138" t="s">
        <v>2191</v>
      </c>
      <c r="E3138" t="s">
        <v>6192</v>
      </c>
      <c r="F3138">
        <v>4020020</v>
      </c>
      <c r="G3138" t="s">
        <v>6193</v>
      </c>
      <c r="H3138" t="s">
        <v>805</v>
      </c>
      <c r="I3138">
        <v>290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290</v>
      </c>
      <c r="P3138" s="44" t="e">
        <f>_xlfn.XLOOKUP(Tabla5[[#This Row],[EAN CORREGIDO]],'Tabla Articulos'!B:B,'Tabla Articulos'!D:D)</f>
        <v>#N/A</v>
      </c>
      <c r="Q3138" s="44" t="e">
        <f>_xlfn.XLOOKUP(S3138,'Tabla Articulos'!B:B,'Tabla Articulos'!E:E)</f>
        <v>#N/A</v>
      </c>
      <c r="R3138" s="44" t="e">
        <f t="shared" si="98"/>
        <v>#N/A</v>
      </c>
      <c r="S3138" s="45" t="str">
        <f t="shared" si="99"/>
        <v>7791113002489</v>
      </c>
    </row>
    <row r="3139" spans="1:19" hidden="1" x14ac:dyDescent="0.35">
      <c r="A3139" s="22">
        <v>2</v>
      </c>
      <c r="B3139" t="s">
        <v>5624</v>
      </c>
      <c r="C3139" t="s">
        <v>802</v>
      </c>
      <c r="D3139" t="s">
        <v>926</v>
      </c>
      <c r="E3139" t="s">
        <v>1255</v>
      </c>
      <c r="F3139">
        <v>4023674</v>
      </c>
      <c r="G3139" t="s">
        <v>1256</v>
      </c>
      <c r="H3139" t="s">
        <v>805</v>
      </c>
      <c r="I3139">
        <v>4191</v>
      </c>
      <c r="J3139">
        <v>0</v>
      </c>
      <c r="K3139">
        <v>0</v>
      </c>
      <c r="L3139">
        <v>69</v>
      </c>
      <c r="M3139">
        <v>69</v>
      </c>
      <c r="N3139">
        <v>0</v>
      </c>
      <c r="O3139">
        <v>4053</v>
      </c>
      <c r="P3139" s="44" t="e">
        <f>_xlfn.XLOOKUP(Tabla5[[#This Row],[EAN CORREGIDO]],'Tabla Articulos'!B:B,'Tabla Articulos'!D:D)</f>
        <v>#N/A</v>
      </c>
      <c r="Q3139" s="44" t="e">
        <f>_xlfn.XLOOKUP(S3139,'Tabla Articulos'!B:B,'Tabla Articulos'!E:E)</f>
        <v>#N/A</v>
      </c>
      <c r="R3139" s="44" t="e">
        <f t="shared" si="98"/>
        <v>#N/A</v>
      </c>
      <c r="S3139" s="45" t="str">
        <f t="shared" si="99"/>
        <v>7798016190152</v>
      </c>
    </row>
    <row r="3140" spans="1:19" hidden="1" x14ac:dyDescent="0.35">
      <c r="A3140" s="22">
        <v>2</v>
      </c>
      <c r="B3140" t="s">
        <v>5624</v>
      </c>
      <c r="C3140" t="s">
        <v>802</v>
      </c>
      <c r="D3140" t="s">
        <v>5887</v>
      </c>
      <c r="E3140" t="s">
        <v>5888</v>
      </c>
      <c r="F3140">
        <v>4019095</v>
      </c>
      <c r="G3140" t="s">
        <v>5889</v>
      </c>
      <c r="H3140" t="s">
        <v>805</v>
      </c>
      <c r="I3140">
        <v>65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65</v>
      </c>
      <c r="P3140" s="44" t="e">
        <f>_xlfn.XLOOKUP(Tabla5[[#This Row],[EAN CORREGIDO]],'Tabla Articulos'!B:B,'Tabla Articulos'!D:D)</f>
        <v>#N/A</v>
      </c>
      <c r="Q3140" s="44" t="e">
        <f>_xlfn.XLOOKUP(S3140,'Tabla Articulos'!B:B,'Tabla Articulos'!E:E)</f>
        <v>#N/A</v>
      </c>
      <c r="R3140" s="44" t="e">
        <f t="shared" si="98"/>
        <v>#N/A</v>
      </c>
      <c r="S3140" s="45" t="str">
        <f t="shared" si="99"/>
        <v>7790580110130</v>
      </c>
    </row>
    <row r="3141" spans="1:19" hidden="1" x14ac:dyDescent="0.35">
      <c r="A3141" s="22">
        <v>2</v>
      </c>
      <c r="B3141" t="s">
        <v>5624</v>
      </c>
      <c r="C3141" t="s">
        <v>802</v>
      </c>
      <c r="D3141" t="s">
        <v>1801</v>
      </c>
      <c r="E3141" t="s">
        <v>1802</v>
      </c>
      <c r="F3141">
        <v>4019889</v>
      </c>
      <c r="G3141" t="s">
        <v>1803</v>
      </c>
      <c r="H3141" t="s">
        <v>805</v>
      </c>
      <c r="I3141">
        <v>1765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1765</v>
      </c>
      <c r="P3141" s="44" t="e">
        <f>_xlfn.XLOOKUP(Tabla5[[#This Row],[EAN CORREGIDO]],'Tabla Articulos'!B:B,'Tabla Articulos'!D:D)</f>
        <v>#N/A</v>
      </c>
      <c r="Q3141" s="44" t="e">
        <f>_xlfn.XLOOKUP(S3141,'Tabla Articulos'!B:B,'Tabla Articulos'!E:E)</f>
        <v>#N/A</v>
      </c>
      <c r="R3141" s="44" t="e">
        <f t="shared" si="98"/>
        <v>#N/A</v>
      </c>
      <c r="S3141" s="45" t="str">
        <f t="shared" si="99"/>
        <v>7790726120269</v>
      </c>
    </row>
    <row r="3142" spans="1:19" hidden="1" x14ac:dyDescent="0.35">
      <c r="A3142" s="22">
        <v>2</v>
      </c>
      <c r="B3142" t="s">
        <v>5624</v>
      </c>
      <c r="C3142" t="s">
        <v>802</v>
      </c>
      <c r="D3142" t="s">
        <v>5890</v>
      </c>
      <c r="E3142" t="s">
        <v>5891</v>
      </c>
      <c r="F3142">
        <v>4021389</v>
      </c>
      <c r="G3142" t="s">
        <v>5892</v>
      </c>
      <c r="H3142" t="s">
        <v>805</v>
      </c>
      <c r="I3142">
        <v>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18</v>
      </c>
      <c r="P3142" s="44" t="e">
        <f>_xlfn.XLOOKUP(Tabla5[[#This Row],[EAN CORREGIDO]],'Tabla Articulos'!B:B,'Tabla Articulos'!D:D)</f>
        <v>#N/A</v>
      </c>
      <c r="Q3142" s="44" t="e">
        <f>_xlfn.XLOOKUP(S3142,'Tabla Articulos'!B:B,'Tabla Articulos'!E:E)</f>
        <v>#N/A</v>
      </c>
      <c r="R3142" s="44" t="e">
        <f t="shared" si="98"/>
        <v>#N/A</v>
      </c>
      <c r="S3142" s="45" t="str">
        <f t="shared" si="99"/>
        <v>7790895643750</v>
      </c>
    </row>
    <row r="3143" spans="1:19" hidden="1" x14ac:dyDescent="0.35">
      <c r="A3143" s="22">
        <v>2</v>
      </c>
      <c r="B3143" t="s">
        <v>5624</v>
      </c>
      <c r="C3143" t="s">
        <v>802</v>
      </c>
      <c r="D3143" t="s">
        <v>6026</v>
      </c>
      <c r="E3143" t="s">
        <v>6027</v>
      </c>
      <c r="F3143">
        <v>4024577</v>
      </c>
      <c r="G3143" t="s">
        <v>6028</v>
      </c>
      <c r="H3143" t="s">
        <v>805</v>
      </c>
      <c r="I3143">
        <v>5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5</v>
      </c>
      <c r="P3143" s="44" t="e">
        <f>_xlfn.XLOOKUP(Tabla5[[#This Row],[EAN CORREGIDO]],'Tabla Articulos'!B:B,'Tabla Articulos'!D:D)</f>
        <v>#N/A</v>
      </c>
      <c r="Q3143" s="44" t="e">
        <f>_xlfn.XLOOKUP(S3143,'Tabla Articulos'!B:B,'Tabla Articulos'!E:E)</f>
        <v>#N/A</v>
      </c>
      <c r="R3143" s="44" t="e">
        <f t="shared" si="98"/>
        <v>#N/A</v>
      </c>
      <c r="S3143" s="45" t="str">
        <f t="shared" si="99"/>
        <v>7793323000866</v>
      </c>
    </row>
    <row r="3144" spans="1:19" hidden="1" x14ac:dyDescent="0.35">
      <c r="A3144" s="22">
        <v>2</v>
      </c>
      <c r="B3144" t="s">
        <v>5624</v>
      </c>
      <c r="C3144" t="s">
        <v>802</v>
      </c>
      <c r="D3144" t="s">
        <v>1266</v>
      </c>
      <c r="E3144" t="s">
        <v>2319</v>
      </c>
      <c r="F3144">
        <v>4017679</v>
      </c>
      <c r="G3144" t="s">
        <v>2320</v>
      </c>
      <c r="H3144" t="s">
        <v>816</v>
      </c>
      <c r="I3144">
        <v>246.4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246.4</v>
      </c>
      <c r="P3144" s="44" t="e">
        <f>_xlfn.XLOOKUP(Tabla5[[#This Row],[EAN CORREGIDO]],'Tabla Articulos'!B:B,'Tabla Articulos'!D:D)</f>
        <v>#N/A</v>
      </c>
      <c r="Q3144" s="44" t="e">
        <f>_xlfn.XLOOKUP(S3144,'Tabla Articulos'!B:B,'Tabla Articulos'!E:E)</f>
        <v>#N/A</v>
      </c>
      <c r="R3144" s="44" t="e">
        <f t="shared" si="98"/>
        <v>#N/A</v>
      </c>
      <c r="S3144" s="45" t="str">
        <f t="shared" si="99"/>
        <v>790212030074</v>
      </c>
    </row>
    <row r="3145" spans="1:19" hidden="1" x14ac:dyDescent="0.35">
      <c r="A3145" s="22">
        <v>2</v>
      </c>
      <c r="B3145" t="s">
        <v>5624</v>
      </c>
      <c r="C3145" t="s">
        <v>802</v>
      </c>
      <c r="D3145" t="s">
        <v>6336</v>
      </c>
      <c r="E3145" t="s">
        <v>6337</v>
      </c>
      <c r="F3145">
        <v>4017314</v>
      </c>
      <c r="G3145" t="s">
        <v>6338</v>
      </c>
      <c r="H3145" t="s">
        <v>805</v>
      </c>
      <c r="I3145">
        <v>1571</v>
      </c>
      <c r="J3145">
        <v>0</v>
      </c>
      <c r="K3145">
        <v>0</v>
      </c>
      <c r="L3145">
        <v>182</v>
      </c>
      <c r="M3145">
        <v>182</v>
      </c>
      <c r="N3145">
        <v>0</v>
      </c>
      <c r="O3145">
        <v>1207</v>
      </c>
      <c r="P3145" s="44" t="e">
        <f>_xlfn.XLOOKUP(Tabla5[[#This Row],[EAN CORREGIDO]],'Tabla Articulos'!B:B,'Tabla Articulos'!D:D)</f>
        <v>#N/A</v>
      </c>
      <c r="Q3145" s="44" t="e">
        <f>_xlfn.XLOOKUP(S3145,'Tabla Articulos'!B:B,'Tabla Articulos'!E:E)</f>
        <v>#N/A</v>
      </c>
      <c r="R3145" s="44" t="e">
        <f t="shared" si="98"/>
        <v>#N/A</v>
      </c>
      <c r="S3145" s="45" t="str">
        <f t="shared" si="99"/>
        <v>7790895009204</v>
      </c>
    </row>
    <row r="3146" spans="1:19" hidden="1" x14ac:dyDescent="0.35">
      <c r="A3146" s="22">
        <v>2</v>
      </c>
      <c r="B3146" t="s">
        <v>5624</v>
      </c>
      <c r="C3146" t="s">
        <v>802</v>
      </c>
      <c r="D3146" t="s">
        <v>3313</v>
      </c>
      <c r="E3146" t="s">
        <v>3463</v>
      </c>
      <c r="F3146">
        <v>4020279</v>
      </c>
      <c r="G3146" t="s">
        <v>3464</v>
      </c>
      <c r="H3146" t="s">
        <v>805</v>
      </c>
      <c r="I3146">
        <v>326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326</v>
      </c>
      <c r="P3146" s="44" t="e">
        <f>_xlfn.XLOOKUP(Tabla5[[#This Row],[EAN CORREGIDO]],'Tabla Articulos'!B:B,'Tabla Articulos'!D:D)</f>
        <v>#N/A</v>
      </c>
      <c r="Q3146" s="44" t="e">
        <f>_xlfn.XLOOKUP(S3146,'Tabla Articulos'!B:B,'Tabla Articulos'!E:E)</f>
        <v>#N/A</v>
      </c>
      <c r="R3146" s="44" t="e">
        <f t="shared" si="98"/>
        <v>#N/A</v>
      </c>
      <c r="S3146" s="45" t="str">
        <f t="shared" si="99"/>
        <v>7798011976614</v>
      </c>
    </row>
    <row r="3147" spans="1:19" hidden="1" x14ac:dyDescent="0.35">
      <c r="A3147" s="22">
        <v>2</v>
      </c>
      <c r="B3147" t="s">
        <v>5624</v>
      </c>
      <c r="C3147" t="s">
        <v>802</v>
      </c>
      <c r="D3147" t="s">
        <v>6339</v>
      </c>
      <c r="E3147" t="s">
        <v>6340</v>
      </c>
      <c r="F3147">
        <v>4076540</v>
      </c>
      <c r="G3147" t="s">
        <v>6341</v>
      </c>
      <c r="H3147" t="s">
        <v>805</v>
      </c>
      <c r="I3147">
        <v>95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95</v>
      </c>
      <c r="P3147" s="44" t="e">
        <f>_xlfn.XLOOKUP(Tabla5[[#This Row],[EAN CORREGIDO]],'Tabla Articulos'!B:B,'Tabla Articulos'!D:D)</f>
        <v>#N/A</v>
      </c>
      <c r="Q3147" s="44" t="e">
        <f>_xlfn.XLOOKUP(S3147,'Tabla Articulos'!B:B,'Tabla Articulos'!E:E)</f>
        <v>#N/A</v>
      </c>
      <c r="R3147" s="44" t="e">
        <f t="shared" si="98"/>
        <v>#N/A</v>
      </c>
      <c r="S3147" s="45" t="str">
        <f t="shared" si="99"/>
        <v>7798011977734</v>
      </c>
    </row>
    <row r="3148" spans="1:19" hidden="1" x14ac:dyDescent="0.35">
      <c r="A3148" s="22">
        <v>2</v>
      </c>
      <c r="B3148" t="s">
        <v>5624</v>
      </c>
      <c r="C3148" t="s">
        <v>802</v>
      </c>
      <c r="D3148" t="s">
        <v>3016</v>
      </c>
      <c r="E3148" t="s">
        <v>6342</v>
      </c>
      <c r="F3148">
        <v>4020123</v>
      </c>
      <c r="G3148" t="s">
        <v>6343</v>
      </c>
      <c r="H3148" t="s">
        <v>805</v>
      </c>
      <c r="I3148">
        <v>2000</v>
      </c>
      <c r="J3148">
        <v>0</v>
      </c>
      <c r="K3148">
        <v>0</v>
      </c>
      <c r="L3148">
        <v>192</v>
      </c>
      <c r="M3148">
        <v>192</v>
      </c>
      <c r="N3148">
        <v>65</v>
      </c>
      <c r="O3148">
        <v>1551</v>
      </c>
      <c r="P3148" s="44" t="e">
        <f>_xlfn.XLOOKUP(Tabla5[[#This Row],[EAN CORREGIDO]],'Tabla Articulos'!B:B,'Tabla Articulos'!D:D)</f>
        <v>#N/A</v>
      </c>
      <c r="Q3148" s="44" t="e">
        <f>_xlfn.XLOOKUP(S3148,'Tabla Articulos'!B:B,'Tabla Articulos'!E:E)</f>
        <v>#N/A</v>
      </c>
      <c r="R3148" s="44" t="e">
        <f t="shared" si="98"/>
        <v>#N/A</v>
      </c>
      <c r="S3148" s="45" t="str">
        <f t="shared" si="99"/>
        <v>7792540260138</v>
      </c>
    </row>
    <row r="3149" spans="1:19" hidden="1" x14ac:dyDescent="0.35">
      <c r="A3149" s="22">
        <v>2</v>
      </c>
      <c r="B3149" t="s">
        <v>5624</v>
      </c>
      <c r="C3149" t="s">
        <v>802</v>
      </c>
      <c r="D3149" t="s">
        <v>6344</v>
      </c>
      <c r="E3149" t="s">
        <v>6345</v>
      </c>
      <c r="F3149">
        <v>4023118</v>
      </c>
      <c r="G3149" t="s">
        <v>6346</v>
      </c>
      <c r="H3149" t="s">
        <v>805</v>
      </c>
      <c r="I3149">
        <v>4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4</v>
      </c>
      <c r="P3149" s="44" t="e">
        <f>_xlfn.XLOOKUP(Tabla5[[#This Row],[EAN CORREGIDO]],'Tabla Articulos'!B:B,'Tabla Articulos'!D:D)</f>
        <v>#N/A</v>
      </c>
      <c r="Q3149" s="44" t="e">
        <f>_xlfn.XLOOKUP(S3149,'Tabla Articulos'!B:B,'Tabla Articulos'!E:E)</f>
        <v>#N/A</v>
      </c>
      <c r="R3149" s="44" t="e">
        <f t="shared" si="98"/>
        <v>#N/A</v>
      </c>
      <c r="S3149" s="45" t="str">
        <f t="shared" si="99"/>
        <v>7791113003707</v>
      </c>
    </row>
    <row r="3150" spans="1:19" hidden="1" x14ac:dyDescent="0.35">
      <c r="A3150" s="22">
        <v>2</v>
      </c>
      <c r="B3150" t="s">
        <v>5624</v>
      </c>
      <c r="C3150" t="s">
        <v>802</v>
      </c>
      <c r="D3150" t="s">
        <v>1271</v>
      </c>
      <c r="E3150" t="s">
        <v>3467</v>
      </c>
      <c r="F3150">
        <v>4020342</v>
      </c>
      <c r="G3150" t="s">
        <v>3468</v>
      </c>
      <c r="H3150" t="s">
        <v>805</v>
      </c>
      <c r="I3150">
        <v>281</v>
      </c>
      <c r="J3150">
        <v>0</v>
      </c>
      <c r="K3150">
        <v>0</v>
      </c>
      <c r="L3150">
        <v>71</v>
      </c>
      <c r="M3150">
        <v>71</v>
      </c>
      <c r="N3150">
        <v>0</v>
      </c>
      <c r="O3150">
        <v>139</v>
      </c>
      <c r="P3150" s="44" t="e">
        <f>_xlfn.XLOOKUP(Tabla5[[#This Row],[EAN CORREGIDO]],'Tabla Articulos'!B:B,'Tabla Articulos'!D:D)</f>
        <v>#N/A</v>
      </c>
      <c r="Q3150" s="44" t="e">
        <f>_xlfn.XLOOKUP(S3150,'Tabla Articulos'!B:B,'Tabla Articulos'!E:E)</f>
        <v>#N/A</v>
      </c>
      <c r="R3150" s="44" t="e">
        <f t="shared" si="98"/>
        <v>#N/A</v>
      </c>
      <c r="S3150" s="45" t="str">
        <f t="shared" si="99"/>
        <v>7797470199343</v>
      </c>
    </row>
    <row r="3151" spans="1:19" hidden="1" x14ac:dyDescent="0.35">
      <c r="A3151" s="22">
        <v>2</v>
      </c>
      <c r="B3151" t="s">
        <v>5624</v>
      </c>
      <c r="C3151" t="s">
        <v>802</v>
      </c>
      <c r="D3151" t="s">
        <v>2722</v>
      </c>
      <c r="E3151" t="s">
        <v>2723</v>
      </c>
      <c r="F3151">
        <v>4017343</v>
      </c>
      <c r="G3151" t="s">
        <v>2724</v>
      </c>
      <c r="H3151" t="s">
        <v>805</v>
      </c>
      <c r="I3151">
        <v>2547</v>
      </c>
      <c r="J3151">
        <v>1200</v>
      </c>
      <c r="K3151">
        <v>0</v>
      </c>
      <c r="L3151">
        <v>1270</v>
      </c>
      <c r="M3151">
        <v>1270</v>
      </c>
      <c r="N3151">
        <v>0</v>
      </c>
      <c r="O3151">
        <v>1207</v>
      </c>
      <c r="P3151" s="44" t="e">
        <f>_xlfn.XLOOKUP(Tabla5[[#This Row],[EAN CORREGIDO]],'Tabla Articulos'!B:B,'Tabla Articulos'!D:D)</f>
        <v>#N/A</v>
      </c>
      <c r="Q3151" s="44" t="e">
        <f>_xlfn.XLOOKUP(S3151,'Tabla Articulos'!B:B,'Tabla Articulos'!E:E)</f>
        <v>#N/A</v>
      </c>
      <c r="R3151" s="44" t="e">
        <f t="shared" si="98"/>
        <v>#N/A</v>
      </c>
      <c r="S3151" s="45" t="str">
        <f t="shared" si="99"/>
        <v>7790895000720</v>
      </c>
    </row>
    <row r="3152" spans="1:19" hidden="1" x14ac:dyDescent="0.35">
      <c r="A3152" s="22">
        <v>2</v>
      </c>
      <c r="B3152" t="s">
        <v>5624</v>
      </c>
      <c r="C3152" t="s">
        <v>802</v>
      </c>
      <c r="D3152" t="s">
        <v>2146</v>
      </c>
      <c r="E3152" t="s">
        <v>2147</v>
      </c>
      <c r="F3152">
        <v>4024236</v>
      </c>
      <c r="G3152" t="s">
        <v>2148</v>
      </c>
      <c r="H3152" t="s">
        <v>805</v>
      </c>
      <c r="I3152">
        <v>9</v>
      </c>
      <c r="J3152">
        <v>0</v>
      </c>
      <c r="K3152">
        <v>0</v>
      </c>
      <c r="L3152">
        <v>3</v>
      </c>
      <c r="M3152">
        <v>3</v>
      </c>
      <c r="N3152">
        <v>0</v>
      </c>
      <c r="O3152">
        <v>3</v>
      </c>
      <c r="P3152" s="44" t="e">
        <f>_xlfn.XLOOKUP(Tabla5[[#This Row],[EAN CORREGIDO]],'Tabla Articulos'!B:B,'Tabla Articulos'!D:D)</f>
        <v>#N/A</v>
      </c>
      <c r="Q3152" s="44" t="e">
        <f>_xlfn.XLOOKUP(S3152,'Tabla Articulos'!B:B,'Tabla Articulos'!E:E)</f>
        <v>#N/A</v>
      </c>
      <c r="R3152" s="44" t="e">
        <f t="shared" si="98"/>
        <v>#N/A</v>
      </c>
      <c r="S3152" s="45" t="str">
        <f t="shared" si="99"/>
        <v>0724751080400</v>
      </c>
    </row>
    <row r="3153" spans="1:19" hidden="1" x14ac:dyDescent="0.35">
      <c r="A3153" s="22">
        <v>2</v>
      </c>
      <c r="B3153" t="s">
        <v>5624</v>
      </c>
      <c r="C3153" t="s">
        <v>802</v>
      </c>
      <c r="D3153" t="s">
        <v>5977</v>
      </c>
      <c r="E3153" t="s">
        <v>5978</v>
      </c>
      <c r="F3153">
        <v>4018411</v>
      </c>
      <c r="G3153" t="s">
        <v>5979</v>
      </c>
      <c r="H3153" t="s">
        <v>805</v>
      </c>
      <c r="I3153">
        <v>27</v>
      </c>
      <c r="J3153">
        <v>36</v>
      </c>
      <c r="K3153">
        <v>0</v>
      </c>
      <c r="L3153">
        <v>10</v>
      </c>
      <c r="M3153">
        <v>10</v>
      </c>
      <c r="N3153">
        <v>4</v>
      </c>
      <c r="O3153">
        <v>39</v>
      </c>
      <c r="P3153" s="44" t="e">
        <f>_xlfn.XLOOKUP(Tabla5[[#This Row],[EAN CORREGIDO]],'Tabla Articulos'!B:B,'Tabla Articulos'!D:D)</f>
        <v>#N/A</v>
      </c>
      <c r="Q3153" s="44" t="e">
        <f>_xlfn.XLOOKUP(S3153,'Tabla Articulos'!B:B,'Tabla Articulos'!E:E)</f>
        <v>#N/A</v>
      </c>
      <c r="R3153" s="44" t="e">
        <f t="shared" si="98"/>
        <v>#N/A</v>
      </c>
      <c r="S3153" s="45" t="str">
        <f t="shared" si="99"/>
        <v>7790606000643</v>
      </c>
    </row>
    <row r="3154" spans="1:19" hidden="1" x14ac:dyDescent="0.35">
      <c r="A3154" s="22">
        <v>2</v>
      </c>
      <c r="B3154" t="s">
        <v>5624</v>
      </c>
      <c r="C3154" t="s">
        <v>802</v>
      </c>
      <c r="D3154" t="s">
        <v>3726</v>
      </c>
      <c r="E3154" t="s">
        <v>3727</v>
      </c>
      <c r="F3154">
        <v>4022175</v>
      </c>
      <c r="G3154" t="s">
        <v>3728</v>
      </c>
      <c r="H3154" t="s">
        <v>805</v>
      </c>
      <c r="I3154">
        <v>256</v>
      </c>
      <c r="J3154">
        <v>0</v>
      </c>
      <c r="K3154">
        <v>0</v>
      </c>
      <c r="L3154">
        <v>12</v>
      </c>
      <c r="M3154">
        <v>12</v>
      </c>
      <c r="N3154">
        <v>0</v>
      </c>
      <c r="O3154">
        <v>232</v>
      </c>
      <c r="P3154" s="44" t="e">
        <f>_xlfn.XLOOKUP(Tabla5[[#This Row],[EAN CORREGIDO]],'Tabla Articulos'!B:B,'Tabla Articulos'!D:D)</f>
        <v>#N/A</v>
      </c>
      <c r="Q3154" s="44" t="e">
        <f>_xlfn.XLOOKUP(S3154,'Tabla Articulos'!B:B,'Tabla Articulos'!E:E)</f>
        <v>#N/A</v>
      </c>
      <c r="R3154" s="44" t="e">
        <f t="shared" si="98"/>
        <v>#N/A</v>
      </c>
      <c r="S3154" s="45" t="str">
        <f t="shared" si="99"/>
        <v>7798011977376</v>
      </c>
    </row>
    <row r="3155" spans="1:19" hidden="1" x14ac:dyDescent="0.35">
      <c r="A3155" s="22">
        <v>2</v>
      </c>
      <c r="B3155" t="s">
        <v>5624</v>
      </c>
      <c r="C3155" t="s">
        <v>802</v>
      </c>
      <c r="D3155" t="s">
        <v>6408</v>
      </c>
      <c r="E3155" t="s">
        <v>6409</v>
      </c>
      <c r="F3155">
        <v>4076541</v>
      </c>
      <c r="G3155" t="s">
        <v>6410</v>
      </c>
      <c r="H3155" t="s">
        <v>805</v>
      </c>
      <c r="I3155">
        <v>100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100</v>
      </c>
      <c r="P3155" s="44" t="e">
        <f>_xlfn.XLOOKUP(Tabla5[[#This Row],[EAN CORREGIDO]],'Tabla Articulos'!B:B,'Tabla Articulos'!D:D)</f>
        <v>#N/A</v>
      </c>
      <c r="Q3155" s="44" t="e">
        <f>_xlfn.XLOOKUP(S3155,'Tabla Articulos'!B:B,'Tabla Articulos'!E:E)</f>
        <v>#N/A</v>
      </c>
      <c r="R3155" s="44" t="e">
        <f t="shared" si="98"/>
        <v>#N/A</v>
      </c>
      <c r="S3155" s="45" t="str">
        <f t="shared" si="99"/>
        <v>7798011977741</v>
      </c>
    </row>
    <row r="3156" spans="1:19" hidden="1" x14ac:dyDescent="0.35">
      <c r="A3156" s="22">
        <v>2</v>
      </c>
      <c r="B3156" t="s">
        <v>5624</v>
      </c>
      <c r="C3156" t="s">
        <v>802</v>
      </c>
      <c r="D3156" t="s">
        <v>1620</v>
      </c>
      <c r="E3156" t="s">
        <v>1621</v>
      </c>
      <c r="F3156">
        <v>4077013</v>
      </c>
      <c r="G3156" t="s">
        <v>1622</v>
      </c>
      <c r="H3156" t="s">
        <v>805</v>
      </c>
      <c r="I3156">
        <v>1128</v>
      </c>
      <c r="J3156">
        <v>0</v>
      </c>
      <c r="K3156">
        <v>0</v>
      </c>
      <c r="L3156">
        <v>2</v>
      </c>
      <c r="M3156">
        <v>2</v>
      </c>
      <c r="N3156">
        <v>0</v>
      </c>
      <c r="O3156">
        <v>1124</v>
      </c>
      <c r="P3156" s="44" t="e">
        <f>_xlfn.XLOOKUP(Tabla5[[#This Row],[EAN CORREGIDO]],'Tabla Articulos'!B:B,'Tabla Articulos'!D:D)</f>
        <v>#N/A</v>
      </c>
      <c r="Q3156" s="44" t="e">
        <f>_xlfn.XLOOKUP(S3156,'Tabla Articulos'!B:B,'Tabla Articulos'!E:E)</f>
        <v>#N/A</v>
      </c>
      <c r="R3156" s="44" t="e">
        <f t="shared" si="98"/>
        <v>#N/A</v>
      </c>
      <c r="S3156" s="45" t="str">
        <f t="shared" si="99"/>
        <v>7798092900157</v>
      </c>
    </row>
    <row r="3157" spans="1:19" hidden="1" x14ac:dyDescent="0.35">
      <c r="A3157" s="22">
        <v>2</v>
      </c>
      <c r="B3157" t="s">
        <v>5624</v>
      </c>
      <c r="C3157" t="s">
        <v>802</v>
      </c>
      <c r="D3157" t="s">
        <v>5041</v>
      </c>
      <c r="E3157" t="s">
        <v>5841</v>
      </c>
      <c r="F3157">
        <v>4001074</v>
      </c>
      <c r="G3157" t="s">
        <v>5842</v>
      </c>
      <c r="H3157" t="s">
        <v>816</v>
      </c>
      <c r="I3157">
        <v>288.55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288.55</v>
      </c>
      <c r="P3157" s="44" t="e">
        <f>_xlfn.XLOOKUP(Tabla5[[#This Row],[EAN CORREGIDO]],'Tabla Articulos'!B:B,'Tabla Articulos'!D:D)</f>
        <v>#N/A</v>
      </c>
      <c r="Q3157" s="44" t="e">
        <f>_xlfn.XLOOKUP(S3157,'Tabla Articulos'!B:B,'Tabla Articulos'!E:E)</f>
        <v>#N/A</v>
      </c>
      <c r="R3157" s="44" t="e">
        <f t="shared" si="98"/>
        <v>#N/A</v>
      </c>
      <c r="S3157" s="45" t="str">
        <f t="shared" si="99"/>
        <v>7790000000596</v>
      </c>
    </row>
    <row r="3158" spans="1:19" hidden="1" x14ac:dyDescent="0.35">
      <c r="A3158" s="22">
        <v>2</v>
      </c>
      <c r="B3158" t="s">
        <v>5624</v>
      </c>
      <c r="C3158" t="s">
        <v>802</v>
      </c>
      <c r="D3158" t="s">
        <v>991</v>
      </c>
      <c r="E3158" t="s">
        <v>5843</v>
      </c>
      <c r="F3158">
        <v>4018280</v>
      </c>
      <c r="G3158" t="s">
        <v>5844</v>
      </c>
      <c r="H3158" t="s">
        <v>816</v>
      </c>
      <c r="I3158">
        <v>3453.5810000000001</v>
      </c>
      <c r="J3158">
        <v>0</v>
      </c>
      <c r="K3158">
        <v>0</v>
      </c>
      <c r="L3158">
        <v>380.97199999999998</v>
      </c>
      <c r="M3158">
        <v>380.97199999999998</v>
      </c>
      <c r="N3158">
        <v>0</v>
      </c>
      <c r="O3158">
        <v>2691.6370000000002</v>
      </c>
      <c r="P3158" s="44" t="e">
        <f>_xlfn.XLOOKUP(Tabla5[[#This Row],[EAN CORREGIDO]],'Tabla Articulos'!B:B,'Tabla Articulos'!D:D)</f>
        <v>#N/A</v>
      </c>
      <c r="Q3158" s="44" t="e">
        <f>_xlfn.XLOOKUP(S3158,'Tabla Articulos'!B:B,'Tabla Articulos'!E:E)</f>
        <v>#N/A</v>
      </c>
      <c r="R3158" s="44" t="e">
        <f t="shared" si="98"/>
        <v>#N/A</v>
      </c>
      <c r="S3158" s="45" t="str">
        <f t="shared" si="99"/>
        <v>754697526823</v>
      </c>
    </row>
    <row r="3159" spans="1:19" hidden="1" x14ac:dyDescent="0.35">
      <c r="A3159" s="22">
        <v>2</v>
      </c>
      <c r="B3159" t="s">
        <v>5624</v>
      </c>
      <c r="C3159" t="s">
        <v>802</v>
      </c>
      <c r="D3159" t="s">
        <v>1629</v>
      </c>
      <c r="E3159" t="s">
        <v>1630</v>
      </c>
      <c r="F3159">
        <v>4017443</v>
      </c>
      <c r="G3159" t="s">
        <v>1631</v>
      </c>
      <c r="H3159" t="s">
        <v>805</v>
      </c>
      <c r="I3159">
        <v>2438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2438</v>
      </c>
      <c r="P3159" s="44" t="e">
        <f>_xlfn.XLOOKUP(Tabla5[[#This Row],[EAN CORREGIDO]],'Tabla Articulos'!B:B,'Tabla Articulos'!D:D)</f>
        <v>#N/A</v>
      </c>
      <c r="Q3159" s="44" t="e">
        <f>_xlfn.XLOOKUP(S3159,'Tabla Articulos'!B:B,'Tabla Articulos'!E:E)</f>
        <v>#N/A</v>
      </c>
      <c r="R3159" s="44" t="e">
        <f t="shared" si="98"/>
        <v>#N/A</v>
      </c>
      <c r="S3159" s="45" t="str">
        <f t="shared" si="99"/>
        <v>7790895647772</v>
      </c>
    </row>
    <row r="3160" spans="1:19" hidden="1" x14ac:dyDescent="0.35">
      <c r="A3160" s="22">
        <v>2</v>
      </c>
      <c r="B3160" t="s">
        <v>5624</v>
      </c>
      <c r="C3160" t="s">
        <v>802</v>
      </c>
      <c r="D3160" t="s">
        <v>1636</v>
      </c>
      <c r="E3160" t="s">
        <v>1637</v>
      </c>
      <c r="F3160">
        <v>4019022</v>
      </c>
      <c r="G3160" t="s">
        <v>1638</v>
      </c>
      <c r="H3160" t="s">
        <v>805</v>
      </c>
      <c r="I3160">
        <v>42788</v>
      </c>
      <c r="J3160">
        <v>0</v>
      </c>
      <c r="K3160">
        <v>0</v>
      </c>
      <c r="L3160">
        <v>994</v>
      </c>
      <c r="M3160">
        <v>994</v>
      </c>
      <c r="N3160">
        <v>232</v>
      </c>
      <c r="O3160">
        <v>40568</v>
      </c>
      <c r="P3160" s="44" t="e">
        <f>_xlfn.XLOOKUP(Tabla5[[#This Row],[EAN CORREGIDO]],'Tabla Articulos'!B:B,'Tabla Articulos'!D:D)</f>
        <v>#N/A</v>
      </c>
      <c r="Q3160" s="44" t="e">
        <f>_xlfn.XLOOKUP(S3160,'Tabla Articulos'!B:B,'Tabla Articulos'!E:E)</f>
        <v>#N/A</v>
      </c>
      <c r="R3160" s="44" t="e">
        <f t="shared" si="98"/>
        <v>#N/A</v>
      </c>
      <c r="S3160" s="45" t="str">
        <f t="shared" si="99"/>
        <v>7798188380160</v>
      </c>
    </row>
    <row r="3161" spans="1:19" hidden="1" x14ac:dyDescent="0.35">
      <c r="A3161" s="22">
        <v>2</v>
      </c>
      <c r="B3161" t="s">
        <v>5624</v>
      </c>
      <c r="C3161" t="s">
        <v>802</v>
      </c>
      <c r="D3161" t="s">
        <v>926</v>
      </c>
      <c r="E3161" t="s">
        <v>2540</v>
      </c>
      <c r="F3161">
        <v>4022849</v>
      </c>
      <c r="G3161" t="s">
        <v>2541</v>
      </c>
      <c r="H3161" t="s">
        <v>805</v>
      </c>
      <c r="I3161">
        <v>925</v>
      </c>
      <c r="J3161">
        <v>0</v>
      </c>
      <c r="K3161">
        <v>0</v>
      </c>
      <c r="L3161">
        <v>238</v>
      </c>
      <c r="M3161">
        <v>238</v>
      </c>
      <c r="N3161">
        <v>0</v>
      </c>
      <c r="O3161">
        <v>449</v>
      </c>
      <c r="P3161" s="44" t="e">
        <f>_xlfn.XLOOKUP(Tabla5[[#This Row],[EAN CORREGIDO]],'Tabla Articulos'!B:B,'Tabla Articulos'!D:D)</f>
        <v>#N/A</v>
      </c>
      <c r="Q3161" s="44" t="e">
        <f>_xlfn.XLOOKUP(S3161,'Tabla Articulos'!B:B,'Tabla Articulos'!E:E)</f>
        <v>#N/A</v>
      </c>
      <c r="R3161" s="44" t="e">
        <f t="shared" si="98"/>
        <v>#N/A</v>
      </c>
      <c r="S3161" s="45" t="str">
        <f t="shared" si="99"/>
        <v>7791476034011</v>
      </c>
    </row>
    <row r="3162" spans="1:19" hidden="1" x14ac:dyDescent="0.35">
      <c r="A3162" s="22">
        <v>2</v>
      </c>
      <c r="B3162" t="s">
        <v>5624</v>
      </c>
      <c r="C3162" t="s">
        <v>802</v>
      </c>
      <c r="D3162" t="s">
        <v>6106</v>
      </c>
      <c r="E3162" t="s">
        <v>6107</v>
      </c>
      <c r="F3162">
        <v>4024167</v>
      </c>
      <c r="G3162" t="s">
        <v>6108</v>
      </c>
      <c r="H3162" t="s">
        <v>805</v>
      </c>
      <c r="I3162">
        <v>758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758</v>
      </c>
      <c r="P3162" s="44" t="e">
        <f>_xlfn.XLOOKUP(Tabla5[[#This Row],[EAN CORREGIDO]],'Tabla Articulos'!B:B,'Tabla Articulos'!D:D)</f>
        <v>#N/A</v>
      </c>
      <c r="Q3162" s="44" t="e">
        <f>_xlfn.XLOOKUP(S3162,'Tabla Articulos'!B:B,'Tabla Articulos'!E:E)</f>
        <v>#N/A</v>
      </c>
      <c r="R3162" s="44" t="e">
        <f t="shared" si="98"/>
        <v>#N/A</v>
      </c>
      <c r="S3162" s="45" t="str">
        <f t="shared" si="99"/>
        <v>7797470132210</v>
      </c>
    </row>
    <row r="3163" spans="1:19" hidden="1" x14ac:dyDescent="0.35">
      <c r="A3163" s="22">
        <v>2</v>
      </c>
      <c r="B3163" t="s">
        <v>5624</v>
      </c>
      <c r="C3163" t="s">
        <v>802</v>
      </c>
      <c r="D3163" t="s">
        <v>2284</v>
      </c>
      <c r="E3163" t="s">
        <v>2542</v>
      </c>
      <c r="F3163">
        <v>4018707</v>
      </c>
      <c r="G3163" t="s">
        <v>2543</v>
      </c>
      <c r="H3163" t="s">
        <v>805</v>
      </c>
      <c r="I3163">
        <v>434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434</v>
      </c>
      <c r="P3163" s="44" t="e">
        <f>_xlfn.XLOOKUP(Tabla5[[#This Row],[EAN CORREGIDO]],'Tabla Articulos'!B:B,'Tabla Articulos'!D:D)</f>
        <v>#N/A</v>
      </c>
      <c r="Q3163" s="44" t="e">
        <f>_xlfn.XLOOKUP(S3163,'Tabla Articulos'!B:B,'Tabla Articulos'!E:E)</f>
        <v>#N/A</v>
      </c>
      <c r="R3163" s="44" t="e">
        <f t="shared" si="98"/>
        <v>#N/A</v>
      </c>
      <c r="S3163" s="45" t="str">
        <f t="shared" si="99"/>
        <v>7791218122617</v>
      </c>
    </row>
    <row r="3164" spans="1:19" hidden="1" x14ac:dyDescent="0.35">
      <c r="A3164" s="22">
        <v>2</v>
      </c>
      <c r="B3164" t="s">
        <v>5624</v>
      </c>
      <c r="C3164" t="s">
        <v>802</v>
      </c>
      <c r="D3164" t="s">
        <v>297</v>
      </c>
      <c r="E3164" t="s">
        <v>3712</v>
      </c>
      <c r="F3164">
        <v>2007253</v>
      </c>
      <c r="G3164" t="s">
        <v>3713</v>
      </c>
      <c r="H3164" t="s">
        <v>805</v>
      </c>
      <c r="I3164">
        <v>8</v>
      </c>
      <c r="J3164">
        <v>12</v>
      </c>
      <c r="K3164">
        <v>0</v>
      </c>
      <c r="L3164">
        <v>2</v>
      </c>
      <c r="M3164">
        <v>2</v>
      </c>
      <c r="N3164">
        <v>0</v>
      </c>
      <c r="O3164">
        <v>16</v>
      </c>
      <c r="P3164" s="44" t="str">
        <f>_xlfn.XLOOKUP(Tabla5[[#This Row],[EAN CORREGIDO]],'Tabla Articulos'!B:B,'Tabla Articulos'!D:D)</f>
        <v>BANDEJA R5</v>
      </c>
      <c r="Q3164" s="44">
        <f>_xlfn.XLOOKUP(S3164,'Tabla Articulos'!B:B,'Tabla Articulos'!E:E)</f>
        <v>600</v>
      </c>
      <c r="R3164" s="44">
        <f t="shared" si="98"/>
        <v>9600</v>
      </c>
      <c r="S3164" s="45" t="str">
        <f t="shared" si="99"/>
        <v>610000108738</v>
      </c>
    </row>
    <row r="3165" spans="1:19" hidden="1" x14ac:dyDescent="0.35">
      <c r="A3165" s="22">
        <v>2</v>
      </c>
      <c r="B3165" t="s">
        <v>5624</v>
      </c>
      <c r="C3165" t="s">
        <v>802</v>
      </c>
      <c r="D3165" t="s">
        <v>2158</v>
      </c>
      <c r="E3165" t="s">
        <v>2159</v>
      </c>
      <c r="F3165">
        <v>4019857</v>
      </c>
      <c r="G3165" t="s">
        <v>2160</v>
      </c>
      <c r="H3165" t="s">
        <v>805</v>
      </c>
      <c r="I3165">
        <v>2322</v>
      </c>
      <c r="J3165">
        <v>0</v>
      </c>
      <c r="K3165">
        <v>0</v>
      </c>
      <c r="L3165">
        <v>145</v>
      </c>
      <c r="M3165">
        <v>145</v>
      </c>
      <c r="N3165">
        <v>0</v>
      </c>
      <c r="O3165">
        <v>2032</v>
      </c>
      <c r="P3165" s="44" t="e">
        <f>_xlfn.XLOOKUP(Tabla5[[#This Row],[EAN CORREGIDO]],'Tabla Articulos'!B:B,'Tabla Articulos'!D:D)</f>
        <v>#N/A</v>
      </c>
      <c r="Q3165" s="44" t="e">
        <f>_xlfn.XLOOKUP(S3165,'Tabla Articulos'!B:B,'Tabla Articulos'!E:E)</f>
        <v>#N/A</v>
      </c>
      <c r="R3165" s="44" t="e">
        <f t="shared" si="98"/>
        <v>#N/A</v>
      </c>
      <c r="S3165" s="45" t="str">
        <f t="shared" si="99"/>
        <v>7790847060543</v>
      </c>
    </row>
    <row r="3166" spans="1:19" hidden="1" x14ac:dyDescent="0.35">
      <c r="A3166" s="22">
        <v>2</v>
      </c>
      <c r="B3166" t="s">
        <v>5624</v>
      </c>
      <c r="C3166" t="s">
        <v>802</v>
      </c>
      <c r="D3166" t="s">
        <v>4374</v>
      </c>
      <c r="E3166" t="s">
        <v>5980</v>
      </c>
      <c r="F3166">
        <v>4017770</v>
      </c>
      <c r="G3166" t="s">
        <v>5981</v>
      </c>
      <c r="H3166" t="s">
        <v>816</v>
      </c>
      <c r="I3166">
        <v>84.8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84.8</v>
      </c>
      <c r="P3166" s="44" t="e">
        <f>_xlfn.XLOOKUP(Tabla5[[#This Row],[EAN CORREGIDO]],'Tabla Articulos'!B:B,'Tabla Articulos'!D:D)</f>
        <v>#N/A</v>
      </c>
      <c r="Q3166" s="44" t="e">
        <f>_xlfn.XLOOKUP(S3166,'Tabla Articulos'!B:B,'Tabla Articulos'!E:E)</f>
        <v>#N/A</v>
      </c>
      <c r="R3166" s="44" t="e">
        <f t="shared" si="98"/>
        <v>#N/A</v>
      </c>
      <c r="S3166" s="45" t="str">
        <f t="shared" si="99"/>
        <v>7790212050099</v>
      </c>
    </row>
    <row r="3167" spans="1:19" hidden="1" x14ac:dyDescent="0.35">
      <c r="A3167" s="22">
        <v>2</v>
      </c>
      <c r="B3167" t="s">
        <v>5624</v>
      </c>
      <c r="C3167" t="s">
        <v>802</v>
      </c>
      <c r="D3167" t="s">
        <v>330</v>
      </c>
      <c r="E3167" t="s">
        <v>5982</v>
      </c>
      <c r="F3167">
        <v>2006472</v>
      </c>
      <c r="G3167" t="s">
        <v>5983</v>
      </c>
      <c r="H3167" t="s">
        <v>805</v>
      </c>
      <c r="I3167">
        <v>19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19</v>
      </c>
      <c r="P3167" s="44" t="str">
        <f>_xlfn.XLOOKUP(Tabla5[[#This Row],[EAN CORREGIDO]],'Tabla Articulos'!B:B,'Tabla Articulos'!D:D)</f>
        <v>TAPA VASO TERMICO 300</v>
      </c>
      <c r="Q3167" s="44">
        <f>_xlfn.XLOOKUP(S3167,'Tabla Articulos'!B:B,'Tabla Articulos'!E:E)</f>
        <v>100</v>
      </c>
      <c r="R3167" s="44">
        <f t="shared" si="98"/>
        <v>1900</v>
      </c>
      <c r="S3167" s="45" t="str">
        <f t="shared" si="99"/>
        <v>7790321020328</v>
      </c>
    </row>
    <row r="3168" spans="1:19" hidden="1" x14ac:dyDescent="0.35">
      <c r="A3168" s="22">
        <v>2</v>
      </c>
      <c r="B3168" t="s">
        <v>5624</v>
      </c>
      <c r="C3168" t="s">
        <v>802</v>
      </c>
      <c r="D3168" t="s">
        <v>1580</v>
      </c>
      <c r="E3168" t="s">
        <v>2725</v>
      </c>
      <c r="F3168">
        <v>4020607</v>
      </c>
      <c r="G3168" t="s">
        <v>2726</v>
      </c>
      <c r="H3168" t="s">
        <v>816</v>
      </c>
      <c r="I3168">
        <v>783</v>
      </c>
      <c r="J3168">
        <v>0</v>
      </c>
      <c r="K3168">
        <v>0</v>
      </c>
      <c r="L3168">
        <v>31</v>
      </c>
      <c r="M3168">
        <v>31</v>
      </c>
      <c r="N3168">
        <v>0</v>
      </c>
      <c r="O3168">
        <v>721</v>
      </c>
      <c r="P3168" s="44" t="e">
        <f>_xlfn.XLOOKUP(Tabla5[[#This Row],[EAN CORREGIDO]],'Tabla Articulos'!B:B,'Tabla Articulos'!D:D)</f>
        <v>#N/A</v>
      </c>
      <c r="Q3168" s="44" t="e">
        <f>_xlfn.XLOOKUP(S3168,'Tabla Articulos'!B:B,'Tabla Articulos'!E:E)</f>
        <v>#N/A</v>
      </c>
      <c r="R3168" s="44" t="e">
        <f t="shared" si="98"/>
        <v>#N/A</v>
      </c>
      <c r="S3168" s="45" t="str">
        <f t="shared" si="99"/>
        <v>7791113000621</v>
      </c>
    </row>
    <row r="3169" spans="1:19" hidden="1" x14ac:dyDescent="0.35">
      <c r="A3169" s="22">
        <v>2</v>
      </c>
      <c r="B3169" t="s">
        <v>5624</v>
      </c>
      <c r="C3169" t="s">
        <v>802</v>
      </c>
      <c r="D3169" t="s">
        <v>6171</v>
      </c>
      <c r="E3169" t="s">
        <v>6172</v>
      </c>
      <c r="F3169">
        <v>4020500</v>
      </c>
      <c r="G3169" t="s">
        <v>6173</v>
      </c>
      <c r="H3169" t="s">
        <v>805</v>
      </c>
      <c r="I3169">
        <v>14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14</v>
      </c>
      <c r="P3169" s="44" t="e">
        <f>_xlfn.XLOOKUP(Tabla5[[#This Row],[EAN CORREGIDO]],'Tabla Articulos'!B:B,'Tabla Articulos'!D:D)</f>
        <v>#N/A</v>
      </c>
      <c r="Q3169" s="44" t="e">
        <f>_xlfn.XLOOKUP(S3169,'Tabla Articulos'!B:B,'Tabla Articulos'!E:E)</f>
        <v>#N/A</v>
      </c>
      <c r="R3169" s="44" t="e">
        <f t="shared" si="98"/>
        <v>#N/A</v>
      </c>
      <c r="S3169" s="45" t="str">
        <f t="shared" si="99"/>
        <v>7798011976959</v>
      </c>
    </row>
    <row r="3170" spans="1:19" hidden="1" x14ac:dyDescent="0.35">
      <c r="A3170" s="22">
        <v>2</v>
      </c>
      <c r="B3170" t="s">
        <v>5624</v>
      </c>
      <c r="C3170" t="s">
        <v>802</v>
      </c>
      <c r="D3170" t="s">
        <v>5422</v>
      </c>
      <c r="E3170" t="s">
        <v>6174</v>
      </c>
      <c r="F3170">
        <v>4024112</v>
      </c>
      <c r="G3170" t="s">
        <v>6175</v>
      </c>
      <c r="H3170" t="s">
        <v>805</v>
      </c>
      <c r="I3170">
        <v>10</v>
      </c>
      <c r="J3170">
        <v>0</v>
      </c>
      <c r="K3170">
        <v>0</v>
      </c>
      <c r="L3170">
        <v>1</v>
      </c>
      <c r="M3170">
        <v>1</v>
      </c>
      <c r="N3170">
        <v>0</v>
      </c>
      <c r="O3170">
        <v>8</v>
      </c>
      <c r="P3170" s="44" t="e">
        <f>_xlfn.XLOOKUP(Tabla5[[#This Row],[EAN CORREGIDO]],'Tabla Articulos'!B:B,'Tabla Articulos'!D:D)</f>
        <v>#N/A</v>
      </c>
      <c r="Q3170" s="44" t="e">
        <f>_xlfn.XLOOKUP(S3170,'Tabla Articulos'!B:B,'Tabla Articulos'!E:E)</f>
        <v>#N/A</v>
      </c>
      <c r="R3170" s="44" t="e">
        <f t="shared" si="98"/>
        <v>#N/A</v>
      </c>
      <c r="S3170" s="45" t="str">
        <f t="shared" si="99"/>
        <v>7793323003973</v>
      </c>
    </row>
    <row r="3171" spans="1:19" hidden="1" x14ac:dyDescent="0.35">
      <c r="A3171" s="22">
        <v>2</v>
      </c>
      <c r="B3171" t="s">
        <v>5624</v>
      </c>
      <c r="C3171" t="s">
        <v>802</v>
      </c>
      <c r="D3171" t="s">
        <v>4067</v>
      </c>
      <c r="E3171" t="s">
        <v>4165</v>
      </c>
      <c r="F3171">
        <v>4023199</v>
      </c>
      <c r="G3171" t="s">
        <v>4166</v>
      </c>
      <c r="H3171" t="s">
        <v>805</v>
      </c>
      <c r="I3171">
        <v>406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406</v>
      </c>
      <c r="P3171" s="44" t="e">
        <f>_xlfn.XLOOKUP(Tabla5[[#This Row],[EAN CORREGIDO]],'Tabla Articulos'!B:B,'Tabla Articulos'!D:D)</f>
        <v>#N/A</v>
      </c>
      <c r="Q3171" s="44" t="e">
        <f>_xlfn.XLOOKUP(S3171,'Tabla Articulos'!B:B,'Tabla Articulos'!E:E)</f>
        <v>#N/A</v>
      </c>
      <c r="R3171" s="44" t="e">
        <f t="shared" si="98"/>
        <v>#N/A</v>
      </c>
      <c r="S3171" s="45" t="str">
        <f t="shared" si="99"/>
        <v>7791675908373</v>
      </c>
    </row>
    <row r="3172" spans="1:19" hidden="1" x14ac:dyDescent="0.35">
      <c r="A3172" s="22">
        <v>2</v>
      </c>
      <c r="B3172" t="s">
        <v>5624</v>
      </c>
      <c r="C3172" t="s">
        <v>802</v>
      </c>
      <c r="D3172" t="s">
        <v>4170</v>
      </c>
      <c r="E3172" t="s">
        <v>4171</v>
      </c>
      <c r="F3172">
        <v>4018765</v>
      </c>
      <c r="G3172" t="s">
        <v>4172</v>
      </c>
      <c r="H3172" t="s">
        <v>805</v>
      </c>
      <c r="I3172">
        <v>108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108</v>
      </c>
      <c r="P3172" s="44" t="e">
        <f>_xlfn.XLOOKUP(Tabla5[[#This Row],[EAN CORREGIDO]],'Tabla Articulos'!B:B,'Tabla Articulos'!D:D)</f>
        <v>#N/A</v>
      </c>
      <c r="Q3172" s="44" t="e">
        <f>_xlfn.XLOOKUP(S3172,'Tabla Articulos'!B:B,'Tabla Articulos'!E:E)</f>
        <v>#N/A</v>
      </c>
      <c r="R3172" s="44" t="e">
        <f t="shared" si="98"/>
        <v>#N/A</v>
      </c>
      <c r="S3172" s="45" t="str">
        <f t="shared" si="99"/>
        <v>7790040139657</v>
      </c>
    </row>
    <row r="3173" spans="1:19" hidden="1" x14ac:dyDescent="0.35">
      <c r="A3173" s="22">
        <v>2</v>
      </c>
      <c r="B3173" t="s">
        <v>5624</v>
      </c>
      <c r="C3173" t="s">
        <v>802</v>
      </c>
      <c r="D3173" t="s">
        <v>55</v>
      </c>
      <c r="E3173" t="s">
        <v>4175</v>
      </c>
      <c r="F3173">
        <v>2011501</v>
      </c>
      <c r="G3173" t="s">
        <v>4176</v>
      </c>
      <c r="H3173" t="s">
        <v>805</v>
      </c>
      <c r="I3173">
        <v>343</v>
      </c>
      <c r="J3173">
        <v>0</v>
      </c>
      <c r="K3173">
        <v>0</v>
      </c>
      <c r="L3173">
        <v>128</v>
      </c>
      <c r="M3173">
        <v>128</v>
      </c>
      <c r="N3173">
        <v>0</v>
      </c>
      <c r="O3173">
        <v>87</v>
      </c>
      <c r="P3173" s="44" t="str">
        <f>_xlfn.XLOOKUP(Tabla5[[#This Row],[EAN CORREGIDO]],'Tabla Articulos'!B:B,'Tabla Articulos'!D:D)</f>
        <v>TAPA 101</v>
      </c>
      <c r="Q3173" s="44">
        <f>_xlfn.XLOOKUP(S3173,'Tabla Articulos'!B:B,'Tabla Articulos'!E:E)</f>
        <v>100</v>
      </c>
      <c r="R3173" s="44">
        <f t="shared" si="98"/>
        <v>8700</v>
      </c>
      <c r="S3173" s="45" t="str">
        <f t="shared" si="99"/>
        <v>7798011210022</v>
      </c>
    </row>
    <row r="3174" spans="1:19" hidden="1" x14ac:dyDescent="0.35">
      <c r="A3174" s="22">
        <v>2</v>
      </c>
      <c r="B3174" t="s">
        <v>5624</v>
      </c>
      <c r="C3174" t="s">
        <v>802</v>
      </c>
      <c r="D3174" t="s">
        <v>4184</v>
      </c>
      <c r="E3174" t="s">
        <v>4185</v>
      </c>
      <c r="F3174">
        <v>4048940</v>
      </c>
      <c r="G3174" t="s">
        <v>4186</v>
      </c>
      <c r="H3174" t="s">
        <v>805</v>
      </c>
      <c r="I3174">
        <v>736</v>
      </c>
      <c r="J3174">
        <v>0</v>
      </c>
      <c r="K3174">
        <v>0</v>
      </c>
      <c r="L3174">
        <v>49</v>
      </c>
      <c r="M3174">
        <v>49</v>
      </c>
      <c r="N3174">
        <v>0</v>
      </c>
      <c r="O3174">
        <v>638</v>
      </c>
      <c r="P3174" s="44" t="e">
        <f>_xlfn.XLOOKUP(Tabla5[[#This Row],[EAN CORREGIDO]],'Tabla Articulos'!B:B,'Tabla Articulos'!D:D)</f>
        <v>#N/A</v>
      </c>
      <c r="Q3174" s="44" t="e">
        <f>_xlfn.XLOOKUP(S3174,'Tabla Articulos'!B:B,'Tabla Articulos'!E:E)</f>
        <v>#N/A</v>
      </c>
      <c r="R3174" s="44" t="e">
        <f t="shared" si="98"/>
        <v>#N/A</v>
      </c>
      <c r="S3174" s="45" t="str">
        <f t="shared" si="99"/>
        <v>7791599000221</v>
      </c>
    </row>
    <row r="3175" spans="1:19" hidden="1" x14ac:dyDescent="0.35">
      <c r="A3175" s="22">
        <v>2</v>
      </c>
      <c r="B3175" t="s">
        <v>5624</v>
      </c>
      <c r="C3175" t="s">
        <v>802</v>
      </c>
      <c r="D3175" t="s">
        <v>4187</v>
      </c>
      <c r="E3175" t="s">
        <v>4188</v>
      </c>
      <c r="F3175">
        <v>4017328</v>
      </c>
      <c r="G3175" t="s">
        <v>4189</v>
      </c>
      <c r="H3175" t="s">
        <v>805</v>
      </c>
      <c r="I3175">
        <v>21</v>
      </c>
      <c r="J3175">
        <v>0</v>
      </c>
      <c r="K3175">
        <v>0</v>
      </c>
      <c r="L3175">
        <v>4</v>
      </c>
      <c r="M3175">
        <v>4</v>
      </c>
      <c r="N3175">
        <v>0</v>
      </c>
      <c r="O3175">
        <v>13</v>
      </c>
      <c r="P3175" s="44" t="e">
        <f>_xlfn.XLOOKUP(Tabla5[[#This Row],[EAN CORREGIDO]],'Tabla Articulos'!B:B,'Tabla Articulos'!D:D)</f>
        <v>#N/A</v>
      </c>
      <c r="Q3175" s="44" t="e">
        <f>_xlfn.XLOOKUP(S3175,'Tabla Articulos'!B:B,'Tabla Articulos'!E:E)</f>
        <v>#N/A</v>
      </c>
      <c r="R3175" s="44" t="e">
        <f t="shared" si="98"/>
        <v>#N/A</v>
      </c>
      <c r="S3175" s="45" t="str">
        <f t="shared" si="99"/>
        <v>7790984000037</v>
      </c>
    </row>
    <row r="3176" spans="1:19" hidden="1" x14ac:dyDescent="0.35">
      <c r="A3176" s="22">
        <v>2</v>
      </c>
      <c r="B3176" t="s">
        <v>5624</v>
      </c>
      <c r="C3176" t="s">
        <v>802</v>
      </c>
      <c r="D3176" t="s">
        <v>6479</v>
      </c>
      <c r="E3176" t="s">
        <v>6480</v>
      </c>
      <c r="F3176">
        <v>4018365</v>
      </c>
      <c r="G3176" t="s">
        <v>6481</v>
      </c>
      <c r="H3176" t="s">
        <v>805</v>
      </c>
      <c r="I3176">
        <v>211</v>
      </c>
      <c r="J3176">
        <v>0</v>
      </c>
      <c r="K3176">
        <v>0</v>
      </c>
      <c r="L3176">
        <v>2</v>
      </c>
      <c r="M3176">
        <v>2</v>
      </c>
      <c r="N3176">
        <v>0</v>
      </c>
      <c r="O3176">
        <v>207</v>
      </c>
      <c r="P3176" s="44" t="e">
        <f>_xlfn.XLOOKUP(Tabla5[[#This Row],[EAN CORREGIDO]],'Tabla Articulos'!B:B,'Tabla Articulos'!D:D)</f>
        <v>#N/A</v>
      </c>
      <c r="Q3176" s="44" t="e">
        <f>_xlfn.XLOOKUP(S3176,'Tabla Articulos'!B:B,'Tabla Articulos'!E:E)</f>
        <v>#N/A</v>
      </c>
      <c r="R3176" s="44" t="e">
        <f t="shared" si="98"/>
        <v>#N/A</v>
      </c>
      <c r="S3176" s="45" t="str">
        <f t="shared" si="99"/>
        <v>7798011976263</v>
      </c>
    </row>
    <row r="3177" spans="1:19" hidden="1" x14ac:dyDescent="0.35">
      <c r="A3177" s="22">
        <v>2</v>
      </c>
      <c r="B3177" t="s">
        <v>5624</v>
      </c>
      <c r="C3177" t="s">
        <v>802</v>
      </c>
      <c r="D3177" t="s">
        <v>1111</v>
      </c>
      <c r="E3177" t="s">
        <v>6233</v>
      </c>
      <c r="F3177">
        <v>4018182</v>
      </c>
      <c r="G3177" t="s">
        <v>6234</v>
      </c>
      <c r="H3177" t="s">
        <v>805</v>
      </c>
      <c r="I3177">
        <v>1224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1224</v>
      </c>
      <c r="P3177" s="44" t="e">
        <f>_xlfn.XLOOKUP(Tabla5[[#This Row],[EAN CORREGIDO]],'Tabla Articulos'!B:B,'Tabla Articulos'!D:D)</f>
        <v>#N/A</v>
      </c>
      <c r="Q3177" s="44" t="e">
        <f>_xlfn.XLOOKUP(S3177,'Tabla Articulos'!B:B,'Tabla Articulos'!E:E)</f>
        <v>#N/A</v>
      </c>
      <c r="R3177" s="44" t="e">
        <f t="shared" si="98"/>
        <v>#N/A</v>
      </c>
      <c r="S3177" s="45" t="str">
        <f t="shared" si="99"/>
        <v>7790398100088</v>
      </c>
    </row>
    <row r="3178" spans="1:19" hidden="1" x14ac:dyDescent="0.35">
      <c r="A3178" s="22">
        <v>2</v>
      </c>
      <c r="B3178" t="s">
        <v>5624</v>
      </c>
      <c r="C3178" t="s">
        <v>802</v>
      </c>
      <c r="D3178" t="s">
        <v>3657</v>
      </c>
      <c r="E3178" t="s">
        <v>6235</v>
      </c>
      <c r="F3178">
        <v>4021180</v>
      </c>
      <c r="G3178" t="s">
        <v>6236</v>
      </c>
      <c r="H3178" t="s">
        <v>816</v>
      </c>
      <c r="I3178">
        <v>677.38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677.38</v>
      </c>
      <c r="P3178" s="44" t="e">
        <f>_xlfn.XLOOKUP(Tabla5[[#This Row],[EAN CORREGIDO]],'Tabla Articulos'!B:B,'Tabla Articulos'!D:D)</f>
        <v>#N/A</v>
      </c>
      <c r="Q3178" s="44" t="e">
        <f>_xlfn.XLOOKUP(S3178,'Tabla Articulos'!B:B,'Tabla Articulos'!E:E)</f>
        <v>#N/A</v>
      </c>
      <c r="R3178" s="44" t="e">
        <f t="shared" si="98"/>
        <v>#N/A</v>
      </c>
      <c r="S3178" s="45" t="str">
        <f t="shared" si="99"/>
        <v>7798558162146</v>
      </c>
    </row>
    <row r="3179" spans="1:19" hidden="1" x14ac:dyDescent="0.35">
      <c r="A3179" s="22">
        <v>2</v>
      </c>
      <c r="B3179" t="s">
        <v>5624</v>
      </c>
      <c r="C3179" t="s">
        <v>802</v>
      </c>
      <c r="D3179" t="s">
        <v>2124</v>
      </c>
      <c r="E3179" t="s">
        <v>6116</v>
      </c>
      <c r="F3179">
        <v>4020414</v>
      </c>
      <c r="G3179" t="s">
        <v>6117</v>
      </c>
      <c r="H3179" t="s">
        <v>805</v>
      </c>
      <c r="I3179">
        <v>20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20</v>
      </c>
      <c r="P3179" s="44" t="e">
        <f>_xlfn.XLOOKUP(Tabla5[[#This Row],[EAN CORREGIDO]],'Tabla Articulos'!B:B,'Tabla Articulos'!D:D)</f>
        <v>#N/A</v>
      </c>
      <c r="Q3179" s="44" t="e">
        <f>_xlfn.XLOOKUP(S3179,'Tabla Articulos'!B:B,'Tabla Articulos'!E:E)</f>
        <v>#N/A</v>
      </c>
      <c r="R3179" s="44" t="e">
        <f t="shared" si="98"/>
        <v>#N/A</v>
      </c>
      <c r="S3179" s="45" t="str">
        <f t="shared" si="99"/>
        <v>7793875322737</v>
      </c>
    </row>
    <row r="3180" spans="1:19" hidden="1" x14ac:dyDescent="0.35">
      <c r="A3180" s="22">
        <v>2</v>
      </c>
      <c r="B3180" t="s">
        <v>5624</v>
      </c>
      <c r="C3180" t="s">
        <v>802</v>
      </c>
      <c r="D3180" t="s">
        <v>2595</v>
      </c>
      <c r="E3180" t="s">
        <v>2596</v>
      </c>
      <c r="F3180">
        <v>4019730</v>
      </c>
      <c r="G3180" t="s">
        <v>2597</v>
      </c>
      <c r="H3180" t="s">
        <v>805</v>
      </c>
      <c r="I3180">
        <v>1150</v>
      </c>
      <c r="J3180">
        <v>0</v>
      </c>
      <c r="K3180">
        <v>0</v>
      </c>
      <c r="L3180">
        <v>23</v>
      </c>
      <c r="M3180">
        <v>23</v>
      </c>
      <c r="N3180">
        <v>0</v>
      </c>
      <c r="O3180">
        <v>1104</v>
      </c>
      <c r="P3180" s="44" t="e">
        <f>_xlfn.XLOOKUP(Tabla5[[#This Row],[EAN CORREGIDO]],'Tabla Articulos'!B:B,'Tabla Articulos'!D:D)</f>
        <v>#N/A</v>
      </c>
      <c r="Q3180" s="44" t="e">
        <f>_xlfn.XLOOKUP(S3180,'Tabla Articulos'!B:B,'Tabla Articulos'!E:E)</f>
        <v>#N/A</v>
      </c>
      <c r="R3180" s="44" t="e">
        <f t="shared" si="98"/>
        <v>#N/A</v>
      </c>
      <c r="S3180" s="45" t="str">
        <f t="shared" si="99"/>
        <v>7790499000546</v>
      </c>
    </row>
    <row r="3181" spans="1:19" hidden="1" x14ac:dyDescent="0.35">
      <c r="A3181" s="22">
        <v>2</v>
      </c>
      <c r="B3181" t="s">
        <v>5624</v>
      </c>
      <c r="C3181" t="s">
        <v>802</v>
      </c>
      <c r="D3181" t="s">
        <v>6045</v>
      </c>
      <c r="E3181" t="s">
        <v>6118</v>
      </c>
      <c r="F3181">
        <v>4018937</v>
      </c>
      <c r="G3181" t="s">
        <v>6119</v>
      </c>
      <c r="H3181" t="s">
        <v>805</v>
      </c>
      <c r="I3181">
        <v>51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51</v>
      </c>
      <c r="P3181" s="44" t="e">
        <f>_xlfn.XLOOKUP(Tabla5[[#This Row],[EAN CORREGIDO]],'Tabla Articulos'!B:B,'Tabla Articulos'!D:D)</f>
        <v>#N/A</v>
      </c>
      <c r="Q3181" s="44" t="e">
        <f>_xlfn.XLOOKUP(S3181,'Tabla Articulos'!B:B,'Tabla Articulos'!E:E)</f>
        <v>#N/A</v>
      </c>
      <c r="R3181" s="44" t="e">
        <f t="shared" si="98"/>
        <v>#N/A</v>
      </c>
      <c r="S3181" s="45" t="str">
        <f t="shared" si="99"/>
        <v>7790040143807</v>
      </c>
    </row>
    <row r="3182" spans="1:19" hidden="1" x14ac:dyDescent="0.35">
      <c r="A3182" s="22">
        <v>2</v>
      </c>
      <c r="B3182" t="s">
        <v>5624</v>
      </c>
      <c r="C3182" t="s">
        <v>802</v>
      </c>
      <c r="D3182" t="s">
        <v>189</v>
      </c>
      <c r="E3182" t="s">
        <v>2598</v>
      </c>
      <c r="F3182">
        <v>2006487</v>
      </c>
      <c r="G3182" t="s">
        <v>2599</v>
      </c>
      <c r="H3182" t="s">
        <v>805</v>
      </c>
      <c r="I3182">
        <v>551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551</v>
      </c>
      <c r="P3182" s="44" t="str">
        <f>_xlfn.XLOOKUP(Tabla5[[#This Row],[EAN CORREGIDO]],'Tabla Articulos'!B:B,'Tabla Articulos'!D:D)</f>
        <v>ARRANQUE 15X20</v>
      </c>
      <c r="Q3182" s="44">
        <f>_xlfn.XLOOKUP(S3182,'Tabla Articulos'!B:B,'Tabla Articulos'!E:E)</f>
        <v>1</v>
      </c>
      <c r="R3182" s="44">
        <f t="shared" si="98"/>
        <v>551</v>
      </c>
      <c r="S3182" s="45" t="str">
        <f t="shared" si="99"/>
        <v>16204014A</v>
      </c>
    </row>
    <row r="3183" spans="1:19" hidden="1" x14ac:dyDescent="0.35">
      <c r="A3183" s="22">
        <v>2</v>
      </c>
      <c r="B3183" t="s">
        <v>5624</v>
      </c>
      <c r="C3183" t="s">
        <v>802</v>
      </c>
      <c r="D3183" t="s">
        <v>6699</v>
      </c>
      <c r="E3183" t="s">
        <v>6700</v>
      </c>
      <c r="F3183">
        <v>4019501</v>
      </c>
      <c r="G3183" t="s">
        <v>6701</v>
      </c>
      <c r="H3183" t="s">
        <v>805</v>
      </c>
      <c r="I3183">
        <v>11093</v>
      </c>
      <c r="J3183">
        <v>0</v>
      </c>
      <c r="K3183">
        <v>0</v>
      </c>
      <c r="L3183">
        <v>1460</v>
      </c>
      <c r="M3183">
        <v>1460</v>
      </c>
      <c r="N3183">
        <v>0</v>
      </c>
      <c r="O3183">
        <v>8173</v>
      </c>
      <c r="P3183" s="44" t="e">
        <f>_xlfn.XLOOKUP(Tabla5[[#This Row],[EAN CORREGIDO]],'Tabla Articulos'!B:B,'Tabla Articulos'!D:D)</f>
        <v>#N/A</v>
      </c>
      <c r="Q3183" s="44" t="e">
        <f>_xlfn.XLOOKUP(S3183,'Tabla Articulos'!B:B,'Tabla Articulos'!E:E)</f>
        <v>#N/A</v>
      </c>
      <c r="R3183" s="44" t="e">
        <f t="shared" si="98"/>
        <v>#N/A</v>
      </c>
      <c r="S3183" s="45" t="str">
        <f t="shared" si="99"/>
        <v>47790726000408</v>
      </c>
    </row>
    <row r="3184" spans="1:19" hidden="1" x14ac:dyDescent="0.35">
      <c r="A3184" s="22">
        <v>2</v>
      </c>
      <c r="B3184" t="s">
        <v>5624</v>
      </c>
      <c r="C3184" t="s">
        <v>802</v>
      </c>
      <c r="D3184" t="s">
        <v>1519</v>
      </c>
      <c r="E3184" t="s">
        <v>4192</v>
      </c>
      <c r="F3184">
        <v>4077269</v>
      </c>
      <c r="G3184" t="s">
        <v>4193</v>
      </c>
      <c r="H3184" t="s">
        <v>805</v>
      </c>
      <c r="I3184">
        <v>266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266</v>
      </c>
      <c r="P3184" s="44" t="e">
        <f>_xlfn.XLOOKUP(Tabla5[[#This Row],[EAN CORREGIDO]],'Tabla Articulos'!B:B,'Tabla Articulos'!D:D)</f>
        <v>#N/A</v>
      </c>
      <c r="Q3184" s="44" t="e">
        <f>_xlfn.XLOOKUP(S3184,'Tabla Articulos'!B:B,'Tabla Articulos'!E:E)</f>
        <v>#N/A</v>
      </c>
      <c r="R3184" s="44" t="e">
        <f t="shared" si="98"/>
        <v>#N/A</v>
      </c>
      <c r="S3184" s="45" t="str">
        <f t="shared" si="99"/>
        <v>7793323024909</v>
      </c>
    </row>
    <row r="3185" spans="1:19" hidden="1" x14ac:dyDescent="0.35">
      <c r="A3185" s="22">
        <v>2</v>
      </c>
      <c r="B3185" t="s">
        <v>5624</v>
      </c>
      <c r="C3185" t="s">
        <v>802</v>
      </c>
      <c r="D3185" t="s">
        <v>4196</v>
      </c>
      <c r="E3185" t="s">
        <v>4197</v>
      </c>
      <c r="F3185">
        <v>4020027</v>
      </c>
      <c r="G3185" t="s">
        <v>4198</v>
      </c>
      <c r="H3185" t="s">
        <v>805</v>
      </c>
      <c r="I3185">
        <v>17</v>
      </c>
      <c r="J3185">
        <v>0</v>
      </c>
      <c r="K3185">
        <v>0</v>
      </c>
      <c r="L3185">
        <v>2</v>
      </c>
      <c r="M3185">
        <v>2</v>
      </c>
      <c r="N3185">
        <v>3</v>
      </c>
      <c r="O3185">
        <v>10</v>
      </c>
      <c r="P3185" s="44" t="e">
        <f>_xlfn.XLOOKUP(Tabla5[[#This Row],[EAN CORREGIDO]],'Tabla Articulos'!B:B,'Tabla Articulos'!D:D)</f>
        <v>#N/A</v>
      </c>
      <c r="Q3185" s="44" t="e">
        <f>_xlfn.XLOOKUP(S3185,'Tabla Articulos'!B:B,'Tabla Articulos'!E:E)</f>
        <v>#N/A</v>
      </c>
      <c r="R3185" s="44" t="e">
        <f t="shared" si="98"/>
        <v>#N/A</v>
      </c>
      <c r="S3185" s="45" t="str">
        <f t="shared" si="99"/>
        <v>7791270013649</v>
      </c>
    </row>
    <row r="3186" spans="1:19" hidden="1" x14ac:dyDescent="0.35">
      <c r="A3186" s="22">
        <v>2</v>
      </c>
      <c r="B3186" t="s">
        <v>5624</v>
      </c>
      <c r="C3186" t="s">
        <v>802</v>
      </c>
      <c r="D3186" t="s">
        <v>5974</v>
      </c>
      <c r="E3186" t="s">
        <v>6482</v>
      </c>
      <c r="F3186">
        <v>4018316</v>
      </c>
      <c r="G3186" t="s">
        <v>6483</v>
      </c>
      <c r="H3186" t="s">
        <v>805</v>
      </c>
      <c r="I3186">
        <v>1147</v>
      </c>
      <c r="J3186">
        <v>25920</v>
      </c>
      <c r="K3186">
        <v>0</v>
      </c>
      <c r="L3186">
        <v>7</v>
      </c>
      <c r="M3186">
        <v>7</v>
      </c>
      <c r="N3186">
        <v>0</v>
      </c>
      <c r="O3186">
        <v>27053</v>
      </c>
      <c r="P3186" s="44" t="e">
        <f>_xlfn.XLOOKUP(Tabla5[[#This Row],[EAN CORREGIDO]],'Tabla Articulos'!B:B,'Tabla Articulos'!D:D)</f>
        <v>#N/A</v>
      </c>
      <c r="Q3186" s="44" t="e">
        <f>_xlfn.XLOOKUP(S3186,'Tabla Articulos'!B:B,'Tabla Articulos'!E:E)</f>
        <v>#N/A</v>
      </c>
      <c r="R3186" s="44" t="e">
        <f t="shared" si="98"/>
        <v>#N/A</v>
      </c>
      <c r="S3186" s="45" t="str">
        <f t="shared" si="99"/>
        <v>7790787960514</v>
      </c>
    </row>
    <row r="3187" spans="1:19" hidden="1" x14ac:dyDescent="0.35">
      <c r="A3187" s="22">
        <v>2</v>
      </c>
      <c r="B3187" t="s">
        <v>5624</v>
      </c>
      <c r="C3187" t="s">
        <v>802</v>
      </c>
      <c r="D3187" t="s">
        <v>6484</v>
      </c>
      <c r="E3187" t="s">
        <v>6485</v>
      </c>
      <c r="F3187">
        <v>4018879</v>
      </c>
      <c r="G3187" t="s">
        <v>6486</v>
      </c>
      <c r="H3187" t="s">
        <v>805</v>
      </c>
      <c r="I3187">
        <v>3480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3480</v>
      </c>
      <c r="P3187" s="44" t="e">
        <f>_xlfn.XLOOKUP(Tabla5[[#This Row],[EAN CORREGIDO]],'Tabla Articulos'!B:B,'Tabla Articulos'!D:D)</f>
        <v>#N/A</v>
      </c>
      <c r="Q3187" s="44" t="e">
        <f>_xlfn.XLOOKUP(S3187,'Tabla Articulos'!B:B,'Tabla Articulos'!E:E)</f>
        <v>#N/A</v>
      </c>
      <c r="R3187" s="44" t="e">
        <f t="shared" si="98"/>
        <v>#N/A</v>
      </c>
      <c r="S3187" s="45" t="str">
        <f t="shared" si="99"/>
        <v>7798120180728</v>
      </c>
    </row>
    <row r="3188" spans="1:19" hidden="1" x14ac:dyDescent="0.35">
      <c r="A3188" s="22">
        <v>2</v>
      </c>
      <c r="B3188" t="s">
        <v>5624</v>
      </c>
      <c r="C3188" t="s">
        <v>802</v>
      </c>
      <c r="D3188" t="s">
        <v>322</v>
      </c>
      <c r="E3188" t="s">
        <v>4205</v>
      </c>
      <c r="F3188">
        <v>2011433</v>
      </c>
      <c r="G3188" t="s">
        <v>4206</v>
      </c>
      <c r="H3188" t="s">
        <v>805</v>
      </c>
      <c r="I3188">
        <v>26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26</v>
      </c>
      <c r="P3188" s="44" t="str">
        <f>_xlfn.XLOOKUP(Tabla5[[#This Row],[EAN CORREGIDO]],'Tabla Articulos'!B:B,'Tabla Articulos'!D:D)</f>
        <v>VASO 12OZ BLUE</v>
      </c>
      <c r="Q3188" s="44">
        <f>_xlfn.XLOOKUP(S3188,'Tabla Articulos'!B:B,'Tabla Articulos'!E:E)</f>
        <v>100</v>
      </c>
      <c r="R3188" s="44">
        <f t="shared" si="98"/>
        <v>2600</v>
      </c>
      <c r="S3188" s="45" t="str">
        <f t="shared" si="99"/>
        <v>7790000000675</v>
      </c>
    </row>
    <row r="3189" spans="1:19" hidden="1" x14ac:dyDescent="0.35">
      <c r="A3189" s="22">
        <v>2</v>
      </c>
      <c r="B3189" t="s">
        <v>5624</v>
      </c>
      <c r="C3189" t="s">
        <v>802</v>
      </c>
      <c r="D3189" t="s">
        <v>6487</v>
      </c>
      <c r="E3189" t="s">
        <v>6488</v>
      </c>
      <c r="F3189">
        <v>4022496</v>
      </c>
      <c r="G3189" t="s">
        <v>6489</v>
      </c>
      <c r="H3189" t="s">
        <v>805</v>
      </c>
      <c r="I3189">
        <v>842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842</v>
      </c>
      <c r="P3189" s="44" t="e">
        <f>_xlfn.XLOOKUP(Tabla5[[#This Row],[EAN CORREGIDO]],'Tabla Articulos'!B:B,'Tabla Articulos'!D:D)</f>
        <v>#N/A</v>
      </c>
      <c r="Q3189" s="44" t="e">
        <f>_xlfn.XLOOKUP(S3189,'Tabla Articulos'!B:B,'Tabla Articulos'!E:E)</f>
        <v>#N/A</v>
      </c>
      <c r="R3189" s="44" t="e">
        <f t="shared" si="98"/>
        <v>#N/A</v>
      </c>
      <c r="S3189" s="45" t="str">
        <f t="shared" si="99"/>
        <v>790757899551</v>
      </c>
    </row>
    <row r="3190" spans="1:19" hidden="1" x14ac:dyDescent="0.35">
      <c r="A3190" s="22">
        <v>2</v>
      </c>
      <c r="B3190" t="s">
        <v>5624</v>
      </c>
      <c r="C3190" t="s">
        <v>802</v>
      </c>
      <c r="D3190" t="s">
        <v>6490</v>
      </c>
      <c r="E3190" t="s">
        <v>6491</v>
      </c>
      <c r="F3190">
        <v>4077317</v>
      </c>
      <c r="G3190" t="s">
        <v>6492</v>
      </c>
      <c r="H3190" t="s">
        <v>805</v>
      </c>
      <c r="I3190">
        <v>2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2</v>
      </c>
      <c r="P3190" s="44" t="e">
        <f>_xlfn.XLOOKUP(Tabla5[[#This Row],[EAN CORREGIDO]],'Tabla Articulos'!B:B,'Tabla Articulos'!D:D)</f>
        <v>#N/A</v>
      </c>
      <c r="Q3190" s="44" t="e">
        <f>_xlfn.XLOOKUP(S3190,'Tabla Articulos'!B:B,'Tabla Articulos'!E:E)</f>
        <v>#N/A</v>
      </c>
      <c r="R3190" s="44" t="e">
        <f t="shared" si="98"/>
        <v>#N/A</v>
      </c>
      <c r="S3190" s="45" t="str">
        <f t="shared" si="99"/>
        <v>7793323025074</v>
      </c>
    </row>
    <row r="3191" spans="1:19" hidden="1" x14ac:dyDescent="0.35">
      <c r="A3191" s="22">
        <v>2</v>
      </c>
      <c r="B3191" t="s">
        <v>5624</v>
      </c>
      <c r="C3191" t="s">
        <v>802</v>
      </c>
      <c r="D3191" t="s">
        <v>2191</v>
      </c>
      <c r="E3191" t="s">
        <v>6493</v>
      </c>
      <c r="F3191">
        <v>4019811</v>
      </c>
      <c r="G3191" t="s">
        <v>6494</v>
      </c>
      <c r="H3191" t="s">
        <v>805</v>
      </c>
      <c r="I3191">
        <v>60</v>
      </c>
      <c r="J3191">
        <v>0</v>
      </c>
      <c r="K3191">
        <v>0</v>
      </c>
      <c r="L3191">
        <v>5</v>
      </c>
      <c r="M3191">
        <v>5</v>
      </c>
      <c r="N3191">
        <v>0</v>
      </c>
      <c r="O3191">
        <v>50</v>
      </c>
      <c r="P3191" s="44" t="e">
        <f>_xlfn.XLOOKUP(Tabla5[[#This Row],[EAN CORREGIDO]],'Tabla Articulos'!B:B,'Tabla Articulos'!D:D)</f>
        <v>#N/A</v>
      </c>
      <c r="Q3191" s="44" t="e">
        <f>_xlfn.XLOOKUP(S3191,'Tabla Articulos'!B:B,'Tabla Articulos'!E:E)</f>
        <v>#N/A</v>
      </c>
      <c r="R3191" s="44" t="e">
        <f t="shared" si="98"/>
        <v>#N/A</v>
      </c>
      <c r="S3191" s="45" t="str">
        <f t="shared" si="99"/>
        <v>7791113006296</v>
      </c>
    </row>
    <row r="3192" spans="1:19" hidden="1" x14ac:dyDescent="0.35">
      <c r="A3192" s="22">
        <v>2</v>
      </c>
      <c r="B3192" t="s">
        <v>5624</v>
      </c>
      <c r="C3192" t="s">
        <v>802</v>
      </c>
      <c r="D3192" t="s">
        <v>6495</v>
      </c>
      <c r="E3192" t="s">
        <v>6496</v>
      </c>
      <c r="F3192">
        <v>4017772</v>
      </c>
      <c r="G3192" t="s">
        <v>6497</v>
      </c>
      <c r="H3192" t="s">
        <v>816</v>
      </c>
      <c r="I3192">
        <v>41.1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41.1</v>
      </c>
      <c r="P3192" s="44" t="e">
        <f>_xlfn.XLOOKUP(Tabla5[[#This Row],[EAN CORREGIDO]],'Tabla Articulos'!B:B,'Tabla Articulos'!D:D)</f>
        <v>#N/A</v>
      </c>
      <c r="Q3192" s="44" t="e">
        <f>_xlfn.XLOOKUP(S3192,'Tabla Articulos'!B:B,'Tabla Articulos'!E:E)</f>
        <v>#N/A</v>
      </c>
      <c r="R3192" s="44" t="e">
        <f t="shared" si="98"/>
        <v>#N/A</v>
      </c>
      <c r="S3192" s="45" t="str">
        <f t="shared" si="99"/>
        <v>7790212050101</v>
      </c>
    </row>
    <row r="3193" spans="1:19" hidden="1" x14ac:dyDescent="0.35">
      <c r="A3193" s="22">
        <v>2</v>
      </c>
      <c r="B3193" t="s">
        <v>5624</v>
      </c>
      <c r="C3193" t="s">
        <v>802</v>
      </c>
      <c r="D3193" t="s">
        <v>4209</v>
      </c>
      <c r="E3193" t="s">
        <v>4210</v>
      </c>
      <c r="F3193">
        <v>4020278</v>
      </c>
      <c r="G3193" t="s">
        <v>4211</v>
      </c>
      <c r="H3193" t="s">
        <v>805</v>
      </c>
      <c r="I3193">
        <v>176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176</v>
      </c>
      <c r="P3193" s="44" t="e">
        <f>_xlfn.XLOOKUP(Tabla5[[#This Row],[EAN CORREGIDO]],'Tabla Articulos'!B:B,'Tabla Articulos'!D:D)</f>
        <v>#N/A</v>
      </c>
      <c r="Q3193" s="44" t="e">
        <f>_xlfn.XLOOKUP(S3193,'Tabla Articulos'!B:B,'Tabla Articulos'!E:E)</f>
        <v>#N/A</v>
      </c>
      <c r="R3193" s="44" t="e">
        <f t="shared" si="98"/>
        <v>#N/A</v>
      </c>
      <c r="S3193" s="45" t="str">
        <f t="shared" si="99"/>
        <v>7798011976478</v>
      </c>
    </row>
    <row r="3194" spans="1:19" hidden="1" x14ac:dyDescent="0.35">
      <c r="A3194" s="22">
        <v>2</v>
      </c>
      <c r="B3194" t="s">
        <v>5624</v>
      </c>
      <c r="C3194" t="s">
        <v>802</v>
      </c>
      <c r="D3194" t="s">
        <v>1437</v>
      </c>
      <c r="E3194" t="s">
        <v>2199</v>
      </c>
      <c r="F3194">
        <v>4023933</v>
      </c>
      <c r="G3194" t="s">
        <v>2200</v>
      </c>
      <c r="H3194" t="s">
        <v>805</v>
      </c>
      <c r="I3194">
        <v>6511</v>
      </c>
      <c r="J3194">
        <v>588</v>
      </c>
      <c r="K3194">
        <v>0</v>
      </c>
      <c r="L3194">
        <v>503</v>
      </c>
      <c r="M3194">
        <v>503</v>
      </c>
      <c r="N3194">
        <v>0</v>
      </c>
      <c r="O3194">
        <v>6093</v>
      </c>
      <c r="P3194" s="44" t="e">
        <f>_xlfn.XLOOKUP(Tabla5[[#This Row],[EAN CORREGIDO]],'Tabla Articulos'!B:B,'Tabla Articulos'!D:D)</f>
        <v>#N/A</v>
      </c>
      <c r="Q3194" s="44" t="e">
        <f>_xlfn.XLOOKUP(S3194,'Tabla Articulos'!B:B,'Tabla Articulos'!E:E)</f>
        <v>#N/A</v>
      </c>
      <c r="R3194" s="44" t="e">
        <f t="shared" si="98"/>
        <v>#N/A</v>
      </c>
      <c r="S3194" s="45" t="str">
        <f t="shared" si="99"/>
        <v>7790895647741</v>
      </c>
    </row>
    <row r="3195" spans="1:19" hidden="1" x14ac:dyDescent="0.35">
      <c r="A3195" s="22">
        <v>2</v>
      </c>
      <c r="B3195" t="s">
        <v>5624</v>
      </c>
      <c r="C3195" t="s">
        <v>802</v>
      </c>
      <c r="D3195" t="s">
        <v>2201</v>
      </c>
      <c r="E3195" t="s">
        <v>2202</v>
      </c>
      <c r="F3195">
        <v>4019799</v>
      </c>
      <c r="G3195" t="s">
        <v>2203</v>
      </c>
      <c r="H3195" t="s">
        <v>805</v>
      </c>
      <c r="I3195">
        <v>609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609</v>
      </c>
      <c r="P3195" s="44" t="e">
        <f>_xlfn.XLOOKUP(Tabla5[[#This Row],[EAN CORREGIDO]],'Tabla Articulos'!B:B,'Tabla Articulos'!D:D)</f>
        <v>#N/A</v>
      </c>
      <c r="Q3195" s="44" t="e">
        <f>_xlfn.XLOOKUP(S3195,'Tabla Articulos'!B:B,'Tabla Articulos'!E:E)</f>
        <v>#N/A</v>
      </c>
      <c r="R3195" s="44" t="e">
        <f t="shared" si="98"/>
        <v>#N/A</v>
      </c>
      <c r="S3195" s="45" t="str">
        <f t="shared" si="99"/>
        <v>7791113005800</v>
      </c>
    </row>
    <row r="3196" spans="1:19" hidden="1" x14ac:dyDescent="0.35">
      <c r="A3196" s="22">
        <v>2</v>
      </c>
      <c r="B3196" t="s">
        <v>5624</v>
      </c>
      <c r="C3196" t="s">
        <v>802</v>
      </c>
      <c r="D3196" t="s">
        <v>2165</v>
      </c>
      <c r="E3196" t="s">
        <v>2166</v>
      </c>
      <c r="F3196">
        <v>4018214</v>
      </c>
      <c r="G3196" t="s">
        <v>2167</v>
      </c>
      <c r="H3196" t="s">
        <v>805</v>
      </c>
      <c r="I3196">
        <v>16670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16670</v>
      </c>
      <c r="P3196" s="44" t="e">
        <f>_xlfn.XLOOKUP(Tabla5[[#This Row],[EAN CORREGIDO]],'Tabla Articulos'!B:B,'Tabla Articulos'!D:D)</f>
        <v>#N/A</v>
      </c>
      <c r="Q3196" s="44" t="e">
        <f>_xlfn.XLOOKUP(S3196,'Tabla Articulos'!B:B,'Tabla Articulos'!E:E)</f>
        <v>#N/A</v>
      </c>
      <c r="R3196" s="44" t="e">
        <f t="shared" si="98"/>
        <v>#N/A</v>
      </c>
      <c r="S3196" s="45" t="str">
        <f t="shared" si="99"/>
        <v>7798181641411</v>
      </c>
    </row>
    <row r="3197" spans="1:19" hidden="1" x14ac:dyDescent="0.35">
      <c r="A3197" s="22">
        <v>2</v>
      </c>
      <c r="B3197" t="s">
        <v>5624</v>
      </c>
      <c r="C3197" t="s">
        <v>802</v>
      </c>
      <c r="D3197" t="s">
        <v>6422</v>
      </c>
      <c r="E3197" t="s">
        <v>6423</v>
      </c>
      <c r="F3197">
        <v>4020168</v>
      </c>
      <c r="G3197" t="s">
        <v>6424</v>
      </c>
      <c r="H3197" t="s">
        <v>805</v>
      </c>
      <c r="I3197">
        <v>14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14</v>
      </c>
      <c r="P3197" s="44" t="e">
        <f>_xlfn.XLOOKUP(Tabla5[[#This Row],[EAN CORREGIDO]],'Tabla Articulos'!B:B,'Tabla Articulos'!D:D)</f>
        <v>#N/A</v>
      </c>
      <c r="Q3197" s="44" t="e">
        <f>_xlfn.XLOOKUP(S3197,'Tabla Articulos'!B:B,'Tabla Articulos'!E:E)</f>
        <v>#N/A</v>
      </c>
      <c r="R3197" s="44" t="e">
        <f t="shared" si="98"/>
        <v>#N/A</v>
      </c>
      <c r="S3197" s="45" t="str">
        <f t="shared" si="99"/>
        <v>7791880001647</v>
      </c>
    </row>
    <row r="3198" spans="1:19" hidden="1" x14ac:dyDescent="0.35">
      <c r="A3198" s="22">
        <v>2</v>
      </c>
      <c r="B3198" t="s">
        <v>5624</v>
      </c>
      <c r="C3198" t="s">
        <v>802</v>
      </c>
      <c r="D3198" t="s">
        <v>6425</v>
      </c>
      <c r="E3198" t="s">
        <v>6426</v>
      </c>
      <c r="F3198">
        <v>4022832</v>
      </c>
      <c r="G3198" t="s">
        <v>6427</v>
      </c>
      <c r="H3198" t="s">
        <v>816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  <c r="P3198" s="44" t="e">
        <f>_xlfn.XLOOKUP(Tabla5[[#This Row],[EAN CORREGIDO]],'Tabla Articulos'!B:B,'Tabla Articulos'!D:D)</f>
        <v>#N/A</v>
      </c>
      <c r="Q3198" s="44" t="e">
        <f>_xlfn.XLOOKUP(S3198,'Tabla Articulos'!B:B,'Tabla Articulos'!E:E)</f>
        <v>#N/A</v>
      </c>
      <c r="R3198" s="44" t="e">
        <f t="shared" si="98"/>
        <v>#N/A</v>
      </c>
      <c r="S3198" s="45" t="str">
        <f t="shared" si="99"/>
        <v>7790000000363</v>
      </c>
    </row>
    <row r="3199" spans="1:19" hidden="1" x14ac:dyDescent="0.35">
      <c r="A3199" s="22">
        <v>2</v>
      </c>
      <c r="B3199" t="s">
        <v>5624</v>
      </c>
      <c r="C3199" t="s">
        <v>802</v>
      </c>
      <c r="D3199" t="s">
        <v>1063</v>
      </c>
      <c r="E3199" t="s">
        <v>4280</v>
      </c>
      <c r="F3199">
        <v>4020319</v>
      </c>
      <c r="G3199" t="s">
        <v>4281</v>
      </c>
      <c r="H3199" t="s">
        <v>805</v>
      </c>
      <c r="I3199">
        <v>131</v>
      </c>
      <c r="J3199">
        <v>0</v>
      </c>
      <c r="K3199">
        <v>0</v>
      </c>
      <c r="L3199">
        <v>3</v>
      </c>
      <c r="M3199">
        <v>3</v>
      </c>
      <c r="N3199">
        <v>0</v>
      </c>
      <c r="O3199">
        <v>125</v>
      </c>
      <c r="P3199" s="44" t="e">
        <f>_xlfn.XLOOKUP(Tabla5[[#This Row],[EAN CORREGIDO]],'Tabla Articulos'!B:B,'Tabla Articulos'!D:D)</f>
        <v>#N/A</v>
      </c>
      <c r="Q3199" s="44" t="e">
        <f>_xlfn.XLOOKUP(S3199,'Tabla Articulos'!B:B,'Tabla Articulos'!E:E)</f>
        <v>#N/A</v>
      </c>
      <c r="R3199" s="44" t="e">
        <f t="shared" si="98"/>
        <v>#N/A</v>
      </c>
      <c r="S3199" s="45" t="str">
        <f t="shared" si="99"/>
        <v>7798001562780</v>
      </c>
    </row>
    <row r="3200" spans="1:19" hidden="1" x14ac:dyDescent="0.35">
      <c r="A3200" s="22">
        <v>2</v>
      </c>
      <c r="B3200" t="s">
        <v>5624</v>
      </c>
      <c r="C3200" t="s">
        <v>802</v>
      </c>
      <c r="D3200" t="s">
        <v>6502</v>
      </c>
      <c r="E3200" t="s">
        <v>6503</v>
      </c>
      <c r="F3200">
        <v>4018080</v>
      </c>
      <c r="G3200" t="s">
        <v>6504</v>
      </c>
      <c r="H3200" t="s">
        <v>816</v>
      </c>
      <c r="I3200">
        <v>873</v>
      </c>
      <c r="J3200">
        <v>0</v>
      </c>
      <c r="K3200">
        <v>0</v>
      </c>
      <c r="L3200">
        <v>0</v>
      </c>
      <c r="M3200">
        <v>130</v>
      </c>
      <c r="N3200">
        <v>0</v>
      </c>
      <c r="O3200">
        <v>743</v>
      </c>
      <c r="P3200" s="44" t="e">
        <f>_xlfn.XLOOKUP(Tabla5[[#This Row],[EAN CORREGIDO]],'Tabla Articulos'!B:B,'Tabla Articulos'!D:D)</f>
        <v>#N/A</v>
      </c>
      <c r="Q3200" s="44" t="e">
        <f>_xlfn.XLOOKUP(S3200,'Tabla Articulos'!B:B,'Tabla Articulos'!E:E)</f>
        <v>#N/A</v>
      </c>
      <c r="R3200" s="44" t="e">
        <f t="shared" si="98"/>
        <v>#N/A</v>
      </c>
      <c r="S3200" s="45" t="str">
        <f t="shared" si="99"/>
        <v>7790216020112</v>
      </c>
    </row>
    <row r="3201" spans="1:19" hidden="1" x14ac:dyDescent="0.35">
      <c r="A3201" s="22">
        <v>2</v>
      </c>
      <c r="B3201" t="s">
        <v>5624</v>
      </c>
      <c r="C3201" t="s">
        <v>802</v>
      </c>
      <c r="D3201" t="s">
        <v>4289</v>
      </c>
      <c r="E3201" t="s">
        <v>4290</v>
      </c>
      <c r="F3201">
        <v>4076821</v>
      </c>
      <c r="G3201" t="s">
        <v>4291</v>
      </c>
      <c r="H3201" t="s">
        <v>805</v>
      </c>
      <c r="I3201">
        <v>1881</v>
      </c>
      <c r="J3201">
        <v>0</v>
      </c>
      <c r="K3201">
        <v>0</v>
      </c>
      <c r="L3201">
        <v>190</v>
      </c>
      <c r="M3201">
        <v>190</v>
      </c>
      <c r="N3201">
        <v>0</v>
      </c>
      <c r="O3201">
        <v>1501</v>
      </c>
      <c r="P3201" s="44" t="e">
        <f>_xlfn.XLOOKUP(Tabla5[[#This Row],[EAN CORREGIDO]],'Tabla Articulos'!B:B,'Tabla Articulos'!D:D)</f>
        <v>#N/A</v>
      </c>
      <c r="Q3201" s="44" t="e">
        <f>_xlfn.XLOOKUP(S3201,'Tabla Articulos'!B:B,'Tabla Articulos'!E:E)</f>
        <v>#N/A</v>
      </c>
      <c r="R3201" s="44" t="e">
        <f t="shared" ref="R3201:R3264" si="100">O3201*Q3201</f>
        <v>#N/A</v>
      </c>
      <c r="S3201" s="45" t="str">
        <f t="shared" ref="S3201:S3264" si="101">TRIM(E3201)</f>
        <v>7791476070118</v>
      </c>
    </row>
    <row r="3202" spans="1:19" hidden="1" x14ac:dyDescent="0.35">
      <c r="A3202" s="22">
        <v>2</v>
      </c>
      <c r="B3202" t="s">
        <v>5624</v>
      </c>
      <c r="C3202" t="s">
        <v>802</v>
      </c>
      <c r="D3202" t="s">
        <v>1672</v>
      </c>
      <c r="E3202" t="s">
        <v>4298</v>
      </c>
      <c r="F3202">
        <v>4021619</v>
      </c>
      <c r="G3202" t="s">
        <v>4299</v>
      </c>
      <c r="H3202" t="s">
        <v>805</v>
      </c>
      <c r="I3202">
        <v>3815</v>
      </c>
      <c r="J3202">
        <v>0</v>
      </c>
      <c r="K3202">
        <v>0</v>
      </c>
      <c r="L3202">
        <v>26</v>
      </c>
      <c r="M3202">
        <v>26</v>
      </c>
      <c r="N3202">
        <v>0</v>
      </c>
      <c r="O3202">
        <v>3763</v>
      </c>
      <c r="P3202" s="44" t="e">
        <f>_xlfn.XLOOKUP(Tabla5[[#This Row],[EAN CORREGIDO]],'Tabla Articulos'!B:B,'Tabla Articulos'!D:D)</f>
        <v>#N/A</v>
      </c>
      <c r="Q3202" s="44" t="e">
        <f>_xlfn.XLOOKUP(S3202,'Tabla Articulos'!B:B,'Tabla Articulos'!E:E)</f>
        <v>#N/A</v>
      </c>
      <c r="R3202" s="44" t="e">
        <f t="shared" si="100"/>
        <v>#N/A</v>
      </c>
      <c r="S3202" s="45" t="str">
        <f t="shared" si="101"/>
        <v>7798096031086</v>
      </c>
    </row>
    <row r="3203" spans="1:19" hidden="1" x14ac:dyDescent="0.35">
      <c r="A3203" s="22">
        <v>2</v>
      </c>
      <c r="B3203" t="s">
        <v>5624</v>
      </c>
      <c r="C3203" t="s">
        <v>802</v>
      </c>
      <c r="D3203" t="s">
        <v>5996</v>
      </c>
      <c r="E3203" t="s">
        <v>5997</v>
      </c>
      <c r="F3203">
        <v>4017506</v>
      </c>
      <c r="G3203" t="s">
        <v>5998</v>
      </c>
      <c r="H3203" t="s">
        <v>805</v>
      </c>
      <c r="I3203">
        <v>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</v>
      </c>
      <c r="P3203" s="44" t="e">
        <f>_xlfn.XLOOKUP(Tabla5[[#This Row],[EAN CORREGIDO]],'Tabla Articulos'!B:B,'Tabla Articulos'!D:D)</f>
        <v>#N/A</v>
      </c>
      <c r="Q3203" s="44" t="e">
        <f>_xlfn.XLOOKUP(S3203,'Tabla Articulos'!B:B,'Tabla Articulos'!E:E)</f>
        <v>#N/A</v>
      </c>
      <c r="R3203" s="44" t="e">
        <f t="shared" si="100"/>
        <v>#N/A</v>
      </c>
      <c r="S3203" s="45" t="str">
        <f t="shared" si="101"/>
        <v>7798016105323</v>
      </c>
    </row>
    <row r="3204" spans="1:19" hidden="1" x14ac:dyDescent="0.35">
      <c r="A3204" s="22">
        <v>2</v>
      </c>
      <c r="B3204" t="s">
        <v>5624</v>
      </c>
      <c r="C3204" t="s">
        <v>802</v>
      </c>
      <c r="D3204" t="s">
        <v>1313</v>
      </c>
      <c r="E3204" t="s">
        <v>5999</v>
      </c>
      <c r="F3204">
        <v>4018987</v>
      </c>
      <c r="G3204" t="s">
        <v>6000</v>
      </c>
      <c r="H3204" t="s">
        <v>805</v>
      </c>
      <c r="I3204">
        <v>599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599</v>
      </c>
      <c r="P3204" s="44" t="e">
        <f>_xlfn.XLOOKUP(Tabla5[[#This Row],[EAN CORREGIDO]],'Tabla Articulos'!B:B,'Tabla Articulos'!D:D)</f>
        <v>#N/A</v>
      </c>
      <c r="Q3204" s="44" t="e">
        <f>_xlfn.XLOOKUP(S3204,'Tabla Articulos'!B:B,'Tabla Articulos'!E:E)</f>
        <v>#N/A</v>
      </c>
      <c r="R3204" s="44" t="e">
        <f t="shared" si="100"/>
        <v>#N/A</v>
      </c>
      <c r="S3204" s="45" t="str">
        <f t="shared" si="101"/>
        <v>7790040137813</v>
      </c>
    </row>
    <row r="3205" spans="1:19" hidden="1" x14ac:dyDescent="0.35">
      <c r="A3205" s="22">
        <v>2</v>
      </c>
      <c r="B3205" t="s">
        <v>5624</v>
      </c>
      <c r="C3205" t="s">
        <v>802</v>
      </c>
      <c r="D3205" t="s">
        <v>6277</v>
      </c>
      <c r="E3205" t="s">
        <v>6498</v>
      </c>
      <c r="F3205">
        <v>4017388</v>
      </c>
      <c r="G3205" t="s">
        <v>6499</v>
      </c>
      <c r="H3205" t="s">
        <v>805</v>
      </c>
      <c r="I3205">
        <v>52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52</v>
      </c>
      <c r="P3205" s="44" t="e">
        <f>_xlfn.XLOOKUP(Tabla5[[#This Row],[EAN CORREGIDO]],'Tabla Articulos'!B:B,'Tabla Articulos'!D:D)</f>
        <v>#N/A</v>
      </c>
      <c r="Q3205" s="44" t="e">
        <f>_xlfn.XLOOKUP(S3205,'Tabla Articulos'!B:B,'Tabla Articulos'!E:E)</f>
        <v>#N/A</v>
      </c>
      <c r="R3205" s="44" t="e">
        <f t="shared" si="100"/>
        <v>#N/A</v>
      </c>
      <c r="S3205" s="45" t="str">
        <f t="shared" si="101"/>
        <v>7798290580120</v>
      </c>
    </row>
    <row r="3206" spans="1:19" hidden="1" x14ac:dyDescent="0.35">
      <c r="A3206" s="22">
        <v>2</v>
      </c>
      <c r="B3206" t="s">
        <v>5624</v>
      </c>
      <c r="C3206" t="s">
        <v>802</v>
      </c>
      <c r="D3206" t="s">
        <v>846</v>
      </c>
      <c r="E3206" t="s">
        <v>6500</v>
      </c>
      <c r="F3206">
        <v>4018574</v>
      </c>
      <c r="G3206" t="s">
        <v>6501</v>
      </c>
      <c r="H3206" t="s">
        <v>816</v>
      </c>
      <c r="I3206">
        <v>15.51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15.51</v>
      </c>
      <c r="P3206" s="44" t="e">
        <f>_xlfn.XLOOKUP(Tabla5[[#This Row],[EAN CORREGIDO]],'Tabla Articulos'!B:B,'Tabla Articulos'!D:D)</f>
        <v>#N/A</v>
      </c>
      <c r="Q3206" s="44" t="e">
        <f>_xlfn.XLOOKUP(S3206,'Tabla Articulos'!B:B,'Tabla Articulos'!E:E)</f>
        <v>#N/A</v>
      </c>
      <c r="R3206" s="44" t="e">
        <f t="shared" si="100"/>
        <v>#N/A</v>
      </c>
      <c r="S3206" s="45" t="str">
        <f t="shared" si="101"/>
        <v>7790213012197</v>
      </c>
    </row>
    <row r="3207" spans="1:19" hidden="1" x14ac:dyDescent="0.35">
      <c r="A3207" s="22">
        <v>2</v>
      </c>
      <c r="B3207" t="s">
        <v>5624</v>
      </c>
      <c r="C3207" t="s">
        <v>802</v>
      </c>
      <c r="D3207" t="s">
        <v>2891</v>
      </c>
      <c r="E3207" t="s">
        <v>6473</v>
      </c>
      <c r="F3207">
        <v>4020186</v>
      </c>
      <c r="G3207" t="s">
        <v>6474</v>
      </c>
      <c r="H3207" t="s">
        <v>805</v>
      </c>
      <c r="I3207">
        <v>13</v>
      </c>
      <c r="J3207">
        <v>0</v>
      </c>
      <c r="K3207">
        <v>0</v>
      </c>
      <c r="L3207">
        <v>1</v>
      </c>
      <c r="M3207">
        <v>1</v>
      </c>
      <c r="N3207">
        <v>0</v>
      </c>
      <c r="O3207">
        <v>11</v>
      </c>
      <c r="P3207" s="44" t="e">
        <f>_xlfn.XLOOKUP(Tabla5[[#This Row],[EAN CORREGIDO]],'Tabla Articulos'!B:B,'Tabla Articulos'!D:D)</f>
        <v>#N/A</v>
      </c>
      <c r="Q3207" s="44" t="e">
        <f>_xlfn.XLOOKUP(S3207,'Tabla Articulos'!B:B,'Tabla Articulos'!E:E)</f>
        <v>#N/A</v>
      </c>
      <c r="R3207" s="44" t="e">
        <f t="shared" si="100"/>
        <v>#N/A</v>
      </c>
      <c r="S3207" s="45" t="str">
        <f t="shared" si="101"/>
        <v>7793875314749</v>
      </c>
    </row>
    <row r="3208" spans="1:19" hidden="1" x14ac:dyDescent="0.35">
      <c r="A3208" s="22">
        <v>2</v>
      </c>
      <c r="B3208" t="s">
        <v>5624</v>
      </c>
      <c r="C3208" t="s">
        <v>802</v>
      </c>
      <c r="D3208" t="s">
        <v>18</v>
      </c>
      <c r="E3208" t="s">
        <v>6475</v>
      </c>
      <c r="F3208">
        <v>2007573</v>
      </c>
      <c r="G3208" t="s">
        <v>6476</v>
      </c>
      <c r="H3208" t="s">
        <v>805</v>
      </c>
      <c r="I3208">
        <v>6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6</v>
      </c>
      <c r="P3208" s="44" t="str">
        <f>_xlfn.XLOOKUP(Tabla5[[#This Row],[EAN CORREGIDO]],'Tabla Articulos'!B:B,'Tabla Articulos'!D:D)</f>
        <v>AGITADOR MADERA</v>
      </c>
      <c r="Q3208" s="44">
        <f>_xlfn.XLOOKUP(S3208,'Tabla Articulos'!B:B,'Tabla Articulos'!E:E)</f>
        <v>500</v>
      </c>
      <c r="R3208" s="44">
        <f t="shared" si="100"/>
        <v>3000</v>
      </c>
      <c r="S3208" s="45" t="str">
        <f t="shared" si="101"/>
        <v>7790000000519</v>
      </c>
    </row>
    <row r="3209" spans="1:19" hidden="1" x14ac:dyDescent="0.35">
      <c r="A3209" s="22">
        <v>2</v>
      </c>
      <c r="B3209" t="s">
        <v>5624</v>
      </c>
      <c r="C3209" t="s">
        <v>802</v>
      </c>
      <c r="D3209" t="s">
        <v>4162</v>
      </c>
      <c r="E3209" t="s">
        <v>4163</v>
      </c>
      <c r="F3209">
        <v>4020793</v>
      </c>
      <c r="G3209" t="s">
        <v>4164</v>
      </c>
      <c r="H3209" t="s">
        <v>805</v>
      </c>
      <c r="I3209">
        <v>75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75</v>
      </c>
      <c r="P3209" s="44" t="e">
        <f>_xlfn.XLOOKUP(Tabla5[[#This Row],[EAN CORREGIDO]],'Tabla Articulos'!B:B,'Tabla Articulos'!D:D)</f>
        <v>#N/A</v>
      </c>
      <c r="Q3209" s="44" t="e">
        <f>_xlfn.XLOOKUP(S3209,'Tabla Articulos'!B:B,'Tabla Articulos'!E:E)</f>
        <v>#N/A</v>
      </c>
      <c r="R3209" s="44" t="e">
        <f t="shared" si="100"/>
        <v>#N/A</v>
      </c>
      <c r="S3209" s="45" t="str">
        <f t="shared" si="101"/>
        <v>7798082000188</v>
      </c>
    </row>
    <row r="3210" spans="1:19" hidden="1" x14ac:dyDescent="0.35">
      <c r="A3210" s="22">
        <v>2</v>
      </c>
      <c r="B3210" t="s">
        <v>5624</v>
      </c>
      <c r="C3210" t="s">
        <v>802</v>
      </c>
      <c r="D3210" t="s">
        <v>196</v>
      </c>
      <c r="E3210" t="s">
        <v>5702</v>
      </c>
      <c r="F3210">
        <v>2006266</v>
      </c>
      <c r="G3210" t="s">
        <v>5703</v>
      </c>
      <c r="H3210" t="s">
        <v>805</v>
      </c>
      <c r="I3210">
        <v>92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92</v>
      </c>
      <c r="P3210" s="44" t="e">
        <f>_xlfn.XLOOKUP(Tabla5[[#This Row],[EAN CORREGIDO]],'Tabla Articulos'!B:B,'Tabla Articulos'!D:D)</f>
        <v>#N/A</v>
      </c>
      <c r="Q3210" s="44" t="e">
        <f>_xlfn.XLOOKUP(S3210,'Tabla Articulos'!B:B,'Tabla Articulos'!E:E)</f>
        <v>#N/A</v>
      </c>
      <c r="R3210" s="44" t="e">
        <f t="shared" si="100"/>
        <v>#N/A</v>
      </c>
      <c r="S3210" s="45" t="str">
        <f t="shared" si="101"/>
        <v>16109000A</v>
      </c>
    </row>
    <row r="3211" spans="1:19" hidden="1" x14ac:dyDescent="0.35">
      <c r="A3211" s="22">
        <v>2</v>
      </c>
      <c r="B3211" t="s">
        <v>5624</v>
      </c>
      <c r="C3211" t="s">
        <v>802</v>
      </c>
      <c r="D3211" t="s">
        <v>1069</v>
      </c>
      <c r="E3211" t="s">
        <v>1070</v>
      </c>
      <c r="F3211">
        <v>2011477</v>
      </c>
      <c r="G3211" t="s">
        <v>1071</v>
      </c>
      <c r="H3211" t="s">
        <v>805</v>
      </c>
      <c r="I3211">
        <v>93</v>
      </c>
      <c r="J3211">
        <v>0</v>
      </c>
      <c r="K3211">
        <v>0</v>
      </c>
      <c r="L3211">
        <v>33</v>
      </c>
      <c r="M3211">
        <v>33</v>
      </c>
      <c r="N3211">
        <v>0</v>
      </c>
      <c r="O3211">
        <v>27</v>
      </c>
      <c r="P3211" s="44" t="e">
        <f>_xlfn.XLOOKUP(Tabla5[[#This Row],[EAN CORREGIDO]],'Tabla Articulos'!B:B,'Tabla Articulos'!D:D)</f>
        <v>#N/A</v>
      </c>
      <c r="Q3211" s="44" t="e">
        <f>_xlfn.XLOOKUP(S3211,'Tabla Articulos'!B:B,'Tabla Articulos'!E:E)</f>
        <v>#N/A</v>
      </c>
      <c r="R3211" s="44" t="e">
        <f t="shared" si="100"/>
        <v>#N/A</v>
      </c>
      <c r="S3211" s="45" t="str">
        <f t="shared" si="101"/>
        <v>76625238104</v>
      </c>
    </row>
    <row r="3212" spans="1:19" hidden="1" x14ac:dyDescent="0.35">
      <c r="A3212" s="22">
        <v>2</v>
      </c>
      <c r="B3212" t="s">
        <v>5624</v>
      </c>
      <c r="C3212" t="s">
        <v>802</v>
      </c>
      <c r="D3212" t="s">
        <v>1074</v>
      </c>
      <c r="E3212" t="s">
        <v>1075</v>
      </c>
      <c r="F3212">
        <v>4020244</v>
      </c>
      <c r="G3212" t="s">
        <v>1076</v>
      </c>
      <c r="H3212" t="s">
        <v>805</v>
      </c>
      <c r="I3212">
        <v>72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72</v>
      </c>
      <c r="P3212" s="44" t="e">
        <f>_xlfn.XLOOKUP(Tabla5[[#This Row],[EAN CORREGIDO]],'Tabla Articulos'!B:B,'Tabla Articulos'!D:D)</f>
        <v>#N/A</v>
      </c>
      <c r="Q3212" s="44" t="e">
        <f>_xlfn.XLOOKUP(S3212,'Tabla Articulos'!B:B,'Tabla Articulos'!E:E)</f>
        <v>#N/A</v>
      </c>
      <c r="R3212" s="44" t="e">
        <f t="shared" si="100"/>
        <v>#N/A</v>
      </c>
      <c r="S3212" s="45" t="str">
        <f t="shared" si="101"/>
        <v>7793875321549</v>
      </c>
    </row>
    <row r="3213" spans="1:19" hidden="1" x14ac:dyDescent="0.35">
      <c r="A3213" s="22">
        <v>2</v>
      </c>
      <c r="B3213" t="s">
        <v>5624</v>
      </c>
      <c r="C3213" t="s">
        <v>802</v>
      </c>
      <c r="D3213" t="s">
        <v>5704</v>
      </c>
      <c r="E3213" t="s">
        <v>5705</v>
      </c>
      <c r="F3213">
        <v>4023305</v>
      </c>
      <c r="G3213" t="s">
        <v>5706</v>
      </c>
      <c r="H3213" t="s">
        <v>805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4</v>
      </c>
      <c r="P3213" s="44" t="e">
        <f>_xlfn.XLOOKUP(Tabla5[[#This Row],[EAN CORREGIDO]],'Tabla Articulos'!B:B,'Tabla Articulos'!D:D)</f>
        <v>#N/A</v>
      </c>
      <c r="Q3213" s="44" t="e">
        <f>_xlfn.XLOOKUP(S3213,'Tabla Articulos'!B:B,'Tabla Articulos'!E:E)</f>
        <v>#N/A</v>
      </c>
      <c r="R3213" s="44" t="e">
        <f t="shared" si="100"/>
        <v>#N/A</v>
      </c>
      <c r="S3213" s="45" t="str">
        <f t="shared" si="101"/>
        <v>7790480089673</v>
      </c>
    </row>
    <row r="3214" spans="1:19" hidden="1" x14ac:dyDescent="0.35">
      <c r="A3214" s="22">
        <v>2</v>
      </c>
      <c r="B3214" t="s">
        <v>5624</v>
      </c>
      <c r="C3214" t="s">
        <v>802</v>
      </c>
      <c r="D3214" t="s">
        <v>1086</v>
      </c>
      <c r="E3214" t="s">
        <v>1087</v>
      </c>
      <c r="F3214">
        <v>4017458</v>
      </c>
      <c r="G3214" t="s">
        <v>1088</v>
      </c>
      <c r="H3214" t="s">
        <v>805</v>
      </c>
      <c r="I3214">
        <v>400</v>
      </c>
      <c r="J3214">
        <v>0</v>
      </c>
      <c r="K3214">
        <v>0</v>
      </c>
      <c r="L3214">
        <v>10</v>
      </c>
      <c r="M3214">
        <v>10</v>
      </c>
      <c r="N3214">
        <v>327</v>
      </c>
      <c r="O3214">
        <v>53</v>
      </c>
      <c r="P3214" s="44" t="e">
        <f>_xlfn.XLOOKUP(Tabla5[[#This Row],[EAN CORREGIDO]],'Tabla Articulos'!B:B,'Tabla Articulos'!D:D)</f>
        <v>#N/A</v>
      </c>
      <c r="Q3214" s="44" t="e">
        <f>_xlfn.XLOOKUP(S3214,'Tabla Articulos'!B:B,'Tabla Articulos'!E:E)</f>
        <v>#N/A</v>
      </c>
      <c r="R3214" s="44" t="e">
        <f t="shared" si="100"/>
        <v>#N/A</v>
      </c>
      <c r="S3214" s="45" t="str">
        <f t="shared" si="101"/>
        <v>7798172641284</v>
      </c>
    </row>
    <row r="3215" spans="1:19" hidden="1" x14ac:dyDescent="0.35">
      <c r="A3215" s="22">
        <v>2</v>
      </c>
      <c r="B3215" t="s">
        <v>5624</v>
      </c>
      <c r="C3215" t="s">
        <v>802</v>
      </c>
      <c r="D3215" t="s">
        <v>4300</v>
      </c>
      <c r="E3215" t="s">
        <v>4313</v>
      </c>
      <c r="F3215">
        <v>4018276</v>
      </c>
      <c r="G3215" t="s">
        <v>4314</v>
      </c>
      <c r="H3215" t="s">
        <v>805</v>
      </c>
      <c r="I3215">
        <v>439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439</v>
      </c>
      <c r="P3215" s="44" t="e">
        <f>_xlfn.XLOOKUP(Tabla5[[#This Row],[EAN CORREGIDO]],'Tabla Articulos'!B:B,'Tabla Articulos'!D:D)</f>
        <v>#N/A</v>
      </c>
      <c r="Q3215" s="44" t="e">
        <f>_xlfn.XLOOKUP(S3215,'Tabla Articulos'!B:B,'Tabla Articulos'!E:E)</f>
        <v>#N/A</v>
      </c>
      <c r="R3215" s="44" t="e">
        <f t="shared" si="100"/>
        <v>#N/A</v>
      </c>
      <c r="S3215" s="45" t="str">
        <f t="shared" si="101"/>
        <v>8445290180209</v>
      </c>
    </row>
    <row r="3216" spans="1:19" hidden="1" x14ac:dyDescent="0.35">
      <c r="A3216" s="22">
        <v>2</v>
      </c>
      <c r="B3216" t="s">
        <v>5624</v>
      </c>
      <c r="C3216" t="s">
        <v>802</v>
      </c>
      <c r="D3216" t="s">
        <v>1832</v>
      </c>
      <c r="E3216" t="s">
        <v>3776</v>
      </c>
      <c r="F3216">
        <v>4019874</v>
      </c>
      <c r="G3216" t="s">
        <v>3777</v>
      </c>
      <c r="H3216" t="s">
        <v>805</v>
      </c>
      <c r="I3216">
        <v>80</v>
      </c>
      <c r="J3216">
        <v>0</v>
      </c>
      <c r="K3216">
        <v>0</v>
      </c>
      <c r="L3216">
        <v>3</v>
      </c>
      <c r="M3216">
        <v>3</v>
      </c>
      <c r="N3216">
        <v>0</v>
      </c>
      <c r="O3216">
        <v>74</v>
      </c>
      <c r="P3216" s="44" t="e">
        <f>_xlfn.XLOOKUP(Tabla5[[#This Row],[EAN CORREGIDO]],'Tabla Articulos'!B:B,'Tabla Articulos'!D:D)</f>
        <v>#N/A</v>
      </c>
      <c r="Q3216" s="44" t="e">
        <f>_xlfn.XLOOKUP(S3216,'Tabla Articulos'!B:B,'Tabla Articulos'!E:E)</f>
        <v>#N/A</v>
      </c>
      <c r="R3216" s="44" t="e">
        <f t="shared" si="100"/>
        <v>#N/A</v>
      </c>
      <c r="S3216" s="45" t="str">
        <f t="shared" si="101"/>
        <v>7790530850031</v>
      </c>
    </row>
    <row r="3217" spans="1:19" hidden="1" x14ac:dyDescent="0.35">
      <c r="A3217" s="22">
        <v>2</v>
      </c>
      <c r="B3217" t="s">
        <v>5624</v>
      </c>
      <c r="C3217" t="s">
        <v>802</v>
      </c>
      <c r="D3217" t="s">
        <v>314</v>
      </c>
      <c r="E3217" t="s">
        <v>6477</v>
      </c>
      <c r="F3217">
        <v>2006682</v>
      </c>
      <c r="G3217" t="s">
        <v>6478</v>
      </c>
      <c r="H3217" t="s">
        <v>805</v>
      </c>
      <c r="I3217">
        <v>0</v>
      </c>
      <c r="J3217">
        <v>50</v>
      </c>
      <c r="K3217">
        <v>0</v>
      </c>
      <c r="L3217">
        <v>6</v>
      </c>
      <c r="M3217">
        <v>6</v>
      </c>
      <c r="N3217">
        <v>0</v>
      </c>
      <c r="O3217">
        <v>38</v>
      </c>
      <c r="P3217" s="44" t="str">
        <f>_xlfn.XLOOKUP(Tabla5[[#This Row],[EAN CORREGIDO]],'Tabla Articulos'!B:B,'Tabla Articulos'!D:D)</f>
        <v>CUCHARA SUNDAE</v>
      </c>
      <c r="Q3217" s="44">
        <f>_xlfn.XLOOKUP(S3217,'Tabla Articulos'!B:B,'Tabla Articulos'!E:E)</f>
        <v>1000</v>
      </c>
      <c r="R3217" s="44">
        <f t="shared" si="100"/>
        <v>38000</v>
      </c>
      <c r="S3217" s="45" t="str">
        <f t="shared" si="101"/>
        <v>7790321020196</v>
      </c>
    </row>
    <row r="3218" spans="1:19" hidden="1" x14ac:dyDescent="0.35">
      <c r="A3218" s="22">
        <v>2</v>
      </c>
      <c r="B3218" t="s">
        <v>5624</v>
      </c>
      <c r="C3218" t="s">
        <v>802</v>
      </c>
      <c r="D3218" t="s">
        <v>259</v>
      </c>
      <c r="E3218" t="s">
        <v>6181</v>
      </c>
      <c r="F3218">
        <v>2007032</v>
      </c>
      <c r="G3218" t="s">
        <v>6182</v>
      </c>
      <c r="H3218" t="s">
        <v>805</v>
      </c>
      <c r="I3218">
        <v>80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80</v>
      </c>
      <c r="P3218" s="44" t="str">
        <f>_xlfn.XLOOKUP(Tabla5[[#This Row],[EAN CORREGIDO]],'Tabla Articulos'!B:B,'Tabla Articulos'!D:D)</f>
        <v>GUANTE PROPILENO</v>
      </c>
      <c r="Q3218" s="44">
        <f>_xlfn.XLOOKUP(S3218,'Tabla Articulos'!B:B,'Tabla Articulos'!E:E)</f>
        <v>100</v>
      </c>
      <c r="R3218" s="44">
        <f t="shared" si="100"/>
        <v>8000</v>
      </c>
      <c r="S3218" s="45" t="str">
        <f t="shared" si="101"/>
        <v>17030002A</v>
      </c>
    </row>
    <row r="3219" spans="1:19" hidden="1" x14ac:dyDescent="0.35">
      <c r="A3219" s="22">
        <v>2</v>
      </c>
      <c r="B3219" t="s">
        <v>5624</v>
      </c>
      <c r="C3219" t="s">
        <v>802</v>
      </c>
      <c r="D3219" t="s">
        <v>6183</v>
      </c>
      <c r="E3219" t="s">
        <v>6184</v>
      </c>
      <c r="F3219">
        <v>4023676</v>
      </c>
      <c r="G3219" t="s">
        <v>6185</v>
      </c>
      <c r="H3219" t="s">
        <v>837</v>
      </c>
      <c r="I3219">
        <v>15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15</v>
      </c>
      <c r="P3219" s="44" t="e">
        <f>_xlfn.XLOOKUP(Tabla5[[#This Row],[EAN CORREGIDO]],'Tabla Articulos'!B:B,'Tabla Articulos'!D:D)</f>
        <v>#N/A</v>
      </c>
      <c r="Q3219" s="44" t="e">
        <f>_xlfn.XLOOKUP(S3219,'Tabla Articulos'!B:B,'Tabla Articulos'!E:E)</f>
        <v>#N/A</v>
      </c>
      <c r="R3219" s="44" t="e">
        <f t="shared" si="100"/>
        <v>#N/A</v>
      </c>
      <c r="S3219" s="45" t="str">
        <f t="shared" si="101"/>
        <v>7798182730732</v>
      </c>
    </row>
    <row r="3220" spans="1:19" hidden="1" x14ac:dyDescent="0.35">
      <c r="A3220" s="22">
        <v>2</v>
      </c>
      <c r="B3220" t="s">
        <v>5624</v>
      </c>
      <c r="C3220" t="s">
        <v>802</v>
      </c>
      <c r="D3220" t="s">
        <v>2296</v>
      </c>
      <c r="E3220" t="s">
        <v>2297</v>
      </c>
      <c r="F3220">
        <v>4017716</v>
      </c>
      <c r="G3220" t="s">
        <v>2298</v>
      </c>
      <c r="H3220" t="s">
        <v>816</v>
      </c>
      <c r="I3220">
        <v>77.5</v>
      </c>
      <c r="J3220">
        <v>0</v>
      </c>
      <c r="K3220">
        <v>0</v>
      </c>
      <c r="L3220">
        <v>0.75</v>
      </c>
      <c r="M3220">
        <v>0.75</v>
      </c>
      <c r="N3220">
        <v>0</v>
      </c>
      <c r="O3220">
        <v>76</v>
      </c>
      <c r="P3220" s="44" t="e">
        <f>_xlfn.XLOOKUP(Tabla5[[#This Row],[EAN CORREGIDO]],'Tabla Articulos'!B:B,'Tabla Articulos'!D:D)</f>
        <v>#N/A</v>
      </c>
      <c r="Q3220" s="44" t="e">
        <f>_xlfn.XLOOKUP(S3220,'Tabla Articulos'!B:B,'Tabla Articulos'!E:E)</f>
        <v>#N/A</v>
      </c>
      <c r="R3220" s="44" t="e">
        <f t="shared" si="100"/>
        <v>#N/A</v>
      </c>
      <c r="S3220" s="45" t="str">
        <f t="shared" si="101"/>
        <v>7790212050102</v>
      </c>
    </row>
    <row r="3221" spans="1:19" hidden="1" x14ac:dyDescent="0.35">
      <c r="A3221" s="22">
        <v>2</v>
      </c>
      <c r="B3221" t="s">
        <v>5624</v>
      </c>
      <c r="C3221" t="s">
        <v>802</v>
      </c>
      <c r="D3221" t="s">
        <v>6023</v>
      </c>
      <c r="E3221" t="s">
        <v>6024</v>
      </c>
      <c r="F3221">
        <v>4019743</v>
      </c>
      <c r="G3221" t="s">
        <v>6025</v>
      </c>
      <c r="H3221" t="s">
        <v>805</v>
      </c>
      <c r="I3221">
        <v>10</v>
      </c>
      <c r="J3221">
        <v>0</v>
      </c>
      <c r="K3221">
        <v>10</v>
      </c>
      <c r="L3221">
        <v>0</v>
      </c>
      <c r="M3221">
        <v>0</v>
      </c>
      <c r="N3221">
        <v>0</v>
      </c>
      <c r="O3221">
        <v>0</v>
      </c>
      <c r="P3221" s="44" t="e">
        <f>_xlfn.XLOOKUP(Tabla5[[#This Row],[EAN CORREGIDO]],'Tabla Articulos'!B:B,'Tabla Articulos'!D:D)</f>
        <v>#N/A</v>
      </c>
      <c r="Q3221" s="44" t="e">
        <f>_xlfn.XLOOKUP(S3221,'Tabla Articulos'!B:B,'Tabla Articulos'!E:E)</f>
        <v>#N/A</v>
      </c>
      <c r="R3221" s="44" t="e">
        <f t="shared" si="100"/>
        <v>#N/A</v>
      </c>
      <c r="S3221" s="45" t="str">
        <f t="shared" si="101"/>
        <v>7790629895234</v>
      </c>
    </row>
    <row r="3222" spans="1:19" hidden="1" x14ac:dyDescent="0.35">
      <c r="A3222" s="22">
        <v>2</v>
      </c>
      <c r="B3222" t="s">
        <v>5624</v>
      </c>
      <c r="C3222" t="s">
        <v>802</v>
      </c>
      <c r="D3222" t="s">
        <v>381</v>
      </c>
      <c r="E3222" t="s">
        <v>3778</v>
      </c>
      <c r="F3222">
        <v>2006676</v>
      </c>
      <c r="G3222" t="s">
        <v>3779</v>
      </c>
      <c r="H3222" t="s">
        <v>1034</v>
      </c>
      <c r="I3222">
        <v>20</v>
      </c>
      <c r="J3222">
        <v>20</v>
      </c>
      <c r="K3222">
        <v>0</v>
      </c>
      <c r="L3222">
        <v>0</v>
      </c>
      <c r="M3222">
        <v>0</v>
      </c>
      <c r="N3222">
        <v>0</v>
      </c>
      <c r="O3222">
        <v>40</v>
      </c>
      <c r="P3222" s="44" t="str">
        <f>_xlfn.XLOOKUP(Tabla5[[#This Row],[EAN CORREGIDO]],'Tabla Articulos'!B:B,'Tabla Articulos'!D:D)</f>
        <v>BOLSA CUBIERTOS 25X35</v>
      </c>
      <c r="Q3222" s="44">
        <f>_xlfn.XLOOKUP(S3222,'Tabla Articulos'!B:B,'Tabla Articulos'!E:E)</f>
        <v>100</v>
      </c>
      <c r="R3222" s="44">
        <f t="shared" si="100"/>
        <v>4000</v>
      </c>
      <c r="S3222" s="45" t="str">
        <f t="shared" si="101"/>
        <v>7790321020996</v>
      </c>
    </row>
    <row r="3223" spans="1:19" hidden="1" x14ac:dyDescent="0.35">
      <c r="A3223" s="22">
        <v>2</v>
      </c>
      <c r="B3223" t="s">
        <v>5624</v>
      </c>
      <c r="C3223" t="s">
        <v>802</v>
      </c>
      <c r="D3223" t="s">
        <v>846</v>
      </c>
      <c r="E3223" t="s">
        <v>3780</v>
      </c>
      <c r="F3223">
        <v>4018502</v>
      </c>
      <c r="G3223" t="s">
        <v>3781</v>
      </c>
      <c r="H3223" t="s">
        <v>816</v>
      </c>
      <c r="I3223">
        <v>1832.88</v>
      </c>
      <c r="J3223">
        <v>0</v>
      </c>
      <c r="K3223">
        <v>991.32</v>
      </c>
      <c r="L3223">
        <v>0</v>
      </c>
      <c r="M3223">
        <v>0</v>
      </c>
      <c r="N3223">
        <v>0</v>
      </c>
      <c r="O3223">
        <v>841.56</v>
      </c>
      <c r="P3223" s="44" t="e">
        <f>_xlfn.XLOOKUP(Tabla5[[#This Row],[EAN CORREGIDO]],'Tabla Articulos'!B:B,'Tabla Articulos'!D:D)</f>
        <v>#N/A</v>
      </c>
      <c r="Q3223" s="44" t="e">
        <f>_xlfn.XLOOKUP(S3223,'Tabla Articulos'!B:B,'Tabla Articulos'!E:E)</f>
        <v>#N/A</v>
      </c>
      <c r="R3223" s="44" t="e">
        <f t="shared" si="100"/>
        <v>#N/A</v>
      </c>
      <c r="S3223" s="45" t="str">
        <f t="shared" si="101"/>
        <v>7790213012220</v>
      </c>
    </row>
    <row r="3224" spans="1:19" hidden="1" x14ac:dyDescent="0.35">
      <c r="A3224" s="22">
        <v>2</v>
      </c>
      <c r="B3224" t="s">
        <v>5624</v>
      </c>
      <c r="C3224" t="s">
        <v>802</v>
      </c>
      <c r="D3224" t="s">
        <v>6099</v>
      </c>
      <c r="E3224" t="s">
        <v>6100</v>
      </c>
      <c r="F3224">
        <v>4022154</v>
      </c>
      <c r="G3224" t="s">
        <v>6101</v>
      </c>
      <c r="H3224" t="s">
        <v>805</v>
      </c>
      <c r="I3224">
        <v>92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92</v>
      </c>
      <c r="P3224" s="44" t="e">
        <f>_xlfn.XLOOKUP(Tabla5[[#This Row],[EAN CORREGIDO]],'Tabla Articulos'!B:B,'Tabla Articulos'!D:D)</f>
        <v>#N/A</v>
      </c>
      <c r="Q3224" s="44" t="e">
        <f>_xlfn.XLOOKUP(S3224,'Tabla Articulos'!B:B,'Tabla Articulos'!E:E)</f>
        <v>#N/A</v>
      </c>
      <c r="R3224" s="44" t="e">
        <f t="shared" si="100"/>
        <v>#N/A</v>
      </c>
      <c r="S3224" s="45" t="str">
        <f t="shared" si="101"/>
        <v>7791813402015</v>
      </c>
    </row>
    <row r="3225" spans="1:19" hidden="1" x14ac:dyDescent="0.35">
      <c r="A3225" s="22">
        <v>2</v>
      </c>
      <c r="B3225" t="s">
        <v>5624</v>
      </c>
      <c r="C3225" t="s">
        <v>802</v>
      </c>
      <c r="D3225" t="s">
        <v>4289</v>
      </c>
      <c r="E3225" t="s">
        <v>6102</v>
      </c>
      <c r="F3225">
        <v>4019529</v>
      </c>
      <c r="G3225" t="s">
        <v>6103</v>
      </c>
      <c r="H3225" t="s">
        <v>805</v>
      </c>
      <c r="I3225">
        <v>342</v>
      </c>
      <c r="J3225">
        <v>0</v>
      </c>
      <c r="K3225">
        <v>0</v>
      </c>
      <c r="L3225">
        <v>9</v>
      </c>
      <c r="M3225">
        <v>8</v>
      </c>
      <c r="N3225">
        <v>0</v>
      </c>
      <c r="O3225">
        <v>325</v>
      </c>
      <c r="P3225" s="44" t="e">
        <f>_xlfn.XLOOKUP(Tabla5[[#This Row],[EAN CORREGIDO]],'Tabla Articulos'!B:B,'Tabla Articulos'!D:D)</f>
        <v>#N/A</v>
      </c>
      <c r="Q3225" s="44" t="e">
        <f>_xlfn.XLOOKUP(S3225,'Tabla Articulos'!B:B,'Tabla Articulos'!E:E)</f>
        <v>#N/A</v>
      </c>
      <c r="R3225" s="44" t="e">
        <f t="shared" si="100"/>
        <v>#N/A</v>
      </c>
      <c r="S3225" s="45" t="str">
        <f t="shared" si="101"/>
        <v>7790070336965</v>
      </c>
    </row>
    <row r="3226" spans="1:19" hidden="1" x14ac:dyDescent="0.35">
      <c r="A3226" s="22">
        <v>2</v>
      </c>
      <c r="B3226" t="s">
        <v>5624</v>
      </c>
      <c r="C3226" t="s">
        <v>802</v>
      </c>
      <c r="D3226" t="s">
        <v>5854</v>
      </c>
      <c r="E3226" t="s">
        <v>6104</v>
      </c>
      <c r="F3226">
        <v>4020050</v>
      </c>
      <c r="G3226" t="s">
        <v>6105</v>
      </c>
      <c r="H3226" t="s">
        <v>805</v>
      </c>
      <c r="I3226">
        <v>1923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1923</v>
      </c>
      <c r="P3226" s="44" t="e">
        <f>_xlfn.XLOOKUP(Tabla5[[#This Row],[EAN CORREGIDO]],'Tabla Articulos'!B:B,'Tabla Articulos'!D:D)</f>
        <v>#N/A</v>
      </c>
      <c r="Q3226" s="44" t="e">
        <f>_xlfn.XLOOKUP(S3226,'Tabla Articulos'!B:B,'Tabla Articulos'!E:E)</f>
        <v>#N/A</v>
      </c>
      <c r="R3226" s="44" t="e">
        <f t="shared" si="100"/>
        <v>#N/A</v>
      </c>
      <c r="S3226" s="45" t="str">
        <f t="shared" si="101"/>
        <v>7793323004857</v>
      </c>
    </row>
    <row r="3227" spans="1:19" hidden="1" x14ac:dyDescent="0.35">
      <c r="A3227" s="22">
        <v>2</v>
      </c>
      <c r="B3227" t="s">
        <v>5624</v>
      </c>
      <c r="C3227" t="s">
        <v>802</v>
      </c>
      <c r="D3227" t="s">
        <v>1091</v>
      </c>
      <c r="E3227" t="s">
        <v>1092</v>
      </c>
      <c r="F3227">
        <v>2016661</v>
      </c>
      <c r="G3227" t="s">
        <v>1093</v>
      </c>
      <c r="H3227" t="s">
        <v>805</v>
      </c>
      <c r="I3227">
        <v>0</v>
      </c>
      <c r="J3227">
        <v>170</v>
      </c>
      <c r="K3227">
        <v>0</v>
      </c>
      <c r="L3227">
        <v>0</v>
      </c>
      <c r="M3227">
        <v>0</v>
      </c>
      <c r="N3227">
        <v>0</v>
      </c>
      <c r="O3227">
        <v>170</v>
      </c>
      <c r="P3227" s="44" t="str">
        <f>_xlfn.XLOOKUP(Tabla5[[#This Row],[EAN CORREGIDO]],'Tabla Articulos'!B:B,'Tabla Articulos'!D:D)</f>
        <v>CUCHILLO COMPOSTABLE</v>
      </c>
      <c r="Q3227" s="44">
        <f>_xlfn.XLOOKUP(S3227,'Tabla Articulos'!B:B,'Tabla Articulos'!E:E)</f>
        <v>100</v>
      </c>
      <c r="R3227" s="44">
        <f t="shared" si="100"/>
        <v>17000</v>
      </c>
      <c r="S3227" s="45" t="str">
        <f t="shared" si="101"/>
        <v>7790900031701</v>
      </c>
    </row>
    <row r="3228" spans="1:19" hidden="1" x14ac:dyDescent="0.35">
      <c r="A3228" s="22">
        <v>2</v>
      </c>
      <c r="B3228" t="s">
        <v>5624</v>
      </c>
      <c r="C3228" t="s">
        <v>802</v>
      </c>
      <c r="D3228" t="s">
        <v>5836</v>
      </c>
      <c r="E3228" t="s">
        <v>5837</v>
      </c>
      <c r="F3228">
        <v>2006448</v>
      </c>
      <c r="G3228" t="s">
        <v>5838</v>
      </c>
      <c r="H3228" t="s">
        <v>805</v>
      </c>
      <c r="I3228">
        <v>293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293</v>
      </c>
      <c r="P3228" s="44" t="e">
        <f>_xlfn.XLOOKUP(Tabla5[[#This Row],[EAN CORREGIDO]],'Tabla Articulos'!B:B,'Tabla Articulos'!D:D)</f>
        <v>#N/A</v>
      </c>
      <c r="Q3228" s="44" t="e">
        <f>_xlfn.XLOOKUP(S3228,'Tabla Articulos'!B:B,'Tabla Articulos'!E:E)</f>
        <v>#N/A</v>
      </c>
      <c r="R3228" s="44" t="e">
        <f t="shared" si="100"/>
        <v>#N/A</v>
      </c>
      <c r="S3228" s="45" t="str">
        <f t="shared" si="101"/>
        <v>BAZ00010</v>
      </c>
    </row>
    <row r="3229" spans="1:19" hidden="1" x14ac:dyDescent="0.35">
      <c r="A3229" s="22">
        <v>2</v>
      </c>
      <c r="B3229" t="s">
        <v>5624</v>
      </c>
      <c r="C3229" t="s">
        <v>802</v>
      </c>
      <c r="D3229" t="s">
        <v>1008</v>
      </c>
      <c r="E3229" t="s">
        <v>5839</v>
      </c>
      <c r="F3229">
        <v>4018398</v>
      </c>
      <c r="G3229" t="s">
        <v>5840</v>
      </c>
      <c r="H3229" t="s">
        <v>805</v>
      </c>
      <c r="I3229">
        <v>271</v>
      </c>
      <c r="J3229">
        <v>0</v>
      </c>
      <c r="K3229">
        <v>0</v>
      </c>
      <c r="L3229">
        <v>10</v>
      </c>
      <c r="M3229">
        <v>10</v>
      </c>
      <c r="N3229">
        <v>0</v>
      </c>
      <c r="O3229">
        <v>251</v>
      </c>
      <c r="P3229" s="44" t="e">
        <f>_xlfn.XLOOKUP(Tabla5[[#This Row],[EAN CORREGIDO]],'Tabla Articulos'!B:B,'Tabla Articulos'!D:D)</f>
        <v>#N/A</v>
      </c>
      <c r="Q3229" s="44" t="e">
        <f>_xlfn.XLOOKUP(S3229,'Tabla Articulos'!B:B,'Tabla Articulos'!E:E)</f>
        <v>#N/A</v>
      </c>
      <c r="R3229" s="44" t="e">
        <f t="shared" si="100"/>
        <v>#N/A</v>
      </c>
      <c r="S3229" s="45" t="str">
        <f t="shared" si="101"/>
        <v>7798060852679</v>
      </c>
    </row>
    <row r="3230" spans="1:19" hidden="1" x14ac:dyDescent="0.35">
      <c r="A3230" s="22">
        <v>2</v>
      </c>
      <c r="B3230" t="s">
        <v>5624</v>
      </c>
      <c r="C3230" t="s">
        <v>802</v>
      </c>
      <c r="D3230" t="s">
        <v>234</v>
      </c>
      <c r="E3230" t="s">
        <v>1609</v>
      </c>
      <c r="F3230">
        <v>2016499</v>
      </c>
      <c r="G3230" t="s">
        <v>1610</v>
      </c>
      <c r="H3230" t="s">
        <v>805</v>
      </c>
      <c r="I3230">
        <v>59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59</v>
      </c>
      <c r="P3230" s="44" t="str">
        <f>_xlfn.XLOOKUP(Tabla5[[#This Row],[EAN CORREGIDO]],'Tabla Articulos'!B:B,'Tabla Articulos'!D:D)</f>
        <v>SERVILLETA C/ LOGO BLUE 33X21.5</v>
      </c>
      <c r="Q3230" s="44">
        <f>_xlfn.XLOOKUP(S3230,'Tabla Articulos'!B:B,'Tabla Articulos'!E:E)</f>
        <v>1000</v>
      </c>
      <c r="R3230" s="44">
        <f t="shared" si="100"/>
        <v>59000</v>
      </c>
      <c r="S3230" s="45" t="str">
        <f t="shared" si="101"/>
        <v>7790000000708</v>
      </c>
    </row>
    <row r="3231" spans="1:19" hidden="1" x14ac:dyDescent="0.35">
      <c r="A3231" s="22">
        <v>2</v>
      </c>
      <c r="B3231" t="s">
        <v>5624</v>
      </c>
      <c r="C3231" t="s">
        <v>802</v>
      </c>
      <c r="D3231" t="s">
        <v>456</v>
      </c>
      <c r="E3231" t="s">
        <v>1276</v>
      </c>
      <c r="F3231">
        <v>2007004</v>
      </c>
      <c r="G3231" t="s">
        <v>1277</v>
      </c>
      <c r="H3231" t="s">
        <v>805</v>
      </c>
      <c r="I3231">
        <v>21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21</v>
      </c>
      <c r="P3231" s="44" t="str">
        <f>_xlfn.XLOOKUP(Tabla5[[#This Row],[EAN CORREGIDO]],'Tabla Articulos'!B:B,'Tabla Articulos'!D:D)</f>
        <v>INDIVIDUAL KRAFT</v>
      </c>
      <c r="Q3231" s="44">
        <f>_xlfn.XLOOKUP(S3231,'Tabla Articulos'!B:B,'Tabla Articulos'!E:E)</f>
        <v>200</v>
      </c>
      <c r="R3231" s="44">
        <f t="shared" si="100"/>
        <v>4200</v>
      </c>
      <c r="S3231" s="45" t="str">
        <f t="shared" si="101"/>
        <v>7790000000043</v>
      </c>
    </row>
    <row r="3232" spans="1:19" hidden="1" x14ac:dyDescent="0.35">
      <c r="A3232" s="22">
        <v>2</v>
      </c>
      <c r="B3232" t="s">
        <v>5624</v>
      </c>
      <c r="C3232" t="s">
        <v>802</v>
      </c>
      <c r="D3232" t="s">
        <v>6280</v>
      </c>
      <c r="E3232" t="s">
        <v>6281</v>
      </c>
      <c r="F3232">
        <v>4024640</v>
      </c>
      <c r="G3232" t="s">
        <v>6282</v>
      </c>
      <c r="H3232" t="s">
        <v>805</v>
      </c>
      <c r="I3232">
        <v>7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7</v>
      </c>
      <c r="P3232" s="44" t="e">
        <f>_xlfn.XLOOKUP(Tabla5[[#This Row],[EAN CORREGIDO]],'Tabla Articulos'!B:B,'Tabla Articulos'!D:D)</f>
        <v>#N/A</v>
      </c>
      <c r="Q3232" s="44" t="e">
        <f>_xlfn.XLOOKUP(S3232,'Tabla Articulos'!B:B,'Tabla Articulos'!E:E)</f>
        <v>#N/A</v>
      </c>
      <c r="R3232" s="44" t="e">
        <f t="shared" si="100"/>
        <v>#N/A</v>
      </c>
      <c r="S3232" s="45" t="str">
        <f t="shared" si="101"/>
        <v>7790150250426</v>
      </c>
    </row>
    <row r="3233" spans="1:19" hidden="1" x14ac:dyDescent="0.35">
      <c r="A3233" s="22">
        <v>2</v>
      </c>
      <c r="B3233" t="s">
        <v>5624</v>
      </c>
      <c r="C3233" t="s">
        <v>802</v>
      </c>
      <c r="D3233" t="s">
        <v>3194</v>
      </c>
      <c r="E3233" t="s">
        <v>3195</v>
      </c>
      <c r="F3233">
        <v>4001105</v>
      </c>
      <c r="G3233" t="s">
        <v>3196</v>
      </c>
      <c r="H3233" t="s">
        <v>816</v>
      </c>
      <c r="I3233">
        <v>2007.89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2007.89</v>
      </c>
      <c r="P3233" s="44" t="e">
        <f>_xlfn.XLOOKUP(Tabla5[[#This Row],[EAN CORREGIDO]],'Tabla Articulos'!B:B,'Tabla Articulos'!D:D)</f>
        <v>#N/A</v>
      </c>
      <c r="Q3233" s="44" t="e">
        <f>_xlfn.XLOOKUP(S3233,'Tabla Articulos'!B:B,'Tabla Articulos'!E:E)</f>
        <v>#N/A</v>
      </c>
      <c r="R3233" s="44" t="e">
        <f t="shared" si="100"/>
        <v>#N/A</v>
      </c>
      <c r="S3233" s="45" t="str">
        <f t="shared" si="101"/>
        <v>7790000000598</v>
      </c>
    </row>
    <row r="3234" spans="1:19" hidden="1" x14ac:dyDescent="0.35">
      <c r="A3234" s="22">
        <v>2</v>
      </c>
      <c r="B3234" t="s">
        <v>5624</v>
      </c>
      <c r="C3234" t="s">
        <v>802</v>
      </c>
      <c r="D3234" t="s">
        <v>3207</v>
      </c>
      <c r="E3234" t="s">
        <v>3208</v>
      </c>
      <c r="F3234">
        <v>4017962</v>
      </c>
      <c r="G3234" t="s">
        <v>3209</v>
      </c>
      <c r="H3234" t="s">
        <v>816</v>
      </c>
      <c r="I3234">
        <v>841.51900000000001</v>
      </c>
      <c r="J3234">
        <v>0</v>
      </c>
      <c r="K3234">
        <v>0</v>
      </c>
      <c r="L3234">
        <v>209.28299999999999</v>
      </c>
      <c r="M3234">
        <v>225.28299999999999</v>
      </c>
      <c r="N3234">
        <v>0</v>
      </c>
      <c r="O3234">
        <v>406.95299999999997</v>
      </c>
      <c r="P3234" s="44" t="e">
        <f>_xlfn.XLOOKUP(Tabla5[[#This Row],[EAN CORREGIDO]],'Tabla Articulos'!B:B,'Tabla Articulos'!D:D)</f>
        <v>#N/A</v>
      </c>
      <c r="Q3234" s="44" t="e">
        <f>_xlfn.XLOOKUP(S3234,'Tabla Articulos'!B:B,'Tabla Articulos'!E:E)</f>
        <v>#N/A</v>
      </c>
      <c r="R3234" s="44" t="e">
        <f t="shared" si="100"/>
        <v>#N/A</v>
      </c>
      <c r="S3234" s="45" t="str">
        <f t="shared" si="101"/>
        <v>7790216012613</v>
      </c>
    </row>
    <row r="3235" spans="1:19" hidden="1" x14ac:dyDescent="0.35">
      <c r="A3235" s="22">
        <v>2</v>
      </c>
      <c r="B3235" t="s">
        <v>5624</v>
      </c>
      <c r="C3235" t="s">
        <v>802</v>
      </c>
      <c r="D3235" t="s">
        <v>1924</v>
      </c>
      <c r="E3235" t="s">
        <v>1925</v>
      </c>
      <c r="F3235">
        <v>4022176</v>
      </c>
      <c r="G3235" t="s">
        <v>1926</v>
      </c>
      <c r="H3235" t="s">
        <v>805</v>
      </c>
      <c r="I3235">
        <v>567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567</v>
      </c>
      <c r="P3235" s="44" t="e">
        <f>_xlfn.XLOOKUP(Tabla5[[#This Row],[EAN CORREGIDO]],'Tabla Articulos'!B:B,'Tabla Articulos'!D:D)</f>
        <v>#N/A</v>
      </c>
      <c r="Q3235" s="44" t="e">
        <f>_xlfn.XLOOKUP(S3235,'Tabla Articulos'!B:B,'Tabla Articulos'!E:E)</f>
        <v>#N/A</v>
      </c>
      <c r="R3235" s="44" t="e">
        <f t="shared" si="100"/>
        <v>#N/A</v>
      </c>
      <c r="S3235" s="45" t="str">
        <f t="shared" si="101"/>
        <v>7798011977383</v>
      </c>
    </row>
    <row r="3236" spans="1:19" hidden="1" x14ac:dyDescent="0.35">
      <c r="A3236" s="22">
        <v>2</v>
      </c>
      <c r="B3236" t="s">
        <v>5624</v>
      </c>
      <c r="C3236" t="s">
        <v>802</v>
      </c>
      <c r="D3236" t="s">
        <v>6272</v>
      </c>
      <c r="E3236" t="s">
        <v>6273</v>
      </c>
      <c r="F3236">
        <v>4018405</v>
      </c>
      <c r="G3236" t="s">
        <v>6274</v>
      </c>
      <c r="H3236" t="s">
        <v>805</v>
      </c>
      <c r="I3236">
        <v>3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3</v>
      </c>
      <c r="P3236" s="44" t="e">
        <f>_xlfn.XLOOKUP(Tabla5[[#This Row],[EAN CORREGIDO]],'Tabla Articulos'!B:B,'Tabla Articulos'!D:D)</f>
        <v>#N/A</v>
      </c>
      <c r="Q3236" s="44" t="e">
        <f>_xlfn.XLOOKUP(S3236,'Tabla Articulos'!B:B,'Tabla Articulos'!E:E)</f>
        <v>#N/A</v>
      </c>
      <c r="R3236" s="44" t="e">
        <f t="shared" si="100"/>
        <v>#N/A</v>
      </c>
      <c r="S3236" s="45" t="str">
        <f t="shared" si="101"/>
        <v>8445290649744</v>
      </c>
    </row>
    <row r="3237" spans="1:19" hidden="1" x14ac:dyDescent="0.35">
      <c r="A3237" s="22">
        <v>2</v>
      </c>
      <c r="B3237" t="s">
        <v>5624</v>
      </c>
      <c r="C3237" t="s">
        <v>802</v>
      </c>
      <c r="D3237" t="s">
        <v>5753</v>
      </c>
      <c r="E3237" t="s">
        <v>5754</v>
      </c>
      <c r="F3237">
        <v>4018921</v>
      </c>
      <c r="G3237" t="s">
        <v>5755</v>
      </c>
      <c r="H3237" t="s">
        <v>805</v>
      </c>
      <c r="I3237">
        <v>13060</v>
      </c>
      <c r="J3237">
        <v>0</v>
      </c>
      <c r="K3237">
        <v>0</v>
      </c>
      <c r="L3237">
        <v>60</v>
      </c>
      <c r="M3237">
        <v>60</v>
      </c>
      <c r="N3237">
        <v>0</v>
      </c>
      <c r="O3237">
        <v>12940</v>
      </c>
      <c r="P3237" s="44" t="e">
        <f>_xlfn.XLOOKUP(Tabla5[[#This Row],[EAN CORREGIDO]],'Tabla Articulos'!B:B,'Tabla Articulos'!D:D)</f>
        <v>#N/A</v>
      </c>
      <c r="Q3237" s="44" t="e">
        <f>_xlfn.XLOOKUP(S3237,'Tabla Articulos'!B:B,'Tabla Articulos'!E:E)</f>
        <v>#N/A</v>
      </c>
      <c r="R3237" s="44" t="e">
        <f t="shared" si="100"/>
        <v>#N/A</v>
      </c>
      <c r="S3237" s="45" t="str">
        <f t="shared" si="101"/>
        <v>7798188380139</v>
      </c>
    </row>
    <row r="3238" spans="1:19" hidden="1" x14ac:dyDescent="0.35">
      <c r="A3238" s="22">
        <v>2</v>
      </c>
      <c r="B3238" t="s">
        <v>5624</v>
      </c>
      <c r="C3238" t="s">
        <v>802</v>
      </c>
      <c r="D3238" t="s">
        <v>1681</v>
      </c>
      <c r="E3238" t="s">
        <v>1906</v>
      </c>
      <c r="F3238">
        <v>4019880</v>
      </c>
      <c r="G3238" t="s">
        <v>1907</v>
      </c>
      <c r="H3238" t="s">
        <v>805</v>
      </c>
      <c r="I3238">
        <v>284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284</v>
      </c>
      <c r="P3238" s="44" t="e">
        <f>_xlfn.XLOOKUP(Tabla5[[#This Row],[EAN CORREGIDO]],'Tabla Articulos'!B:B,'Tabla Articulos'!D:D)</f>
        <v>#N/A</v>
      </c>
      <c r="Q3238" s="44" t="e">
        <f>_xlfn.XLOOKUP(S3238,'Tabla Articulos'!B:B,'Tabla Articulos'!E:E)</f>
        <v>#N/A</v>
      </c>
      <c r="R3238" s="44" t="e">
        <f t="shared" si="100"/>
        <v>#N/A</v>
      </c>
      <c r="S3238" s="45" t="str">
        <f t="shared" si="101"/>
        <v>7790566000264</v>
      </c>
    </row>
    <row r="3239" spans="1:19" hidden="1" x14ac:dyDescent="0.35">
      <c r="A3239" s="22">
        <v>2</v>
      </c>
      <c r="B3239" t="s">
        <v>5624</v>
      </c>
      <c r="C3239" t="s">
        <v>802</v>
      </c>
      <c r="D3239" t="s">
        <v>1769</v>
      </c>
      <c r="E3239" t="s">
        <v>1910</v>
      </c>
      <c r="F3239">
        <v>4024267</v>
      </c>
      <c r="G3239" t="s">
        <v>1911</v>
      </c>
      <c r="H3239" t="s">
        <v>805</v>
      </c>
      <c r="I3239">
        <v>851</v>
      </c>
      <c r="J3239">
        <v>0</v>
      </c>
      <c r="K3239">
        <v>0</v>
      </c>
      <c r="L3239">
        <v>76</v>
      </c>
      <c r="M3239">
        <v>76</v>
      </c>
      <c r="N3239">
        <v>0</v>
      </c>
      <c r="O3239">
        <v>699</v>
      </c>
      <c r="P3239" s="44" t="e">
        <f>_xlfn.XLOOKUP(Tabla5[[#This Row],[EAN CORREGIDO]],'Tabla Articulos'!B:B,'Tabla Articulos'!D:D)</f>
        <v>#N/A</v>
      </c>
      <c r="Q3239" s="44" t="e">
        <f>_xlfn.XLOOKUP(S3239,'Tabla Articulos'!B:B,'Tabla Articulos'!E:E)</f>
        <v>#N/A</v>
      </c>
      <c r="R3239" s="44" t="e">
        <f t="shared" si="100"/>
        <v>#N/A</v>
      </c>
      <c r="S3239" s="45" t="str">
        <f t="shared" si="101"/>
        <v>7790580132422</v>
      </c>
    </row>
    <row r="3240" spans="1:19" hidden="1" x14ac:dyDescent="0.35">
      <c r="A3240" s="22">
        <v>2</v>
      </c>
      <c r="B3240" t="s">
        <v>5624</v>
      </c>
      <c r="C3240" t="s">
        <v>802</v>
      </c>
      <c r="D3240" t="s">
        <v>1912</v>
      </c>
      <c r="E3240" t="s">
        <v>1913</v>
      </c>
      <c r="F3240">
        <v>4076622</v>
      </c>
      <c r="G3240" t="s">
        <v>1914</v>
      </c>
      <c r="H3240" t="s">
        <v>805</v>
      </c>
      <c r="I3240">
        <v>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3</v>
      </c>
      <c r="P3240" s="44" t="e">
        <f>_xlfn.XLOOKUP(Tabla5[[#This Row],[EAN CORREGIDO]],'Tabla Articulos'!B:B,'Tabla Articulos'!D:D)</f>
        <v>#N/A</v>
      </c>
      <c r="Q3240" s="44" t="e">
        <f>_xlfn.XLOOKUP(S3240,'Tabla Articulos'!B:B,'Tabla Articulos'!E:E)</f>
        <v>#N/A</v>
      </c>
      <c r="R3240" s="44" t="e">
        <f t="shared" si="100"/>
        <v>#N/A</v>
      </c>
      <c r="S3240" s="45" t="str">
        <f t="shared" si="101"/>
        <v>7798094229881</v>
      </c>
    </row>
    <row r="3241" spans="1:19" hidden="1" x14ac:dyDescent="0.35">
      <c r="A3241" s="22">
        <v>2</v>
      </c>
      <c r="B3241" t="s">
        <v>5624</v>
      </c>
      <c r="C3241" t="s">
        <v>802</v>
      </c>
      <c r="D3241" t="s">
        <v>4735</v>
      </c>
      <c r="E3241" t="s">
        <v>6270</v>
      </c>
      <c r="F3241">
        <v>4024704</v>
      </c>
      <c r="G3241" t="s">
        <v>6271</v>
      </c>
      <c r="H3241" t="s">
        <v>805</v>
      </c>
      <c r="I3241">
        <v>86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86</v>
      </c>
      <c r="P3241" s="44" t="e">
        <f>_xlfn.XLOOKUP(Tabla5[[#This Row],[EAN CORREGIDO]],'Tabla Articulos'!B:B,'Tabla Articulos'!D:D)</f>
        <v>#N/A</v>
      </c>
      <c r="Q3241" s="44" t="e">
        <f>_xlfn.XLOOKUP(S3241,'Tabla Articulos'!B:B,'Tabla Articulos'!E:E)</f>
        <v>#N/A</v>
      </c>
      <c r="R3241" s="44" t="e">
        <f t="shared" si="100"/>
        <v>#N/A</v>
      </c>
      <c r="S3241" s="45" t="str">
        <f t="shared" si="101"/>
        <v>7790279000605</v>
      </c>
    </row>
    <row r="3242" spans="1:19" hidden="1" x14ac:dyDescent="0.35">
      <c r="A3242" s="22">
        <v>2</v>
      </c>
      <c r="B3242" t="s">
        <v>5624</v>
      </c>
      <c r="C3242" t="s">
        <v>802</v>
      </c>
      <c r="D3242" t="s">
        <v>3132</v>
      </c>
      <c r="E3242" t="s">
        <v>3133</v>
      </c>
      <c r="F3242">
        <v>4077191</v>
      </c>
      <c r="G3242" t="s">
        <v>3134</v>
      </c>
      <c r="H3242" t="s">
        <v>805</v>
      </c>
      <c r="I3242">
        <v>178</v>
      </c>
      <c r="J3242">
        <v>0</v>
      </c>
      <c r="K3242">
        <v>0</v>
      </c>
      <c r="L3242">
        <v>38</v>
      </c>
      <c r="M3242">
        <v>38</v>
      </c>
      <c r="N3242">
        <v>0</v>
      </c>
      <c r="O3242">
        <v>102</v>
      </c>
      <c r="P3242" s="44" t="e">
        <f>_xlfn.XLOOKUP(Tabla5[[#This Row],[EAN CORREGIDO]],'Tabla Articulos'!B:B,'Tabla Articulos'!D:D)</f>
        <v>#N/A</v>
      </c>
      <c r="Q3242" s="44" t="e">
        <f>_xlfn.XLOOKUP(S3242,'Tabla Articulos'!B:B,'Tabla Articulos'!E:E)</f>
        <v>#N/A</v>
      </c>
      <c r="R3242" s="44" t="e">
        <f t="shared" si="100"/>
        <v>#N/A</v>
      </c>
      <c r="S3242" s="45" t="str">
        <f t="shared" si="101"/>
        <v>7795933101186</v>
      </c>
    </row>
    <row r="3243" spans="1:19" hidden="1" x14ac:dyDescent="0.35">
      <c r="A3243" s="22">
        <v>2</v>
      </c>
      <c r="B3243" t="s">
        <v>5624</v>
      </c>
      <c r="C3243" t="s">
        <v>802</v>
      </c>
      <c r="D3243" t="s">
        <v>896</v>
      </c>
      <c r="E3243" t="s">
        <v>3135</v>
      </c>
      <c r="F3243">
        <v>4019939</v>
      </c>
      <c r="G3243" t="s">
        <v>3136</v>
      </c>
      <c r="H3243" t="s">
        <v>805</v>
      </c>
      <c r="I3243">
        <v>73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73</v>
      </c>
      <c r="P3243" s="44" t="e">
        <f>_xlfn.XLOOKUP(Tabla5[[#This Row],[EAN CORREGIDO]],'Tabla Articulos'!B:B,'Tabla Articulos'!D:D)</f>
        <v>#N/A</v>
      </c>
      <c r="Q3243" s="44" t="e">
        <f>_xlfn.XLOOKUP(S3243,'Tabla Articulos'!B:B,'Tabla Articulos'!E:E)</f>
        <v>#N/A</v>
      </c>
      <c r="R3243" s="44" t="e">
        <f t="shared" si="100"/>
        <v>#N/A</v>
      </c>
      <c r="S3243" s="45" t="str">
        <f t="shared" si="101"/>
        <v>7791113001598</v>
      </c>
    </row>
    <row r="3244" spans="1:19" hidden="1" x14ac:dyDescent="0.35">
      <c r="A3244" s="22">
        <v>2</v>
      </c>
      <c r="B3244" t="s">
        <v>5624</v>
      </c>
      <c r="C3244" t="s">
        <v>802</v>
      </c>
      <c r="D3244" t="s">
        <v>3087</v>
      </c>
      <c r="E3244" t="s">
        <v>3139</v>
      </c>
      <c r="F3244">
        <v>4017743</v>
      </c>
      <c r="G3244" t="s">
        <v>3140</v>
      </c>
      <c r="H3244" t="s">
        <v>816</v>
      </c>
      <c r="I3244">
        <v>1724.876</v>
      </c>
      <c r="J3244">
        <v>0</v>
      </c>
      <c r="K3244">
        <v>0</v>
      </c>
      <c r="L3244">
        <v>197.52</v>
      </c>
      <c r="M3244">
        <v>197.52</v>
      </c>
      <c r="N3244">
        <v>3.5</v>
      </c>
      <c r="O3244">
        <v>1326.336</v>
      </c>
      <c r="P3244" s="44" t="e">
        <f>_xlfn.XLOOKUP(Tabla5[[#This Row],[EAN CORREGIDO]],'Tabla Articulos'!B:B,'Tabla Articulos'!D:D)</f>
        <v>#N/A</v>
      </c>
      <c r="Q3244" s="44" t="e">
        <f>_xlfn.XLOOKUP(S3244,'Tabla Articulos'!B:B,'Tabla Articulos'!E:E)</f>
        <v>#N/A</v>
      </c>
      <c r="R3244" s="44" t="e">
        <f t="shared" si="100"/>
        <v>#N/A</v>
      </c>
      <c r="S3244" s="45" t="str">
        <f t="shared" si="101"/>
        <v>7790212030042</v>
      </c>
    </row>
    <row r="3245" spans="1:19" hidden="1" x14ac:dyDescent="0.35">
      <c r="A3245" s="22">
        <v>2</v>
      </c>
      <c r="B3245" t="s">
        <v>5624</v>
      </c>
      <c r="C3245" t="s">
        <v>802</v>
      </c>
      <c r="D3245" t="s">
        <v>3143</v>
      </c>
      <c r="E3245" t="s">
        <v>3144</v>
      </c>
      <c r="F3245">
        <v>4017565</v>
      </c>
      <c r="G3245" t="s">
        <v>3145</v>
      </c>
      <c r="H3245" t="s">
        <v>805</v>
      </c>
      <c r="I3245">
        <v>420</v>
      </c>
      <c r="J3245">
        <v>0</v>
      </c>
      <c r="K3245">
        <v>0</v>
      </c>
      <c r="L3245">
        <v>10</v>
      </c>
      <c r="M3245">
        <v>10</v>
      </c>
      <c r="N3245">
        <v>0</v>
      </c>
      <c r="O3245">
        <v>400</v>
      </c>
      <c r="P3245" s="44" t="e">
        <f>_xlfn.XLOOKUP(Tabla5[[#This Row],[EAN CORREGIDO]],'Tabla Articulos'!B:B,'Tabla Articulos'!D:D)</f>
        <v>#N/A</v>
      </c>
      <c r="Q3245" s="44" t="e">
        <f>_xlfn.XLOOKUP(S3245,'Tabla Articulos'!B:B,'Tabla Articulos'!E:E)</f>
        <v>#N/A</v>
      </c>
      <c r="R3245" s="44" t="e">
        <f t="shared" si="100"/>
        <v>#N/A</v>
      </c>
      <c r="S3245" s="45" t="str">
        <f t="shared" si="101"/>
        <v>7790212030086</v>
      </c>
    </row>
    <row r="3246" spans="1:19" hidden="1" x14ac:dyDescent="0.35">
      <c r="A3246" s="22">
        <v>2</v>
      </c>
      <c r="B3246" t="s">
        <v>5624</v>
      </c>
      <c r="C3246" t="s">
        <v>802</v>
      </c>
      <c r="D3246" t="s">
        <v>230</v>
      </c>
      <c r="E3246" t="s">
        <v>1929</v>
      </c>
      <c r="F3246">
        <v>2006671</v>
      </c>
      <c r="G3246" t="s">
        <v>1930</v>
      </c>
      <c r="H3246" t="s">
        <v>805</v>
      </c>
      <c r="I3246">
        <v>75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75</v>
      </c>
      <c r="P3246" s="44" t="str">
        <f>_xlfn.XLOOKUP(Tabla5[[#This Row],[EAN CORREGIDO]],'Tabla Articulos'!B:B,'Tabla Articulos'!D:D)</f>
        <v>CAJA PIZZA GRANDE</v>
      </c>
      <c r="Q3246" s="44">
        <f>_xlfn.XLOOKUP(S3246,'Tabla Articulos'!B:B,'Tabla Articulos'!E:E)</f>
        <v>1</v>
      </c>
      <c r="R3246" s="44">
        <f t="shared" si="100"/>
        <v>75</v>
      </c>
      <c r="S3246" s="45" t="str">
        <f t="shared" si="101"/>
        <v>16032005A</v>
      </c>
    </row>
    <row r="3247" spans="1:19" hidden="1" x14ac:dyDescent="0.35">
      <c r="A3247" s="22">
        <v>2</v>
      </c>
      <c r="B3247" t="s">
        <v>5624</v>
      </c>
      <c r="C3247" t="s">
        <v>802</v>
      </c>
      <c r="D3247" t="s">
        <v>1938</v>
      </c>
      <c r="E3247" t="s">
        <v>1939</v>
      </c>
      <c r="F3247">
        <v>4019656</v>
      </c>
      <c r="G3247" t="s">
        <v>1940</v>
      </c>
      <c r="H3247" t="s">
        <v>805</v>
      </c>
      <c r="I3247">
        <v>38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38</v>
      </c>
      <c r="P3247" s="44" t="e">
        <f>_xlfn.XLOOKUP(Tabla5[[#This Row],[EAN CORREGIDO]],'Tabla Articulos'!B:B,'Tabla Articulos'!D:D)</f>
        <v>#N/A</v>
      </c>
      <c r="Q3247" s="44" t="e">
        <f>_xlfn.XLOOKUP(S3247,'Tabla Articulos'!B:B,'Tabla Articulos'!E:E)</f>
        <v>#N/A</v>
      </c>
      <c r="R3247" s="44" t="e">
        <f t="shared" si="100"/>
        <v>#N/A</v>
      </c>
      <c r="S3247" s="45" t="str">
        <f t="shared" si="101"/>
        <v>7790748235149</v>
      </c>
    </row>
    <row r="3248" spans="1:19" hidden="1" x14ac:dyDescent="0.35">
      <c r="A3248" s="22">
        <v>2</v>
      </c>
      <c r="B3248" t="s">
        <v>5624</v>
      </c>
      <c r="C3248" t="s">
        <v>802</v>
      </c>
      <c r="D3248" t="s">
        <v>1943</v>
      </c>
      <c r="E3248" t="s">
        <v>1944</v>
      </c>
      <c r="F3248">
        <v>4024051</v>
      </c>
      <c r="G3248" t="s">
        <v>1945</v>
      </c>
      <c r="H3248" t="s">
        <v>805</v>
      </c>
      <c r="I3248">
        <v>23399</v>
      </c>
      <c r="J3248">
        <v>0</v>
      </c>
      <c r="K3248">
        <v>0</v>
      </c>
      <c r="L3248">
        <v>1460</v>
      </c>
      <c r="M3248">
        <v>1460</v>
      </c>
      <c r="N3248">
        <v>0</v>
      </c>
      <c r="O3248">
        <v>20479</v>
      </c>
      <c r="P3248" s="44" t="e">
        <f>_xlfn.XLOOKUP(Tabla5[[#This Row],[EAN CORREGIDO]],'Tabla Articulos'!B:B,'Tabla Articulos'!D:D)</f>
        <v>#N/A</v>
      </c>
      <c r="Q3248" s="44" t="e">
        <f>_xlfn.XLOOKUP(S3248,'Tabla Articulos'!B:B,'Tabla Articulos'!E:E)</f>
        <v>#N/A</v>
      </c>
      <c r="R3248" s="44" t="e">
        <f t="shared" si="100"/>
        <v>#N/A</v>
      </c>
      <c r="S3248" s="45" t="str">
        <f t="shared" si="101"/>
        <v>7798188380184</v>
      </c>
    </row>
    <row r="3249" spans="1:19" hidden="1" x14ac:dyDescent="0.35">
      <c r="A3249" s="22">
        <v>2</v>
      </c>
      <c r="B3249" t="s">
        <v>5624</v>
      </c>
      <c r="C3249" t="s">
        <v>802</v>
      </c>
      <c r="D3249" t="s">
        <v>6251</v>
      </c>
      <c r="E3249" t="s">
        <v>6252</v>
      </c>
      <c r="F3249">
        <v>4018486</v>
      </c>
      <c r="G3249" t="s">
        <v>6253</v>
      </c>
      <c r="H3249" t="s">
        <v>805</v>
      </c>
      <c r="I3249">
        <v>6790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6790</v>
      </c>
      <c r="P3249" s="44" t="e">
        <f>_xlfn.XLOOKUP(Tabla5[[#This Row],[EAN CORREGIDO]],'Tabla Articulos'!B:B,'Tabla Articulos'!D:D)</f>
        <v>#N/A</v>
      </c>
      <c r="Q3249" s="44" t="e">
        <f>_xlfn.XLOOKUP(S3249,'Tabla Articulos'!B:B,'Tabla Articulos'!E:E)</f>
        <v>#N/A</v>
      </c>
      <c r="R3249" s="44" t="e">
        <f t="shared" si="100"/>
        <v>#N/A</v>
      </c>
      <c r="S3249" s="45" t="str">
        <f t="shared" si="101"/>
        <v>7790213010066</v>
      </c>
    </row>
    <row r="3250" spans="1:19" hidden="1" x14ac:dyDescent="0.35">
      <c r="A3250" s="22">
        <v>2</v>
      </c>
      <c r="B3250" t="s">
        <v>5624</v>
      </c>
      <c r="C3250" t="s">
        <v>802</v>
      </c>
      <c r="D3250" t="s">
        <v>1151</v>
      </c>
      <c r="E3250" t="s">
        <v>3045</v>
      </c>
      <c r="F3250">
        <v>4019980</v>
      </c>
      <c r="G3250" t="s">
        <v>3046</v>
      </c>
      <c r="H3250" t="s">
        <v>805</v>
      </c>
      <c r="I3250">
        <v>1193</v>
      </c>
      <c r="J3250">
        <v>0</v>
      </c>
      <c r="K3250">
        <v>0</v>
      </c>
      <c r="L3250">
        <v>8</v>
      </c>
      <c r="M3250">
        <v>8</v>
      </c>
      <c r="N3250">
        <v>0</v>
      </c>
      <c r="O3250">
        <v>1177</v>
      </c>
      <c r="P3250" s="44" t="e">
        <f>_xlfn.XLOOKUP(Tabla5[[#This Row],[EAN CORREGIDO]],'Tabla Articulos'!B:B,'Tabla Articulos'!D:D)</f>
        <v>#N/A</v>
      </c>
      <c r="Q3250" s="44" t="e">
        <f>_xlfn.XLOOKUP(S3250,'Tabla Articulos'!B:B,'Tabla Articulos'!E:E)</f>
        <v>#N/A</v>
      </c>
      <c r="R3250" s="44" t="e">
        <f t="shared" si="100"/>
        <v>#N/A</v>
      </c>
      <c r="S3250" s="45" t="str">
        <f t="shared" si="101"/>
        <v>7792378001415</v>
      </c>
    </row>
    <row r="3251" spans="1:19" hidden="1" x14ac:dyDescent="0.35">
      <c r="A3251" s="22">
        <v>2</v>
      </c>
      <c r="B3251" t="s">
        <v>5624</v>
      </c>
      <c r="C3251" t="s">
        <v>802</v>
      </c>
      <c r="D3251" t="s">
        <v>3473</v>
      </c>
      <c r="E3251" t="s">
        <v>6283</v>
      </c>
      <c r="F3251">
        <v>4020641</v>
      </c>
      <c r="G3251" t="s">
        <v>6284</v>
      </c>
      <c r="H3251" t="s">
        <v>805</v>
      </c>
      <c r="I3251">
        <v>4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4</v>
      </c>
      <c r="P3251" s="44" t="e">
        <f>_xlfn.XLOOKUP(Tabla5[[#This Row],[EAN CORREGIDO]],'Tabla Articulos'!B:B,'Tabla Articulos'!D:D)</f>
        <v>#N/A</v>
      </c>
      <c r="Q3251" s="44" t="e">
        <f>_xlfn.XLOOKUP(S3251,'Tabla Articulos'!B:B,'Tabla Articulos'!E:E)</f>
        <v>#N/A</v>
      </c>
      <c r="R3251" s="44" t="e">
        <f t="shared" si="100"/>
        <v>#N/A</v>
      </c>
      <c r="S3251" s="45" t="str">
        <f t="shared" si="101"/>
        <v>7790748235095</v>
      </c>
    </row>
    <row r="3252" spans="1:19" hidden="1" x14ac:dyDescent="0.35">
      <c r="A3252" s="22">
        <v>2</v>
      </c>
      <c r="B3252" t="s">
        <v>5624</v>
      </c>
      <c r="C3252" t="s">
        <v>802</v>
      </c>
      <c r="D3252" t="s">
        <v>39</v>
      </c>
      <c r="E3252" t="s">
        <v>3236</v>
      </c>
      <c r="F3252">
        <v>2006644</v>
      </c>
      <c r="G3252" t="s">
        <v>3237</v>
      </c>
      <c r="H3252" t="s">
        <v>805</v>
      </c>
      <c r="I3252">
        <v>102</v>
      </c>
      <c r="J3252">
        <v>0</v>
      </c>
      <c r="K3252">
        <v>30</v>
      </c>
      <c r="L3252">
        <v>0</v>
      </c>
      <c r="M3252">
        <v>0</v>
      </c>
      <c r="N3252">
        <v>0</v>
      </c>
      <c r="O3252">
        <v>72</v>
      </c>
      <c r="P3252" s="44" t="str">
        <f>_xlfn.XLOOKUP(Tabla5[[#This Row],[EAN CORREGIDO]],'Tabla Articulos'!B:B,'Tabla Articulos'!D:D)</f>
        <v>BOLSA PAPEL MADERA</v>
      </c>
      <c r="Q3252" s="44">
        <f>_xlfn.XLOOKUP(S3252,'Tabla Articulos'!B:B,'Tabla Articulos'!E:E)</f>
        <v>100</v>
      </c>
      <c r="R3252" s="44">
        <f t="shared" si="100"/>
        <v>7200</v>
      </c>
      <c r="S3252" s="45" t="str">
        <f t="shared" si="101"/>
        <v>EMB000042</v>
      </c>
    </row>
    <row r="3253" spans="1:19" hidden="1" x14ac:dyDescent="0.35">
      <c r="A3253" s="22">
        <v>2</v>
      </c>
      <c r="B3253" t="s">
        <v>5624</v>
      </c>
      <c r="C3253" t="s">
        <v>802</v>
      </c>
      <c r="D3253" t="s">
        <v>838</v>
      </c>
      <c r="E3253" t="s">
        <v>3244</v>
      </c>
      <c r="F3253">
        <v>4018198</v>
      </c>
      <c r="G3253" t="s">
        <v>3245</v>
      </c>
      <c r="H3253" t="s">
        <v>805</v>
      </c>
      <c r="I3253">
        <v>21530</v>
      </c>
      <c r="J3253">
        <v>0</v>
      </c>
      <c r="K3253">
        <v>0</v>
      </c>
      <c r="L3253">
        <v>34</v>
      </c>
      <c r="M3253">
        <v>34</v>
      </c>
      <c r="N3253">
        <v>0</v>
      </c>
      <c r="O3253">
        <v>21462</v>
      </c>
      <c r="P3253" s="44" t="e">
        <f>_xlfn.XLOOKUP(Tabla5[[#This Row],[EAN CORREGIDO]],'Tabla Articulos'!B:B,'Tabla Articulos'!D:D)</f>
        <v>#N/A</v>
      </c>
      <c r="Q3253" s="44" t="e">
        <f>_xlfn.XLOOKUP(S3253,'Tabla Articulos'!B:B,'Tabla Articulos'!E:E)</f>
        <v>#N/A</v>
      </c>
      <c r="R3253" s="44" t="e">
        <f t="shared" si="100"/>
        <v>#N/A</v>
      </c>
      <c r="S3253" s="45" t="str">
        <f t="shared" si="101"/>
        <v>7794820903100</v>
      </c>
    </row>
    <row r="3254" spans="1:19" hidden="1" x14ac:dyDescent="0.35">
      <c r="A3254" s="22">
        <v>2</v>
      </c>
      <c r="B3254" t="s">
        <v>5624</v>
      </c>
      <c r="C3254" t="s">
        <v>802</v>
      </c>
      <c r="D3254" t="s">
        <v>6285</v>
      </c>
      <c r="E3254" t="s">
        <v>6286</v>
      </c>
      <c r="F3254">
        <v>4019426</v>
      </c>
      <c r="G3254" t="s">
        <v>6287</v>
      </c>
      <c r="H3254" t="s">
        <v>805</v>
      </c>
      <c r="I3254">
        <v>3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3</v>
      </c>
      <c r="P3254" s="44" t="e">
        <f>_xlfn.XLOOKUP(Tabla5[[#This Row],[EAN CORREGIDO]],'Tabla Articulos'!B:B,'Tabla Articulos'!D:D)</f>
        <v>#N/A</v>
      </c>
      <c r="Q3254" s="44" t="e">
        <f>_xlfn.XLOOKUP(S3254,'Tabla Articulos'!B:B,'Tabla Articulos'!E:E)</f>
        <v>#N/A</v>
      </c>
      <c r="R3254" s="44" t="e">
        <f t="shared" si="100"/>
        <v>#N/A</v>
      </c>
      <c r="S3254" s="45" t="str">
        <f t="shared" si="101"/>
        <v>7790150396186</v>
      </c>
    </row>
    <row r="3255" spans="1:19" hidden="1" x14ac:dyDescent="0.35">
      <c r="A3255" s="22">
        <v>2</v>
      </c>
      <c r="B3255" t="s">
        <v>5624</v>
      </c>
      <c r="C3255" t="s">
        <v>802</v>
      </c>
      <c r="D3255" t="s">
        <v>1697</v>
      </c>
      <c r="E3255" t="s">
        <v>6288</v>
      </c>
      <c r="F3255">
        <v>4024674</v>
      </c>
      <c r="G3255" t="s">
        <v>6289</v>
      </c>
      <c r="H3255" t="s">
        <v>805</v>
      </c>
      <c r="I3255">
        <v>36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36</v>
      </c>
      <c r="P3255" s="44" t="e">
        <f>_xlfn.XLOOKUP(Tabla5[[#This Row],[EAN CORREGIDO]],'Tabla Articulos'!B:B,'Tabla Articulos'!D:D)</f>
        <v>#N/A</v>
      </c>
      <c r="Q3255" s="44" t="e">
        <f>_xlfn.XLOOKUP(S3255,'Tabla Articulos'!B:B,'Tabla Articulos'!E:E)</f>
        <v>#N/A</v>
      </c>
      <c r="R3255" s="44" t="e">
        <f t="shared" si="100"/>
        <v>#N/A</v>
      </c>
      <c r="S3255" s="45" t="str">
        <f t="shared" si="101"/>
        <v>7792360002383</v>
      </c>
    </row>
    <row r="3256" spans="1:19" hidden="1" x14ac:dyDescent="0.35">
      <c r="A3256" s="22">
        <v>2</v>
      </c>
      <c r="B3256" t="s">
        <v>5624</v>
      </c>
      <c r="C3256" t="s">
        <v>802</v>
      </c>
      <c r="D3256" t="s">
        <v>3270</v>
      </c>
      <c r="E3256" t="s">
        <v>3271</v>
      </c>
      <c r="F3256">
        <v>4018130</v>
      </c>
      <c r="G3256" t="s">
        <v>3272</v>
      </c>
      <c r="H3256" t="s">
        <v>805</v>
      </c>
      <c r="I3256">
        <v>730</v>
      </c>
      <c r="J3256">
        <v>0</v>
      </c>
      <c r="K3256">
        <v>0</v>
      </c>
      <c r="L3256">
        <v>4</v>
      </c>
      <c r="M3256">
        <v>4</v>
      </c>
      <c r="N3256">
        <v>0</v>
      </c>
      <c r="O3256">
        <v>722</v>
      </c>
      <c r="P3256" s="44" t="e">
        <f>_xlfn.XLOOKUP(Tabla5[[#This Row],[EAN CORREGIDO]],'Tabla Articulos'!B:B,'Tabla Articulos'!D:D)</f>
        <v>#N/A</v>
      </c>
      <c r="Q3256" s="44" t="e">
        <f>_xlfn.XLOOKUP(S3256,'Tabla Articulos'!B:B,'Tabla Articulos'!E:E)</f>
        <v>#N/A</v>
      </c>
      <c r="R3256" s="44" t="e">
        <f t="shared" si="100"/>
        <v>#N/A</v>
      </c>
      <c r="S3256" s="45" t="str">
        <f t="shared" si="101"/>
        <v>7790742333605</v>
      </c>
    </row>
    <row r="3257" spans="1:19" hidden="1" x14ac:dyDescent="0.35">
      <c r="A3257" s="22">
        <v>2</v>
      </c>
      <c r="B3257" t="s">
        <v>5624</v>
      </c>
      <c r="C3257" t="s">
        <v>802</v>
      </c>
      <c r="D3257" t="s">
        <v>3657</v>
      </c>
      <c r="E3257" t="s">
        <v>6290</v>
      </c>
      <c r="F3257">
        <v>4021179</v>
      </c>
      <c r="G3257" t="s">
        <v>6291</v>
      </c>
      <c r="H3257" t="s">
        <v>816</v>
      </c>
      <c r="I3257">
        <v>167.2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167.2</v>
      </c>
      <c r="P3257" s="44" t="e">
        <f>_xlfn.XLOOKUP(Tabla5[[#This Row],[EAN CORREGIDO]],'Tabla Articulos'!B:B,'Tabla Articulos'!D:D)</f>
        <v>#N/A</v>
      </c>
      <c r="Q3257" s="44" t="e">
        <f>_xlfn.XLOOKUP(S3257,'Tabla Articulos'!B:B,'Tabla Articulos'!E:E)</f>
        <v>#N/A</v>
      </c>
      <c r="R3257" s="44" t="e">
        <f t="shared" si="100"/>
        <v>#N/A</v>
      </c>
      <c r="S3257" s="45" t="str">
        <f t="shared" si="101"/>
        <v>7798558162145</v>
      </c>
    </row>
    <row r="3258" spans="1:19" hidden="1" x14ac:dyDescent="0.35">
      <c r="A3258" s="22">
        <v>2</v>
      </c>
      <c r="B3258" t="s">
        <v>5624</v>
      </c>
      <c r="C3258" t="s">
        <v>802</v>
      </c>
      <c r="D3258" t="s">
        <v>3216</v>
      </c>
      <c r="E3258" t="s">
        <v>3217</v>
      </c>
      <c r="F3258">
        <v>4019552</v>
      </c>
      <c r="G3258" t="s">
        <v>3218</v>
      </c>
      <c r="H3258" t="s">
        <v>805</v>
      </c>
      <c r="I3258">
        <v>161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161</v>
      </c>
      <c r="P3258" s="44" t="e">
        <f>_xlfn.XLOOKUP(Tabla5[[#This Row],[EAN CORREGIDO]],'Tabla Articulos'!B:B,'Tabla Articulos'!D:D)</f>
        <v>#N/A</v>
      </c>
      <c r="Q3258" s="44" t="e">
        <f>_xlfn.XLOOKUP(S3258,'Tabla Articulos'!B:B,'Tabla Articulos'!E:E)</f>
        <v>#N/A</v>
      </c>
      <c r="R3258" s="44" t="e">
        <f t="shared" si="100"/>
        <v>#N/A</v>
      </c>
      <c r="S3258" s="45" t="str">
        <f t="shared" si="101"/>
        <v>7790070933638</v>
      </c>
    </row>
    <row r="3259" spans="1:19" hidden="1" x14ac:dyDescent="0.35">
      <c r="A3259" s="22">
        <v>2</v>
      </c>
      <c r="B3259" t="s">
        <v>5624</v>
      </c>
      <c r="C3259" t="s">
        <v>802</v>
      </c>
      <c r="D3259" t="s">
        <v>3227</v>
      </c>
      <c r="E3259" t="s">
        <v>3228</v>
      </c>
      <c r="F3259">
        <v>4019510</v>
      </c>
      <c r="G3259" t="s">
        <v>3229</v>
      </c>
      <c r="H3259" t="s">
        <v>805</v>
      </c>
      <c r="I3259">
        <v>153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153</v>
      </c>
      <c r="P3259" s="44" t="e">
        <f>_xlfn.XLOOKUP(Tabla5[[#This Row],[EAN CORREGIDO]],'Tabla Articulos'!B:B,'Tabla Articulos'!D:D)</f>
        <v>#N/A</v>
      </c>
      <c r="Q3259" s="44" t="e">
        <f>_xlfn.XLOOKUP(S3259,'Tabla Articulos'!B:B,'Tabla Articulos'!E:E)</f>
        <v>#N/A</v>
      </c>
      <c r="R3259" s="44" t="e">
        <f t="shared" si="100"/>
        <v>#N/A</v>
      </c>
      <c r="S3259" s="45" t="str">
        <f t="shared" si="101"/>
        <v>7790070335975</v>
      </c>
    </row>
    <row r="3260" spans="1:19" hidden="1" x14ac:dyDescent="0.35">
      <c r="A3260" s="22">
        <v>2</v>
      </c>
      <c r="B3260" t="s">
        <v>5624</v>
      </c>
      <c r="C3260" t="s">
        <v>802</v>
      </c>
      <c r="D3260" t="s">
        <v>2751</v>
      </c>
      <c r="E3260" t="s">
        <v>3124</v>
      </c>
      <c r="F3260">
        <v>4019844</v>
      </c>
      <c r="G3260" t="s">
        <v>3125</v>
      </c>
      <c r="H3260" t="s">
        <v>805</v>
      </c>
      <c r="I3260">
        <v>197</v>
      </c>
      <c r="J3260">
        <v>0</v>
      </c>
      <c r="K3260">
        <v>0</v>
      </c>
      <c r="L3260">
        <v>23</v>
      </c>
      <c r="M3260">
        <v>23</v>
      </c>
      <c r="N3260">
        <v>0</v>
      </c>
      <c r="O3260">
        <v>151</v>
      </c>
      <c r="P3260" s="44" t="e">
        <f>_xlfn.XLOOKUP(Tabla5[[#This Row],[EAN CORREGIDO]],'Tabla Articulos'!B:B,'Tabla Articulos'!D:D)</f>
        <v>#N/A</v>
      </c>
      <c r="Q3260" s="44" t="e">
        <f>_xlfn.XLOOKUP(S3260,'Tabla Articulos'!B:B,'Tabla Articulos'!E:E)</f>
        <v>#N/A</v>
      </c>
      <c r="R3260" s="44" t="e">
        <f t="shared" si="100"/>
        <v>#N/A</v>
      </c>
      <c r="S3260" s="45" t="str">
        <f t="shared" si="101"/>
        <v>7790530850215</v>
      </c>
    </row>
    <row r="3261" spans="1:19" hidden="1" x14ac:dyDescent="0.35">
      <c r="A3261" s="22">
        <v>2</v>
      </c>
      <c r="B3261" t="s">
        <v>5624</v>
      </c>
      <c r="C3261" t="s">
        <v>802</v>
      </c>
      <c r="D3261" t="s">
        <v>6264</v>
      </c>
      <c r="E3261" t="s">
        <v>6265</v>
      </c>
      <c r="F3261">
        <v>4017359</v>
      </c>
      <c r="G3261" t="s">
        <v>6266</v>
      </c>
      <c r="H3261" t="s">
        <v>805</v>
      </c>
      <c r="I3261">
        <v>2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2</v>
      </c>
      <c r="P3261" s="44" t="e">
        <f>_xlfn.XLOOKUP(Tabla5[[#This Row],[EAN CORREGIDO]],'Tabla Articulos'!B:B,'Tabla Articulos'!D:D)</f>
        <v>#N/A</v>
      </c>
      <c r="Q3261" s="44" t="e">
        <f>_xlfn.XLOOKUP(S3261,'Tabla Articulos'!B:B,'Tabla Articulos'!E:E)</f>
        <v>#N/A</v>
      </c>
      <c r="R3261" s="44" t="e">
        <f t="shared" si="100"/>
        <v>#N/A</v>
      </c>
      <c r="S3261" s="45" t="str">
        <f t="shared" si="101"/>
        <v>7794450092090</v>
      </c>
    </row>
    <row r="3262" spans="1:19" hidden="1" x14ac:dyDescent="0.35">
      <c r="A3262" s="22">
        <v>2</v>
      </c>
      <c r="B3262" t="s">
        <v>5624</v>
      </c>
      <c r="C3262" t="s">
        <v>802</v>
      </c>
      <c r="D3262" t="s">
        <v>6267</v>
      </c>
      <c r="E3262" t="s">
        <v>6268</v>
      </c>
      <c r="F3262">
        <v>4021292</v>
      </c>
      <c r="G3262" t="s">
        <v>6269</v>
      </c>
      <c r="H3262" t="s">
        <v>805</v>
      </c>
      <c r="I3262">
        <v>149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149</v>
      </c>
      <c r="P3262" s="44" t="e">
        <f>_xlfn.XLOOKUP(Tabla5[[#This Row],[EAN CORREGIDO]],'Tabla Articulos'!B:B,'Tabla Articulos'!D:D)</f>
        <v>#N/A</v>
      </c>
      <c r="Q3262" s="44" t="e">
        <f>_xlfn.XLOOKUP(S3262,'Tabla Articulos'!B:B,'Tabla Articulos'!E:E)</f>
        <v>#N/A</v>
      </c>
      <c r="R3262" s="44" t="e">
        <f t="shared" si="100"/>
        <v>#N/A</v>
      </c>
      <c r="S3262" s="45" t="str">
        <f t="shared" si="101"/>
        <v>7798011976805</v>
      </c>
    </row>
    <row r="3263" spans="1:19" hidden="1" x14ac:dyDescent="0.35">
      <c r="A3263" s="22">
        <v>2</v>
      </c>
      <c r="B3263" t="s">
        <v>5624</v>
      </c>
      <c r="C3263" t="s">
        <v>802</v>
      </c>
      <c r="D3263" t="s">
        <v>5750</v>
      </c>
      <c r="E3263" t="s">
        <v>5751</v>
      </c>
      <c r="F3263">
        <v>4021247</v>
      </c>
      <c r="G3263" t="s">
        <v>5752</v>
      </c>
      <c r="H3263" t="s">
        <v>805</v>
      </c>
      <c r="I3263">
        <v>610</v>
      </c>
      <c r="J3263">
        <v>0</v>
      </c>
      <c r="K3263">
        <v>0</v>
      </c>
      <c r="L3263">
        <v>13</v>
      </c>
      <c r="M3263">
        <v>13</v>
      </c>
      <c r="N3263">
        <v>0</v>
      </c>
      <c r="O3263">
        <v>584</v>
      </c>
      <c r="P3263" s="44" t="e">
        <f>_xlfn.XLOOKUP(Tabla5[[#This Row],[EAN CORREGIDO]],'Tabla Articulos'!B:B,'Tabla Articulos'!D:D)</f>
        <v>#N/A</v>
      </c>
      <c r="Q3263" s="44" t="e">
        <f>_xlfn.XLOOKUP(S3263,'Tabla Articulos'!B:B,'Tabla Articulos'!E:E)</f>
        <v>#N/A</v>
      </c>
      <c r="R3263" s="44" t="e">
        <f t="shared" si="100"/>
        <v>#N/A</v>
      </c>
      <c r="S3263" s="45" t="str">
        <f t="shared" si="101"/>
        <v>7798092900058</v>
      </c>
    </row>
    <row r="3264" spans="1:19" hidden="1" x14ac:dyDescent="0.35">
      <c r="A3264" s="22">
        <v>2</v>
      </c>
      <c r="B3264" t="s">
        <v>5624</v>
      </c>
      <c r="C3264" t="s">
        <v>802</v>
      </c>
      <c r="D3264" t="s">
        <v>6841</v>
      </c>
      <c r="E3264" t="s">
        <v>6842</v>
      </c>
      <c r="F3264">
        <v>4024730</v>
      </c>
      <c r="G3264" t="s">
        <v>6843</v>
      </c>
      <c r="H3264" t="s">
        <v>805</v>
      </c>
      <c r="I3264">
        <v>0</v>
      </c>
      <c r="J3264">
        <v>2304</v>
      </c>
      <c r="K3264">
        <v>2304</v>
      </c>
      <c r="L3264">
        <v>0</v>
      </c>
      <c r="M3264">
        <v>0</v>
      </c>
      <c r="N3264">
        <v>0</v>
      </c>
      <c r="O3264">
        <v>0</v>
      </c>
      <c r="P3264" s="44" t="e">
        <f>_xlfn.XLOOKUP(Tabla5[[#This Row],[EAN CORREGIDO]],'Tabla Articulos'!B:B,'Tabla Articulos'!D:D)</f>
        <v>#N/A</v>
      </c>
      <c r="Q3264" s="44" t="e">
        <f>_xlfn.XLOOKUP(S3264,'Tabla Articulos'!B:B,'Tabla Articulos'!E:E)</f>
        <v>#N/A</v>
      </c>
      <c r="R3264" s="44" t="e">
        <f t="shared" si="100"/>
        <v>#N/A</v>
      </c>
      <c r="S3264" s="45" t="str">
        <f t="shared" si="101"/>
        <v>7790412000295</v>
      </c>
    </row>
    <row r="3265" spans="1:19" hidden="1" x14ac:dyDescent="0.35">
      <c r="A3265" s="22">
        <v>2</v>
      </c>
      <c r="B3265" t="s">
        <v>5624</v>
      </c>
      <c r="C3265" t="s">
        <v>802</v>
      </c>
      <c r="D3265" t="s">
        <v>1966</v>
      </c>
      <c r="E3265" t="s">
        <v>1967</v>
      </c>
      <c r="F3265">
        <v>4019842</v>
      </c>
      <c r="G3265" t="s">
        <v>1968</v>
      </c>
      <c r="H3265" t="s">
        <v>805</v>
      </c>
      <c r="I3265">
        <v>203</v>
      </c>
      <c r="J3265">
        <v>0</v>
      </c>
      <c r="K3265">
        <v>0</v>
      </c>
      <c r="L3265">
        <v>1</v>
      </c>
      <c r="M3265">
        <v>1</v>
      </c>
      <c r="N3265">
        <v>0</v>
      </c>
      <c r="O3265">
        <v>201</v>
      </c>
      <c r="P3265" s="44" t="e">
        <f>_xlfn.XLOOKUP(Tabla5[[#This Row],[EAN CORREGIDO]],'Tabla Articulos'!B:B,'Tabla Articulos'!D:D)</f>
        <v>#N/A</v>
      </c>
      <c r="Q3265" s="44" t="e">
        <f>_xlfn.XLOOKUP(S3265,'Tabla Articulos'!B:B,'Tabla Articulos'!E:E)</f>
        <v>#N/A</v>
      </c>
      <c r="R3265" s="44" t="e">
        <f t="shared" ref="R3265:R3341" si="102">O3265*Q3265</f>
        <v>#N/A</v>
      </c>
      <c r="S3265" s="45" t="str">
        <f t="shared" ref="S3265:S3341" si="103">TRIM(E3265)</f>
        <v>7790530850130</v>
      </c>
    </row>
    <row r="3266" spans="1:19" hidden="1" x14ac:dyDescent="0.35">
      <c r="A3266" s="22">
        <v>2</v>
      </c>
      <c r="B3266" t="s">
        <v>5624</v>
      </c>
      <c r="C3266" t="s">
        <v>802</v>
      </c>
      <c r="D3266" t="s">
        <v>5929</v>
      </c>
      <c r="E3266" t="s">
        <v>5930</v>
      </c>
      <c r="F3266">
        <v>4017162</v>
      </c>
      <c r="G3266" t="s">
        <v>5931</v>
      </c>
      <c r="H3266" t="s">
        <v>805</v>
      </c>
      <c r="I3266">
        <v>0</v>
      </c>
      <c r="J3266">
        <v>18</v>
      </c>
      <c r="K3266">
        <v>0</v>
      </c>
      <c r="L3266">
        <v>0</v>
      </c>
      <c r="M3266">
        <v>0</v>
      </c>
      <c r="N3266">
        <v>0</v>
      </c>
      <c r="O3266">
        <v>18</v>
      </c>
      <c r="P3266" s="44" t="e">
        <f>_xlfn.XLOOKUP(Tabla5[[#This Row],[EAN CORREGIDO]],'Tabla Articulos'!B:B,'Tabla Articulos'!D:D)</f>
        <v>#N/A</v>
      </c>
      <c r="Q3266" s="44" t="e">
        <f>_xlfn.XLOOKUP(S3266,'Tabla Articulos'!B:B,'Tabla Articulos'!E:E)</f>
        <v>#N/A</v>
      </c>
      <c r="R3266" s="44" t="e">
        <f t="shared" si="102"/>
        <v>#N/A</v>
      </c>
      <c r="S3266" s="45" t="str">
        <f t="shared" si="103"/>
        <v>7790895641237</v>
      </c>
    </row>
    <row r="3267" spans="1:19" hidden="1" x14ac:dyDescent="0.35">
      <c r="A3267" s="22">
        <v>2</v>
      </c>
      <c r="B3267" t="s">
        <v>5624</v>
      </c>
      <c r="C3267" t="s">
        <v>802</v>
      </c>
      <c r="D3267" t="s">
        <v>1066</v>
      </c>
      <c r="E3267" t="s">
        <v>2836</v>
      </c>
      <c r="F3267">
        <v>4076481</v>
      </c>
      <c r="G3267" t="s">
        <v>2837</v>
      </c>
      <c r="H3267" t="s">
        <v>805</v>
      </c>
      <c r="I3267">
        <v>4888</v>
      </c>
      <c r="J3267">
        <v>0</v>
      </c>
      <c r="K3267">
        <v>0</v>
      </c>
      <c r="L3267">
        <v>171</v>
      </c>
      <c r="M3267">
        <v>171</v>
      </c>
      <c r="N3267">
        <v>0</v>
      </c>
      <c r="O3267">
        <v>4546</v>
      </c>
      <c r="P3267" s="44" t="e">
        <f>_xlfn.XLOOKUP(Tabla5[[#This Row],[EAN CORREGIDO]],'Tabla Articulos'!B:B,'Tabla Articulos'!D:D)</f>
        <v>#N/A</v>
      </c>
      <c r="Q3267" s="44" t="e">
        <f>_xlfn.XLOOKUP(S3267,'Tabla Articulos'!B:B,'Tabla Articulos'!E:E)</f>
        <v>#N/A</v>
      </c>
      <c r="R3267" s="44" t="e">
        <f t="shared" si="102"/>
        <v>#N/A</v>
      </c>
      <c r="S3267" s="45" t="str">
        <f t="shared" si="103"/>
        <v>7790500006673</v>
      </c>
    </row>
    <row r="3268" spans="1:19" hidden="1" x14ac:dyDescent="0.35">
      <c r="A3268" s="22">
        <v>2</v>
      </c>
      <c r="B3268" t="s">
        <v>5624</v>
      </c>
      <c r="C3268" t="s">
        <v>802</v>
      </c>
      <c r="D3268" t="s">
        <v>1966</v>
      </c>
      <c r="E3268" t="s">
        <v>2838</v>
      </c>
      <c r="F3268">
        <v>4022252</v>
      </c>
      <c r="G3268" t="s">
        <v>2839</v>
      </c>
      <c r="H3268" t="s">
        <v>805</v>
      </c>
      <c r="I3268">
        <v>60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60</v>
      </c>
      <c r="P3268" s="44" t="e">
        <f>_xlfn.XLOOKUP(Tabla5[[#This Row],[EAN CORREGIDO]],'Tabla Articulos'!B:B,'Tabla Articulos'!D:D)</f>
        <v>#N/A</v>
      </c>
      <c r="Q3268" s="44" t="e">
        <f>_xlfn.XLOOKUP(S3268,'Tabla Articulos'!B:B,'Tabla Articulos'!E:E)</f>
        <v>#N/A</v>
      </c>
      <c r="R3268" s="44" t="e">
        <f t="shared" si="102"/>
        <v>#N/A</v>
      </c>
      <c r="S3268" s="45" t="str">
        <f t="shared" si="103"/>
        <v>7790971002396</v>
      </c>
    </row>
    <row r="3269" spans="1:19" hidden="1" x14ac:dyDescent="0.35">
      <c r="A3269" s="22">
        <v>2</v>
      </c>
      <c r="B3269" t="s">
        <v>5624</v>
      </c>
      <c r="C3269" t="s">
        <v>802</v>
      </c>
      <c r="D3269" t="s">
        <v>2149</v>
      </c>
      <c r="E3269" t="s">
        <v>2840</v>
      </c>
      <c r="F3269">
        <v>4049313</v>
      </c>
      <c r="G3269" t="s">
        <v>2841</v>
      </c>
      <c r="H3269" t="s">
        <v>805</v>
      </c>
      <c r="I3269">
        <v>812</v>
      </c>
      <c r="J3269">
        <v>0</v>
      </c>
      <c r="K3269">
        <v>0</v>
      </c>
      <c r="L3269">
        <v>2</v>
      </c>
      <c r="M3269">
        <v>2</v>
      </c>
      <c r="N3269">
        <v>0</v>
      </c>
      <c r="O3269">
        <v>808</v>
      </c>
      <c r="P3269" s="44" t="e">
        <f>_xlfn.XLOOKUP(Tabla5[[#This Row],[EAN CORREGIDO]],'Tabla Articulos'!B:B,'Tabla Articulos'!D:D)</f>
        <v>#N/A</v>
      </c>
      <c r="Q3269" s="44" t="e">
        <f>_xlfn.XLOOKUP(S3269,'Tabla Articulos'!B:B,'Tabla Articulos'!E:E)</f>
        <v>#N/A</v>
      </c>
      <c r="R3269" s="44" t="e">
        <f t="shared" si="102"/>
        <v>#N/A</v>
      </c>
      <c r="S3269" s="45" t="str">
        <f t="shared" si="103"/>
        <v>7798375280341</v>
      </c>
    </row>
    <row r="3270" spans="1:19" hidden="1" x14ac:dyDescent="0.35">
      <c r="A3270" s="22">
        <v>2</v>
      </c>
      <c r="B3270" t="s">
        <v>5624</v>
      </c>
      <c r="C3270" t="s">
        <v>802</v>
      </c>
      <c r="D3270" t="s">
        <v>6203</v>
      </c>
      <c r="E3270" t="s">
        <v>6204</v>
      </c>
      <c r="F3270">
        <v>4018151</v>
      </c>
      <c r="G3270" t="s">
        <v>6205</v>
      </c>
      <c r="H3270" t="s">
        <v>816</v>
      </c>
      <c r="I3270">
        <v>210.08</v>
      </c>
      <c r="J3270">
        <v>0</v>
      </c>
      <c r="K3270">
        <v>0</v>
      </c>
      <c r="L3270">
        <v>1</v>
      </c>
      <c r="M3270">
        <v>1</v>
      </c>
      <c r="N3270">
        <v>0</v>
      </c>
      <c r="O3270">
        <v>208.08</v>
      </c>
      <c r="P3270" s="44" t="e">
        <f>_xlfn.XLOOKUP(Tabla5[[#This Row],[EAN CORREGIDO]],'Tabla Articulos'!B:B,'Tabla Articulos'!D:D)</f>
        <v>#N/A</v>
      </c>
      <c r="Q3270" s="44" t="e">
        <f>_xlfn.XLOOKUP(S3270,'Tabla Articulos'!B:B,'Tabla Articulos'!E:E)</f>
        <v>#N/A</v>
      </c>
      <c r="R3270" s="44" t="e">
        <f t="shared" si="102"/>
        <v>#N/A</v>
      </c>
      <c r="S3270" s="45" t="str">
        <f t="shared" si="103"/>
        <v>7790212060882</v>
      </c>
    </row>
    <row r="3271" spans="1:19" hidden="1" x14ac:dyDescent="0.35">
      <c r="A3271" s="22">
        <v>2</v>
      </c>
      <c r="B3271" t="s">
        <v>5624</v>
      </c>
      <c r="C3271" t="s">
        <v>802</v>
      </c>
      <c r="D3271" t="s">
        <v>2136</v>
      </c>
      <c r="E3271" t="s">
        <v>2502</v>
      </c>
      <c r="F3271">
        <v>4021273</v>
      </c>
      <c r="G3271" t="s">
        <v>2503</v>
      </c>
      <c r="H3271" t="s">
        <v>805</v>
      </c>
      <c r="I3271">
        <v>7782</v>
      </c>
      <c r="J3271">
        <v>0</v>
      </c>
      <c r="K3271">
        <v>0</v>
      </c>
      <c r="L3271">
        <v>324</v>
      </c>
      <c r="M3271">
        <v>324</v>
      </c>
      <c r="N3271">
        <v>0</v>
      </c>
      <c r="O3271">
        <v>7134</v>
      </c>
      <c r="P3271" s="44" t="e">
        <f>_xlfn.XLOOKUP(Tabla5[[#This Row],[EAN CORREGIDO]],'Tabla Articulos'!B:B,'Tabla Articulos'!D:D)</f>
        <v>#N/A</v>
      </c>
      <c r="Q3271" s="44" t="e">
        <f>_xlfn.XLOOKUP(S3271,'Tabla Articulos'!B:B,'Tabla Articulos'!E:E)</f>
        <v>#N/A</v>
      </c>
      <c r="R3271" s="44" t="e">
        <f t="shared" si="102"/>
        <v>#N/A</v>
      </c>
      <c r="S3271" s="45" t="str">
        <f t="shared" si="103"/>
        <v>7790580143237</v>
      </c>
    </row>
    <row r="3272" spans="1:19" hidden="1" x14ac:dyDescent="0.35">
      <c r="A3272" s="22">
        <v>2</v>
      </c>
      <c r="B3272" t="s">
        <v>5624</v>
      </c>
      <c r="C3272" t="s">
        <v>802</v>
      </c>
      <c r="D3272" t="s">
        <v>2087</v>
      </c>
      <c r="E3272" t="s">
        <v>6090</v>
      </c>
      <c r="F3272">
        <v>4021160</v>
      </c>
      <c r="G3272" t="s">
        <v>6091</v>
      </c>
      <c r="H3272" t="s">
        <v>805</v>
      </c>
      <c r="I3272">
        <v>7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7</v>
      </c>
      <c r="P3272" s="44" t="e">
        <f>_xlfn.XLOOKUP(Tabla5[[#This Row],[EAN CORREGIDO]],'Tabla Articulos'!B:B,'Tabla Articulos'!D:D)</f>
        <v>#N/A</v>
      </c>
      <c r="Q3272" s="44" t="e">
        <f>_xlfn.XLOOKUP(S3272,'Tabla Articulos'!B:B,'Tabla Articulos'!E:E)</f>
        <v>#N/A</v>
      </c>
      <c r="R3272" s="44" t="e">
        <f t="shared" si="102"/>
        <v>#N/A</v>
      </c>
      <c r="S3272" s="45" t="str">
        <f t="shared" si="103"/>
        <v>7798181510106</v>
      </c>
    </row>
    <row r="3273" spans="1:19" hidden="1" x14ac:dyDescent="0.35">
      <c r="A3273" s="22">
        <v>2</v>
      </c>
      <c r="B3273" t="s">
        <v>5624</v>
      </c>
      <c r="C3273" t="s">
        <v>802</v>
      </c>
      <c r="D3273" t="s">
        <v>3084</v>
      </c>
      <c r="E3273" t="s">
        <v>3085</v>
      </c>
      <c r="F3273">
        <v>4018231</v>
      </c>
      <c r="G3273" t="s">
        <v>3086</v>
      </c>
      <c r="H3273" t="s">
        <v>805</v>
      </c>
      <c r="I3273">
        <v>398</v>
      </c>
      <c r="J3273">
        <v>0</v>
      </c>
      <c r="K3273">
        <v>0</v>
      </c>
      <c r="L3273">
        <v>1</v>
      </c>
      <c r="M3273">
        <v>1</v>
      </c>
      <c r="N3273">
        <v>0</v>
      </c>
      <c r="O3273">
        <v>396</v>
      </c>
      <c r="P3273" s="44" t="e">
        <f>_xlfn.XLOOKUP(Tabla5[[#This Row],[EAN CORREGIDO]],'Tabla Articulos'!B:B,'Tabla Articulos'!D:D)</f>
        <v>#N/A</v>
      </c>
      <c r="Q3273" s="44" t="e">
        <f>_xlfn.XLOOKUP(S3273,'Tabla Articulos'!B:B,'Tabla Articulos'!E:E)</f>
        <v>#N/A</v>
      </c>
      <c r="R3273" s="44" t="e">
        <f t="shared" si="102"/>
        <v>#N/A</v>
      </c>
      <c r="S3273" s="45" t="str">
        <f t="shared" si="103"/>
        <v>7798011976300</v>
      </c>
    </row>
    <row r="3274" spans="1:19" hidden="1" x14ac:dyDescent="0.35">
      <c r="A3274" s="22">
        <v>2</v>
      </c>
      <c r="B3274" t="s">
        <v>5624</v>
      </c>
      <c r="C3274" t="s">
        <v>802</v>
      </c>
      <c r="D3274" t="s">
        <v>896</v>
      </c>
      <c r="E3274" t="s">
        <v>6257</v>
      </c>
      <c r="F3274">
        <v>4020648</v>
      </c>
      <c r="G3274" t="s">
        <v>6258</v>
      </c>
      <c r="H3274" t="s">
        <v>805</v>
      </c>
      <c r="I3274">
        <v>58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58</v>
      </c>
      <c r="P3274" s="44" t="e">
        <f>_xlfn.XLOOKUP(Tabla5[[#This Row],[EAN CORREGIDO]],'Tabla Articulos'!B:B,'Tabla Articulos'!D:D)</f>
        <v>#N/A</v>
      </c>
      <c r="Q3274" s="44" t="e">
        <f>_xlfn.XLOOKUP(S3274,'Tabla Articulos'!B:B,'Tabla Articulos'!E:E)</f>
        <v>#N/A</v>
      </c>
      <c r="R3274" s="44" t="e">
        <f t="shared" si="102"/>
        <v>#N/A</v>
      </c>
      <c r="S3274" s="45" t="str">
        <f t="shared" si="103"/>
        <v>7790971000835</v>
      </c>
    </row>
    <row r="3275" spans="1:19" hidden="1" x14ac:dyDescent="0.35">
      <c r="A3275" s="22">
        <v>2</v>
      </c>
      <c r="B3275" t="s">
        <v>5624</v>
      </c>
      <c r="C3275" t="s">
        <v>802</v>
      </c>
      <c r="D3275" t="s">
        <v>3092</v>
      </c>
      <c r="E3275" t="s">
        <v>3093</v>
      </c>
      <c r="F3275">
        <v>4024242</v>
      </c>
      <c r="G3275" t="s">
        <v>3094</v>
      </c>
      <c r="H3275" t="s">
        <v>805</v>
      </c>
      <c r="I3275">
        <v>81</v>
      </c>
      <c r="J3275">
        <v>0</v>
      </c>
      <c r="K3275">
        <v>0</v>
      </c>
      <c r="L3275">
        <v>5</v>
      </c>
      <c r="M3275">
        <v>5</v>
      </c>
      <c r="N3275">
        <v>0</v>
      </c>
      <c r="O3275">
        <v>71</v>
      </c>
      <c r="P3275" s="44" t="e">
        <f>_xlfn.XLOOKUP(Tabla5[[#This Row],[EAN CORREGIDO]],'Tabla Articulos'!B:B,'Tabla Articulos'!D:D)</f>
        <v>#N/A</v>
      </c>
      <c r="Q3275" s="44" t="e">
        <f>_xlfn.XLOOKUP(S3275,'Tabla Articulos'!B:B,'Tabla Articulos'!E:E)</f>
        <v>#N/A</v>
      </c>
      <c r="R3275" s="44" t="e">
        <f t="shared" si="102"/>
        <v>#N/A</v>
      </c>
      <c r="S3275" s="45" t="str">
        <f t="shared" si="103"/>
        <v>7790499000850</v>
      </c>
    </row>
    <row r="3276" spans="1:19" hidden="1" x14ac:dyDescent="0.35">
      <c r="A3276" s="22">
        <v>2</v>
      </c>
      <c r="B3276" t="s">
        <v>5624</v>
      </c>
      <c r="C3276" t="s">
        <v>802</v>
      </c>
      <c r="D3276" t="s">
        <v>3100</v>
      </c>
      <c r="E3276" t="s">
        <v>3101</v>
      </c>
      <c r="F3276">
        <v>4018028</v>
      </c>
      <c r="G3276" t="s">
        <v>3102</v>
      </c>
      <c r="H3276" t="s">
        <v>816</v>
      </c>
      <c r="I3276">
        <v>61.62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61.62</v>
      </c>
      <c r="P3276" s="44" t="e">
        <f>_xlfn.XLOOKUP(Tabla5[[#This Row],[EAN CORREGIDO]],'Tabla Articulos'!B:B,'Tabla Articulos'!D:D)</f>
        <v>#N/A</v>
      </c>
      <c r="Q3276" s="44" t="e">
        <f>_xlfn.XLOOKUP(S3276,'Tabla Articulos'!B:B,'Tabla Articulos'!E:E)</f>
        <v>#N/A</v>
      </c>
      <c r="R3276" s="44" t="e">
        <f t="shared" si="102"/>
        <v>#N/A</v>
      </c>
      <c r="S3276" s="45" t="str">
        <f t="shared" si="103"/>
        <v>7790216010092</v>
      </c>
    </row>
    <row r="3277" spans="1:19" hidden="1" x14ac:dyDescent="0.35">
      <c r="A3277" s="22">
        <v>2</v>
      </c>
      <c r="B3277" t="s">
        <v>5624</v>
      </c>
      <c r="C3277" t="s">
        <v>802</v>
      </c>
      <c r="D3277" t="s">
        <v>3103</v>
      </c>
      <c r="E3277" t="s">
        <v>3104</v>
      </c>
      <c r="F3277">
        <v>4020182</v>
      </c>
      <c r="G3277" t="s">
        <v>3105</v>
      </c>
      <c r="H3277" t="s">
        <v>805</v>
      </c>
      <c r="I3277">
        <v>21</v>
      </c>
      <c r="J3277">
        <v>0</v>
      </c>
      <c r="K3277">
        <v>0</v>
      </c>
      <c r="L3277">
        <v>5</v>
      </c>
      <c r="M3277">
        <v>5</v>
      </c>
      <c r="N3277">
        <v>0</v>
      </c>
      <c r="O3277">
        <v>11</v>
      </c>
      <c r="P3277" s="44" t="e">
        <f>_xlfn.XLOOKUP(Tabla5[[#This Row],[EAN CORREGIDO]],'Tabla Articulos'!B:B,'Tabla Articulos'!D:D)</f>
        <v>#N/A</v>
      </c>
      <c r="Q3277" s="44" t="e">
        <f>_xlfn.XLOOKUP(S3277,'Tabla Articulos'!B:B,'Tabla Articulos'!E:E)</f>
        <v>#N/A</v>
      </c>
      <c r="R3277" s="44" t="e">
        <f t="shared" si="102"/>
        <v>#N/A</v>
      </c>
      <c r="S3277" s="45" t="str">
        <f t="shared" si="103"/>
        <v>7793323004789</v>
      </c>
    </row>
    <row r="3278" spans="1:19" hidden="1" x14ac:dyDescent="0.35">
      <c r="A3278" s="22">
        <v>2</v>
      </c>
      <c r="B3278" t="s">
        <v>5624</v>
      </c>
      <c r="C3278" t="s">
        <v>802</v>
      </c>
      <c r="D3278" t="s">
        <v>288</v>
      </c>
      <c r="E3278" t="s">
        <v>6259</v>
      </c>
      <c r="F3278">
        <v>2016734</v>
      </c>
      <c r="G3278" t="s">
        <v>6260</v>
      </c>
      <c r="H3278" t="s">
        <v>805</v>
      </c>
      <c r="I3278">
        <v>0</v>
      </c>
      <c r="J3278">
        <v>100</v>
      </c>
      <c r="K3278">
        <v>0</v>
      </c>
      <c r="L3278">
        <v>10</v>
      </c>
      <c r="M3278">
        <v>10</v>
      </c>
      <c r="N3278">
        <v>0</v>
      </c>
      <c r="O3278">
        <v>80</v>
      </c>
      <c r="P3278" s="44" t="str">
        <f>_xlfn.XLOOKUP(Tabla5[[#This Row],[EAN CORREGIDO]],'Tabla Articulos'!B:B,'Tabla Articulos'!D:D)</f>
        <v>GUANTE NITRILO M</v>
      </c>
      <c r="Q3278" s="44">
        <f>_xlfn.XLOOKUP(S3278,'Tabla Articulos'!B:B,'Tabla Articulos'!E:E)</f>
        <v>100</v>
      </c>
      <c r="R3278" s="44">
        <f t="shared" si="102"/>
        <v>8000</v>
      </c>
      <c r="S3278" s="45" t="str">
        <f t="shared" si="103"/>
        <v>888277653934</v>
      </c>
    </row>
    <row r="3279" spans="1:19" hidden="1" x14ac:dyDescent="0.35">
      <c r="A3279" s="22">
        <v>2</v>
      </c>
      <c r="B3279" t="s">
        <v>5624</v>
      </c>
      <c r="C3279" t="s">
        <v>802</v>
      </c>
      <c r="D3279" t="s">
        <v>6261</v>
      </c>
      <c r="E3279" t="s">
        <v>6262</v>
      </c>
      <c r="F3279">
        <v>4018078</v>
      </c>
      <c r="G3279" t="s">
        <v>6263</v>
      </c>
      <c r="H3279" t="s">
        <v>816</v>
      </c>
      <c r="I3279">
        <v>36.4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36.4</v>
      </c>
      <c r="P3279" s="44" t="e">
        <f>_xlfn.XLOOKUP(Tabla5[[#This Row],[EAN CORREGIDO]],'Tabla Articulos'!B:B,'Tabla Articulos'!D:D)</f>
        <v>#N/A</v>
      </c>
      <c r="Q3279" s="44" t="e">
        <f>_xlfn.XLOOKUP(S3279,'Tabla Articulos'!B:B,'Tabla Articulos'!E:E)</f>
        <v>#N/A</v>
      </c>
      <c r="R3279" s="44" t="e">
        <f t="shared" si="102"/>
        <v>#N/A</v>
      </c>
      <c r="S3279" s="45" t="str">
        <f t="shared" si="103"/>
        <v>7790216020102</v>
      </c>
    </row>
    <row r="3280" spans="1:19" hidden="1" x14ac:dyDescent="0.35">
      <c r="A3280" s="22">
        <v>2</v>
      </c>
      <c r="B3280" t="s">
        <v>5624</v>
      </c>
      <c r="C3280" t="s">
        <v>802</v>
      </c>
      <c r="D3280" t="s">
        <v>3095</v>
      </c>
      <c r="E3280" t="s">
        <v>3995</v>
      </c>
      <c r="F3280">
        <v>4021571</v>
      </c>
      <c r="G3280" t="s">
        <v>3996</v>
      </c>
      <c r="H3280" t="s">
        <v>805</v>
      </c>
      <c r="I3280">
        <v>247</v>
      </c>
      <c r="J3280">
        <v>0</v>
      </c>
      <c r="K3280">
        <v>0</v>
      </c>
      <c r="L3280">
        <v>3</v>
      </c>
      <c r="M3280">
        <v>3</v>
      </c>
      <c r="N3280">
        <v>0</v>
      </c>
      <c r="O3280">
        <v>241</v>
      </c>
      <c r="P3280" s="44" t="e">
        <f>_xlfn.XLOOKUP(Tabla5[[#This Row],[EAN CORREGIDO]],'Tabla Articulos'!B:B,'Tabla Articulos'!D:D)</f>
        <v>#N/A</v>
      </c>
      <c r="Q3280" s="44" t="e">
        <f>_xlfn.XLOOKUP(S3280,'Tabla Articulos'!B:B,'Tabla Articulos'!E:E)</f>
        <v>#N/A</v>
      </c>
      <c r="R3280" s="44" t="e">
        <f t="shared" si="102"/>
        <v>#N/A</v>
      </c>
      <c r="S3280" s="45" t="str">
        <f t="shared" si="103"/>
        <v>7798071200483</v>
      </c>
    </row>
    <row r="3281" spans="1:19" hidden="1" x14ac:dyDescent="0.35">
      <c r="A3281" s="22">
        <v>2</v>
      </c>
      <c r="B3281" t="s">
        <v>5624</v>
      </c>
      <c r="C3281" t="s">
        <v>802</v>
      </c>
      <c r="D3281" t="s">
        <v>3609</v>
      </c>
      <c r="E3281" t="s">
        <v>3997</v>
      </c>
      <c r="F3281">
        <v>4018327</v>
      </c>
      <c r="G3281" t="s">
        <v>3998</v>
      </c>
      <c r="H3281" t="s">
        <v>805</v>
      </c>
      <c r="I3281">
        <v>224</v>
      </c>
      <c r="J3281">
        <v>0</v>
      </c>
      <c r="K3281">
        <v>0</v>
      </c>
      <c r="L3281">
        <v>9</v>
      </c>
      <c r="M3281">
        <v>9</v>
      </c>
      <c r="N3281">
        <v>0</v>
      </c>
      <c r="O3281">
        <v>206</v>
      </c>
      <c r="P3281" s="44" t="e">
        <f>_xlfn.XLOOKUP(Tabla5[[#This Row],[EAN CORREGIDO]],'Tabla Articulos'!B:B,'Tabla Articulos'!D:D)</f>
        <v>#N/A</v>
      </c>
      <c r="Q3281" s="44" t="e">
        <f>_xlfn.XLOOKUP(S3281,'Tabla Articulos'!B:B,'Tabla Articulos'!E:E)</f>
        <v>#N/A</v>
      </c>
      <c r="R3281" s="44" t="e">
        <f t="shared" si="102"/>
        <v>#N/A</v>
      </c>
      <c r="S3281" s="45" t="str">
        <f t="shared" si="103"/>
        <v>7794990879656</v>
      </c>
    </row>
    <row r="3282" spans="1:19" hidden="1" x14ac:dyDescent="0.35">
      <c r="A3282" s="22">
        <v>2</v>
      </c>
      <c r="B3282" t="s">
        <v>5624</v>
      </c>
      <c r="C3282" t="s">
        <v>802</v>
      </c>
      <c r="D3282" t="s">
        <v>4001</v>
      </c>
      <c r="E3282" t="s">
        <v>4002</v>
      </c>
      <c r="F3282">
        <v>4019863</v>
      </c>
      <c r="G3282" t="s">
        <v>4003</v>
      </c>
      <c r="H3282" t="s">
        <v>805</v>
      </c>
      <c r="I3282">
        <v>308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308</v>
      </c>
      <c r="P3282" s="44" t="e">
        <f>_xlfn.XLOOKUP(Tabla5[[#This Row],[EAN CORREGIDO]],'Tabla Articulos'!B:B,'Tabla Articulos'!D:D)</f>
        <v>#N/A</v>
      </c>
      <c r="Q3282" s="44" t="e">
        <f>_xlfn.XLOOKUP(S3282,'Tabla Articulos'!B:B,'Tabla Articulos'!E:E)</f>
        <v>#N/A</v>
      </c>
      <c r="R3282" s="44" t="e">
        <f t="shared" si="102"/>
        <v>#N/A</v>
      </c>
      <c r="S3282" s="45" t="str">
        <f t="shared" si="103"/>
        <v>7790989004306</v>
      </c>
    </row>
    <row r="3283" spans="1:19" hidden="1" x14ac:dyDescent="0.35">
      <c r="A3283" s="22">
        <v>2</v>
      </c>
      <c r="B3283" t="s">
        <v>5624</v>
      </c>
      <c r="C3283" t="s">
        <v>802</v>
      </c>
      <c r="D3283" t="s">
        <v>1380</v>
      </c>
      <c r="E3283" t="s">
        <v>1381</v>
      </c>
      <c r="F3283">
        <v>4019808</v>
      </c>
      <c r="G3283" t="s">
        <v>1382</v>
      </c>
      <c r="H3283" t="s">
        <v>805</v>
      </c>
      <c r="I3283">
        <v>38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38</v>
      </c>
      <c r="P3283" s="44" t="e">
        <f>_xlfn.XLOOKUP(Tabla5[[#This Row],[EAN CORREGIDO]],'Tabla Articulos'!B:B,'Tabla Articulos'!D:D)</f>
        <v>#N/A</v>
      </c>
      <c r="Q3283" s="44" t="e">
        <f>_xlfn.XLOOKUP(S3283,'Tabla Articulos'!B:B,'Tabla Articulos'!E:E)</f>
        <v>#N/A</v>
      </c>
      <c r="R3283" s="44" t="e">
        <f t="shared" si="102"/>
        <v>#N/A</v>
      </c>
      <c r="S3283" s="45" t="str">
        <f t="shared" si="103"/>
        <v>7791113001611</v>
      </c>
    </row>
    <row r="3284" spans="1:19" hidden="1" x14ac:dyDescent="0.35">
      <c r="A3284" s="22">
        <v>2</v>
      </c>
      <c r="B3284" t="s">
        <v>5624</v>
      </c>
      <c r="C3284" t="s">
        <v>802</v>
      </c>
      <c r="D3284" t="s">
        <v>1385</v>
      </c>
      <c r="E3284" t="s">
        <v>1386</v>
      </c>
      <c r="F3284">
        <v>4018840</v>
      </c>
      <c r="G3284" t="s">
        <v>1387</v>
      </c>
      <c r="H3284" t="s">
        <v>805</v>
      </c>
      <c r="I3284">
        <v>11650</v>
      </c>
      <c r="J3284">
        <v>0</v>
      </c>
      <c r="K3284">
        <v>0</v>
      </c>
      <c r="L3284">
        <v>21</v>
      </c>
      <c r="M3284">
        <v>21</v>
      </c>
      <c r="N3284">
        <v>0</v>
      </c>
      <c r="O3284">
        <v>11608</v>
      </c>
      <c r="P3284" s="44" t="e">
        <f>_xlfn.XLOOKUP(Tabla5[[#This Row],[EAN CORREGIDO]],'Tabla Articulos'!B:B,'Tabla Articulos'!D:D)</f>
        <v>#N/A</v>
      </c>
      <c r="Q3284" s="44" t="e">
        <f>_xlfn.XLOOKUP(S3284,'Tabla Articulos'!B:B,'Tabla Articulos'!E:E)</f>
        <v>#N/A</v>
      </c>
      <c r="R3284" s="44" t="e">
        <f t="shared" si="102"/>
        <v>#N/A</v>
      </c>
      <c r="S3284" s="45" t="str">
        <f t="shared" si="103"/>
        <v>7792683000370</v>
      </c>
    </row>
    <row r="3285" spans="1:19" hidden="1" x14ac:dyDescent="0.35">
      <c r="A3285" s="22">
        <v>2</v>
      </c>
      <c r="B3285" t="s">
        <v>5624</v>
      </c>
      <c r="C3285" t="s">
        <v>802</v>
      </c>
      <c r="D3285" t="s">
        <v>5791</v>
      </c>
      <c r="E3285" t="s">
        <v>5792</v>
      </c>
      <c r="F3285">
        <v>4017596</v>
      </c>
      <c r="G3285" t="s">
        <v>5793</v>
      </c>
      <c r="H3285" t="s">
        <v>805</v>
      </c>
      <c r="I3285">
        <v>155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155</v>
      </c>
      <c r="P3285" s="44" t="e">
        <f>_xlfn.XLOOKUP(Tabla5[[#This Row],[EAN CORREGIDO]],'Tabla Articulos'!B:B,'Tabla Articulos'!D:D)</f>
        <v>#N/A</v>
      </c>
      <c r="Q3285" s="44" t="e">
        <f>_xlfn.XLOOKUP(S3285,'Tabla Articulos'!B:B,'Tabla Articulos'!E:E)</f>
        <v>#N/A</v>
      </c>
      <c r="R3285" s="44" t="e">
        <f t="shared" si="102"/>
        <v>#N/A</v>
      </c>
      <c r="S3285" s="45" t="str">
        <f t="shared" si="103"/>
        <v>7790360967830</v>
      </c>
    </row>
    <row r="3286" spans="1:19" hidden="1" x14ac:dyDescent="0.35">
      <c r="A3286" s="22">
        <v>2</v>
      </c>
      <c r="B3286" t="s">
        <v>5624</v>
      </c>
      <c r="C3286" t="s">
        <v>802</v>
      </c>
      <c r="D3286" t="s">
        <v>1393</v>
      </c>
      <c r="E3286" t="s">
        <v>1394</v>
      </c>
      <c r="F3286">
        <v>4023173</v>
      </c>
      <c r="G3286" t="s">
        <v>1395</v>
      </c>
      <c r="H3286" t="s">
        <v>805</v>
      </c>
      <c r="I3286">
        <v>2012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2012</v>
      </c>
      <c r="P3286" s="44" t="e">
        <f>_xlfn.XLOOKUP(Tabla5[[#This Row],[EAN CORREGIDO]],'Tabla Articulos'!B:B,'Tabla Articulos'!D:D)</f>
        <v>#N/A</v>
      </c>
      <c r="Q3286" s="44" t="e">
        <f>_xlfn.XLOOKUP(S3286,'Tabla Articulos'!B:B,'Tabla Articulos'!E:E)</f>
        <v>#N/A</v>
      </c>
      <c r="R3286" s="44" t="e">
        <f t="shared" si="102"/>
        <v>#N/A</v>
      </c>
      <c r="S3286" s="45" t="str">
        <f t="shared" si="103"/>
        <v>7790199604792</v>
      </c>
    </row>
    <row r="3287" spans="1:19" hidden="1" x14ac:dyDescent="0.35">
      <c r="A3287" s="22">
        <v>2</v>
      </c>
      <c r="B3287" t="s">
        <v>5624</v>
      </c>
      <c r="C3287" t="s">
        <v>802</v>
      </c>
      <c r="D3287" t="s">
        <v>1252</v>
      </c>
      <c r="E3287" t="s">
        <v>5794</v>
      </c>
      <c r="F3287">
        <v>4021556</v>
      </c>
      <c r="G3287" t="s">
        <v>5795</v>
      </c>
      <c r="H3287" t="s">
        <v>805</v>
      </c>
      <c r="I3287">
        <v>16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16</v>
      </c>
      <c r="P3287" s="44" t="e">
        <f>_xlfn.XLOOKUP(Tabla5[[#This Row],[EAN CORREGIDO]],'Tabla Articulos'!B:B,'Tabla Articulos'!D:D)</f>
        <v>#N/A</v>
      </c>
      <c r="Q3287" s="44" t="e">
        <f>_xlfn.XLOOKUP(S3287,'Tabla Articulos'!B:B,'Tabla Articulos'!E:E)</f>
        <v>#N/A</v>
      </c>
      <c r="R3287" s="44" t="e">
        <f t="shared" si="102"/>
        <v>#N/A</v>
      </c>
      <c r="S3287" s="45" t="str">
        <f t="shared" si="103"/>
        <v>7790000000009</v>
      </c>
    </row>
    <row r="3288" spans="1:19" hidden="1" x14ac:dyDescent="0.35">
      <c r="A3288" s="22">
        <v>2</v>
      </c>
      <c r="B3288" t="s">
        <v>5624</v>
      </c>
      <c r="C3288" t="s">
        <v>802</v>
      </c>
      <c r="D3288" t="s">
        <v>5921</v>
      </c>
      <c r="E3288" t="s">
        <v>5922</v>
      </c>
      <c r="F3288">
        <v>4018416</v>
      </c>
      <c r="G3288" t="s">
        <v>5923</v>
      </c>
      <c r="H3288" t="s">
        <v>805</v>
      </c>
      <c r="I3288">
        <v>20</v>
      </c>
      <c r="J3288">
        <v>36</v>
      </c>
      <c r="K3288">
        <v>0</v>
      </c>
      <c r="L3288">
        <v>4</v>
      </c>
      <c r="M3288">
        <v>4</v>
      </c>
      <c r="N3288">
        <v>0</v>
      </c>
      <c r="O3288">
        <v>48</v>
      </c>
      <c r="P3288" s="44" t="e">
        <f>_xlfn.XLOOKUP(Tabla5[[#This Row],[EAN CORREGIDO]],'Tabla Articulos'!B:B,'Tabla Articulos'!D:D)</f>
        <v>#N/A</v>
      </c>
      <c r="Q3288" s="44" t="e">
        <f>_xlfn.XLOOKUP(S3288,'Tabla Articulos'!B:B,'Tabla Articulos'!E:E)</f>
        <v>#N/A</v>
      </c>
      <c r="R3288" s="44" t="e">
        <f t="shared" si="102"/>
        <v>#N/A</v>
      </c>
      <c r="S3288" s="45" t="str">
        <f t="shared" si="103"/>
        <v>7790606000353</v>
      </c>
    </row>
    <row r="3289" spans="1:19" hidden="1" x14ac:dyDescent="0.35">
      <c r="A3289" s="22">
        <v>2</v>
      </c>
      <c r="B3289" t="s">
        <v>5624</v>
      </c>
      <c r="C3289" t="s">
        <v>802</v>
      </c>
      <c r="D3289" t="s">
        <v>1912</v>
      </c>
      <c r="E3289" t="s">
        <v>5924</v>
      </c>
      <c r="F3289">
        <v>4018413</v>
      </c>
      <c r="G3289" t="s">
        <v>5925</v>
      </c>
      <c r="H3289" t="s">
        <v>805</v>
      </c>
      <c r="I3289">
        <v>21</v>
      </c>
      <c r="J3289">
        <v>36</v>
      </c>
      <c r="K3289">
        <v>0</v>
      </c>
      <c r="L3289">
        <v>21</v>
      </c>
      <c r="M3289">
        <v>21</v>
      </c>
      <c r="N3289">
        <v>0</v>
      </c>
      <c r="O3289">
        <v>15</v>
      </c>
      <c r="P3289" s="44" t="e">
        <f>_xlfn.XLOOKUP(Tabla5[[#This Row],[EAN CORREGIDO]],'Tabla Articulos'!B:B,'Tabla Articulos'!D:D)</f>
        <v>#N/A</v>
      </c>
      <c r="Q3289" s="44" t="e">
        <f>_xlfn.XLOOKUP(S3289,'Tabla Articulos'!B:B,'Tabla Articulos'!E:E)</f>
        <v>#N/A</v>
      </c>
      <c r="R3289" s="44" t="e">
        <f t="shared" si="102"/>
        <v>#N/A</v>
      </c>
      <c r="S3289" s="45" t="str">
        <f t="shared" si="103"/>
        <v>7790606000391</v>
      </c>
    </row>
    <row r="3290" spans="1:19" hidden="1" x14ac:dyDescent="0.35">
      <c r="A3290" s="22">
        <v>2</v>
      </c>
      <c r="B3290" t="s">
        <v>5624</v>
      </c>
      <c r="C3290" t="s">
        <v>802</v>
      </c>
      <c r="D3290" t="s">
        <v>1948</v>
      </c>
      <c r="E3290" t="s">
        <v>1949</v>
      </c>
      <c r="F3290">
        <v>4020761</v>
      </c>
      <c r="G3290" t="s">
        <v>1950</v>
      </c>
      <c r="H3290" t="s">
        <v>805</v>
      </c>
      <c r="I3290">
        <v>70</v>
      </c>
      <c r="J3290">
        <v>0</v>
      </c>
      <c r="K3290">
        <v>0</v>
      </c>
      <c r="L3290">
        <v>12</v>
      </c>
      <c r="M3290">
        <v>12</v>
      </c>
      <c r="N3290">
        <v>0</v>
      </c>
      <c r="O3290">
        <v>46</v>
      </c>
      <c r="P3290" s="44" t="e">
        <f>_xlfn.XLOOKUP(Tabla5[[#This Row],[EAN CORREGIDO]],'Tabla Articulos'!B:B,'Tabla Articulos'!D:D)</f>
        <v>#N/A</v>
      </c>
      <c r="Q3290" s="44" t="e">
        <f>_xlfn.XLOOKUP(S3290,'Tabla Articulos'!B:B,'Tabla Articulos'!E:E)</f>
        <v>#N/A</v>
      </c>
      <c r="R3290" s="44" t="e">
        <f t="shared" si="102"/>
        <v>#N/A</v>
      </c>
      <c r="S3290" s="45" t="str">
        <f t="shared" si="103"/>
        <v>7794000004030</v>
      </c>
    </row>
    <row r="3291" spans="1:19" hidden="1" x14ac:dyDescent="0.35">
      <c r="A3291" s="22">
        <v>2</v>
      </c>
      <c r="B3291" t="s">
        <v>5624</v>
      </c>
      <c r="C3291" t="s">
        <v>802</v>
      </c>
      <c r="D3291" t="s">
        <v>2637</v>
      </c>
      <c r="E3291" t="s">
        <v>4022</v>
      </c>
      <c r="F3291">
        <v>4018267</v>
      </c>
      <c r="G3291" t="s">
        <v>4023</v>
      </c>
      <c r="H3291" t="s">
        <v>805</v>
      </c>
      <c r="I3291">
        <v>1867</v>
      </c>
      <c r="J3291">
        <v>0</v>
      </c>
      <c r="K3291">
        <v>0</v>
      </c>
      <c r="L3291">
        <v>46</v>
      </c>
      <c r="M3291">
        <v>46</v>
      </c>
      <c r="N3291">
        <v>0</v>
      </c>
      <c r="O3291">
        <v>1775</v>
      </c>
      <c r="P3291" s="44" t="e">
        <f>_xlfn.XLOOKUP(Tabla5[[#This Row],[EAN CORREGIDO]],'Tabla Articulos'!B:B,'Tabla Articulos'!D:D)</f>
        <v>#N/A</v>
      </c>
      <c r="Q3291" s="44" t="e">
        <f>_xlfn.XLOOKUP(S3291,'Tabla Articulos'!B:B,'Tabla Articulos'!E:E)</f>
        <v>#N/A</v>
      </c>
      <c r="R3291" s="44" t="e">
        <f t="shared" si="102"/>
        <v>#N/A</v>
      </c>
      <c r="S3291" s="45" t="str">
        <f t="shared" si="103"/>
        <v>7798001562292</v>
      </c>
    </row>
    <row r="3292" spans="1:19" hidden="1" x14ac:dyDescent="0.35">
      <c r="A3292" s="22">
        <v>2</v>
      </c>
      <c r="B3292" t="s">
        <v>5624</v>
      </c>
      <c r="C3292" t="s">
        <v>802</v>
      </c>
      <c r="D3292" t="s">
        <v>3027</v>
      </c>
      <c r="E3292" t="s">
        <v>3028</v>
      </c>
      <c r="F3292">
        <v>4019860</v>
      </c>
      <c r="G3292" t="s">
        <v>3029</v>
      </c>
      <c r="H3292" t="s">
        <v>805</v>
      </c>
      <c r="I3292">
        <v>133</v>
      </c>
      <c r="J3292">
        <v>0</v>
      </c>
      <c r="K3292">
        <v>0</v>
      </c>
      <c r="L3292">
        <v>6</v>
      </c>
      <c r="M3292">
        <v>6</v>
      </c>
      <c r="N3292">
        <v>0</v>
      </c>
      <c r="O3292">
        <v>121</v>
      </c>
      <c r="P3292" s="44" t="e">
        <f>_xlfn.XLOOKUP(Tabla5[[#This Row],[EAN CORREGIDO]],'Tabla Articulos'!B:B,'Tabla Articulos'!D:D)</f>
        <v>#N/A</v>
      </c>
      <c r="Q3292" s="44" t="e">
        <f>_xlfn.XLOOKUP(S3292,'Tabla Articulos'!B:B,'Tabla Articulos'!E:E)</f>
        <v>#N/A</v>
      </c>
      <c r="R3292" s="44" t="e">
        <f t="shared" si="102"/>
        <v>#N/A</v>
      </c>
      <c r="S3292" s="45" t="str">
        <f t="shared" si="103"/>
        <v>7790971000651</v>
      </c>
    </row>
    <row r="3293" spans="1:19" hidden="1" x14ac:dyDescent="0.35">
      <c r="A3293" s="22">
        <v>2</v>
      </c>
      <c r="B3293" t="s">
        <v>5624</v>
      </c>
      <c r="C3293" t="s">
        <v>802</v>
      </c>
      <c r="D3293" t="s">
        <v>6248</v>
      </c>
      <c r="E3293" t="s">
        <v>6249</v>
      </c>
      <c r="F3293">
        <v>4019237</v>
      </c>
      <c r="G3293" t="s">
        <v>6250</v>
      </c>
      <c r="H3293" t="s">
        <v>805</v>
      </c>
      <c r="I3293">
        <v>246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246</v>
      </c>
      <c r="P3293" s="44" t="e">
        <f>_xlfn.XLOOKUP(Tabla5[[#This Row],[EAN CORREGIDO]],'Tabla Articulos'!B:B,'Tabla Articulos'!D:D)</f>
        <v>#N/A</v>
      </c>
      <c r="Q3293" s="44" t="e">
        <f>_xlfn.XLOOKUP(S3293,'Tabla Articulos'!B:B,'Tabla Articulos'!E:E)</f>
        <v>#N/A</v>
      </c>
      <c r="R3293" s="44" t="e">
        <f t="shared" si="102"/>
        <v>#N/A</v>
      </c>
      <c r="S3293" s="45" t="str">
        <f t="shared" si="103"/>
        <v>7790040127944</v>
      </c>
    </row>
    <row r="3294" spans="1:19" hidden="1" x14ac:dyDescent="0.35">
      <c r="A3294" s="22">
        <v>2</v>
      </c>
      <c r="B3294" t="s">
        <v>5624</v>
      </c>
      <c r="C3294" t="s">
        <v>802</v>
      </c>
      <c r="D3294" t="s">
        <v>3036</v>
      </c>
      <c r="E3294" t="s">
        <v>3037</v>
      </c>
      <c r="F3294">
        <v>4019841</v>
      </c>
      <c r="G3294" t="s">
        <v>3038</v>
      </c>
      <c r="H3294" t="s">
        <v>805</v>
      </c>
      <c r="I3294">
        <v>59</v>
      </c>
      <c r="J3294">
        <v>0</v>
      </c>
      <c r="K3294">
        <v>0</v>
      </c>
      <c r="L3294">
        <v>2</v>
      </c>
      <c r="M3294">
        <v>2</v>
      </c>
      <c r="N3294">
        <v>0</v>
      </c>
      <c r="O3294">
        <v>55</v>
      </c>
      <c r="P3294" s="44" t="e">
        <f>_xlfn.XLOOKUP(Tabla5[[#This Row],[EAN CORREGIDO]],'Tabla Articulos'!B:B,'Tabla Articulos'!D:D)</f>
        <v>#N/A</v>
      </c>
      <c r="Q3294" s="44" t="e">
        <f>_xlfn.XLOOKUP(S3294,'Tabla Articulos'!B:B,'Tabla Articulos'!E:E)</f>
        <v>#N/A</v>
      </c>
      <c r="R3294" s="44" t="e">
        <f t="shared" si="102"/>
        <v>#N/A</v>
      </c>
      <c r="S3294" s="45" t="str">
        <f t="shared" si="103"/>
        <v>7790530370904</v>
      </c>
    </row>
    <row r="3295" spans="1:19" hidden="1" x14ac:dyDescent="0.35">
      <c r="A3295" s="22">
        <v>2</v>
      </c>
      <c r="B3295" t="s">
        <v>5624</v>
      </c>
      <c r="C3295" t="s">
        <v>802</v>
      </c>
      <c r="D3295" t="s">
        <v>3074</v>
      </c>
      <c r="E3295" t="s">
        <v>3075</v>
      </c>
      <c r="F3295">
        <v>4018841</v>
      </c>
      <c r="G3295" t="s">
        <v>3076</v>
      </c>
      <c r="H3295" t="s">
        <v>805</v>
      </c>
      <c r="I3295">
        <v>347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347</v>
      </c>
      <c r="P3295" s="44" t="e">
        <f>_xlfn.XLOOKUP(Tabla5[[#This Row],[EAN CORREGIDO]],'Tabla Articulos'!B:B,'Tabla Articulos'!D:D)</f>
        <v>#N/A</v>
      </c>
      <c r="Q3295" s="44" t="e">
        <f>_xlfn.XLOOKUP(S3295,'Tabla Articulos'!B:B,'Tabla Articulos'!E:E)</f>
        <v>#N/A</v>
      </c>
      <c r="R3295" s="44" t="e">
        <f t="shared" si="102"/>
        <v>#N/A</v>
      </c>
      <c r="S3295" s="45" t="str">
        <f t="shared" si="103"/>
        <v>7792860005860</v>
      </c>
    </row>
    <row r="3296" spans="1:19" hidden="1" x14ac:dyDescent="0.35">
      <c r="A3296" s="22">
        <v>2</v>
      </c>
      <c r="B3296" t="s">
        <v>5624</v>
      </c>
      <c r="C3296" t="s">
        <v>802</v>
      </c>
      <c r="D3296" t="s">
        <v>3077</v>
      </c>
      <c r="E3296" t="s">
        <v>3078</v>
      </c>
      <c r="F3296">
        <v>4017963</v>
      </c>
      <c r="G3296" t="s">
        <v>3079</v>
      </c>
      <c r="H3296" t="s">
        <v>816</v>
      </c>
      <c r="I3296">
        <v>36</v>
      </c>
      <c r="J3296">
        <v>0</v>
      </c>
      <c r="K3296">
        <v>0</v>
      </c>
      <c r="L3296">
        <v>0</v>
      </c>
      <c r="M3296">
        <v>7.5</v>
      </c>
      <c r="N3296">
        <v>0</v>
      </c>
      <c r="O3296">
        <v>28.5</v>
      </c>
      <c r="P3296" s="44" t="e">
        <f>_xlfn.XLOOKUP(Tabla5[[#This Row],[EAN CORREGIDO]],'Tabla Articulos'!B:B,'Tabla Articulos'!D:D)</f>
        <v>#N/A</v>
      </c>
      <c r="Q3296" s="44" t="e">
        <f>_xlfn.XLOOKUP(S3296,'Tabla Articulos'!B:B,'Tabla Articulos'!E:E)</f>
        <v>#N/A</v>
      </c>
      <c r="R3296" s="44" t="e">
        <f t="shared" si="102"/>
        <v>#N/A</v>
      </c>
      <c r="S3296" s="45" t="str">
        <f t="shared" si="103"/>
        <v>7790216012624</v>
      </c>
    </row>
    <row r="3297" spans="1:19" hidden="1" x14ac:dyDescent="0.35">
      <c r="A3297" s="22">
        <v>2</v>
      </c>
      <c r="B3297" t="s">
        <v>5624</v>
      </c>
      <c r="C3297" t="s">
        <v>802</v>
      </c>
      <c r="D3297" t="s">
        <v>2582</v>
      </c>
      <c r="E3297" t="s">
        <v>2829</v>
      </c>
      <c r="F3297">
        <v>4019789</v>
      </c>
      <c r="G3297" t="s">
        <v>2830</v>
      </c>
      <c r="H3297" t="s">
        <v>805</v>
      </c>
      <c r="I3297">
        <v>278</v>
      </c>
      <c r="J3297">
        <v>0</v>
      </c>
      <c r="K3297">
        <v>0</v>
      </c>
      <c r="L3297">
        <v>1</v>
      </c>
      <c r="M3297">
        <v>1</v>
      </c>
      <c r="N3297">
        <v>0</v>
      </c>
      <c r="O3297">
        <v>276</v>
      </c>
      <c r="P3297" s="44" t="e">
        <f>_xlfn.XLOOKUP(Tabla5[[#This Row],[EAN CORREGIDO]],'Tabla Articulos'!B:B,'Tabla Articulos'!D:D)</f>
        <v>#N/A</v>
      </c>
      <c r="Q3297" s="44" t="e">
        <f>_xlfn.XLOOKUP(S3297,'Tabla Articulos'!B:B,'Tabla Articulos'!E:E)</f>
        <v>#N/A</v>
      </c>
      <c r="R3297" s="44" t="e">
        <f t="shared" si="102"/>
        <v>#N/A</v>
      </c>
      <c r="S3297" s="45" t="str">
        <f t="shared" si="103"/>
        <v>7790971002082</v>
      </c>
    </row>
    <row r="3298" spans="1:19" hidden="1" x14ac:dyDescent="0.35">
      <c r="A3298" s="22">
        <v>2</v>
      </c>
      <c r="B3298" t="s">
        <v>5624</v>
      </c>
      <c r="C3298" t="s">
        <v>802</v>
      </c>
      <c r="D3298" t="s">
        <v>2831</v>
      </c>
      <c r="E3298" t="s">
        <v>2832</v>
      </c>
      <c r="F3298">
        <v>4021170</v>
      </c>
      <c r="G3298" t="s">
        <v>2833</v>
      </c>
      <c r="H3298" t="s">
        <v>805</v>
      </c>
      <c r="I3298">
        <v>4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4</v>
      </c>
      <c r="P3298" s="44" t="e">
        <f>_xlfn.XLOOKUP(Tabla5[[#This Row],[EAN CORREGIDO]],'Tabla Articulos'!B:B,'Tabla Articulos'!D:D)</f>
        <v>#N/A</v>
      </c>
      <c r="Q3298" s="44" t="e">
        <f>_xlfn.XLOOKUP(S3298,'Tabla Articulos'!B:B,'Tabla Articulos'!E:E)</f>
        <v>#N/A</v>
      </c>
      <c r="R3298" s="44" t="e">
        <f t="shared" si="102"/>
        <v>#N/A</v>
      </c>
      <c r="S3298" s="45" t="str">
        <f t="shared" si="103"/>
        <v>7792100016281</v>
      </c>
    </row>
    <row r="3299" spans="1:19" hidden="1" x14ac:dyDescent="0.35">
      <c r="A3299" s="22">
        <v>2</v>
      </c>
      <c r="B3299" t="s">
        <v>5624</v>
      </c>
      <c r="C3299" t="s">
        <v>802</v>
      </c>
      <c r="D3299" t="s">
        <v>5763</v>
      </c>
      <c r="E3299" t="s">
        <v>6201</v>
      </c>
      <c r="F3299">
        <v>4049023</v>
      </c>
      <c r="G3299" t="s">
        <v>6202</v>
      </c>
      <c r="H3299" t="s">
        <v>805</v>
      </c>
      <c r="I3299">
        <v>60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60</v>
      </c>
      <c r="P3299" s="44" t="e">
        <f>_xlfn.XLOOKUP(Tabla5[[#This Row],[EAN CORREGIDO]],'Tabla Articulos'!B:B,'Tabla Articulos'!D:D)</f>
        <v>#N/A</v>
      </c>
      <c r="Q3299" s="44" t="e">
        <f>_xlfn.XLOOKUP(S3299,'Tabla Articulos'!B:B,'Tabla Articulos'!E:E)</f>
        <v>#N/A</v>
      </c>
      <c r="R3299" s="44" t="e">
        <f t="shared" si="102"/>
        <v>#N/A</v>
      </c>
      <c r="S3299" s="45" t="str">
        <f t="shared" si="103"/>
        <v>7798104300036</v>
      </c>
    </row>
    <row r="3300" spans="1:19" hidden="1" x14ac:dyDescent="0.35">
      <c r="A3300" s="22">
        <v>2</v>
      </c>
      <c r="B3300" t="s">
        <v>5624</v>
      </c>
      <c r="C3300" t="s">
        <v>802</v>
      </c>
      <c r="D3300" t="s">
        <v>230</v>
      </c>
      <c r="E3300" t="s">
        <v>2834</v>
      </c>
      <c r="F3300">
        <v>2006280</v>
      </c>
      <c r="G3300" t="s">
        <v>2835</v>
      </c>
      <c r="H3300" t="s">
        <v>805</v>
      </c>
      <c r="I3300">
        <v>2</v>
      </c>
      <c r="J3300">
        <v>40</v>
      </c>
      <c r="K3300">
        <v>0</v>
      </c>
      <c r="L3300">
        <v>0</v>
      </c>
      <c r="M3300">
        <v>0</v>
      </c>
      <c r="N3300">
        <v>0</v>
      </c>
      <c r="O3300">
        <v>42</v>
      </c>
      <c r="P3300" s="44" t="str">
        <f>_xlfn.XLOOKUP(Tabla5[[#This Row],[EAN CORREGIDO]],'Tabla Articulos'!B:B,'Tabla Articulos'!D:D)</f>
        <v>CAJA PIZZA CHICA</v>
      </c>
      <c r="Q3300" s="44">
        <f>_xlfn.XLOOKUP(S3300,'Tabla Articulos'!B:B,'Tabla Articulos'!E:E)</f>
        <v>100</v>
      </c>
      <c r="R3300" s="44">
        <f t="shared" si="102"/>
        <v>4200</v>
      </c>
      <c r="S3300" s="45" t="str">
        <f t="shared" si="103"/>
        <v>EMB000130</v>
      </c>
    </row>
    <row r="3301" spans="1:19" hidden="1" x14ac:dyDescent="0.35">
      <c r="A3301" s="22">
        <v>2</v>
      </c>
      <c r="B3301" t="s">
        <v>5624</v>
      </c>
      <c r="C3301" t="s">
        <v>802</v>
      </c>
      <c r="D3301" t="s">
        <v>5926</v>
      </c>
      <c r="E3301" t="s">
        <v>5927</v>
      </c>
      <c r="F3301">
        <v>4077452</v>
      </c>
      <c r="G3301" t="s">
        <v>5928</v>
      </c>
      <c r="H3301" t="s">
        <v>805</v>
      </c>
      <c r="I3301">
        <v>297</v>
      </c>
      <c r="J3301">
        <v>0</v>
      </c>
      <c r="K3301">
        <v>0</v>
      </c>
      <c r="L3301">
        <v>33</v>
      </c>
      <c r="M3301">
        <v>33</v>
      </c>
      <c r="N3301">
        <v>0</v>
      </c>
      <c r="O3301">
        <v>231</v>
      </c>
      <c r="P3301" s="44" t="e">
        <f>_xlfn.XLOOKUP(Tabla5[[#This Row],[EAN CORREGIDO]],'Tabla Articulos'!B:B,'Tabla Articulos'!D:D)</f>
        <v>#N/A</v>
      </c>
      <c r="Q3301" s="44" t="e">
        <f>_xlfn.XLOOKUP(S3301,'Tabla Articulos'!B:B,'Tabla Articulos'!E:E)</f>
        <v>#N/A</v>
      </c>
      <c r="R3301" s="44" t="e">
        <f t="shared" si="102"/>
        <v>#N/A</v>
      </c>
      <c r="S3301" s="45" t="str">
        <f t="shared" si="103"/>
        <v>17798398261072</v>
      </c>
    </row>
    <row r="3302" spans="1:19" hidden="1" x14ac:dyDescent="0.35">
      <c r="A3302" s="22">
        <v>2</v>
      </c>
      <c r="B3302" t="s">
        <v>5624</v>
      </c>
      <c r="C3302" t="s">
        <v>802</v>
      </c>
      <c r="D3302" t="s">
        <v>1266</v>
      </c>
      <c r="E3302" t="s">
        <v>5360</v>
      </c>
      <c r="F3302">
        <v>4017782</v>
      </c>
      <c r="G3302" t="s">
        <v>5361</v>
      </c>
      <c r="H3302" t="s">
        <v>816</v>
      </c>
      <c r="I3302">
        <v>571.28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571.28</v>
      </c>
      <c r="P3302" s="44" t="e">
        <f>_xlfn.XLOOKUP(Tabla5[[#This Row],[EAN CORREGIDO]],'Tabla Articulos'!B:B,'Tabla Articulos'!D:D)</f>
        <v>#N/A</v>
      </c>
      <c r="Q3302" s="44" t="e">
        <f>_xlfn.XLOOKUP(S3302,'Tabla Articulos'!B:B,'Tabla Articulos'!E:E)</f>
        <v>#N/A</v>
      </c>
      <c r="R3302" s="44" t="e">
        <f t="shared" si="102"/>
        <v>#N/A</v>
      </c>
      <c r="S3302" s="45" t="str">
        <f t="shared" si="103"/>
        <v>7790212031242</v>
      </c>
    </row>
    <row r="3303" spans="1:19" hidden="1" x14ac:dyDescent="0.35">
      <c r="A3303" s="22">
        <v>2</v>
      </c>
      <c r="B3303" t="s">
        <v>5624</v>
      </c>
      <c r="C3303" t="s">
        <v>802</v>
      </c>
      <c r="D3303" t="s">
        <v>6702</v>
      </c>
      <c r="E3303" t="s">
        <v>6703</v>
      </c>
      <c r="F3303">
        <v>4018007</v>
      </c>
      <c r="G3303" t="s">
        <v>6704</v>
      </c>
      <c r="H3303" t="s">
        <v>816</v>
      </c>
      <c r="I3303">
        <v>40</v>
      </c>
      <c r="J3303">
        <v>0</v>
      </c>
      <c r="K3303">
        <v>0</v>
      </c>
      <c r="L3303">
        <v>0</v>
      </c>
      <c r="M3303">
        <v>16</v>
      </c>
      <c r="N3303">
        <v>0</v>
      </c>
      <c r="O3303">
        <v>24</v>
      </c>
      <c r="P3303" s="44" t="e">
        <f>_xlfn.XLOOKUP(Tabla5[[#This Row],[EAN CORREGIDO]],'Tabla Articulos'!B:B,'Tabla Articulos'!D:D)</f>
        <v>#N/A</v>
      </c>
      <c r="Q3303" s="44" t="e">
        <f>_xlfn.XLOOKUP(S3303,'Tabla Articulos'!B:B,'Tabla Articulos'!E:E)</f>
        <v>#N/A</v>
      </c>
      <c r="R3303" s="44" t="e">
        <f t="shared" si="102"/>
        <v>#N/A</v>
      </c>
      <c r="S3303" s="45" t="str">
        <f t="shared" si="103"/>
        <v>7798662008447</v>
      </c>
    </row>
    <row r="3304" spans="1:19" hidden="1" x14ac:dyDescent="0.35">
      <c r="A3304" s="22">
        <v>2</v>
      </c>
      <c r="B3304" t="s">
        <v>5624</v>
      </c>
      <c r="C3304" t="s">
        <v>802</v>
      </c>
      <c r="D3304" t="s">
        <v>4558</v>
      </c>
      <c r="E3304" t="s">
        <v>5513</v>
      </c>
      <c r="F3304">
        <v>4021269</v>
      </c>
      <c r="G3304" t="s">
        <v>5514</v>
      </c>
      <c r="H3304" t="s">
        <v>805</v>
      </c>
      <c r="I3304">
        <v>119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119</v>
      </c>
      <c r="P3304" s="44" t="e">
        <f>_xlfn.XLOOKUP(Tabla5[[#This Row],[EAN CORREGIDO]],'Tabla Articulos'!B:B,'Tabla Articulos'!D:D)</f>
        <v>#N/A</v>
      </c>
      <c r="Q3304" s="44" t="e">
        <f>_xlfn.XLOOKUP(S3304,'Tabla Articulos'!B:B,'Tabla Articulos'!E:E)</f>
        <v>#N/A</v>
      </c>
      <c r="R3304" s="44" t="e">
        <f t="shared" si="102"/>
        <v>#N/A</v>
      </c>
      <c r="S3304" s="45" t="str">
        <f t="shared" si="103"/>
        <v>67794000006500</v>
      </c>
    </row>
    <row r="3305" spans="1:19" hidden="1" x14ac:dyDescent="0.35">
      <c r="A3305" s="22">
        <v>2</v>
      </c>
      <c r="B3305" t="s">
        <v>5624</v>
      </c>
      <c r="C3305" t="s">
        <v>802</v>
      </c>
      <c r="D3305" t="s">
        <v>5519</v>
      </c>
      <c r="E3305" t="s">
        <v>5520</v>
      </c>
      <c r="F3305">
        <v>4018811</v>
      </c>
      <c r="G3305" t="s">
        <v>5521</v>
      </c>
      <c r="H3305" t="s">
        <v>805</v>
      </c>
      <c r="I3305">
        <v>3224</v>
      </c>
      <c r="J3305">
        <v>12600</v>
      </c>
      <c r="K3305">
        <v>0</v>
      </c>
      <c r="L3305">
        <v>432</v>
      </c>
      <c r="M3305">
        <v>432</v>
      </c>
      <c r="N3305">
        <v>0</v>
      </c>
      <c r="O3305">
        <v>14960</v>
      </c>
      <c r="P3305" s="44" t="e">
        <f>_xlfn.XLOOKUP(Tabla5[[#This Row],[EAN CORREGIDO]],'Tabla Articulos'!B:B,'Tabla Articulos'!D:D)</f>
        <v>#N/A</v>
      </c>
      <c r="Q3305" s="44" t="e">
        <f>_xlfn.XLOOKUP(S3305,'Tabla Articulos'!B:B,'Tabla Articulos'!E:E)</f>
        <v>#N/A</v>
      </c>
      <c r="R3305" s="44" t="e">
        <f t="shared" si="102"/>
        <v>#N/A</v>
      </c>
      <c r="S3305" s="45" t="str">
        <f t="shared" si="103"/>
        <v>77903884</v>
      </c>
    </row>
    <row r="3306" spans="1:19" hidden="1" x14ac:dyDescent="0.35">
      <c r="A3306" s="22">
        <v>2</v>
      </c>
      <c r="B3306" t="s">
        <v>5624</v>
      </c>
      <c r="C3306" t="s">
        <v>802</v>
      </c>
      <c r="D3306" t="s">
        <v>1022</v>
      </c>
      <c r="E3306" t="s">
        <v>1023</v>
      </c>
      <c r="F3306">
        <v>4022375</v>
      </c>
      <c r="G3306" t="s">
        <v>1024</v>
      </c>
      <c r="H3306" t="s">
        <v>805</v>
      </c>
      <c r="I3306">
        <v>161</v>
      </c>
      <c r="J3306">
        <v>300</v>
      </c>
      <c r="K3306">
        <v>0</v>
      </c>
      <c r="L3306">
        <v>61</v>
      </c>
      <c r="M3306">
        <v>61</v>
      </c>
      <c r="N3306">
        <v>0</v>
      </c>
      <c r="O3306">
        <v>339</v>
      </c>
      <c r="P3306" s="44" t="e">
        <f>_xlfn.XLOOKUP(Tabla5[[#This Row],[EAN CORREGIDO]],'Tabla Articulos'!B:B,'Tabla Articulos'!D:D)</f>
        <v>#N/A</v>
      </c>
      <c r="Q3306" s="44" t="e">
        <f>_xlfn.XLOOKUP(S3306,'Tabla Articulos'!B:B,'Tabla Articulos'!E:E)</f>
        <v>#N/A</v>
      </c>
      <c r="R3306" s="44" t="e">
        <f t="shared" si="102"/>
        <v>#N/A</v>
      </c>
      <c r="S3306" s="45" t="str">
        <f t="shared" si="103"/>
        <v>7792612000730</v>
      </c>
    </row>
    <row r="3307" spans="1:19" hidden="1" x14ac:dyDescent="0.35">
      <c r="A3307" s="22">
        <v>2</v>
      </c>
      <c r="B3307" t="s">
        <v>5624</v>
      </c>
      <c r="C3307" t="s">
        <v>802</v>
      </c>
      <c r="D3307" t="s">
        <v>1050</v>
      </c>
      <c r="E3307" t="s">
        <v>5688</v>
      </c>
      <c r="F3307">
        <v>4017187</v>
      </c>
      <c r="G3307" t="s">
        <v>5689</v>
      </c>
      <c r="H3307" t="s">
        <v>805</v>
      </c>
      <c r="I3307">
        <v>96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96</v>
      </c>
      <c r="P3307" s="44" t="e">
        <f>_xlfn.XLOOKUP(Tabla5[[#This Row],[EAN CORREGIDO]],'Tabla Articulos'!B:B,'Tabla Articulos'!D:D)</f>
        <v>#N/A</v>
      </c>
      <c r="Q3307" s="44" t="e">
        <f>_xlfn.XLOOKUP(S3307,'Tabla Articulos'!B:B,'Tabla Articulos'!E:E)</f>
        <v>#N/A</v>
      </c>
      <c r="R3307" s="44" t="e">
        <f t="shared" si="102"/>
        <v>#N/A</v>
      </c>
      <c r="S3307" s="45" t="str">
        <f t="shared" si="103"/>
        <v>7790036000565</v>
      </c>
    </row>
    <row r="3308" spans="1:19" hidden="1" x14ac:dyDescent="0.35">
      <c r="A3308" s="22">
        <v>2</v>
      </c>
      <c r="B3308" t="s">
        <v>5624</v>
      </c>
      <c r="C3308" t="s">
        <v>802</v>
      </c>
      <c r="D3308" t="s">
        <v>5690</v>
      </c>
      <c r="E3308" t="s">
        <v>5691</v>
      </c>
      <c r="F3308">
        <v>4076623</v>
      </c>
      <c r="G3308" t="s">
        <v>5692</v>
      </c>
      <c r="H3308" t="s">
        <v>805</v>
      </c>
      <c r="I3308">
        <v>87</v>
      </c>
      <c r="J3308">
        <v>0</v>
      </c>
      <c r="K3308">
        <v>0</v>
      </c>
      <c r="L3308">
        <v>4</v>
      </c>
      <c r="M3308">
        <v>4</v>
      </c>
      <c r="N3308">
        <v>0</v>
      </c>
      <c r="O3308">
        <v>79</v>
      </c>
      <c r="P3308" s="44" t="e">
        <f>_xlfn.XLOOKUP(Tabla5[[#This Row],[EAN CORREGIDO]],'Tabla Articulos'!B:B,'Tabla Articulos'!D:D)</f>
        <v>#N/A</v>
      </c>
      <c r="Q3308" s="44" t="e">
        <f>_xlfn.XLOOKUP(S3308,'Tabla Articulos'!B:B,'Tabla Articulos'!E:E)</f>
        <v>#N/A</v>
      </c>
      <c r="R3308" s="44" t="e">
        <f t="shared" si="102"/>
        <v>#N/A</v>
      </c>
      <c r="S3308" s="45" t="str">
        <f t="shared" si="103"/>
        <v>7798094229898</v>
      </c>
    </row>
    <row r="3309" spans="1:19" hidden="1" x14ac:dyDescent="0.35">
      <c r="A3309" s="22">
        <v>2</v>
      </c>
      <c r="B3309" t="s">
        <v>5624</v>
      </c>
      <c r="C3309" t="s">
        <v>802</v>
      </c>
      <c r="D3309" t="s">
        <v>1028</v>
      </c>
      <c r="E3309" t="s">
        <v>1029</v>
      </c>
      <c r="F3309">
        <v>4018073</v>
      </c>
      <c r="G3309" t="s">
        <v>1030</v>
      </c>
      <c r="H3309" t="s">
        <v>816</v>
      </c>
      <c r="I3309">
        <v>133.33000000000001</v>
      </c>
      <c r="J3309">
        <v>0</v>
      </c>
      <c r="K3309">
        <v>0</v>
      </c>
      <c r="L3309">
        <v>9</v>
      </c>
      <c r="M3309">
        <v>9</v>
      </c>
      <c r="N3309">
        <v>0</v>
      </c>
      <c r="O3309">
        <v>115.33</v>
      </c>
      <c r="P3309" s="44" t="e">
        <f>_xlfn.XLOOKUP(Tabla5[[#This Row],[EAN CORREGIDO]],'Tabla Articulos'!B:B,'Tabla Articulos'!D:D)</f>
        <v>#N/A</v>
      </c>
      <c r="Q3309" s="44" t="e">
        <f>_xlfn.XLOOKUP(S3309,'Tabla Articulos'!B:B,'Tabla Articulos'!E:E)</f>
        <v>#N/A</v>
      </c>
      <c r="R3309" s="44" t="e">
        <f t="shared" si="102"/>
        <v>#N/A</v>
      </c>
      <c r="S3309" s="45" t="str">
        <f t="shared" si="103"/>
        <v>7790216012619</v>
      </c>
    </row>
    <row r="3310" spans="1:19" hidden="1" x14ac:dyDescent="0.35">
      <c r="A3310" s="22">
        <v>2</v>
      </c>
      <c r="B3310" t="s">
        <v>5624</v>
      </c>
      <c r="C3310" t="s">
        <v>802</v>
      </c>
      <c r="D3310" t="s">
        <v>2514</v>
      </c>
      <c r="E3310" t="s">
        <v>5693</v>
      </c>
      <c r="F3310">
        <v>4020809</v>
      </c>
      <c r="G3310" t="s">
        <v>5694</v>
      </c>
      <c r="H3310" t="s">
        <v>805</v>
      </c>
      <c r="I3310">
        <v>4653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4653</v>
      </c>
      <c r="P3310" s="44" t="e">
        <f>_xlfn.XLOOKUP(Tabla5[[#This Row],[EAN CORREGIDO]],'Tabla Articulos'!B:B,'Tabla Articulos'!D:D)</f>
        <v>#N/A</v>
      </c>
      <c r="Q3310" s="44" t="e">
        <f>_xlfn.XLOOKUP(S3310,'Tabla Articulos'!B:B,'Tabla Articulos'!E:E)</f>
        <v>#N/A</v>
      </c>
      <c r="R3310" s="44" t="e">
        <f t="shared" si="102"/>
        <v>#N/A</v>
      </c>
      <c r="S3310" s="45" t="str">
        <f t="shared" si="103"/>
        <v>7798156760994</v>
      </c>
    </row>
    <row r="3311" spans="1:19" hidden="1" x14ac:dyDescent="0.35">
      <c r="A3311" s="22">
        <v>2</v>
      </c>
      <c r="B3311" t="s">
        <v>5624</v>
      </c>
      <c r="C3311" t="s">
        <v>802</v>
      </c>
      <c r="D3311" t="s">
        <v>1035</v>
      </c>
      <c r="E3311" t="s">
        <v>1036</v>
      </c>
      <c r="F3311">
        <v>4018042</v>
      </c>
      <c r="G3311" t="s">
        <v>1037</v>
      </c>
      <c r="H3311" t="s">
        <v>816</v>
      </c>
      <c r="I3311">
        <v>1252.771</v>
      </c>
      <c r="J3311">
        <v>0</v>
      </c>
      <c r="K3311">
        <v>0</v>
      </c>
      <c r="L3311">
        <v>587.76499999999999</v>
      </c>
      <c r="M3311">
        <v>587.76499999999999</v>
      </c>
      <c r="N3311">
        <v>0</v>
      </c>
      <c r="O3311">
        <v>77.241</v>
      </c>
      <c r="P3311" s="44" t="e">
        <f>_xlfn.XLOOKUP(Tabla5[[#This Row],[EAN CORREGIDO]],'Tabla Articulos'!B:B,'Tabla Articulos'!D:D)</f>
        <v>#N/A</v>
      </c>
      <c r="Q3311" s="44" t="e">
        <f>_xlfn.XLOOKUP(S3311,'Tabla Articulos'!B:B,'Tabla Articulos'!E:E)</f>
        <v>#N/A</v>
      </c>
      <c r="R3311" s="44" t="e">
        <f t="shared" si="102"/>
        <v>#N/A</v>
      </c>
      <c r="S3311" s="45" t="str">
        <f t="shared" si="103"/>
        <v>7790216010122</v>
      </c>
    </row>
    <row r="3312" spans="1:19" hidden="1" x14ac:dyDescent="0.35">
      <c r="A3312" s="22">
        <v>2</v>
      </c>
      <c r="B3312" t="s">
        <v>5624</v>
      </c>
      <c r="C3312" t="s">
        <v>802</v>
      </c>
      <c r="D3312" t="s">
        <v>1042</v>
      </c>
      <c r="E3312" t="s">
        <v>1043</v>
      </c>
      <c r="F3312">
        <v>4023521</v>
      </c>
      <c r="G3312" t="s">
        <v>1044</v>
      </c>
      <c r="H3312" t="s">
        <v>805</v>
      </c>
      <c r="I3312">
        <v>301</v>
      </c>
      <c r="J3312">
        <v>0</v>
      </c>
      <c r="K3312">
        <v>0</v>
      </c>
      <c r="L3312">
        <v>73</v>
      </c>
      <c r="M3312">
        <v>73</v>
      </c>
      <c r="N3312">
        <v>0</v>
      </c>
      <c r="O3312">
        <v>155</v>
      </c>
      <c r="P3312" s="44" t="e">
        <f>_xlfn.XLOOKUP(Tabla5[[#This Row],[EAN CORREGIDO]],'Tabla Articulos'!B:B,'Tabla Articulos'!D:D)</f>
        <v>#N/A</v>
      </c>
      <c r="Q3312" s="44" t="e">
        <f>_xlfn.XLOOKUP(S3312,'Tabla Articulos'!B:B,'Tabla Articulos'!E:E)</f>
        <v>#N/A</v>
      </c>
      <c r="R3312" s="44" t="e">
        <f t="shared" si="102"/>
        <v>#N/A</v>
      </c>
      <c r="S3312" s="45" t="str">
        <f t="shared" si="103"/>
        <v>7798107181601</v>
      </c>
    </row>
    <row r="3313" spans="1:19" hidden="1" x14ac:dyDescent="0.35">
      <c r="A3313" s="22">
        <v>2</v>
      </c>
      <c r="B3313" t="s">
        <v>5624</v>
      </c>
      <c r="C3313" t="s">
        <v>802</v>
      </c>
      <c r="D3313" t="s">
        <v>1045</v>
      </c>
      <c r="E3313" t="s">
        <v>1046</v>
      </c>
      <c r="F3313">
        <v>4020555</v>
      </c>
      <c r="G3313" t="s">
        <v>1047</v>
      </c>
      <c r="H3313" t="s">
        <v>805</v>
      </c>
      <c r="I3313">
        <v>250</v>
      </c>
      <c r="J3313">
        <v>0</v>
      </c>
      <c r="K3313">
        <v>0</v>
      </c>
      <c r="L3313">
        <v>13</v>
      </c>
      <c r="M3313">
        <v>13</v>
      </c>
      <c r="N3313">
        <v>0</v>
      </c>
      <c r="O3313">
        <v>224</v>
      </c>
      <c r="P3313" s="44" t="e">
        <f>_xlfn.XLOOKUP(Tabla5[[#This Row],[EAN CORREGIDO]],'Tabla Articulos'!B:B,'Tabla Articulos'!D:D)</f>
        <v>#N/A</v>
      </c>
      <c r="Q3313" s="44" t="e">
        <f>_xlfn.XLOOKUP(S3313,'Tabla Articulos'!B:B,'Tabla Articulos'!E:E)</f>
        <v>#N/A</v>
      </c>
      <c r="R3313" s="44" t="e">
        <f t="shared" si="102"/>
        <v>#N/A</v>
      </c>
      <c r="S3313" s="45" t="str">
        <f t="shared" si="103"/>
        <v>7798011977000</v>
      </c>
    </row>
    <row r="3314" spans="1:19" hidden="1" x14ac:dyDescent="0.35">
      <c r="A3314" s="22">
        <v>2</v>
      </c>
      <c r="B3314" t="s">
        <v>5624</v>
      </c>
      <c r="C3314" t="s">
        <v>802</v>
      </c>
      <c r="D3314" t="s">
        <v>5528</v>
      </c>
      <c r="E3314" t="s">
        <v>5529</v>
      </c>
      <c r="F3314">
        <v>4076855</v>
      </c>
      <c r="G3314" t="s">
        <v>5530</v>
      </c>
      <c r="H3314" t="s">
        <v>805</v>
      </c>
      <c r="I3314">
        <v>8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8</v>
      </c>
      <c r="P3314" s="44" t="e">
        <f>_xlfn.XLOOKUP(Tabla5[[#This Row],[EAN CORREGIDO]],'Tabla Articulos'!B:B,'Tabla Articulos'!D:D)</f>
        <v>#N/A</v>
      </c>
      <c r="Q3314" s="44" t="e">
        <f>_xlfn.XLOOKUP(S3314,'Tabla Articulos'!B:B,'Tabla Articulos'!E:E)</f>
        <v>#N/A</v>
      </c>
      <c r="R3314" s="44" t="e">
        <f t="shared" si="102"/>
        <v>#N/A</v>
      </c>
      <c r="S3314" s="45" t="str">
        <f t="shared" si="103"/>
        <v>7798128000707</v>
      </c>
    </row>
    <row r="3315" spans="1:19" hidden="1" x14ac:dyDescent="0.35">
      <c r="A3315" s="22">
        <v>2</v>
      </c>
      <c r="B3315" t="s">
        <v>5624</v>
      </c>
      <c r="C3315" t="s">
        <v>802</v>
      </c>
      <c r="D3315" t="s">
        <v>6630</v>
      </c>
      <c r="E3315" t="s">
        <v>6719</v>
      </c>
      <c r="F3315">
        <v>4076543</v>
      </c>
      <c r="G3315" t="s">
        <v>6720</v>
      </c>
      <c r="H3315" t="s">
        <v>805</v>
      </c>
      <c r="I3315">
        <v>1782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1782</v>
      </c>
      <c r="P3315" s="44" t="e">
        <f>_xlfn.XLOOKUP(Tabla5[[#This Row],[EAN CORREGIDO]],'Tabla Articulos'!B:B,'Tabla Articulos'!D:D)</f>
        <v>#N/A</v>
      </c>
      <c r="Q3315" s="44" t="e">
        <f>_xlfn.XLOOKUP(S3315,'Tabla Articulos'!B:B,'Tabla Articulos'!E:E)</f>
        <v>#N/A</v>
      </c>
      <c r="R3315" s="44" t="e">
        <f t="shared" si="102"/>
        <v>#N/A</v>
      </c>
      <c r="S3315" s="45" t="str">
        <f t="shared" si="103"/>
        <v>7798011977765</v>
      </c>
    </row>
    <row r="3316" spans="1:19" hidden="1" x14ac:dyDescent="0.35">
      <c r="A3316" s="22">
        <v>2</v>
      </c>
      <c r="B3316" s="11" t="s">
        <v>5624</v>
      </c>
      <c r="C3316" s="11" t="s">
        <v>802</v>
      </c>
      <c r="D3316" s="11" t="s">
        <v>5531</v>
      </c>
      <c r="E3316" s="11" t="s">
        <v>5532</v>
      </c>
      <c r="F3316" s="11">
        <v>4023828</v>
      </c>
      <c r="G3316" s="11" t="s">
        <v>5533</v>
      </c>
      <c r="H3316" s="11" t="s">
        <v>805</v>
      </c>
      <c r="I3316" s="11">
        <v>10275</v>
      </c>
      <c r="J3316" s="11">
        <v>0</v>
      </c>
      <c r="K3316" s="11">
        <v>0</v>
      </c>
      <c r="L3316" s="11">
        <v>510</v>
      </c>
      <c r="M3316" s="11">
        <v>510</v>
      </c>
      <c r="N3316" s="11">
        <v>450</v>
      </c>
      <c r="O3316" s="11">
        <v>8805</v>
      </c>
      <c r="P3316" s="44" t="e">
        <f>_xlfn.XLOOKUP(Tabla5[[#This Row],[EAN CORREGIDO]],'Tabla Articulos'!B:B,'Tabla Articulos'!D:D)</f>
        <v>#N/A</v>
      </c>
      <c r="Q3316" s="44" t="e">
        <f>_xlfn.XLOOKUP(S3316,'Tabla Articulos'!B:B,'Tabla Articulos'!E:E)</f>
        <v>#N/A</v>
      </c>
      <c r="R3316" s="44" t="e">
        <f t="shared" ref="R3316:R3328" si="104">O3316*Q3316</f>
        <v>#N/A</v>
      </c>
      <c r="S3316" s="45" t="str">
        <f t="shared" ref="S3316:S3328" si="105">TRIM(E3316)</f>
        <v>7792260640203</v>
      </c>
    </row>
    <row r="3317" spans="1:19" hidden="1" x14ac:dyDescent="0.35">
      <c r="A3317" s="22">
        <v>2</v>
      </c>
      <c r="B3317" s="11" t="s">
        <v>5624</v>
      </c>
      <c r="C3317" s="11" t="s">
        <v>802</v>
      </c>
      <c r="D3317" s="11" t="s">
        <v>6721</v>
      </c>
      <c r="E3317" s="11" t="s">
        <v>6722</v>
      </c>
      <c r="F3317" s="11">
        <v>4018046</v>
      </c>
      <c r="G3317" s="11" t="s">
        <v>6723</v>
      </c>
      <c r="H3317" s="11" t="s">
        <v>816</v>
      </c>
      <c r="I3317" s="11">
        <v>4.8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  <c r="O3317" s="11">
        <v>4.8</v>
      </c>
      <c r="P3317" s="44" t="e">
        <f>_xlfn.XLOOKUP(Tabla5[[#This Row],[EAN CORREGIDO]],'Tabla Articulos'!B:B,'Tabla Articulos'!D:D)</f>
        <v>#N/A</v>
      </c>
      <c r="Q3317" s="44" t="e">
        <f>_xlfn.XLOOKUP(S3317,'Tabla Articulos'!B:B,'Tabla Articulos'!E:E)</f>
        <v>#N/A</v>
      </c>
      <c r="R3317" s="44" t="e">
        <f t="shared" si="104"/>
        <v>#N/A</v>
      </c>
      <c r="S3317" s="45" t="str">
        <f t="shared" si="105"/>
        <v>7790216012657</v>
      </c>
    </row>
    <row r="3318" spans="1:19" hidden="1" x14ac:dyDescent="0.35">
      <c r="A3318" s="22">
        <v>2</v>
      </c>
      <c r="B3318" s="11" t="s">
        <v>5624</v>
      </c>
      <c r="C3318" s="11" t="s">
        <v>802</v>
      </c>
      <c r="D3318" s="11" t="s">
        <v>6724</v>
      </c>
      <c r="E3318" s="11" t="s">
        <v>6725</v>
      </c>
      <c r="F3318" s="11">
        <v>4024377</v>
      </c>
      <c r="G3318" s="11" t="s">
        <v>6726</v>
      </c>
      <c r="H3318" s="11" t="s">
        <v>805</v>
      </c>
      <c r="I3318" s="11">
        <v>175</v>
      </c>
      <c r="J3318" s="11">
        <v>0</v>
      </c>
      <c r="K3318" s="11">
        <v>0</v>
      </c>
      <c r="L3318" s="11">
        <v>0</v>
      </c>
      <c r="M3318" s="11">
        <v>0</v>
      </c>
      <c r="N3318" s="11">
        <v>0</v>
      </c>
      <c r="O3318" s="11">
        <v>175</v>
      </c>
      <c r="P3318" s="44" t="e">
        <f>_xlfn.XLOOKUP(Tabla5[[#This Row],[EAN CORREGIDO]],'Tabla Articulos'!B:B,'Tabla Articulos'!D:D)</f>
        <v>#N/A</v>
      </c>
      <c r="Q3318" s="44" t="e">
        <f>_xlfn.XLOOKUP(S3318,'Tabla Articulos'!B:B,'Tabla Articulos'!E:E)</f>
        <v>#N/A</v>
      </c>
      <c r="R3318" s="44" t="e">
        <f t="shared" si="104"/>
        <v>#N/A</v>
      </c>
      <c r="S3318" s="45" t="str">
        <f t="shared" si="105"/>
        <v>8410422407011</v>
      </c>
    </row>
    <row r="3319" spans="1:19" hidden="1" x14ac:dyDescent="0.35">
      <c r="A3319" s="22">
        <v>2</v>
      </c>
      <c r="B3319" s="11" t="s">
        <v>5624</v>
      </c>
      <c r="C3319" s="11" t="s">
        <v>802</v>
      </c>
      <c r="D3319" s="11" t="s">
        <v>1497</v>
      </c>
      <c r="E3319" s="11" t="s">
        <v>5540</v>
      </c>
      <c r="F3319" s="11">
        <v>4019875</v>
      </c>
      <c r="G3319" s="11" t="s">
        <v>5541</v>
      </c>
      <c r="H3319" s="11" t="s">
        <v>805</v>
      </c>
      <c r="I3319" s="11">
        <v>10</v>
      </c>
      <c r="J3319" s="11">
        <v>0</v>
      </c>
      <c r="K3319" s="11">
        <v>0</v>
      </c>
      <c r="L3319" s="11">
        <v>0</v>
      </c>
      <c r="M3319" s="11">
        <v>0</v>
      </c>
      <c r="N3319" s="11">
        <v>0</v>
      </c>
      <c r="O3319" s="11">
        <v>10</v>
      </c>
      <c r="P3319" s="44" t="e">
        <f>_xlfn.XLOOKUP(Tabla5[[#This Row],[EAN CORREGIDO]],'Tabla Articulos'!B:B,'Tabla Articulos'!D:D)</f>
        <v>#N/A</v>
      </c>
      <c r="Q3319" s="44" t="e">
        <f>_xlfn.XLOOKUP(S3319,'Tabla Articulos'!B:B,'Tabla Articulos'!E:E)</f>
        <v>#N/A</v>
      </c>
      <c r="R3319" s="44" t="e">
        <f t="shared" si="104"/>
        <v>#N/A</v>
      </c>
      <c r="S3319" s="45" t="str">
        <f t="shared" si="105"/>
        <v>7790530850109</v>
      </c>
    </row>
    <row r="3320" spans="1:19" hidden="1" x14ac:dyDescent="0.35">
      <c r="A3320" s="22">
        <v>2</v>
      </c>
      <c r="B3320" s="11" t="s">
        <v>5624</v>
      </c>
      <c r="C3320" s="11" t="s">
        <v>802</v>
      </c>
      <c r="D3320" s="11" t="s">
        <v>5348</v>
      </c>
      <c r="E3320" s="11" t="s">
        <v>5349</v>
      </c>
      <c r="F3320" s="11">
        <v>4022369</v>
      </c>
      <c r="G3320" s="11" t="s">
        <v>5350</v>
      </c>
      <c r="H3320" s="11" t="s">
        <v>805</v>
      </c>
      <c r="I3320" s="11">
        <v>1778</v>
      </c>
      <c r="J3320" s="11">
        <v>1020</v>
      </c>
      <c r="K3320" s="11">
        <v>0</v>
      </c>
      <c r="L3320" s="11">
        <v>114</v>
      </c>
      <c r="M3320" s="11">
        <v>114</v>
      </c>
      <c r="N3320" s="11">
        <v>0</v>
      </c>
      <c r="O3320" s="11">
        <v>2570</v>
      </c>
      <c r="P3320" s="44" t="e">
        <f>_xlfn.XLOOKUP(Tabla5[[#This Row],[EAN CORREGIDO]],'Tabla Articulos'!B:B,'Tabla Articulos'!D:D)</f>
        <v>#N/A</v>
      </c>
      <c r="Q3320" s="44" t="e">
        <f>_xlfn.XLOOKUP(S3320,'Tabla Articulos'!B:B,'Tabla Articulos'!E:E)</f>
        <v>#N/A</v>
      </c>
      <c r="R3320" s="44" t="e">
        <f t="shared" si="104"/>
        <v>#N/A</v>
      </c>
      <c r="S3320" s="45" t="str">
        <f t="shared" si="105"/>
        <v>7795711002353</v>
      </c>
    </row>
    <row r="3321" spans="1:19" hidden="1" x14ac:dyDescent="0.35">
      <c r="A3321" s="22">
        <v>2</v>
      </c>
      <c r="B3321" s="11" t="s">
        <v>5624</v>
      </c>
      <c r="C3321" s="11" t="s">
        <v>802</v>
      </c>
      <c r="D3321" s="11" t="s">
        <v>5763</v>
      </c>
      <c r="E3321" s="11" t="s">
        <v>6128</v>
      </c>
      <c r="F3321" s="11">
        <v>4049022</v>
      </c>
      <c r="G3321" s="11" t="s">
        <v>6129</v>
      </c>
      <c r="H3321" s="11" t="s">
        <v>805</v>
      </c>
      <c r="I3321" s="11">
        <v>32</v>
      </c>
      <c r="J3321" s="11">
        <v>0</v>
      </c>
      <c r="K3321" s="11">
        <v>0</v>
      </c>
      <c r="L3321" s="11">
        <v>0</v>
      </c>
      <c r="M3321" s="11">
        <v>0</v>
      </c>
      <c r="N3321" s="11">
        <v>0</v>
      </c>
      <c r="O3321" s="11">
        <v>32</v>
      </c>
      <c r="P3321" s="44" t="e">
        <f>_xlfn.XLOOKUP(Tabla5[[#This Row],[EAN CORREGIDO]],'Tabla Articulos'!B:B,'Tabla Articulos'!D:D)</f>
        <v>#N/A</v>
      </c>
      <c r="Q3321" s="44" t="e">
        <f>_xlfn.XLOOKUP(S3321,'Tabla Articulos'!B:B,'Tabla Articulos'!E:E)</f>
        <v>#N/A</v>
      </c>
      <c r="R3321" s="44" t="e">
        <f t="shared" si="104"/>
        <v>#N/A</v>
      </c>
      <c r="S3321" s="45" t="str">
        <f t="shared" si="105"/>
        <v>7798104307950</v>
      </c>
    </row>
    <row r="3322" spans="1:19" hidden="1" x14ac:dyDescent="0.35">
      <c r="A3322" s="22">
        <v>2</v>
      </c>
      <c r="B3322" s="11" t="s">
        <v>5624</v>
      </c>
      <c r="C3322" s="11" t="s">
        <v>802</v>
      </c>
      <c r="D3322" s="11" t="s">
        <v>223</v>
      </c>
      <c r="E3322" s="11" t="s">
        <v>6130</v>
      </c>
      <c r="F3322" s="11">
        <v>2006779</v>
      </c>
      <c r="G3322" s="11" t="s">
        <v>6131</v>
      </c>
      <c r="H3322" s="11" t="s">
        <v>805</v>
      </c>
      <c r="I3322" s="11">
        <v>22</v>
      </c>
      <c r="J3322" s="11">
        <v>0</v>
      </c>
      <c r="K3322" s="11">
        <v>0</v>
      </c>
      <c r="L3322" s="11">
        <v>4</v>
      </c>
      <c r="M3322" s="11">
        <v>4</v>
      </c>
      <c r="N3322" s="11">
        <v>0</v>
      </c>
      <c r="O3322" s="11">
        <v>14</v>
      </c>
      <c r="P3322" s="44" t="str">
        <f>_xlfn.XLOOKUP(Tabla5[[#This Row],[EAN CORREGIDO]],'Tabla Articulos'!B:B,'Tabla Articulos'!D:D)</f>
        <v>COFIAS</v>
      </c>
      <c r="Q3322" s="44">
        <f>_xlfn.XLOOKUP(S3322,'Tabla Articulos'!B:B,'Tabla Articulos'!E:E)</f>
        <v>100</v>
      </c>
      <c r="R3322" s="44">
        <f t="shared" si="104"/>
        <v>1400</v>
      </c>
      <c r="S3322" s="45" t="str">
        <f t="shared" si="105"/>
        <v>17018002A</v>
      </c>
    </row>
    <row r="3323" spans="1:19" hidden="1" x14ac:dyDescent="0.35">
      <c r="A3323" s="22">
        <v>2</v>
      </c>
      <c r="B3323" s="11" t="s">
        <v>5624</v>
      </c>
      <c r="C3323" s="11" t="s">
        <v>802</v>
      </c>
      <c r="D3323" s="11" t="s">
        <v>6225</v>
      </c>
      <c r="E3323" s="11" t="s">
        <v>6226</v>
      </c>
      <c r="F3323" s="11">
        <v>4019201</v>
      </c>
      <c r="G3323" s="11" t="s">
        <v>6227</v>
      </c>
      <c r="H3323" s="11" t="s">
        <v>805</v>
      </c>
      <c r="I3323" s="11">
        <v>4</v>
      </c>
      <c r="J3323" s="11">
        <v>0</v>
      </c>
      <c r="K3323" s="11">
        <v>0</v>
      </c>
      <c r="L3323" s="11">
        <v>0</v>
      </c>
      <c r="M3323" s="11">
        <v>0</v>
      </c>
      <c r="N3323" s="11">
        <v>0</v>
      </c>
      <c r="O3323" s="11">
        <v>4</v>
      </c>
      <c r="P3323" s="44" t="e">
        <f>_xlfn.XLOOKUP(Tabla5[[#This Row],[EAN CORREGIDO]],'Tabla Articulos'!B:B,'Tabla Articulos'!D:D)</f>
        <v>#N/A</v>
      </c>
      <c r="Q3323" s="44" t="e">
        <f>_xlfn.XLOOKUP(S3323,'Tabla Articulos'!B:B,'Tabla Articulos'!E:E)</f>
        <v>#N/A</v>
      </c>
      <c r="R3323" s="44" t="e">
        <f t="shared" si="104"/>
        <v>#N/A</v>
      </c>
      <c r="S3323" s="45" t="str">
        <f t="shared" si="105"/>
        <v>7790040135765</v>
      </c>
    </row>
    <row r="3324" spans="1:19" hidden="1" x14ac:dyDescent="0.35">
      <c r="A3324" s="22">
        <v>2</v>
      </c>
      <c r="B3324" s="11" t="s">
        <v>5624</v>
      </c>
      <c r="C3324" s="11" t="s">
        <v>802</v>
      </c>
      <c r="D3324" s="11" t="s">
        <v>6228</v>
      </c>
      <c r="E3324" s="11" t="s">
        <v>6229</v>
      </c>
      <c r="F3324" s="11">
        <v>4077451</v>
      </c>
      <c r="G3324" s="11" t="s">
        <v>6230</v>
      </c>
      <c r="H3324" s="11" t="s">
        <v>805</v>
      </c>
      <c r="I3324" s="11">
        <v>53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53</v>
      </c>
      <c r="P3324" s="44" t="e">
        <f>_xlfn.XLOOKUP(Tabla5[[#This Row],[EAN CORREGIDO]],'Tabla Articulos'!B:B,'Tabla Articulos'!D:D)</f>
        <v>#N/A</v>
      </c>
      <c r="Q3324" s="44" t="e">
        <f>_xlfn.XLOOKUP(S3324,'Tabla Articulos'!B:B,'Tabla Articulos'!E:E)</f>
        <v>#N/A</v>
      </c>
      <c r="R3324" s="44" t="e">
        <f t="shared" si="104"/>
        <v>#N/A</v>
      </c>
      <c r="S3324" s="45" t="str">
        <f t="shared" si="105"/>
        <v>7793323024473</v>
      </c>
    </row>
    <row r="3325" spans="1:19" hidden="1" x14ac:dyDescent="0.35">
      <c r="A3325" s="22">
        <v>2</v>
      </c>
      <c r="B3325" s="11" t="s">
        <v>5624</v>
      </c>
      <c r="C3325" s="11" t="s">
        <v>802</v>
      </c>
      <c r="D3325" s="11" t="s">
        <v>1577</v>
      </c>
      <c r="E3325" s="11" t="s">
        <v>6231</v>
      </c>
      <c r="F3325" s="11">
        <v>4024569</v>
      </c>
      <c r="G3325" s="11" t="s">
        <v>6232</v>
      </c>
      <c r="H3325" s="11" t="s">
        <v>805</v>
      </c>
      <c r="I3325" s="11">
        <v>160</v>
      </c>
      <c r="J3325" s="11">
        <v>0</v>
      </c>
      <c r="K3325" s="11">
        <v>0</v>
      </c>
      <c r="L3325" s="11">
        <v>22</v>
      </c>
      <c r="M3325" s="11">
        <v>22</v>
      </c>
      <c r="N3325" s="11">
        <v>0</v>
      </c>
      <c r="O3325" s="11">
        <v>116</v>
      </c>
      <c r="P3325" s="44" t="e">
        <f>_xlfn.XLOOKUP(Tabla5[[#This Row],[EAN CORREGIDO]],'Tabla Articulos'!B:B,'Tabla Articulos'!D:D)</f>
        <v>#N/A</v>
      </c>
      <c r="Q3325" s="44" t="e">
        <f>_xlfn.XLOOKUP(S3325,'Tabla Articulos'!B:B,'Tabla Articulos'!E:E)</f>
        <v>#N/A</v>
      </c>
      <c r="R3325" s="44" t="e">
        <f t="shared" si="104"/>
        <v>#N/A</v>
      </c>
      <c r="S3325" s="45" t="str">
        <f t="shared" si="105"/>
        <v>7792590005192</v>
      </c>
    </row>
    <row r="3326" spans="1:19" hidden="1" x14ac:dyDescent="0.35">
      <c r="A3326" s="22">
        <v>2</v>
      </c>
      <c r="B3326" s="11" t="s">
        <v>5624</v>
      </c>
      <c r="C3326" s="11" t="s">
        <v>802</v>
      </c>
      <c r="D3326" s="11" t="s">
        <v>934</v>
      </c>
      <c r="E3326" s="11" t="s">
        <v>2970</v>
      </c>
      <c r="F3326" s="11">
        <v>4018018</v>
      </c>
      <c r="G3326" s="11" t="s">
        <v>2971</v>
      </c>
      <c r="H3326" s="11" t="s">
        <v>816</v>
      </c>
      <c r="I3326" s="11">
        <v>80337</v>
      </c>
      <c r="J3326" s="11">
        <v>0</v>
      </c>
      <c r="K3326" s="11">
        <v>0</v>
      </c>
      <c r="L3326" s="11">
        <v>0</v>
      </c>
      <c r="M3326" s="11">
        <v>0</v>
      </c>
      <c r="N3326" s="11">
        <v>0</v>
      </c>
      <c r="O3326" s="11">
        <v>80337</v>
      </c>
      <c r="P3326" s="44" t="e">
        <f>_xlfn.XLOOKUP(Tabla5[[#This Row],[EAN CORREGIDO]],'Tabla Articulos'!B:B,'Tabla Articulos'!D:D)</f>
        <v>#N/A</v>
      </c>
      <c r="Q3326" s="44" t="e">
        <f>_xlfn.XLOOKUP(S3326,'Tabla Articulos'!B:B,'Tabla Articulos'!E:E)</f>
        <v>#N/A</v>
      </c>
      <c r="R3326" s="44" t="e">
        <f t="shared" si="104"/>
        <v>#N/A</v>
      </c>
      <c r="S3326" s="45" t="str">
        <f t="shared" si="105"/>
        <v>7790216020103</v>
      </c>
    </row>
    <row r="3327" spans="1:19" hidden="1" x14ac:dyDescent="0.35">
      <c r="A3327" s="22">
        <v>2</v>
      </c>
      <c r="B3327" s="11" t="s">
        <v>5624</v>
      </c>
      <c r="C3327" s="11" t="s">
        <v>802</v>
      </c>
      <c r="D3327" s="11" t="s">
        <v>1050</v>
      </c>
      <c r="E3327" s="11" t="s">
        <v>1051</v>
      </c>
      <c r="F3327" s="11">
        <v>4021111</v>
      </c>
      <c r="G3327" s="11" t="s">
        <v>1052</v>
      </c>
      <c r="H3327" s="11" t="s">
        <v>805</v>
      </c>
      <c r="I3327" s="11">
        <v>158</v>
      </c>
      <c r="J3327" s="11">
        <v>0</v>
      </c>
      <c r="K3327" s="11">
        <v>0</v>
      </c>
      <c r="L3327" s="11">
        <v>0</v>
      </c>
      <c r="M3327" s="11">
        <v>0</v>
      </c>
      <c r="N3327" s="11">
        <v>538</v>
      </c>
      <c r="O3327" s="11">
        <v>-380</v>
      </c>
      <c r="P3327" s="44" t="e">
        <f>_xlfn.XLOOKUP(Tabla5[[#This Row],[EAN CORREGIDO]],'Tabla Articulos'!B:B,'Tabla Articulos'!D:D)</f>
        <v>#N/A</v>
      </c>
      <c r="Q3327" s="44" t="e">
        <f>_xlfn.XLOOKUP(S3327,'Tabla Articulos'!B:B,'Tabla Articulos'!E:E)</f>
        <v>#N/A</v>
      </c>
      <c r="R3327" s="44" t="e">
        <f t="shared" si="104"/>
        <v>#N/A</v>
      </c>
      <c r="S3327" s="45" t="str">
        <f t="shared" si="105"/>
        <v>7798290580052</v>
      </c>
    </row>
    <row r="3328" spans="1:19" hidden="1" x14ac:dyDescent="0.35">
      <c r="A3328" s="22">
        <v>2</v>
      </c>
      <c r="B3328" s="11" t="s">
        <v>5624</v>
      </c>
      <c r="C3328" s="11" t="s">
        <v>802</v>
      </c>
      <c r="D3328" s="11" t="s">
        <v>1615</v>
      </c>
      <c r="E3328" s="11" t="s">
        <v>1642</v>
      </c>
      <c r="F3328" s="11">
        <v>4023172</v>
      </c>
      <c r="G3328" s="11" t="s">
        <v>1643</v>
      </c>
      <c r="H3328" s="11" t="s">
        <v>805</v>
      </c>
      <c r="I3328" s="11">
        <v>299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299</v>
      </c>
      <c r="P3328" s="44" t="e">
        <f>_xlfn.XLOOKUP(Tabla5[[#This Row],[EAN CORREGIDO]],'Tabla Articulos'!B:B,'Tabla Articulos'!D:D)</f>
        <v>#N/A</v>
      </c>
      <c r="Q3328" s="44" t="e">
        <f>_xlfn.XLOOKUP(S3328,'Tabla Articulos'!B:B,'Tabla Articulos'!E:E)</f>
        <v>#N/A</v>
      </c>
      <c r="R3328" s="44" t="e">
        <f t="shared" si="104"/>
        <v>#N/A</v>
      </c>
      <c r="S3328" s="45" t="str">
        <f t="shared" si="105"/>
        <v>7790199604785</v>
      </c>
    </row>
    <row r="3329" spans="1:19" x14ac:dyDescent="0.35">
      <c r="A3329" s="22"/>
      <c r="P3329" s="44" t="e">
        <f>_xlfn.XLOOKUP(Tabla5[[#This Row],[EAN CORREGIDO]],'Tabla Articulos'!B:B,'Tabla Articulos'!D:D)</f>
        <v>#VALUE!</v>
      </c>
      <c r="Q3329" s="44" t="e">
        <f>_xlfn.XLOOKUP(S3329,'Tabla Articulos'!B:B,'Tabla Articulos'!E:E)</f>
        <v>#N/A</v>
      </c>
      <c r="R3329" s="44" t="e">
        <f t="shared" si="102"/>
        <v>#N/A</v>
      </c>
      <c r="S3329" s="45" t="str">
        <f t="shared" si="103"/>
        <v/>
      </c>
    </row>
    <row r="3330" spans="1:19" x14ac:dyDescent="0.35">
      <c r="A3330" s="22"/>
      <c r="P3330" s="44" t="e">
        <f>_xlfn.XLOOKUP(Tabla5[[#This Row],[EAN CORREGIDO]],'Tabla Articulos'!B:B,'Tabla Articulos'!D:D)</f>
        <v>#VALUE!</v>
      </c>
      <c r="Q3330" s="44" t="e">
        <f>_xlfn.XLOOKUP(S3330,'Tabla Articulos'!B:B,'Tabla Articulos'!E:E)</f>
        <v>#N/A</v>
      </c>
      <c r="R3330" s="44" t="e">
        <f t="shared" si="102"/>
        <v>#N/A</v>
      </c>
      <c r="S3330" s="45" t="str">
        <f t="shared" si="103"/>
        <v/>
      </c>
    </row>
    <row r="3331" spans="1:19" x14ac:dyDescent="0.35">
      <c r="A3331" s="22"/>
      <c r="P3331" s="44" t="e">
        <f>_xlfn.XLOOKUP(Tabla5[[#This Row],[EAN CORREGIDO]],'Tabla Articulos'!B:B,'Tabla Articulos'!D:D)</f>
        <v>#VALUE!</v>
      </c>
      <c r="Q3331" s="44" t="e">
        <f>_xlfn.XLOOKUP(S3331,'Tabla Articulos'!B:B,'Tabla Articulos'!E:E)</f>
        <v>#N/A</v>
      </c>
      <c r="R3331" s="44" t="e">
        <f t="shared" si="102"/>
        <v>#N/A</v>
      </c>
      <c r="S3331" s="45" t="str">
        <f t="shared" si="103"/>
        <v/>
      </c>
    </row>
    <row r="3332" spans="1:19" x14ac:dyDescent="0.35">
      <c r="A3332" s="22"/>
      <c r="P3332" s="44" t="e">
        <f>_xlfn.XLOOKUP(Tabla5[[#This Row],[EAN CORREGIDO]],'Tabla Articulos'!B:B,'Tabla Articulos'!D:D)</f>
        <v>#VALUE!</v>
      </c>
      <c r="Q3332" s="44" t="e">
        <f>_xlfn.XLOOKUP(S3332,'Tabla Articulos'!B:B,'Tabla Articulos'!E:E)</f>
        <v>#N/A</v>
      </c>
      <c r="R3332" s="44" t="e">
        <f t="shared" si="102"/>
        <v>#N/A</v>
      </c>
      <c r="S3332" s="45" t="str">
        <f t="shared" si="103"/>
        <v/>
      </c>
    </row>
    <row r="3333" spans="1:19" x14ac:dyDescent="0.35">
      <c r="A3333" s="22"/>
      <c r="P3333" s="44" t="e">
        <f>_xlfn.XLOOKUP(Tabla5[[#This Row],[EAN CORREGIDO]],'Tabla Articulos'!B:B,'Tabla Articulos'!D:D)</f>
        <v>#VALUE!</v>
      </c>
      <c r="Q3333" s="44" t="e">
        <f>_xlfn.XLOOKUP(S3333,'Tabla Articulos'!B:B,'Tabla Articulos'!E:E)</f>
        <v>#N/A</v>
      </c>
      <c r="R3333" s="44" t="e">
        <f t="shared" si="102"/>
        <v>#N/A</v>
      </c>
      <c r="S3333" s="45" t="str">
        <f t="shared" si="103"/>
        <v/>
      </c>
    </row>
    <row r="3334" spans="1:19" x14ac:dyDescent="0.35">
      <c r="A3334" s="22"/>
      <c r="P3334" s="44" t="e">
        <f>_xlfn.XLOOKUP(Tabla5[[#This Row],[EAN CORREGIDO]],'Tabla Articulos'!B:B,'Tabla Articulos'!D:D)</f>
        <v>#VALUE!</v>
      </c>
      <c r="Q3334" s="44" t="e">
        <f>_xlfn.XLOOKUP(S3334,'Tabla Articulos'!B:B,'Tabla Articulos'!E:E)</f>
        <v>#N/A</v>
      </c>
      <c r="R3334" s="44" t="e">
        <f t="shared" si="102"/>
        <v>#N/A</v>
      </c>
      <c r="S3334" s="45" t="str">
        <f t="shared" si="103"/>
        <v/>
      </c>
    </row>
    <row r="3335" spans="1:19" x14ac:dyDescent="0.35">
      <c r="A3335" s="22"/>
      <c r="P3335" s="44" t="e">
        <f>_xlfn.XLOOKUP(Tabla5[[#This Row],[EAN CORREGIDO]],'Tabla Articulos'!B:B,'Tabla Articulos'!D:D)</f>
        <v>#VALUE!</v>
      </c>
      <c r="Q3335" s="44" t="e">
        <f>_xlfn.XLOOKUP(S3335,'Tabla Articulos'!B:B,'Tabla Articulos'!E:E)</f>
        <v>#N/A</v>
      </c>
      <c r="R3335" s="44" t="e">
        <f t="shared" si="102"/>
        <v>#N/A</v>
      </c>
      <c r="S3335" s="45" t="str">
        <f t="shared" si="103"/>
        <v/>
      </c>
    </row>
    <row r="3336" spans="1:19" x14ac:dyDescent="0.35">
      <c r="A3336" s="22"/>
      <c r="P3336" s="44" t="e">
        <f>_xlfn.XLOOKUP(Tabla5[[#This Row],[EAN CORREGIDO]],'Tabla Articulos'!B:B,'Tabla Articulos'!D:D)</f>
        <v>#VALUE!</v>
      </c>
      <c r="Q3336" s="44" t="e">
        <f>_xlfn.XLOOKUP(S3336,'Tabla Articulos'!B:B,'Tabla Articulos'!E:E)</f>
        <v>#N/A</v>
      </c>
      <c r="R3336" s="44" t="e">
        <f t="shared" si="102"/>
        <v>#N/A</v>
      </c>
      <c r="S3336" s="45" t="str">
        <f t="shared" si="103"/>
        <v/>
      </c>
    </row>
    <row r="3337" spans="1:19" x14ac:dyDescent="0.35">
      <c r="A3337" s="22"/>
      <c r="P3337" s="44" t="e">
        <f>_xlfn.XLOOKUP(Tabla5[[#This Row],[EAN CORREGIDO]],'Tabla Articulos'!B:B,'Tabla Articulos'!D:D)</f>
        <v>#VALUE!</v>
      </c>
      <c r="Q3337" s="44" t="e">
        <f>_xlfn.XLOOKUP(S3337,'Tabla Articulos'!B:B,'Tabla Articulos'!E:E)</f>
        <v>#N/A</v>
      </c>
      <c r="R3337" s="44" t="e">
        <f t="shared" si="102"/>
        <v>#N/A</v>
      </c>
      <c r="S3337" s="45" t="str">
        <f t="shared" si="103"/>
        <v/>
      </c>
    </row>
    <row r="3338" spans="1:19" x14ac:dyDescent="0.35">
      <c r="A3338" s="22"/>
      <c r="P3338" s="44" t="e">
        <f>_xlfn.XLOOKUP(Tabla5[[#This Row],[EAN CORREGIDO]],'Tabla Articulos'!B:B,'Tabla Articulos'!D:D)</f>
        <v>#VALUE!</v>
      </c>
      <c r="Q3338" s="44" t="e">
        <f>_xlfn.XLOOKUP(S3338,'Tabla Articulos'!B:B,'Tabla Articulos'!E:E)</f>
        <v>#N/A</v>
      </c>
      <c r="R3338" s="44" t="e">
        <f t="shared" si="102"/>
        <v>#N/A</v>
      </c>
      <c r="S3338" s="45" t="str">
        <f t="shared" si="103"/>
        <v/>
      </c>
    </row>
    <row r="3339" spans="1:19" x14ac:dyDescent="0.35">
      <c r="A3339" s="22"/>
      <c r="P3339" s="44" t="e">
        <f>_xlfn.XLOOKUP(Tabla5[[#This Row],[EAN CORREGIDO]],'Tabla Articulos'!B:B,'Tabla Articulos'!D:D)</f>
        <v>#VALUE!</v>
      </c>
      <c r="Q3339" s="44" t="e">
        <f>_xlfn.XLOOKUP(S3339,'Tabla Articulos'!B:B,'Tabla Articulos'!E:E)</f>
        <v>#N/A</v>
      </c>
      <c r="R3339" s="44" t="e">
        <f t="shared" si="102"/>
        <v>#N/A</v>
      </c>
      <c r="S3339" s="45" t="str">
        <f t="shared" si="103"/>
        <v/>
      </c>
    </row>
    <row r="3340" spans="1:19" x14ac:dyDescent="0.35">
      <c r="A3340" s="22"/>
      <c r="P3340" s="44" t="e">
        <f>_xlfn.XLOOKUP(Tabla5[[#This Row],[EAN CORREGIDO]],'Tabla Articulos'!B:B,'Tabla Articulos'!D:D)</f>
        <v>#VALUE!</v>
      </c>
      <c r="Q3340" s="44" t="e">
        <f>_xlfn.XLOOKUP(S3340,'Tabla Articulos'!B:B,'Tabla Articulos'!E:E)</f>
        <v>#N/A</v>
      </c>
      <c r="R3340" s="44" t="e">
        <f t="shared" si="102"/>
        <v>#N/A</v>
      </c>
      <c r="S3340" s="45" t="str">
        <f t="shared" si="103"/>
        <v/>
      </c>
    </row>
    <row r="3341" spans="1:19" x14ac:dyDescent="0.35">
      <c r="A3341" s="22"/>
      <c r="P3341" s="44" t="e">
        <f>_xlfn.XLOOKUP(Tabla5[[#This Row],[EAN CORREGIDO]],'Tabla Articulos'!B:B,'Tabla Articulos'!D:D)</f>
        <v>#VALUE!</v>
      </c>
      <c r="Q3341" s="44" t="e">
        <f>_xlfn.XLOOKUP(S3341,'Tabla Articulos'!B:B,'Tabla Articulos'!E:E)</f>
        <v>#N/A</v>
      </c>
      <c r="R3341" s="44" t="e">
        <f t="shared" si="102"/>
        <v>#N/A</v>
      </c>
      <c r="S3341" s="45" t="str">
        <f t="shared" si="103"/>
        <v/>
      </c>
    </row>
    <row r="3342" spans="1:19" x14ac:dyDescent="0.35">
      <c r="A3342" s="22"/>
      <c r="P3342" s="44" t="e">
        <f>_xlfn.XLOOKUP(Tabla5[[#This Row],[EAN CORREGIDO]],'Tabla Articulos'!B:B,'Tabla Articulos'!D:D)</f>
        <v>#VALUE!</v>
      </c>
      <c r="Q3342" s="44" t="e">
        <f>_xlfn.XLOOKUP(S3342,'Tabla Articulos'!B:B,'Tabla Articulos'!E:E)</f>
        <v>#N/A</v>
      </c>
      <c r="R3342" s="44" t="e">
        <f t="shared" ref="R3342:R3384" si="106">O3342*Q3342</f>
        <v>#N/A</v>
      </c>
      <c r="S3342" s="45" t="str">
        <f t="shared" ref="S3342:S3384" si="107">TRIM(E3342)</f>
        <v/>
      </c>
    </row>
    <row r="3343" spans="1:19" x14ac:dyDescent="0.35">
      <c r="A3343" s="22"/>
      <c r="P3343" s="44" t="e">
        <f>_xlfn.XLOOKUP(Tabla5[[#This Row],[EAN CORREGIDO]],'Tabla Articulos'!B:B,'Tabla Articulos'!D:D)</f>
        <v>#VALUE!</v>
      </c>
      <c r="Q3343" s="44" t="e">
        <f>_xlfn.XLOOKUP(S3343,'Tabla Articulos'!B:B,'Tabla Articulos'!E:E)</f>
        <v>#N/A</v>
      </c>
      <c r="R3343" s="44" t="e">
        <f t="shared" si="106"/>
        <v>#N/A</v>
      </c>
      <c r="S3343" s="45" t="str">
        <f t="shared" si="107"/>
        <v/>
      </c>
    </row>
    <row r="3344" spans="1:19" x14ac:dyDescent="0.35">
      <c r="A3344" s="22"/>
      <c r="P3344" s="44" t="e">
        <f>_xlfn.XLOOKUP(Tabla5[[#This Row],[EAN CORREGIDO]],'Tabla Articulos'!B:B,'Tabla Articulos'!D:D)</f>
        <v>#VALUE!</v>
      </c>
      <c r="Q3344" s="44" t="e">
        <f>_xlfn.XLOOKUP(S3344,'Tabla Articulos'!B:B,'Tabla Articulos'!E:E)</f>
        <v>#N/A</v>
      </c>
      <c r="R3344" s="44" t="e">
        <f t="shared" si="106"/>
        <v>#N/A</v>
      </c>
      <c r="S3344" s="45" t="str">
        <f t="shared" si="107"/>
        <v/>
      </c>
    </row>
    <row r="3345" spans="1:19" x14ac:dyDescent="0.35">
      <c r="A3345" s="22"/>
      <c r="P3345" s="44" t="e">
        <f>_xlfn.XLOOKUP(Tabla5[[#This Row],[EAN CORREGIDO]],'Tabla Articulos'!B:B,'Tabla Articulos'!D:D)</f>
        <v>#VALUE!</v>
      </c>
      <c r="Q3345" s="44" t="e">
        <f>_xlfn.XLOOKUP(S3345,'Tabla Articulos'!B:B,'Tabla Articulos'!E:E)</f>
        <v>#N/A</v>
      </c>
      <c r="R3345" s="44" t="e">
        <f t="shared" si="106"/>
        <v>#N/A</v>
      </c>
      <c r="S3345" s="45" t="str">
        <f t="shared" si="107"/>
        <v/>
      </c>
    </row>
    <row r="3346" spans="1:19" x14ac:dyDescent="0.35">
      <c r="A3346" s="22"/>
      <c r="P3346" s="44" t="e">
        <f>_xlfn.XLOOKUP(Tabla5[[#This Row],[EAN CORREGIDO]],'Tabla Articulos'!B:B,'Tabla Articulos'!D:D)</f>
        <v>#VALUE!</v>
      </c>
      <c r="Q3346" s="44" t="e">
        <f>_xlfn.XLOOKUP(S3346,'Tabla Articulos'!B:B,'Tabla Articulos'!E:E)</f>
        <v>#N/A</v>
      </c>
      <c r="R3346" s="44" t="e">
        <f t="shared" si="106"/>
        <v>#N/A</v>
      </c>
      <c r="S3346" s="45" t="str">
        <f t="shared" si="107"/>
        <v/>
      </c>
    </row>
    <row r="3347" spans="1:19" x14ac:dyDescent="0.35">
      <c r="A3347" s="22"/>
      <c r="P3347" s="44" t="e">
        <f>_xlfn.XLOOKUP(Tabla5[[#This Row],[EAN CORREGIDO]],'Tabla Articulos'!B:B,'Tabla Articulos'!D:D)</f>
        <v>#VALUE!</v>
      </c>
      <c r="Q3347" s="44" t="e">
        <f>_xlfn.XLOOKUP(S3347,'Tabla Articulos'!B:B,'Tabla Articulos'!E:E)</f>
        <v>#N/A</v>
      </c>
      <c r="R3347" s="44" t="e">
        <f t="shared" si="106"/>
        <v>#N/A</v>
      </c>
      <c r="S3347" s="45" t="str">
        <f t="shared" si="107"/>
        <v/>
      </c>
    </row>
    <row r="3348" spans="1:19" x14ac:dyDescent="0.35">
      <c r="A3348" s="22"/>
      <c r="P3348" s="44" t="e">
        <f>_xlfn.XLOOKUP(Tabla5[[#This Row],[EAN CORREGIDO]],'Tabla Articulos'!B:B,'Tabla Articulos'!D:D)</f>
        <v>#VALUE!</v>
      </c>
      <c r="Q3348" s="44" t="e">
        <f>_xlfn.XLOOKUP(S3348,'Tabla Articulos'!B:B,'Tabla Articulos'!E:E)</f>
        <v>#N/A</v>
      </c>
      <c r="R3348" s="44" t="e">
        <f t="shared" si="106"/>
        <v>#N/A</v>
      </c>
      <c r="S3348" s="45" t="str">
        <f t="shared" si="107"/>
        <v/>
      </c>
    </row>
    <row r="3349" spans="1:19" x14ac:dyDescent="0.35">
      <c r="A3349" s="22"/>
      <c r="P3349" s="44" t="e">
        <f>_xlfn.XLOOKUP(Tabla5[[#This Row],[EAN CORREGIDO]],'Tabla Articulos'!B:B,'Tabla Articulos'!D:D)</f>
        <v>#VALUE!</v>
      </c>
      <c r="Q3349" s="44" t="e">
        <f>_xlfn.XLOOKUP(S3349,'Tabla Articulos'!B:B,'Tabla Articulos'!E:E)</f>
        <v>#N/A</v>
      </c>
      <c r="R3349" s="44" t="e">
        <f t="shared" si="106"/>
        <v>#N/A</v>
      </c>
      <c r="S3349" s="45" t="str">
        <f t="shared" si="107"/>
        <v/>
      </c>
    </row>
    <row r="3350" spans="1:19" x14ac:dyDescent="0.35">
      <c r="A3350" s="22"/>
      <c r="P3350" s="44" t="e">
        <f>_xlfn.XLOOKUP(Tabla5[[#This Row],[EAN CORREGIDO]],'Tabla Articulos'!B:B,'Tabla Articulos'!D:D)</f>
        <v>#VALUE!</v>
      </c>
      <c r="Q3350" s="44" t="e">
        <f>_xlfn.XLOOKUP(S3350,'Tabla Articulos'!B:B,'Tabla Articulos'!E:E)</f>
        <v>#N/A</v>
      </c>
      <c r="R3350" s="44" t="e">
        <f t="shared" si="106"/>
        <v>#N/A</v>
      </c>
      <c r="S3350" s="45" t="str">
        <f t="shared" si="107"/>
        <v/>
      </c>
    </row>
    <row r="3351" spans="1:19" x14ac:dyDescent="0.35">
      <c r="A3351" s="22"/>
      <c r="P3351" s="44" t="e">
        <f>_xlfn.XLOOKUP(Tabla5[[#This Row],[EAN CORREGIDO]],'Tabla Articulos'!B:B,'Tabla Articulos'!D:D)</f>
        <v>#VALUE!</v>
      </c>
      <c r="Q3351" s="44" t="e">
        <f>_xlfn.XLOOKUP(S3351,'Tabla Articulos'!B:B,'Tabla Articulos'!E:E)</f>
        <v>#N/A</v>
      </c>
      <c r="R3351" s="44" t="e">
        <f t="shared" si="106"/>
        <v>#N/A</v>
      </c>
      <c r="S3351" s="45" t="str">
        <f t="shared" si="107"/>
        <v/>
      </c>
    </row>
    <row r="3352" spans="1:19" x14ac:dyDescent="0.35">
      <c r="A3352" s="22"/>
      <c r="P3352" s="44" t="e">
        <f>_xlfn.XLOOKUP(Tabla5[[#This Row],[EAN CORREGIDO]],'Tabla Articulos'!B:B,'Tabla Articulos'!D:D)</f>
        <v>#VALUE!</v>
      </c>
      <c r="Q3352" s="44" t="e">
        <f>_xlfn.XLOOKUP(S3352,'Tabla Articulos'!B:B,'Tabla Articulos'!E:E)</f>
        <v>#N/A</v>
      </c>
      <c r="R3352" s="44" t="e">
        <f t="shared" si="106"/>
        <v>#N/A</v>
      </c>
      <c r="S3352" s="45" t="str">
        <f t="shared" si="107"/>
        <v/>
      </c>
    </row>
    <row r="3353" spans="1:19" x14ac:dyDescent="0.35">
      <c r="A3353" s="22"/>
      <c r="P3353" s="44" t="e">
        <f>_xlfn.XLOOKUP(Tabla5[[#This Row],[EAN CORREGIDO]],'Tabla Articulos'!B:B,'Tabla Articulos'!D:D)</f>
        <v>#VALUE!</v>
      </c>
      <c r="Q3353" s="44" t="e">
        <f>_xlfn.XLOOKUP(S3353,'Tabla Articulos'!B:B,'Tabla Articulos'!E:E)</f>
        <v>#N/A</v>
      </c>
      <c r="R3353" s="44" t="e">
        <f t="shared" si="106"/>
        <v>#N/A</v>
      </c>
      <c r="S3353" s="45" t="str">
        <f t="shared" si="107"/>
        <v/>
      </c>
    </row>
    <row r="3354" spans="1:19" x14ac:dyDescent="0.35">
      <c r="A3354" s="22"/>
      <c r="P3354" s="44" t="e">
        <f>_xlfn.XLOOKUP(Tabla5[[#This Row],[EAN CORREGIDO]],'Tabla Articulos'!B:B,'Tabla Articulos'!D:D)</f>
        <v>#VALUE!</v>
      </c>
      <c r="Q3354" s="44" t="e">
        <f>_xlfn.XLOOKUP(S3354,'Tabla Articulos'!B:B,'Tabla Articulos'!E:E)</f>
        <v>#N/A</v>
      </c>
      <c r="R3354" s="44" t="e">
        <f t="shared" si="106"/>
        <v>#N/A</v>
      </c>
      <c r="S3354" s="45" t="str">
        <f t="shared" si="107"/>
        <v/>
      </c>
    </row>
    <row r="3355" spans="1:19" x14ac:dyDescent="0.35">
      <c r="A3355" s="22"/>
      <c r="P3355" s="44" t="e">
        <f>_xlfn.XLOOKUP(Tabla5[[#This Row],[EAN CORREGIDO]],'Tabla Articulos'!B:B,'Tabla Articulos'!D:D)</f>
        <v>#VALUE!</v>
      </c>
      <c r="Q3355" s="44" t="e">
        <f>_xlfn.XLOOKUP(S3355,'Tabla Articulos'!B:B,'Tabla Articulos'!E:E)</f>
        <v>#N/A</v>
      </c>
      <c r="R3355" s="44" t="e">
        <f t="shared" si="106"/>
        <v>#N/A</v>
      </c>
      <c r="S3355" s="45" t="str">
        <f t="shared" si="107"/>
        <v/>
      </c>
    </row>
    <row r="3356" spans="1:19" x14ac:dyDescent="0.35">
      <c r="A3356" s="22"/>
      <c r="P3356" s="44" t="e">
        <f>_xlfn.XLOOKUP(Tabla5[[#This Row],[EAN CORREGIDO]],'Tabla Articulos'!B:B,'Tabla Articulos'!D:D)</f>
        <v>#VALUE!</v>
      </c>
      <c r="Q3356" s="44" t="e">
        <f>_xlfn.XLOOKUP(S3356,'Tabla Articulos'!B:B,'Tabla Articulos'!E:E)</f>
        <v>#N/A</v>
      </c>
      <c r="R3356" s="44" t="e">
        <f t="shared" si="106"/>
        <v>#N/A</v>
      </c>
      <c r="S3356" s="45" t="str">
        <f t="shared" si="107"/>
        <v/>
      </c>
    </row>
    <row r="3357" spans="1:19" x14ac:dyDescent="0.35">
      <c r="A3357" s="22"/>
      <c r="P3357" s="44" t="e">
        <f>_xlfn.XLOOKUP(Tabla5[[#This Row],[EAN CORREGIDO]],'Tabla Articulos'!B:B,'Tabla Articulos'!D:D)</f>
        <v>#VALUE!</v>
      </c>
      <c r="Q3357" s="44" t="e">
        <f>_xlfn.XLOOKUP(S3357,'Tabla Articulos'!B:B,'Tabla Articulos'!E:E)</f>
        <v>#N/A</v>
      </c>
      <c r="R3357" s="44" t="e">
        <f t="shared" si="106"/>
        <v>#N/A</v>
      </c>
      <c r="S3357" s="45" t="str">
        <f t="shared" si="107"/>
        <v/>
      </c>
    </row>
    <row r="3358" spans="1:19" x14ac:dyDescent="0.35">
      <c r="A3358" s="22"/>
      <c r="P3358" s="44" t="e">
        <f>_xlfn.XLOOKUP(Tabla5[[#This Row],[EAN CORREGIDO]],'Tabla Articulos'!B:B,'Tabla Articulos'!D:D)</f>
        <v>#VALUE!</v>
      </c>
      <c r="Q3358" s="44" t="e">
        <f>_xlfn.XLOOKUP(S3358,'Tabla Articulos'!B:B,'Tabla Articulos'!E:E)</f>
        <v>#N/A</v>
      </c>
      <c r="R3358" s="44" t="e">
        <f t="shared" si="106"/>
        <v>#N/A</v>
      </c>
      <c r="S3358" s="45" t="str">
        <f t="shared" si="107"/>
        <v/>
      </c>
    </row>
    <row r="3359" spans="1:19" x14ac:dyDescent="0.35">
      <c r="A3359" s="22"/>
      <c r="P3359" s="44" t="e">
        <f>_xlfn.XLOOKUP(Tabla5[[#This Row],[EAN CORREGIDO]],'Tabla Articulos'!B:B,'Tabla Articulos'!D:D)</f>
        <v>#VALUE!</v>
      </c>
      <c r="Q3359" s="44" t="e">
        <f>_xlfn.XLOOKUP(S3359,'Tabla Articulos'!B:B,'Tabla Articulos'!E:E)</f>
        <v>#N/A</v>
      </c>
      <c r="R3359" s="44" t="e">
        <f t="shared" si="106"/>
        <v>#N/A</v>
      </c>
      <c r="S3359" s="45" t="str">
        <f t="shared" si="107"/>
        <v/>
      </c>
    </row>
    <row r="3360" spans="1:19" x14ac:dyDescent="0.35">
      <c r="A3360" s="22"/>
      <c r="P3360" s="44" t="e">
        <f>_xlfn.XLOOKUP(Tabla5[[#This Row],[EAN CORREGIDO]],'Tabla Articulos'!B:B,'Tabla Articulos'!D:D)</f>
        <v>#VALUE!</v>
      </c>
      <c r="Q3360" s="44" t="e">
        <f>_xlfn.XLOOKUP(S3360,'Tabla Articulos'!B:B,'Tabla Articulos'!E:E)</f>
        <v>#N/A</v>
      </c>
      <c r="R3360" s="44" t="e">
        <f t="shared" si="106"/>
        <v>#N/A</v>
      </c>
      <c r="S3360" s="45" t="str">
        <f t="shared" si="107"/>
        <v/>
      </c>
    </row>
    <row r="3361" spans="1:19" x14ac:dyDescent="0.35">
      <c r="A3361" s="22"/>
      <c r="P3361" s="44" t="e">
        <f>_xlfn.XLOOKUP(Tabla5[[#This Row],[EAN CORREGIDO]],'Tabla Articulos'!B:B,'Tabla Articulos'!D:D)</f>
        <v>#VALUE!</v>
      </c>
      <c r="Q3361" s="44" t="e">
        <f>_xlfn.XLOOKUP(S3361,'Tabla Articulos'!B:B,'Tabla Articulos'!E:E)</f>
        <v>#N/A</v>
      </c>
      <c r="R3361" s="44" t="e">
        <f t="shared" si="106"/>
        <v>#N/A</v>
      </c>
      <c r="S3361" s="45" t="str">
        <f t="shared" si="107"/>
        <v/>
      </c>
    </row>
    <row r="3362" spans="1:19" x14ac:dyDescent="0.35">
      <c r="A3362" s="22"/>
      <c r="P3362" s="44" t="e">
        <f>_xlfn.XLOOKUP(Tabla5[[#This Row],[EAN CORREGIDO]],'Tabla Articulos'!B:B,'Tabla Articulos'!D:D)</f>
        <v>#VALUE!</v>
      </c>
      <c r="Q3362" s="44" t="e">
        <f>_xlfn.XLOOKUP(S3362,'Tabla Articulos'!B:B,'Tabla Articulos'!E:E)</f>
        <v>#N/A</v>
      </c>
      <c r="R3362" s="44" t="e">
        <f t="shared" si="106"/>
        <v>#N/A</v>
      </c>
      <c r="S3362" s="45" t="str">
        <f t="shared" si="107"/>
        <v/>
      </c>
    </row>
    <row r="3363" spans="1:19" x14ac:dyDescent="0.35">
      <c r="A3363" s="22"/>
      <c r="P3363" s="44" t="e">
        <f>_xlfn.XLOOKUP(Tabla5[[#This Row],[EAN CORREGIDO]],'Tabla Articulos'!B:B,'Tabla Articulos'!D:D)</f>
        <v>#VALUE!</v>
      </c>
      <c r="Q3363" s="44" t="e">
        <f>_xlfn.XLOOKUP(S3363,'Tabla Articulos'!B:B,'Tabla Articulos'!E:E)</f>
        <v>#N/A</v>
      </c>
      <c r="R3363" s="44" t="e">
        <f t="shared" si="106"/>
        <v>#N/A</v>
      </c>
      <c r="S3363" s="45" t="str">
        <f t="shared" si="107"/>
        <v/>
      </c>
    </row>
    <row r="3364" spans="1:19" x14ac:dyDescent="0.35">
      <c r="A3364" s="22"/>
      <c r="P3364" s="44" t="e">
        <f>_xlfn.XLOOKUP(Tabla5[[#This Row],[EAN CORREGIDO]],'Tabla Articulos'!B:B,'Tabla Articulos'!D:D)</f>
        <v>#VALUE!</v>
      </c>
      <c r="Q3364" s="44" t="e">
        <f>_xlfn.XLOOKUP(S3364,'Tabla Articulos'!B:B,'Tabla Articulos'!E:E)</f>
        <v>#N/A</v>
      </c>
      <c r="R3364" s="44" t="e">
        <f t="shared" si="106"/>
        <v>#N/A</v>
      </c>
      <c r="S3364" s="45" t="str">
        <f t="shared" si="107"/>
        <v/>
      </c>
    </row>
    <row r="3365" spans="1:19" x14ac:dyDescent="0.35">
      <c r="A3365" s="22"/>
      <c r="P3365" s="44" t="e">
        <f>_xlfn.XLOOKUP(Tabla5[[#This Row],[EAN CORREGIDO]],'Tabla Articulos'!B:B,'Tabla Articulos'!D:D)</f>
        <v>#VALUE!</v>
      </c>
      <c r="Q3365" s="44" t="e">
        <f>_xlfn.XLOOKUP(S3365,'Tabla Articulos'!B:B,'Tabla Articulos'!E:E)</f>
        <v>#N/A</v>
      </c>
      <c r="R3365" s="44" t="e">
        <f t="shared" si="106"/>
        <v>#N/A</v>
      </c>
      <c r="S3365" s="45" t="str">
        <f t="shared" si="107"/>
        <v/>
      </c>
    </row>
    <row r="3366" spans="1:19" x14ac:dyDescent="0.35">
      <c r="A3366" s="22"/>
      <c r="P3366" s="44" t="e">
        <f>_xlfn.XLOOKUP(Tabla5[[#This Row],[EAN CORREGIDO]],'Tabla Articulos'!B:B,'Tabla Articulos'!D:D)</f>
        <v>#VALUE!</v>
      </c>
      <c r="Q3366" s="44" t="e">
        <f>_xlfn.XLOOKUP(S3366,'Tabla Articulos'!B:B,'Tabla Articulos'!E:E)</f>
        <v>#N/A</v>
      </c>
      <c r="R3366" s="44" t="e">
        <f t="shared" si="106"/>
        <v>#N/A</v>
      </c>
      <c r="S3366" s="45" t="str">
        <f t="shared" si="107"/>
        <v/>
      </c>
    </row>
    <row r="3367" spans="1:19" x14ac:dyDescent="0.35">
      <c r="A3367" s="22"/>
      <c r="P3367" s="44" t="e">
        <f>_xlfn.XLOOKUP(Tabla5[[#This Row],[EAN CORREGIDO]],'Tabla Articulos'!B:B,'Tabla Articulos'!D:D)</f>
        <v>#VALUE!</v>
      </c>
      <c r="Q3367" s="44" t="e">
        <f>_xlfn.XLOOKUP(S3367,'Tabla Articulos'!B:B,'Tabla Articulos'!E:E)</f>
        <v>#N/A</v>
      </c>
      <c r="R3367" s="44" t="e">
        <f t="shared" si="106"/>
        <v>#N/A</v>
      </c>
      <c r="S3367" s="45" t="str">
        <f t="shared" si="107"/>
        <v/>
      </c>
    </row>
    <row r="3368" spans="1:19" x14ac:dyDescent="0.35">
      <c r="A3368" s="22"/>
      <c r="P3368" s="44" t="e">
        <f>_xlfn.XLOOKUP(Tabla5[[#This Row],[EAN CORREGIDO]],'Tabla Articulos'!B:B,'Tabla Articulos'!D:D)</f>
        <v>#VALUE!</v>
      </c>
      <c r="Q3368" s="44" t="e">
        <f>_xlfn.XLOOKUP(S3368,'Tabla Articulos'!B:B,'Tabla Articulos'!E:E)</f>
        <v>#N/A</v>
      </c>
      <c r="R3368" s="44" t="e">
        <f t="shared" si="106"/>
        <v>#N/A</v>
      </c>
      <c r="S3368" s="45" t="str">
        <f t="shared" si="107"/>
        <v/>
      </c>
    </row>
    <row r="3369" spans="1:19" x14ac:dyDescent="0.35">
      <c r="A3369" s="22"/>
      <c r="P3369" s="44" t="e">
        <f>_xlfn.XLOOKUP(Tabla5[[#This Row],[EAN CORREGIDO]],'Tabla Articulos'!B:B,'Tabla Articulos'!D:D)</f>
        <v>#VALUE!</v>
      </c>
      <c r="Q3369" s="44" t="e">
        <f>_xlfn.XLOOKUP(S3369,'Tabla Articulos'!B:B,'Tabla Articulos'!E:E)</f>
        <v>#N/A</v>
      </c>
      <c r="R3369" s="44" t="e">
        <f t="shared" si="106"/>
        <v>#N/A</v>
      </c>
      <c r="S3369" s="45" t="str">
        <f t="shared" si="107"/>
        <v/>
      </c>
    </row>
    <row r="3370" spans="1:19" x14ac:dyDescent="0.35">
      <c r="A3370" s="22"/>
      <c r="P3370" s="44" t="e">
        <f>_xlfn.XLOOKUP(Tabla5[[#This Row],[EAN CORREGIDO]],'Tabla Articulos'!B:B,'Tabla Articulos'!D:D)</f>
        <v>#VALUE!</v>
      </c>
      <c r="Q3370" s="44" t="e">
        <f>_xlfn.XLOOKUP(S3370,'Tabla Articulos'!B:B,'Tabla Articulos'!E:E)</f>
        <v>#N/A</v>
      </c>
      <c r="R3370" s="44" t="e">
        <f t="shared" si="106"/>
        <v>#N/A</v>
      </c>
      <c r="S3370" s="45" t="str">
        <f t="shared" si="107"/>
        <v/>
      </c>
    </row>
    <row r="3371" spans="1:19" x14ac:dyDescent="0.35">
      <c r="A3371" s="22"/>
      <c r="P3371" s="44" t="e">
        <f>_xlfn.XLOOKUP(Tabla5[[#This Row],[EAN CORREGIDO]],'Tabla Articulos'!B:B,'Tabla Articulos'!D:D)</f>
        <v>#VALUE!</v>
      </c>
      <c r="Q3371" s="44" t="e">
        <f>_xlfn.XLOOKUP(S3371,'Tabla Articulos'!B:B,'Tabla Articulos'!E:E)</f>
        <v>#N/A</v>
      </c>
      <c r="R3371" s="44" t="e">
        <f t="shared" si="106"/>
        <v>#N/A</v>
      </c>
      <c r="S3371" s="45" t="str">
        <f t="shared" si="107"/>
        <v/>
      </c>
    </row>
    <row r="3372" spans="1:19" x14ac:dyDescent="0.35">
      <c r="A3372" s="22"/>
      <c r="P3372" s="44" t="e">
        <f>_xlfn.XLOOKUP(Tabla5[[#This Row],[EAN CORREGIDO]],'Tabla Articulos'!B:B,'Tabla Articulos'!D:D)</f>
        <v>#VALUE!</v>
      </c>
      <c r="Q3372" s="44" t="e">
        <f>_xlfn.XLOOKUP(S3372,'Tabla Articulos'!B:B,'Tabla Articulos'!E:E)</f>
        <v>#N/A</v>
      </c>
      <c r="R3372" s="44" t="e">
        <f t="shared" si="106"/>
        <v>#N/A</v>
      </c>
      <c r="S3372" s="45" t="str">
        <f t="shared" si="107"/>
        <v/>
      </c>
    </row>
    <row r="3373" spans="1:19" x14ac:dyDescent="0.35">
      <c r="A3373" s="22"/>
      <c r="P3373" s="44" t="e">
        <f>_xlfn.XLOOKUP(Tabla5[[#This Row],[EAN CORREGIDO]],'Tabla Articulos'!B:B,'Tabla Articulos'!D:D)</f>
        <v>#VALUE!</v>
      </c>
      <c r="Q3373" s="44" t="e">
        <f>_xlfn.XLOOKUP(S3373,'Tabla Articulos'!B:B,'Tabla Articulos'!E:E)</f>
        <v>#N/A</v>
      </c>
      <c r="R3373" s="44" t="e">
        <f t="shared" si="106"/>
        <v>#N/A</v>
      </c>
      <c r="S3373" s="45" t="str">
        <f t="shared" si="107"/>
        <v/>
      </c>
    </row>
    <row r="3374" spans="1:19" x14ac:dyDescent="0.35">
      <c r="A3374" s="22"/>
      <c r="P3374" s="44" t="e">
        <f>_xlfn.XLOOKUP(Tabla5[[#This Row],[EAN CORREGIDO]],'Tabla Articulos'!B:B,'Tabla Articulos'!D:D)</f>
        <v>#VALUE!</v>
      </c>
      <c r="Q3374" s="44" t="e">
        <f>_xlfn.XLOOKUP(S3374,'Tabla Articulos'!B:B,'Tabla Articulos'!E:E)</f>
        <v>#N/A</v>
      </c>
      <c r="R3374" s="44" t="e">
        <f t="shared" si="106"/>
        <v>#N/A</v>
      </c>
      <c r="S3374" s="45" t="str">
        <f t="shared" si="107"/>
        <v/>
      </c>
    </row>
    <row r="3375" spans="1:19" x14ac:dyDescent="0.35">
      <c r="A3375" s="22"/>
      <c r="P3375" s="44" t="e">
        <f>_xlfn.XLOOKUP(Tabla5[[#This Row],[EAN CORREGIDO]],'Tabla Articulos'!B:B,'Tabla Articulos'!D:D)</f>
        <v>#VALUE!</v>
      </c>
      <c r="Q3375" s="44" t="e">
        <f>_xlfn.XLOOKUP(S3375,'Tabla Articulos'!B:B,'Tabla Articulos'!E:E)</f>
        <v>#N/A</v>
      </c>
      <c r="R3375" s="44" t="e">
        <f t="shared" si="106"/>
        <v>#N/A</v>
      </c>
      <c r="S3375" s="45" t="str">
        <f t="shared" si="107"/>
        <v/>
      </c>
    </row>
    <row r="3376" spans="1:19" x14ac:dyDescent="0.35">
      <c r="A3376" s="22"/>
      <c r="P3376" s="44" t="e">
        <f>_xlfn.XLOOKUP(Tabla5[[#This Row],[EAN CORREGIDO]],'Tabla Articulos'!B:B,'Tabla Articulos'!D:D)</f>
        <v>#VALUE!</v>
      </c>
      <c r="Q3376" s="44" t="e">
        <f>_xlfn.XLOOKUP(S3376,'Tabla Articulos'!B:B,'Tabla Articulos'!E:E)</f>
        <v>#N/A</v>
      </c>
      <c r="R3376" s="44" t="e">
        <f t="shared" si="106"/>
        <v>#N/A</v>
      </c>
      <c r="S3376" s="45" t="str">
        <f t="shared" si="107"/>
        <v/>
      </c>
    </row>
    <row r="3377" spans="1:19" x14ac:dyDescent="0.35">
      <c r="A3377" s="22"/>
      <c r="P3377" s="44" t="e">
        <f>_xlfn.XLOOKUP(Tabla5[[#This Row],[EAN CORREGIDO]],'Tabla Articulos'!B:B,'Tabla Articulos'!D:D)</f>
        <v>#VALUE!</v>
      </c>
      <c r="Q3377" s="44" t="e">
        <f>_xlfn.XLOOKUP(S3377,'Tabla Articulos'!B:B,'Tabla Articulos'!E:E)</f>
        <v>#N/A</v>
      </c>
      <c r="R3377" s="44" t="e">
        <f t="shared" si="106"/>
        <v>#N/A</v>
      </c>
      <c r="S3377" s="45" t="str">
        <f t="shared" si="107"/>
        <v/>
      </c>
    </row>
    <row r="3378" spans="1:19" x14ac:dyDescent="0.35">
      <c r="A3378" s="22"/>
      <c r="P3378" s="44" t="e">
        <f>_xlfn.XLOOKUP(Tabla5[[#This Row],[EAN CORREGIDO]],'Tabla Articulos'!B:B,'Tabla Articulos'!D:D)</f>
        <v>#VALUE!</v>
      </c>
      <c r="Q3378" s="44" t="e">
        <f>_xlfn.XLOOKUP(S3378,'Tabla Articulos'!B:B,'Tabla Articulos'!E:E)</f>
        <v>#N/A</v>
      </c>
      <c r="R3378" s="44" t="e">
        <f t="shared" si="106"/>
        <v>#N/A</v>
      </c>
      <c r="S3378" s="45" t="str">
        <f t="shared" si="107"/>
        <v/>
      </c>
    </row>
    <row r="3379" spans="1:19" x14ac:dyDescent="0.35">
      <c r="A3379" s="22"/>
      <c r="P3379" s="44" t="e">
        <f>_xlfn.XLOOKUP(Tabla5[[#This Row],[EAN CORREGIDO]],'Tabla Articulos'!B:B,'Tabla Articulos'!D:D)</f>
        <v>#VALUE!</v>
      </c>
      <c r="Q3379" s="44" t="e">
        <f>_xlfn.XLOOKUP(S3379,'Tabla Articulos'!B:B,'Tabla Articulos'!E:E)</f>
        <v>#N/A</v>
      </c>
      <c r="R3379" s="44" t="e">
        <f t="shared" si="106"/>
        <v>#N/A</v>
      </c>
      <c r="S3379" s="45" t="str">
        <f t="shared" si="107"/>
        <v/>
      </c>
    </row>
    <row r="3380" spans="1:19" x14ac:dyDescent="0.35">
      <c r="A3380" s="22"/>
      <c r="P3380" s="44" t="e">
        <f>_xlfn.XLOOKUP(Tabla5[[#This Row],[EAN CORREGIDO]],'Tabla Articulos'!B:B,'Tabla Articulos'!D:D)</f>
        <v>#VALUE!</v>
      </c>
      <c r="Q3380" s="44" t="e">
        <f>_xlfn.XLOOKUP(S3380,'Tabla Articulos'!B:B,'Tabla Articulos'!E:E)</f>
        <v>#N/A</v>
      </c>
      <c r="R3380" s="44" t="e">
        <f t="shared" si="106"/>
        <v>#N/A</v>
      </c>
      <c r="S3380" s="45" t="str">
        <f t="shared" si="107"/>
        <v/>
      </c>
    </row>
    <row r="3381" spans="1:19" x14ac:dyDescent="0.35">
      <c r="A3381" s="22"/>
      <c r="P3381" s="44" t="e">
        <f>_xlfn.XLOOKUP(Tabla5[[#This Row],[EAN CORREGIDO]],'Tabla Articulos'!B:B,'Tabla Articulos'!D:D)</f>
        <v>#VALUE!</v>
      </c>
      <c r="Q3381" s="44" t="e">
        <f>_xlfn.XLOOKUP(S3381,'Tabla Articulos'!B:B,'Tabla Articulos'!E:E)</f>
        <v>#N/A</v>
      </c>
      <c r="R3381" s="44" t="e">
        <f t="shared" si="106"/>
        <v>#N/A</v>
      </c>
      <c r="S3381" s="45" t="str">
        <f t="shared" si="107"/>
        <v/>
      </c>
    </row>
    <row r="3382" spans="1:19" x14ac:dyDescent="0.35">
      <c r="A3382" s="22"/>
      <c r="P3382" s="44" t="e">
        <f>_xlfn.XLOOKUP(Tabla5[[#This Row],[EAN CORREGIDO]],'Tabla Articulos'!B:B,'Tabla Articulos'!D:D)</f>
        <v>#VALUE!</v>
      </c>
      <c r="Q3382" s="44" t="e">
        <f>_xlfn.XLOOKUP(S3382,'Tabla Articulos'!B:B,'Tabla Articulos'!E:E)</f>
        <v>#N/A</v>
      </c>
      <c r="R3382" s="44" t="e">
        <f t="shared" si="106"/>
        <v>#N/A</v>
      </c>
      <c r="S3382" s="45" t="str">
        <f t="shared" si="107"/>
        <v/>
      </c>
    </row>
    <row r="3383" spans="1:19" x14ac:dyDescent="0.35">
      <c r="A3383" s="22"/>
      <c r="P3383" s="44" t="e">
        <f>_xlfn.XLOOKUP(Tabla5[[#This Row],[EAN CORREGIDO]],'Tabla Articulos'!B:B,'Tabla Articulos'!D:D)</f>
        <v>#VALUE!</v>
      </c>
      <c r="Q3383" s="44" t="e">
        <f>_xlfn.XLOOKUP(S3383,'Tabla Articulos'!B:B,'Tabla Articulos'!E:E)</f>
        <v>#N/A</v>
      </c>
      <c r="R3383" s="44" t="e">
        <f t="shared" si="106"/>
        <v>#N/A</v>
      </c>
      <c r="S3383" s="45" t="str">
        <f t="shared" si="107"/>
        <v/>
      </c>
    </row>
    <row r="3384" spans="1:19" x14ac:dyDescent="0.35">
      <c r="A3384" s="22"/>
      <c r="P3384" s="44" t="e">
        <f>_xlfn.XLOOKUP(Tabla5[[#This Row],[EAN CORREGIDO]],'Tabla Articulos'!B:B,'Tabla Articulos'!D:D)</f>
        <v>#VALUE!</v>
      </c>
      <c r="Q3384" s="44" t="e">
        <f>_xlfn.XLOOKUP(S3384,'Tabla Articulos'!B:B,'Tabla Articulos'!E:E)</f>
        <v>#N/A</v>
      </c>
      <c r="R3384" s="44" t="e">
        <f t="shared" si="106"/>
        <v>#N/A</v>
      </c>
      <c r="S3384" s="45" t="str">
        <f t="shared" si="107"/>
        <v/>
      </c>
    </row>
    <row r="3385" spans="1:19" x14ac:dyDescent="0.35">
      <c r="A3385" s="16"/>
      <c r="B3385" s="16"/>
      <c r="C3385" s="16"/>
      <c r="D3385" s="16"/>
      <c r="E3385" s="16"/>
      <c r="F3385" s="16"/>
      <c r="G3385" s="16"/>
      <c r="H3385" s="16"/>
      <c r="I3385" s="16"/>
      <c r="J3385" s="16"/>
      <c r="K3385" s="16"/>
      <c r="L3385" s="16"/>
      <c r="M3385" s="16"/>
      <c r="N3385" s="16"/>
      <c r="O3385" s="16"/>
    </row>
    <row r="3386" spans="1:19" x14ac:dyDescent="0.35">
      <c r="A3386" s="16"/>
      <c r="B3386" s="16"/>
      <c r="C3386" s="16"/>
      <c r="D3386" s="16"/>
      <c r="E3386" s="16"/>
      <c r="F3386" s="16"/>
      <c r="G3386" s="16"/>
      <c r="H3386" s="16"/>
      <c r="I3386" s="16"/>
      <c r="J3386" s="16"/>
      <c r="K3386" s="16"/>
      <c r="L3386" s="16"/>
      <c r="M3386" s="16"/>
      <c r="N3386" s="16"/>
      <c r="O3386" s="16"/>
    </row>
    <row r="3387" spans="1:19" x14ac:dyDescent="0.35">
      <c r="A3387" s="16"/>
      <c r="B3387" s="16"/>
      <c r="C3387" s="16"/>
      <c r="D3387" s="16"/>
      <c r="E3387" s="16"/>
      <c r="F3387" s="16"/>
      <c r="G3387" s="16"/>
      <c r="H3387" s="16"/>
      <c r="I3387" s="16"/>
      <c r="J3387" s="16"/>
      <c r="K3387" s="16"/>
      <c r="L3387" s="16"/>
      <c r="M3387" s="16"/>
      <c r="N3387" s="16"/>
      <c r="O3387" s="16"/>
    </row>
    <row r="3388" spans="1:19" x14ac:dyDescent="0.35">
      <c r="A3388" s="16"/>
      <c r="B3388" s="16"/>
      <c r="C3388" s="16"/>
      <c r="D3388" s="16"/>
      <c r="E3388" s="16"/>
      <c r="F3388" s="16"/>
      <c r="G3388" s="16"/>
      <c r="H3388" s="16"/>
      <c r="I3388" s="16"/>
      <c r="J3388" s="16"/>
      <c r="K3388" s="16"/>
      <c r="L3388" s="16"/>
      <c r="M3388" s="16"/>
      <c r="N3388" s="16"/>
      <c r="O3388" s="16"/>
    </row>
    <row r="3389" spans="1:19" x14ac:dyDescent="0.35">
      <c r="A3389" s="16"/>
      <c r="B3389" s="16"/>
      <c r="C3389" s="16"/>
      <c r="D3389" s="16"/>
      <c r="E3389" s="16"/>
      <c r="F3389" s="16"/>
      <c r="G3389" s="16"/>
      <c r="H3389" s="16"/>
      <c r="I3389" s="16"/>
      <c r="J3389" s="16"/>
      <c r="K3389" s="16"/>
      <c r="L3389" s="16"/>
      <c r="M3389" s="16"/>
      <c r="N3389" s="16"/>
      <c r="O3389" s="16"/>
    </row>
    <row r="3390" spans="1:19" x14ac:dyDescent="0.35">
      <c r="A3390" s="16"/>
      <c r="B3390" s="16"/>
      <c r="C3390" s="16"/>
      <c r="D3390" s="16"/>
      <c r="E3390" s="16"/>
      <c r="F3390" s="16"/>
      <c r="G3390" s="16"/>
      <c r="H3390" s="16"/>
      <c r="I3390" s="16"/>
      <c r="J3390" s="16"/>
      <c r="K3390" s="16"/>
      <c r="L3390" s="16"/>
      <c r="M3390" s="16"/>
      <c r="N3390" s="16"/>
      <c r="O3390" s="16"/>
    </row>
    <row r="3391" spans="1:19" x14ac:dyDescent="0.35">
      <c r="A3391" s="16"/>
      <c r="B3391" s="16"/>
      <c r="C3391" s="16"/>
      <c r="D3391" s="16"/>
      <c r="E3391" s="16"/>
      <c r="F3391" s="16"/>
      <c r="G3391" s="16"/>
      <c r="H3391" s="16"/>
      <c r="I3391" s="16"/>
      <c r="J3391" s="16"/>
      <c r="K3391" s="16"/>
      <c r="L3391" s="16"/>
      <c r="M3391" s="16"/>
      <c r="N3391" s="16"/>
      <c r="O3391" s="16"/>
    </row>
    <row r="3392" spans="1:19" x14ac:dyDescent="0.35">
      <c r="A3392" s="16"/>
      <c r="B3392" s="16"/>
      <c r="C3392" s="16"/>
      <c r="D3392" s="16"/>
      <c r="E3392" s="16"/>
      <c r="F3392" s="16"/>
      <c r="G3392" s="16"/>
      <c r="H3392" s="16"/>
      <c r="I3392" s="16"/>
      <c r="J3392" s="16"/>
      <c r="K3392" s="16"/>
      <c r="L3392" s="16"/>
      <c r="M3392" s="16"/>
      <c r="N3392" s="16"/>
      <c r="O3392" s="16"/>
    </row>
    <row r="3393" spans="1:15" x14ac:dyDescent="0.35">
      <c r="A3393" s="16"/>
      <c r="B3393" s="16"/>
      <c r="C3393" s="16"/>
      <c r="D3393" s="16"/>
      <c r="E3393" s="16"/>
      <c r="F3393" s="16"/>
      <c r="G3393" s="16"/>
      <c r="H3393" s="16"/>
      <c r="I3393" s="16"/>
      <c r="J3393" s="16"/>
      <c r="K3393" s="16"/>
      <c r="L3393" s="16"/>
      <c r="M3393" s="16"/>
      <c r="N3393" s="16"/>
      <c r="O3393" s="16"/>
    </row>
    <row r="3394" spans="1:15" x14ac:dyDescent="0.35">
      <c r="A3394" s="16"/>
      <c r="B3394" s="16"/>
      <c r="C3394" s="16"/>
      <c r="D3394" s="16"/>
      <c r="E3394" s="16"/>
      <c r="F3394" s="16"/>
      <c r="G3394" s="16"/>
      <c r="H3394" s="16"/>
      <c r="I3394" s="16"/>
      <c r="J3394" s="16"/>
      <c r="K3394" s="16"/>
      <c r="L3394" s="16"/>
      <c r="M3394" s="16"/>
      <c r="N3394" s="16"/>
      <c r="O3394" s="16"/>
    </row>
    <row r="3395" spans="1:15" x14ac:dyDescent="0.35">
      <c r="A3395" s="16"/>
      <c r="B3395" s="16"/>
      <c r="C3395" s="16"/>
      <c r="D3395" s="16"/>
      <c r="E3395" s="16"/>
      <c r="F3395" s="16"/>
      <c r="G3395" s="16"/>
      <c r="H3395" s="16"/>
      <c r="I3395" s="16"/>
      <c r="J3395" s="16"/>
      <c r="K3395" s="16"/>
      <c r="L3395" s="16"/>
      <c r="M3395" s="16"/>
      <c r="N3395" s="16"/>
      <c r="O3395" s="16"/>
    </row>
    <row r="3396" spans="1:15" x14ac:dyDescent="0.35">
      <c r="A3396" s="16"/>
      <c r="B3396" s="16"/>
      <c r="C3396" s="16"/>
      <c r="D3396" s="16"/>
      <c r="E3396" s="16"/>
      <c r="F3396" s="16"/>
      <c r="G3396" s="16"/>
      <c r="H3396" s="16"/>
      <c r="I3396" s="16"/>
      <c r="J3396" s="16"/>
      <c r="K3396" s="16"/>
      <c r="L3396" s="16"/>
      <c r="M3396" s="16"/>
      <c r="N3396" s="16"/>
      <c r="O3396" s="16"/>
    </row>
    <row r="3397" spans="1:15" x14ac:dyDescent="0.35">
      <c r="A3397" s="16"/>
      <c r="B3397" s="16"/>
      <c r="C3397" s="16"/>
      <c r="D3397" s="16"/>
      <c r="E3397" s="16"/>
      <c r="F3397" s="16"/>
      <c r="G3397" s="16"/>
      <c r="H3397" s="16"/>
      <c r="I3397" s="16"/>
      <c r="J3397" s="16"/>
      <c r="K3397" s="16"/>
      <c r="L3397" s="16"/>
      <c r="M3397" s="16"/>
      <c r="N3397" s="16"/>
      <c r="O3397" s="16"/>
    </row>
    <row r="3398" spans="1:15" x14ac:dyDescent="0.35">
      <c r="A3398" s="16"/>
      <c r="B3398" s="16"/>
      <c r="C3398" s="16"/>
      <c r="D3398" s="16"/>
      <c r="E3398" s="16"/>
      <c r="F3398" s="16"/>
      <c r="G3398" s="16"/>
      <c r="H3398" s="16"/>
      <c r="I3398" s="16"/>
      <c r="J3398" s="16"/>
      <c r="K3398" s="16"/>
      <c r="L3398" s="16"/>
      <c r="M3398" s="16"/>
      <c r="N3398" s="16"/>
      <c r="O3398" s="16"/>
    </row>
    <row r="3399" spans="1:15" x14ac:dyDescent="0.35">
      <c r="A3399" s="16"/>
      <c r="B3399" s="16"/>
      <c r="C3399" s="16"/>
      <c r="D3399" s="16"/>
      <c r="E3399" s="16"/>
      <c r="F3399" s="16"/>
      <c r="G3399" s="16"/>
      <c r="H3399" s="16"/>
      <c r="I3399" s="16"/>
      <c r="J3399" s="16"/>
      <c r="K3399" s="16"/>
      <c r="L3399" s="16"/>
      <c r="M3399" s="16"/>
      <c r="N3399" s="16"/>
      <c r="O3399" s="16"/>
    </row>
    <row r="3400" spans="1:15" x14ac:dyDescent="0.35">
      <c r="A3400" s="16"/>
      <c r="B3400" s="16"/>
      <c r="C3400" s="16"/>
      <c r="D3400" s="16"/>
      <c r="E3400" s="16"/>
      <c r="F3400" s="16"/>
      <c r="G3400" s="16"/>
      <c r="H3400" s="16"/>
      <c r="I3400" s="16"/>
      <c r="J3400" s="16"/>
      <c r="K3400" s="16"/>
      <c r="L3400" s="16"/>
      <c r="M3400" s="16"/>
      <c r="N3400" s="16"/>
      <c r="O3400" s="16"/>
    </row>
    <row r="3401" spans="1:15" x14ac:dyDescent="0.35">
      <c r="A3401" s="16"/>
      <c r="B3401" s="16"/>
      <c r="C3401" s="16"/>
      <c r="D3401" s="16"/>
      <c r="E3401" s="16"/>
      <c r="F3401" s="16"/>
      <c r="G3401" s="16"/>
      <c r="H3401" s="16"/>
      <c r="I3401" s="16"/>
      <c r="J3401" s="16"/>
      <c r="K3401" s="16"/>
      <c r="L3401" s="16"/>
      <c r="M3401" s="16"/>
      <c r="N3401" s="16"/>
      <c r="O3401" s="16"/>
    </row>
    <row r="3402" spans="1:15" x14ac:dyDescent="0.35">
      <c r="A3402" s="16"/>
      <c r="B3402" s="16"/>
      <c r="C3402" s="16"/>
      <c r="D3402" s="16"/>
      <c r="E3402" s="16"/>
      <c r="F3402" s="16"/>
      <c r="G3402" s="16"/>
      <c r="H3402" s="16"/>
      <c r="I3402" s="16"/>
      <c r="J3402" s="16"/>
      <c r="K3402" s="16"/>
      <c r="L3402" s="16"/>
      <c r="M3402" s="16"/>
      <c r="N3402" s="16"/>
      <c r="O3402" s="16"/>
    </row>
    <row r="3403" spans="1:15" x14ac:dyDescent="0.35">
      <c r="A3403" s="16"/>
      <c r="B3403" s="16"/>
      <c r="C3403" s="16"/>
      <c r="D3403" s="16"/>
      <c r="E3403" s="16"/>
      <c r="F3403" s="16"/>
      <c r="G3403" s="16"/>
      <c r="H3403" s="16"/>
      <c r="I3403" s="16"/>
      <c r="J3403" s="16"/>
      <c r="K3403" s="16"/>
      <c r="L3403" s="16"/>
      <c r="M3403" s="16"/>
      <c r="N3403" s="16"/>
      <c r="O3403" s="16"/>
    </row>
    <row r="3404" spans="1:15" x14ac:dyDescent="0.35">
      <c r="A3404" s="16"/>
      <c r="B3404" s="16"/>
      <c r="C3404" s="16"/>
      <c r="D3404" s="16"/>
      <c r="E3404" s="16"/>
      <c r="F3404" s="16"/>
      <c r="G3404" s="16"/>
      <c r="H3404" s="16"/>
      <c r="I3404" s="16"/>
      <c r="J3404" s="16"/>
      <c r="K3404" s="16"/>
      <c r="L3404" s="16"/>
      <c r="M3404" s="16"/>
      <c r="N3404" s="16"/>
      <c r="O3404" s="16"/>
    </row>
    <row r="3405" spans="1:15" x14ac:dyDescent="0.35">
      <c r="A3405" s="16"/>
      <c r="B3405" s="16"/>
      <c r="C3405" s="16"/>
      <c r="D3405" s="16"/>
      <c r="E3405" s="16"/>
      <c r="F3405" s="16"/>
      <c r="G3405" s="16"/>
      <c r="H3405" s="16"/>
      <c r="I3405" s="16"/>
      <c r="J3405" s="16"/>
      <c r="K3405" s="16"/>
      <c r="L3405" s="16"/>
      <c r="M3405" s="16"/>
      <c r="N3405" s="16"/>
      <c r="O3405" s="16"/>
    </row>
    <row r="3406" spans="1:15" x14ac:dyDescent="0.35">
      <c r="A3406" s="16"/>
      <c r="B3406" s="16"/>
      <c r="C3406" s="16"/>
      <c r="D3406" s="16"/>
      <c r="E3406" s="16"/>
      <c r="F3406" s="16"/>
      <c r="G3406" s="16"/>
      <c r="H3406" s="16"/>
      <c r="I3406" s="16"/>
      <c r="J3406" s="16"/>
      <c r="K3406" s="16"/>
      <c r="L3406" s="16"/>
      <c r="M3406" s="16"/>
      <c r="N3406" s="16"/>
      <c r="O3406" s="16"/>
    </row>
    <row r="3407" spans="1:15" x14ac:dyDescent="0.35">
      <c r="A3407" s="16"/>
      <c r="B3407" s="16"/>
      <c r="C3407" s="16"/>
      <c r="D3407" s="16"/>
      <c r="E3407" s="16"/>
      <c r="F3407" s="16"/>
      <c r="G3407" s="16"/>
      <c r="H3407" s="16"/>
      <c r="I3407" s="16"/>
      <c r="J3407" s="16"/>
      <c r="K3407" s="16"/>
      <c r="L3407" s="16"/>
      <c r="M3407" s="16"/>
      <c r="N3407" s="16"/>
      <c r="O3407" s="16"/>
    </row>
    <row r="3408" spans="1:15" x14ac:dyDescent="0.35">
      <c r="A3408" s="16"/>
      <c r="B3408" s="16"/>
      <c r="C3408" s="16"/>
      <c r="D3408" s="16"/>
      <c r="E3408" s="16"/>
      <c r="F3408" s="16"/>
      <c r="G3408" s="16"/>
      <c r="H3408" s="16"/>
      <c r="I3408" s="16"/>
      <c r="J3408" s="16"/>
      <c r="K3408" s="16"/>
      <c r="L3408" s="16"/>
      <c r="M3408" s="16"/>
      <c r="N3408" s="16"/>
      <c r="O3408" s="16"/>
    </row>
    <row r="3409" spans="1:15" x14ac:dyDescent="0.35">
      <c r="A3409" s="16"/>
      <c r="B3409" s="16"/>
      <c r="C3409" s="16"/>
      <c r="D3409" s="16"/>
      <c r="E3409" s="16"/>
      <c r="F3409" s="16"/>
      <c r="G3409" s="16"/>
      <c r="H3409" s="16"/>
      <c r="I3409" s="16"/>
      <c r="J3409" s="16"/>
      <c r="K3409" s="16"/>
      <c r="L3409" s="16"/>
      <c r="M3409" s="16"/>
      <c r="N3409" s="16"/>
      <c r="O3409" s="16"/>
    </row>
    <row r="3410" spans="1:15" x14ac:dyDescent="0.35">
      <c r="A3410" s="16"/>
      <c r="B3410" s="16"/>
      <c r="C3410" s="16"/>
      <c r="D3410" s="16"/>
      <c r="E3410" s="16"/>
      <c r="F3410" s="16"/>
      <c r="G3410" s="16"/>
      <c r="H3410" s="16"/>
      <c r="I3410" s="16"/>
      <c r="J3410" s="16"/>
      <c r="K3410" s="16"/>
      <c r="L3410" s="16"/>
      <c r="M3410" s="16"/>
      <c r="N3410" s="16"/>
      <c r="O3410" s="16"/>
    </row>
    <row r="3411" spans="1:15" x14ac:dyDescent="0.35">
      <c r="A3411" s="16"/>
      <c r="B3411" s="16"/>
      <c r="C3411" s="16"/>
      <c r="D3411" s="16"/>
      <c r="E3411" s="16"/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</row>
    <row r="3412" spans="1:15" x14ac:dyDescent="0.35">
      <c r="A3412" s="16"/>
      <c r="B3412" s="16"/>
      <c r="C3412" s="16"/>
      <c r="D3412" s="16"/>
      <c r="E3412" s="16"/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</row>
    <row r="3413" spans="1:15" x14ac:dyDescent="0.35">
      <c r="A3413" s="16"/>
      <c r="B3413" s="16"/>
      <c r="C3413" s="16"/>
      <c r="D3413" s="16"/>
      <c r="E3413" s="16"/>
      <c r="F3413" s="16"/>
      <c r="G3413" s="16"/>
      <c r="H3413" s="16"/>
      <c r="I3413" s="16"/>
      <c r="J3413" s="16"/>
      <c r="K3413" s="16"/>
      <c r="L3413" s="16"/>
      <c r="M3413" s="16"/>
      <c r="N3413" s="16"/>
      <c r="O3413" s="16"/>
    </row>
    <row r="3414" spans="1:15" x14ac:dyDescent="0.35">
      <c r="A3414" s="16"/>
      <c r="B3414" s="16"/>
      <c r="C3414" s="16"/>
      <c r="D3414" s="16"/>
      <c r="E3414" s="16"/>
      <c r="F3414" s="16"/>
      <c r="G3414" s="16"/>
      <c r="H3414" s="16"/>
      <c r="I3414" s="16"/>
      <c r="J3414" s="16"/>
      <c r="K3414" s="16"/>
      <c r="L3414" s="16"/>
      <c r="M3414" s="16"/>
      <c r="N3414" s="16"/>
      <c r="O3414" s="16"/>
    </row>
    <row r="3415" spans="1:15" x14ac:dyDescent="0.35">
      <c r="A3415" s="16"/>
      <c r="B3415" s="16"/>
      <c r="C3415" s="16"/>
      <c r="D3415" s="16"/>
      <c r="E3415" s="16"/>
      <c r="F3415" s="16"/>
      <c r="G3415" s="16"/>
      <c r="H3415" s="16"/>
      <c r="I3415" s="16"/>
      <c r="J3415" s="16"/>
      <c r="K3415" s="16"/>
      <c r="L3415" s="16"/>
      <c r="M3415" s="16"/>
      <c r="N3415" s="16"/>
      <c r="O3415" s="16"/>
    </row>
    <row r="3416" spans="1:15" x14ac:dyDescent="0.35">
      <c r="A3416" s="16"/>
      <c r="B3416" s="16"/>
      <c r="C3416" s="16"/>
      <c r="D3416" s="16"/>
      <c r="E3416" s="16"/>
      <c r="F3416" s="16"/>
      <c r="G3416" s="16"/>
      <c r="H3416" s="16"/>
      <c r="I3416" s="16"/>
      <c r="J3416" s="16"/>
      <c r="K3416" s="16"/>
      <c r="L3416" s="16"/>
      <c r="M3416" s="16"/>
      <c r="N3416" s="16"/>
      <c r="O3416" s="16"/>
    </row>
    <row r="3417" spans="1:15" x14ac:dyDescent="0.35">
      <c r="A3417" s="16"/>
      <c r="B3417" s="16"/>
      <c r="C3417" s="16"/>
      <c r="D3417" s="16"/>
      <c r="E3417" s="16"/>
      <c r="F3417" s="16"/>
      <c r="G3417" s="16"/>
      <c r="H3417" s="16"/>
      <c r="I3417" s="16"/>
      <c r="J3417" s="16"/>
      <c r="K3417" s="16"/>
      <c r="L3417" s="16"/>
      <c r="M3417" s="16"/>
      <c r="N3417" s="16"/>
      <c r="O3417" s="16"/>
    </row>
    <row r="3418" spans="1:15" x14ac:dyDescent="0.35">
      <c r="A3418" s="16"/>
      <c r="B3418" s="16"/>
      <c r="C3418" s="16"/>
      <c r="D3418" s="16"/>
      <c r="E3418" s="16"/>
      <c r="F3418" s="16"/>
      <c r="G3418" s="16"/>
      <c r="H3418" s="16"/>
      <c r="I3418" s="16"/>
      <c r="J3418" s="16"/>
      <c r="K3418" s="16"/>
      <c r="L3418" s="16"/>
      <c r="M3418" s="16"/>
      <c r="N3418" s="16"/>
      <c r="O3418" s="16"/>
    </row>
    <row r="3419" spans="1:15" x14ac:dyDescent="0.35">
      <c r="A3419" s="16"/>
      <c r="B3419" s="16"/>
      <c r="C3419" s="16"/>
      <c r="D3419" s="16"/>
      <c r="E3419" s="16"/>
      <c r="F3419" s="16"/>
      <c r="G3419" s="16"/>
      <c r="H3419" s="16"/>
      <c r="I3419" s="16"/>
      <c r="J3419" s="16"/>
      <c r="K3419" s="16"/>
      <c r="L3419" s="16"/>
      <c r="M3419" s="16"/>
      <c r="N3419" s="16"/>
      <c r="O3419" s="16"/>
    </row>
    <row r="3420" spans="1:15" x14ac:dyDescent="0.35">
      <c r="A3420" s="16"/>
      <c r="B3420" s="16"/>
      <c r="C3420" s="16"/>
      <c r="D3420" s="16"/>
      <c r="E3420" s="16"/>
      <c r="F3420" s="16"/>
      <c r="G3420" s="16"/>
      <c r="H3420" s="16"/>
      <c r="I3420" s="16"/>
      <c r="J3420" s="16"/>
      <c r="K3420" s="16"/>
      <c r="L3420" s="16"/>
      <c r="M3420" s="16"/>
      <c r="N3420" s="16"/>
      <c r="O3420" s="16"/>
    </row>
    <row r="3421" spans="1:15" x14ac:dyDescent="0.35">
      <c r="A3421" s="16"/>
      <c r="B3421" s="16"/>
      <c r="C3421" s="16"/>
      <c r="D3421" s="16"/>
      <c r="E3421" s="16"/>
      <c r="F3421" s="16"/>
      <c r="G3421" s="16"/>
      <c r="H3421" s="16"/>
      <c r="I3421" s="16"/>
      <c r="J3421" s="16"/>
      <c r="K3421" s="16"/>
      <c r="L3421" s="16"/>
      <c r="M3421" s="16"/>
      <c r="N3421" s="16"/>
      <c r="O3421" s="16"/>
    </row>
    <row r="3422" spans="1:15" x14ac:dyDescent="0.35">
      <c r="A3422" s="16"/>
      <c r="B3422" s="16"/>
      <c r="C3422" s="16"/>
      <c r="D3422" s="16"/>
      <c r="E3422" s="16"/>
      <c r="F3422" s="16"/>
      <c r="G3422" s="16"/>
      <c r="H3422" s="16"/>
      <c r="I3422" s="16"/>
      <c r="J3422" s="16"/>
      <c r="K3422" s="16"/>
      <c r="L3422" s="16"/>
      <c r="M3422" s="16"/>
      <c r="N3422" s="16"/>
      <c r="O3422" s="16"/>
    </row>
    <row r="3423" spans="1:15" x14ac:dyDescent="0.35">
      <c r="A3423" s="16"/>
      <c r="B3423" s="16"/>
      <c r="C3423" s="16"/>
      <c r="D3423" s="16"/>
      <c r="E3423" s="16"/>
      <c r="F3423" s="16"/>
      <c r="G3423" s="16"/>
      <c r="H3423" s="16"/>
      <c r="I3423" s="16"/>
      <c r="J3423" s="16"/>
      <c r="K3423" s="16"/>
      <c r="L3423" s="16"/>
      <c r="M3423" s="16"/>
      <c r="N3423" s="16"/>
      <c r="O3423" s="16"/>
    </row>
    <row r="3424" spans="1:15" x14ac:dyDescent="0.35">
      <c r="A3424" s="16"/>
      <c r="B3424" s="16"/>
      <c r="C3424" s="16"/>
      <c r="D3424" s="16"/>
      <c r="E3424" s="16"/>
      <c r="F3424" s="16"/>
      <c r="G3424" s="16"/>
      <c r="H3424" s="16"/>
      <c r="I3424" s="16"/>
      <c r="J3424" s="16"/>
      <c r="K3424" s="16"/>
      <c r="L3424" s="16"/>
      <c r="M3424" s="16"/>
      <c r="N3424" s="16"/>
      <c r="O3424" s="16"/>
    </row>
    <row r="3425" spans="1:15" x14ac:dyDescent="0.35">
      <c r="A3425" s="16"/>
      <c r="B3425" s="16"/>
      <c r="C3425" s="16"/>
      <c r="D3425" s="16"/>
      <c r="E3425" s="16"/>
      <c r="F3425" s="16"/>
      <c r="G3425" s="16"/>
      <c r="H3425" s="16"/>
      <c r="I3425" s="16"/>
      <c r="J3425" s="16"/>
      <c r="K3425" s="16"/>
      <c r="L3425" s="16"/>
      <c r="M3425" s="16"/>
      <c r="N3425" s="16"/>
      <c r="O3425" s="16"/>
    </row>
    <row r="3426" spans="1:15" x14ac:dyDescent="0.35">
      <c r="A3426" s="16"/>
      <c r="B3426" s="16"/>
      <c r="C3426" s="16"/>
      <c r="D3426" s="16"/>
      <c r="E3426" s="16"/>
      <c r="F3426" s="16"/>
      <c r="G3426" s="16"/>
      <c r="H3426" s="16"/>
      <c r="I3426" s="16"/>
      <c r="J3426" s="16"/>
      <c r="K3426" s="16"/>
      <c r="L3426" s="16"/>
      <c r="M3426" s="16"/>
      <c r="N3426" s="16"/>
      <c r="O3426" s="16"/>
    </row>
    <row r="3427" spans="1:15" x14ac:dyDescent="0.35">
      <c r="A3427" s="16"/>
      <c r="B3427" s="16"/>
      <c r="C3427" s="16"/>
      <c r="D3427" s="16"/>
      <c r="E3427" s="16"/>
      <c r="F3427" s="16"/>
      <c r="G3427" s="16"/>
      <c r="H3427" s="16"/>
      <c r="I3427" s="16"/>
      <c r="J3427" s="16"/>
      <c r="K3427" s="16"/>
      <c r="L3427" s="16"/>
      <c r="M3427" s="16"/>
      <c r="N3427" s="16"/>
      <c r="O3427" s="16"/>
    </row>
    <row r="3428" spans="1:15" x14ac:dyDescent="0.35">
      <c r="A3428" s="16"/>
      <c r="B3428" s="16"/>
      <c r="C3428" s="16"/>
      <c r="D3428" s="16"/>
      <c r="E3428" s="16"/>
      <c r="F3428" s="16"/>
      <c r="G3428" s="16"/>
      <c r="H3428" s="16"/>
      <c r="I3428" s="16"/>
      <c r="J3428" s="16"/>
      <c r="K3428" s="16"/>
      <c r="L3428" s="16"/>
      <c r="M3428" s="16"/>
      <c r="N3428" s="16"/>
      <c r="O3428" s="16"/>
    </row>
    <row r="3429" spans="1:15" x14ac:dyDescent="0.35">
      <c r="A3429" s="16"/>
      <c r="B3429" s="16"/>
      <c r="C3429" s="16"/>
      <c r="D3429" s="16"/>
      <c r="E3429" s="16"/>
      <c r="F3429" s="16"/>
      <c r="G3429" s="16"/>
      <c r="H3429" s="16"/>
      <c r="I3429" s="16"/>
      <c r="J3429" s="16"/>
      <c r="K3429" s="16"/>
      <c r="L3429" s="16"/>
      <c r="M3429" s="16"/>
      <c r="N3429" s="16"/>
      <c r="O3429" s="16"/>
    </row>
    <row r="3430" spans="1:15" x14ac:dyDescent="0.35">
      <c r="A3430" s="16"/>
      <c r="B3430" s="16"/>
      <c r="C3430" s="16"/>
      <c r="D3430" s="16"/>
      <c r="E3430" s="16"/>
      <c r="F3430" s="16"/>
      <c r="G3430" s="16"/>
      <c r="H3430" s="16"/>
      <c r="I3430" s="16"/>
      <c r="J3430" s="16"/>
      <c r="K3430" s="16"/>
      <c r="L3430" s="16"/>
      <c r="M3430" s="16"/>
      <c r="N3430" s="16"/>
      <c r="O3430" s="16"/>
    </row>
    <row r="3431" spans="1:15" x14ac:dyDescent="0.35">
      <c r="A3431" s="16"/>
      <c r="B3431" s="16"/>
      <c r="C3431" s="16"/>
      <c r="D3431" s="16"/>
      <c r="E3431" s="16"/>
      <c r="F3431" s="16"/>
      <c r="G3431" s="16"/>
      <c r="H3431" s="16"/>
      <c r="I3431" s="16"/>
      <c r="J3431" s="16"/>
      <c r="K3431" s="16"/>
      <c r="L3431" s="16"/>
      <c r="M3431" s="16"/>
      <c r="N3431" s="16"/>
      <c r="O3431" s="16"/>
    </row>
    <row r="3432" spans="1:15" x14ac:dyDescent="0.35">
      <c r="A3432" s="16"/>
      <c r="B3432" s="16"/>
      <c r="C3432" s="16"/>
      <c r="D3432" s="16"/>
      <c r="E3432" s="16"/>
      <c r="F3432" s="16"/>
      <c r="G3432" s="16"/>
      <c r="H3432" s="16"/>
      <c r="I3432" s="16"/>
      <c r="J3432" s="16"/>
      <c r="K3432" s="16"/>
      <c r="L3432" s="16"/>
      <c r="M3432" s="16"/>
      <c r="N3432" s="16"/>
      <c r="O3432" s="16"/>
    </row>
    <row r="3433" spans="1:15" x14ac:dyDescent="0.35">
      <c r="A3433" s="16"/>
      <c r="B3433" s="16"/>
      <c r="C3433" s="16"/>
      <c r="D3433" s="16"/>
      <c r="E3433" s="16"/>
      <c r="F3433" s="16"/>
      <c r="G3433" s="16"/>
      <c r="H3433" s="16"/>
      <c r="I3433" s="16"/>
      <c r="J3433" s="16"/>
      <c r="K3433" s="16"/>
      <c r="L3433" s="16"/>
      <c r="M3433" s="16"/>
      <c r="N3433" s="16"/>
      <c r="O3433" s="16"/>
    </row>
    <row r="3434" spans="1:15" x14ac:dyDescent="0.35">
      <c r="A3434" s="16"/>
      <c r="B3434" s="16"/>
      <c r="C3434" s="16"/>
      <c r="D3434" s="16"/>
      <c r="E3434" s="16"/>
      <c r="F3434" s="16"/>
      <c r="G3434" s="16"/>
      <c r="H3434" s="16"/>
      <c r="I3434" s="16"/>
      <c r="J3434" s="16"/>
      <c r="K3434" s="16"/>
      <c r="L3434" s="16"/>
      <c r="M3434" s="16"/>
      <c r="N3434" s="16"/>
      <c r="O3434" s="16"/>
    </row>
    <row r="3435" spans="1:15" x14ac:dyDescent="0.35">
      <c r="A3435" s="16"/>
      <c r="B3435" s="16"/>
      <c r="C3435" s="16"/>
      <c r="D3435" s="16"/>
      <c r="E3435" s="16"/>
      <c r="F3435" s="16"/>
      <c r="G3435" s="16"/>
      <c r="H3435" s="16"/>
      <c r="I3435" s="16"/>
      <c r="J3435" s="16"/>
      <c r="K3435" s="16"/>
      <c r="L3435" s="16"/>
      <c r="M3435" s="16"/>
      <c r="N3435" s="16"/>
      <c r="O3435" s="16"/>
    </row>
    <row r="3436" spans="1:15" x14ac:dyDescent="0.35">
      <c r="A3436" s="16"/>
      <c r="B3436" s="16"/>
      <c r="C3436" s="16"/>
      <c r="D3436" s="16"/>
      <c r="E3436" s="16"/>
      <c r="F3436" s="16"/>
      <c r="G3436" s="16"/>
      <c r="H3436" s="16"/>
      <c r="I3436" s="16"/>
      <c r="J3436" s="16"/>
      <c r="K3436" s="16"/>
      <c r="L3436" s="16"/>
      <c r="M3436" s="16"/>
      <c r="N3436" s="16"/>
      <c r="O3436" s="16"/>
    </row>
    <row r="3437" spans="1:15" x14ac:dyDescent="0.35">
      <c r="A3437" s="16"/>
      <c r="B3437" s="16"/>
      <c r="C3437" s="16"/>
      <c r="D3437" s="16"/>
      <c r="E3437" s="16"/>
      <c r="F3437" s="16"/>
      <c r="G3437" s="16"/>
      <c r="H3437" s="16"/>
      <c r="I3437" s="16"/>
      <c r="J3437" s="16"/>
      <c r="K3437" s="16"/>
      <c r="L3437" s="16"/>
      <c r="M3437" s="16"/>
      <c r="N3437" s="16"/>
      <c r="O3437" s="16"/>
    </row>
    <row r="3438" spans="1:15" x14ac:dyDescent="0.35">
      <c r="A3438" s="16"/>
      <c r="B3438" s="16"/>
      <c r="C3438" s="16"/>
      <c r="D3438" s="16"/>
      <c r="E3438" s="16"/>
      <c r="F3438" s="16"/>
      <c r="G3438" s="16"/>
      <c r="H3438" s="16"/>
      <c r="I3438" s="16"/>
      <c r="J3438" s="16"/>
      <c r="K3438" s="16"/>
      <c r="L3438" s="16"/>
      <c r="M3438" s="16"/>
      <c r="N3438" s="16"/>
      <c r="O3438" s="16"/>
    </row>
    <row r="3439" spans="1:15" x14ac:dyDescent="0.35">
      <c r="A3439" s="16"/>
      <c r="B3439" s="16"/>
      <c r="C3439" s="16"/>
      <c r="D3439" s="16"/>
      <c r="E3439" s="16"/>
      <c r="F3439" s="16"/>
      <c r="G3439" s="16"/>
      <c r="H3439" s="16"/>
      <c r="I3439" s="16"/>
      <c r="J3439" s="16"/>
      <c r="K3439" s="16"/>
      <c r="L3439" s="16"/>
      <c r="M3439" s="16"/>
      <c r="N3439" s="16"/>
      <c r="O3439" s="16"/>
    </row>
    <row r="3440" spans="1:15" x14ac:dyDescent="0.35">
      <c r="A3440" s="16"/>
      <c r="B3440" s="16"/>
      <c r="C3440" s="16"/>
      <c r="D3440" s="16"/>
      <c r="E3440" s="16"/>
      <c r="F3440" s="16"/>
      <c r="G3440" s="16"/>
      <c r="H3440" s="16"/>
      <c r="I3440" s="16"/>
      <c r="J3440" s="16"/>
      <c r="K3440" s="16"/>
      <c r="L3440" s="16"/>
      <c r="M3440" s="16"/>
      <c r="N3440" s="16"/>
      <c r="O3440" s="16"/>
    </row>
    <row r="3441" spans="1:15" x14ac:dyDescent="0.35">
      <c r="A3441" s="16"/>
      <c r="B3441" s="16"/>
      <c r="C3441" s="16"/>
      <c r="D3441" s="16"/>
      <c r="E3441" s="16"/>
      <c r="F3441" s="16"/>
      <c r="G3441" s="16"/>
      <c r="H3441" s="16"/>
      <c r="I3441" s="16"/>
      <c r="J3441" s="16"/>
      <c r="K3441" s="16"/>
      <c r="L3441" s="16"/>
      <c r="M3441" s="16"/>
      <c r="N3441" s="16"/>
      <c r="O3441" s="16"/>
    </row>
    <row r="3442" spans="1:15" x14ac:dyDescent="0.35">
      <c r="A3442" s="16"/>
      <c r="B3442" s="16"/>
      <c r="C3442" s="16"/>
      <c r="D3442" s="16"/>
      <c r="E3442" s="16"/>
      <c r="F3442" s="16"/>
      <c r="G3442" s="16"/>
      <c r="H3442" s="16"/>
      <c r="I3442" s="16"/>
      <c r="J3442" s="16"/>
      <c r="K3442" s="16"/>
      <c r="L3442" s="16"/>
      <c r="M3442" s="16"/>
      <c r="N3442" s="16"/>
      <c r="O3442" s="16"/>
    </row>
    <row r="3443" spans="1:15" x14ac:dyDescent="0.35">
      <c r="A3443" s="16"/>
      <c r="B3443" s="16"/>
      <c r="C3443" s="16"/>
      <c r="D3443" s="16"/>
      <c r="E3443" s="16"/>
      <c r="F3443" s="16"/>
      <c r="G3443" s="16"/>
      <c r="H3443" s="16"/>
      <c r="I3443" s="16"/>
      <c r="J3443" s="16"/>
      <c r="K3443" s="16"/>
      <c r="L3443" s="16"/>
      <c r="M3443" s="16"/>
      <c r="N3443" s="16"/>
      <c r="O3443" s="16"/>
    </row>
    <row r="3444" spans="1:15" x14ac:dyDescent="0.35">
      <c r="A3444" s="16"/>
      <c r="B3444" s="16"/>
      <c r="C3444" s="16"/>
      <c r="D3444" s="16"/>
      <c r="E3444" s="16"/>
      <c r="F3444" s="16"/>
      <c r="G3444" s="16"/>
      <c r="H3444" s="16"/>
      <c r="I3444" s="16"/>
      <c r="J3444" s="16"/>
      <c r="K3444" s="16"/>
      <c r="L3444" s="16"/>
      <c r="M3444" s="16"/>
      <c r="N3444" s="16"/>
      <c r="O3444" s="16"/>
    </row>
    <row r="3445" spans="1:15" x14ac:dyDescent="0.35">
      <c r="A3445" s="16"/>
      <c r="B3445" s="16"/>
      <c r="C3445" s="16"/>
      <c r="D3445" s="16"/>
      <c r="E3445" s="16"/>
      <c r="F3445" s="16"/>
      <c r="G3445" s="16"/>
      <c r="H3445" s="16"/>
      <c r="I3445" s="16"/>
      <c r="J3445" s="16"/>
      <c r="K3445" s="16"/>
      <c r="L3445" s="16"/>
      <c r="M3445" s="16"/>
      <c r="N3445" s="16"/>
      <c r="O3445" s="16"/>
    </row>
    <row r="3446" spans="1:15" x14ac:dyDescent="0.35">
      <c r="A3446" s="16"/>
      <c r="B3446" s="16"/>
      <c r="C3446" s="16"/>
      <c r="D3446" s="16"/>
      <c r="E3446" s="16"/>
      <c r="F3446" s="16"/>
      <c r="G3446" s="16"/>
      <c r="H3446" s="16"/>
      <c r="I3446" s="16"/>
      <c r="J3446" s="16"/>
      <c r="K3446" s="16"/>
      <c r="L3446" s="16"/>
      <c r="M3446" s="16"/>
      <c r="N3446" s="16"/>
      <c r="O3446" s="16"/>
    </row>
    <row r="3447" spans="1:15" x14ac:dyDescent="0.35">
      <c r="A3447" s="16"/>
      <c r="B3447" s="16"/>
      <c r="C3447" s="16"/>
      <c r="D3447" s="16"/>
      <c r="E3447" s="16"/>
      <c r="F3447" s="16"/>
      <c r="G3447" s="16"/>
      <c r="H3447" s="16"/>
      <c r="I3447" s="16"/>
      <c r="J3447" s="16"/>
      <c r="K3447" s="16"/>
      <c r="L3447" s="16"/>
      <c r="M3447" s="16"/>
      <c r="N3447" s="16"/>
      <c r="O3447" s="16"/>
    </row>
    <row r="3448" spans="1:15" x14ac:dyDescent="0.35">
      <c r="A3448" s="16"/>
      <c r="B3448" s="16"/>
      <c r="C3448" s="16"/>
      <c r="D3448" s="16"/>
      <c r="E3448" s="16"/>
      <c r="F3448" s="16"/>
      <c r="G3448" s="16"/>
      <c r="H3448" s="16"/>
      <c r="I3448" s="16"/>
      <c r="J3448" s="16"/>
      <c r="K3448" s="16"/>
      <c r="L3448" s="16"/>
      <c r="M3448" s="16"/>
      <c r="N3448" s="16"/>
      <c r="O3448" s="16"/>
    </row>
    <row r="3449" spans="1:15" x14ac:dyDescent="0.35">
      <c r="A3449" s="16"/>
      <c r="B3449" s="16"/>
      <c r="C3449" s="16"/>
      <c r="D3449" s="16"/>
      <c r="E3449" s="16"/>
      <c r="F3449" s="16"/>
      <c r="G3449" s="16"/>
      <c r="H3449" s="16"/>
      <c r="I3449" s="16"/>
      <c r="J3449" s="16"/>
      <c r="K3449" s="16"/>
      <c r="L3449" s="16"/>
      <c r="M3449" s="16"/>
      <c r="N3449" s="16"/>
      <c r="O3449" s="16"/>
    </row>
    <row r="3450" spans="1:15" x14ac:dyDescent="0.35">
      <c r="A3450" s="16"/>
      <c r="B3450" s="16"/>
      <c r="C3450" s="16"/>
      <c r="D3450" s="16"/>
      <c r="E3450" s="16"/>
      <c r="F3450" s="16"/>
      <c r="G3450" s="16"/>
      <c r="H3450" s="16"/>
      <c r="I3450" s="16"/>
      <c r="J3450" s="16"/>
      <c r="K3450" s="16"/>
      <c r="L3450" s="16"/>
      <c r="M3450" s="16"/>
      <c r="N3450" s="16"/>
      <c r="O3450" s="16"/>
    </row>
    <row r="3451" spans="1:15" x14ac:dyDescent="0.35">
      <c r="A3451" s="16"/>
      <c r="B3451" s="16"/>
      <c r="C3451" s="16"/>
      <c r="D3451" s="16"/>
      <c r="E3451" s="16"/>
      <c r="F3451" s="16"/>
      <c r="G3451" s="16"/>
      <c r="H3451" s="16"/>
      <c r="I3451" s="16"/>
      <c r="J3451" s="16"/>
      <c r="K3451" s="16"/>
      <c r="L3451" s="16"/>
      <c r="M3451" s="16"/>
      <c r="N3451" s="16"/>
      <c r="O3451" s="16"/>
    </row>
    <row r="3452" spans="1:15" x14ac:dyDescent="0.35">
      <c r="A3452" s="16"/>
      <c r="B3452" s="16"/>
      <c r="C3452" s="16"/>
      <c r="D3452" s="16"/>
      <c r="E3452" s="16"/>
      <c r="F3452" s="16"/>
      <c r="G3452" s="16"/>
      <c r="H3452" s="16"/>
      <c r="I3452" s="16"/>
      <c r="J3452" s="16"/>
      <c r="K3452" s="16"/>
      <c r="L3452" s="16"/>
      <c r="M3452" s="16"/>
      <c r="N3452" s="16"/>
      <c r="O3452" s="16"/>
    </row>
    <row r="3453" spans="1:15" x14ac:dyDescent="0.35">
      <c r="A3453" s="16"/>
      <c r="B3453" s="16"/>
      <c r="C3453" s="16"/>
      <c r="D3453" s="16"/>
      <c r="E3453" s="16"/>
      <c r="F3453" s="16"/>
      <c r="G3453" s="16"/>
      <c r="H3453" s="16"/>
      <c r="I3453" s="16"/>
      <c r="J3453" s="16"/>
      <c r="K3453" s="16"/>
      <c r="L3453" s="16"/>
      <c r="M3453" s="16"/>
      <c r="N3453" s="16"/>
      <c r="O3453" s="16"/>
    </row>
    <row r="3454" spans="1:15" x14ac:dyDescent="0.35">
      <c r="A3454" s="16"/>
      <c r="B3454" s="16"/>
      <c r="C3454" s="16"/>
      <c r="D3454" s="16"/>
      <c r="E3454" s="16"/>
      <c r="F3454" s="16"/>
      <c r="G3454" s="16"/>
      <c r="H3454" s="16"/>
      <c r="I3454" s="16"/>
      <c r="J3454" s="16"/>
      <c r="K3454" s="16"/>
      <c r="L3454" s="16"/>
      <c r="M3454" s="16"/>
      <c r="N3454" s="16"/>
      <c r="O3454" s="16"/>
    </row>
    <row r="3455" spans="1:15" x14ac:dyDescent="0.35">
      <c r="A3455" s="16"/>
      <c r="B3455" s="16"/>
      <c r="C3455" s="16"/>
      <c r="D3455" s="16"/>
      <c r="E3455" s="16"/>
      <c r="F3455" s="16"/>
      <c r="G3455" s="16"/>
      <c r="H3455" s="16"/>
      <c r="I3455" s="16"/>
      <c r="J3455" s="16"/>
      <c r="K3455" s="16"/>
      <c r="L3455" s="16"/>
      <c r="M3455" s="16"/>
      <c r="N3455" s="16"/>
      <c r="O3455" s="16"/>
    </row>
    <row r="3456" spans="1:15" x14ac:dyDescent="0.35">
      <c r="A3456" s="16"/>
      <c r="B3456" s="16"/>
      <c r="C3456" s="16"/>
      <c r="D3456" s="16"/>
      <c r="E3456" s="16"/>
      <c r="F3456" s="16"/>
      <c r="G3456" s="16"/>
      <c r="H3456" s="16"/>
      <c r="I3456" s="16"/>
      <c r="J3456" s="16"/>
      <c r="K3456" s="16"/>
      <c r="L3456" s="16"/>
      <c r="M3456" s="16"/>
      <c r="N3456" s="16"/>
      <c r="O3456" s="16"/>
    </row>
    <row r="3457" spans="1:15" x14ac:dyDescent="0.35">
      <c r="A3457" s="16"/>
      <c r="B3457" s="16"/>
      <c r="C3457" s="16"/>
      <c r="D3457" s="16"/>
      <c r="E3457" s="16"/>
      <c r="F3457" s="16"/>
      <c r="G3457" s="16"/>
      <c r="H3457" s="16"/>
      <c r="I3457" s="16"/>
      <c r="J3457" s="16"/>
      <c r="K3457" s="16"/>
      <c r="L3457" s="16"/>
      <c r="M3457" s="16"/>
      <c r="N3457" s="16"/>
      <c r="O3457" s="16"/>
    </row>
    <row r="3458" spans="1:15" x14ac:dyDescent="0.35">
      <c r="A3458" s="16"/>
      <c r="B3458" s="16"/>
      <c r="C3458" s="16"/>
      <c r="D3458" s="16"/>
      <c r="E3458" s="16"/>
      <c r="F3458" s="16"/>
      <c r="G3458" s="16"/>
      <c r="H3458" s="16"/>
      <c r="I3458" s="16"/>
      <c r="J3458" s="16"/>
      <c r="K3458" s="16"/>
      <c r="L3458" s="16"/>
      <c r="M3458" s="16"/>
      <c r="N3458" s="16"/>
      <c r="O3458" s="16"/>
    </row>
    <row r="3459" spans="1:15" x14ac:dyDescent="0.35">
      <c r="A3459" s="16"/>
      <c r="B3459" s="16"/>
      <c r="C3459" s="16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</row>
    <row r="3460" spans="1:15" x14ac:dyDescent="0.35">
      <c r="A3460" s="16"/>
      <c r="B3460" s="16"/>
      <c r="C3460" s="16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</row>
    <row r="3461" spans="1:15" x14ac:dyDescent="0.35">
      <c r="A3461" s="16"/>
      <c r="B3461" s="16"/>
      <c r="C3461" s="16"/>
      <c r="D3461" s="16"/>
      <c r="E3461" s="16"/>
      <c r="F3461" s="16"/>
      <c r="G3461" s="16"/>
      <c r="H3461" s="16"/>
      <c r="I3461" s="16"/>
      <c r="J3461" s="16"/>
      <c r="K3461" s="16"/>
      <c r="L3461" s="16"/>
      <c r="M3461" s="16"/>
      <c r="N3461" s="16"/>
      <c r="O3461" s="16"/>
    </row>
    <row r="3462" spans="1:15" x14ac:dyDescent="0.35">
      <c r="A3462" s="16"/>
      <c r="B3462" s="16"/>
      <c r="C3462" s="16"/>
      <c r="D3462" s="16"/>
      <c r="E3462" s="16"/>
      <c r="F3462" s="16"/>
      <c r="G3462" s="16"/>
      <c r="H3462" s="16"/>
      <c r="I3462" s="16"/>
      <c r="J3462" s="16"/>
      <c r="K3462" s="16"/>
      <c r="L3462" s="16"/>
      <c r="M3462" s="16"/>
      <c r="N3462" s="16"/>
      <c r="O3462" s="16"/>
    </row>
    <row r="3463" spans="1:15" x14ac:dyDescent="0.35">
      <c r="A3463" s="16"/>
      <c r="B3463" s="16"/>
      <c r="C3463" s="16"/>
      <c r="D3463" s="16"/>
      <c r="E3463" s="16"/>
      <c r="F3463" s="16"/>
      <c r="G3463" s="16"/>
      <c r="H3463" s="16"/>
      <c r="I3463" s="16"/>
      <c r="J3463" s="16"/>
      <c r="K3463" s="16"/>
      <c r="L3463" s="16"/>
      <c r="M3463" s="16"/>
      <c r="N3463" s="16"/>
      <c r="O3463" s="16"/>
    </row>
    <row r="3464" spans="1:15" x14ac:dyDescent="0.35">
      <c r="A3464" s="16"/>
      <c r="B3464" s="16"/>
      <c r="C3464" s="16"/>
      <c r="D3464" s="16"/>
      <c r="E3464" s="16"/>
      <c r="F3464" s="16"/>
      <c r="G3464" s="16"/>
      <c r="H3464" s="16"/>
      <c r="I3464" s="16"/>
      <c r="J3464" s="16"/>
      <c r="K3464" s="16"/>
      <c r="L3464" s="16"/>
      <c r="M3464" s="16"/>
      <c r="N3464" s="16"/>
      <c r="O3464" s="16"/>
    </row>
    <row r="3465" spans="1:15" x14ac:dyDescent="0.35">
      <c r="A3465" s="16"/>
      <c r="B3465" s="16"/>
      <c r="C3465" s="16"/>
      <c r="D3465" s="16"/>
      <c r="E3465" s="16"/>
      <c r="F3465" s="16"/>
      <c r="G3465" s="16"/>
      <c r="H3465" s="16"/>
      <c r="I3465" s="16"/>
      <c r="J3465" s="16"/>
      <c r="K3465" s="16"/>
      <c r="L3465" s="16"/>
      <c r="M3465" s="16"/>
      <c r="N3465" s="16"/>
      <c r="O3465" s="16"/>
    </row>
    <row r="3466" spans="1:15" x14ac:dyDescent="0.35">
      <c r="A3466" s="16"/>
      <c r="B3466" s="16"/>
      <c r="C3466" s="16"/>
      <c r="D3466" s="16"/>
      <c r="E3466" s="16"/>
      <c r="F3466" s="16"/>
      <c r="G3466" s="16"/>
      <c r="H3466" s="16"/>
      <c r="I3466" s="16"/>
      <c r="J3466" s="16"/>
      <c r="K3466" s="16"/>
      <c r="L3466" s="16"/>
      <c r="M3466" s="16"/>
      <c r="N3466" s="16"/>
      <c r="O3466" s="16"/>
    </row>
    <row r="3467" spans="1:15" x14ac:dyDescent="0.35">
      <c r="A3467" s="16"/>
      <c r="B3467" s="16"/>
      <c r="C3467" s="16"/>
      <c r="D3467" s="16"/>
      <c r="E3467" s="16"/>
      <c r="F3467" s="16"/>
      <c r="G3467" s="16"/>
      <c r="H3467" s="16"/>
      <c r="I3467" s="16"/>
      <c r="J3467" s="16"/>
      <c r="K3467" s="16"/>
      <c r="L3467" s="16"/>
      <c r="M3467" s="16"/>
      <c r="N3467" s="16"/>
      <c r="O3467" s="16"/>
    </row>
    <row r="3468" spans="1:15" x14ac:dyDescent="0.35">
      <c r="A3468" s="16"/>
      <c r="B3468" s="16"/>
      <c r="C3468" s="16"/>
      <c r="D3468" s="16"/>
      <c r="E3468" s="16"/>
      <c r="F3468" s="16"/>
      <c r="G3468" s="16"/>
      <c r="H3468" s="16"/>
      <c r="I3468" s="16"/>
      <c r="J3468" s="16"/>
      <c r="K3468" s="16"/>
      <c r="L3468" s="16"/>
      <c r="M3468" s="16"/>
      <c r="N3468" s="16"/>
      <c r="O3468" s="16"/>
    </row>
    <row r="3469" spans="1:15" x14ac:dyDescent="0.35">
      <c r="A3469" s="16"/>
      <c r="B3469" s="16"/>
      <c r="C3469" s="16"/>
      <c r="D3469" s="16"/>
      <c r="E3469" s="16"/>
      <c r="F3469" s="16"/>
      <c r="G3469" s="16"/>
      <c r="H3469" s="16"/>
      <c r="I3469" s="16"/>
      <c r="J3469" s="16"/>
      <c r="K3469" s="16"/>
      <c r="L3469" s="16"/>
      <c r="M3469" s="16"/>
      <c r="N3469" s="16"/>
      <c r="O3469" s="16"/>
    </row>
    <row r="3470" spans="1:15" x14ac:dyDescent="0.35">
      <c r="A3470" s="16"/>
      <c r="B3470" s="16"/>
      <c r="C3470" s="16"/>
      <c r="D3470" s="16"/>
      <c r="E3470" s="16"/>
      <c r="F3470" s="16"/>
      <c r="G3470" s="16"/>
      <c r="H3470" s="16"/>
      <c r="I3470" s="16"/>
      <c r="J3470" s="16"/>
      <c r="K3470" s="16"/>
      <c r="L3470" s="16"/>
      <c r="M3470" s="16"/>
      <c r="N3470" s="16"/>
      <c r="O3470" s="16"/>
    </row>
    <row r="3471" spans="1:15" x14ac:dyDescent="0.35">
      <c r="A3471" s="16"/>
      <c r="B3471" s="16"/>
      <c r="C3471" s="16"/>
      <c r="D3471" s="16"/>
      <c r="E3471" s="16"/>
      <c r="F3471" s="16"/>
      <c r="G3471" s="16"/>
      <c r="H3471" s="16"/>
      <c r="I3471" s="16"/>
      <c r="J3471" s="16"/>
      <c r="K3471" s="16"/>
      <c r="L3471" s="16"/>
      <c r="M3471" s="16"/>
      <c r="N3471" s="16"/>
      <c r="O3471" s="16"/>
    </row>
    <row r="3472" spans="1:15" x14ac:dyDescent="0.35">
      <c r="A3472" s="16"/>
      <c r="B3472" s="16"/>
      <c r="C3472" s="16"/>
      <c r="D3472" s="16"/>
      <c r="E3472" s="16"/>
      <c r="F3472" s="16"/>
      <c r="G3472" s="16"/>
      <c r="H3472" s="16"/>
      <c r="I3472" s="16"/>
      <c r="J3472" s="16"/>
      <c r="K3472" s="16"/>
      <c r="L3472" s="16"/>
      <c r="M3472" s="16"/>
      <c r="N3472" s="16"/>
      <c r="O3472" s="16"/>
    </row>
    <row r="3473" spans="1:15" x14ac:dyDescent="0.35">
      <c r="A3473" s="16"/>
      <c r="B3473" s="16"/>
      <c r="C3473" s="16"/>
      <c r="D3473" s="16"/>
      <c r="E3473" s="16"/>
      <c r="F3473" s="16"/>
      <c r="G3473" s="16"/>
      <c r="H3473" s="16"/>
      <c r="I3473" s="16"/>
      <c r="J3473" s="16"/>
      <c r="K3473" s="16"/>
      <c r="L3473" s="16"/>
      <c r="M3473" s="16"/>
      <c r="N3473" s="16"/>
      <c r="O3473" s="16"/>
    </row>
    <row r="3474" spans="1:15" x14ac:dyDescent="0.35">
      <c r="A3474" s="16"/>
      <c r="B3474" s="16"/>
      <c r="C3474" s="16"/>
      <c r="D3474" s="16"/>
      <c r="E3474" s="16"/>
      <c r="F3474" s="16"/>
      <c r="G3474" s="16"/>
      <c r="H3474" s="16"/>
      <c r="I3474" s="16"/>
      <c r="J3474" s="16"/>
      <c r="K3474" s="16"/>
      <c r="L3474" s="16"/>
      <c r="M3474" s="16"/>
      <c r="N3474" s="16"/>
      <c r="O3474" s="16"/>
    </row>
    <row r="3475" spans="1:15" x14ac:dyDescent="0.35">
      <c r="A3475" s="16"/>
      <c r="B3475" s="16"/>
      <c r="C3475" s="16"/>
      <c r="D3475" s="16"/>
      <c r="E3475" s="16"/>
      <c r="F3475" s="16"/>
      <c r="G3475" s="16"/>
      <c r="H3475" s="16"/>
      <c r="I3475" s="16"/>
      <c r="J3475" s="16"/>
      <c r="K3475" s="16"/>
      <c r="L3475" s="16"/>
      <c r="M3475" s="16"/>
      <c r="N3475" s="16"/>
      <c r="O3475" s="16"/>
    </row>
    <row r="3476" spans="1:15" x14ac:dyDescent="0.35">
      <c r="A3476" s="16"/>
      <c r="B3476" s="16"/>
      <c r="C3476" s="16"/>
      <c r="D3476" s="16"/>
      <c r="E3476" s="16"/>
      <c r="F3476" s="16"/>
      <c r="G3476" s="16"/>
      <c r="H3476" s="16"/>
      <c r="I3476" s="16"/>
      <c r="J3476" s="16"/>
      <c r="K3476" s="16"/>
      <c r="L3476" s="16"/>
      <c r="M3476" s="16"/>
      <c r="N3476" s="16"/>
      <c r="O3476" s="16"/>
    </row>
    <row r="3477" spans="1:15" x14ac:dyDescent="0.35">
      <c r="A3477" s="16"/>
      <c r="B3477" s="16"/>
      <c r="C3477" s="16"/>
      <c r="D3477" s="16"/>
      <c r="E3477" s="16"/>
      <c r="F3477" s="16"/>
      <c r="G3477" s="16"/>
      <c r="H3477" s="16"/>
      <c r="I3477" s="16"/>
      <c r="J3477" s="16"/>
      <c r="K3477" s="16"/>
      <c r="L3477" s="16"/>
      <c r="M3477" s="16"/>
      <c r="N3477" s="16"/>
      <c r="O3477" s="16"/>
    </row>
    <row r="3478" spans="1:15" x14ac:dyDescent="0.35">
      <c r="A3478" s="16"/>
      <c r="B3478" s="16"/>
      <c r="C3478" s="16"/>
      <c r="D3478" s="16"/>
      <c r="E3478" s="16"/>
      <c r="F3478" s="16"/>
      <c r="G3478" s="16"/>
      <c r="H3478" s="16"/>
      <c r="I3478" s="16"/>
      <c r="J3478" s="16"/>
      <c r="K3478" s="16"/>
      <c r="L3478" s="16"/>
      <c r="M3478" s="16"/>
      <c r="N3478" s="16"/>
      <c r="O3478" s="16"/>
    </row>
    <row r="3479" spans="1:15" x14ac:dyDescent="0.35">
      <c r="A3479" s="16"/>
      <c r="B3479" s="16"/>
      <c r="C3479" s="16"/>
      <c r="D3479" s="16"/>
      <c r="E3479" s="16"/>
      <c r="F3479" s="16"/>
      <c r="G3479" s="16"/>
      <c r="H3479" s="16"/>
      <c r="I3479" s="16"/>
      <c r="J3479" s="16"/>
      <c r="K3479" s="16"/>
      <c r="L3479" s="16"/>
      <c r="M3479" s="16"/>
      <c r="N3479" s="16"/>
      <c r="O3479" s="16"/>
    </row>
    <row r="3480" spans="1:15" x14ac:dyDescent="0.35">
      <c r="A3480" s="16"/>
      <c r="B3480" s="16"/>
      <c r="C3480" s="16"/>
      <c r="D3480" s="16"/>
      <c r="E3480" s="16"/>
      <c r="F3480" s="16"/>
      <c r="G3480" s="16"/>
      <c r="H3480" s="16"/>
      <c r="I3480" s="16"/>
      <c r="J3480" s="16"/>
      <c r="K3480" s="16"/>
      <c r="L3480" s="16"/>
      <c r="M3480" s="16"/>
      <c r="N3480" s="16"/>
      <c r="O3480" s="16"/>
    </row>
    <row r="3481" spans="1:15" x14ac:dyDescent="0.35">
      <c r="A3481" s="16"/>
      <c r="B3481" s="16"/>
      <c r="C3481" s="16"/>
      <c r="D3481" s="16"/>
      <c r="E3481" s="16"/>
      <c r="F3481" s="16"/>
      <c r="G3481" s="16"/>
      <c r="H3481" s="16"/>
      <c r="I3481" s="16"/>
      <c r="J3481" s="16"/>
      <c r="K3481" s="16"/>
      <c r="L3481" s="16"/>
      <c r="M3481" s="16"/>
      <c r="N3481" s="16"/>
      <c r="O3481" s="16"/>
    </row>
    <row r="3482" spans="1:15" x14ac:dyDescent="0.35">
      <c r="A3482" s="16"/>
      <c r="B3482" s="16"/>
      <c r="C3482" s="16"/>
      <c r="D3482" s="16"/>
      <c r="E3482" s="16"/>
      <c r="F3482" s="16"/>
      <c r="G3482" s="16"/>
      <c r="H3482" s="16"/>
      <c r="I3482" s="16"/>
      <c r="J3482" s="16"/>
      <c r="K3482" s="16"/>
      <c r="L3482" s="16"/>
      <c r="M3482" s="16"/>
      <c r="N3482" s="16"/>
      <c r="O3482" s="16"/>
    </row>
    <row r="3483" spans="1:15" x14ac:dyDescent="0.35">
      <c r="A3483" s="16"/>
      <c r="B3483" s="16"/>
      <c r="C3483" s="16"/>
      <c r="D3483" s="16"/>
      <c r="E3483" s="16"/>
      <c r="F3483" s="16"/>
      <c r="G3483" s="16"/>
      <c r="H3483" s="16"/>
      <c r="I3483" s="16"/>
      <c r="J3483" s="16"/>
      <c r="K3483" s="16"/>
      <c r="L3483" s="16"/>
      <c r="M3483" s="16"/>
      <c r="N3483" s="16"/>
      <c r="O3483" s="16"/>
    </row>
    <row r="3484" spans="1:15" x14ac:dyDescent="0.35">
      <c r="A3484" s="16"/>
      <c r="B3484" s="16"/>
      <c r="C3484" s="16"/>
      <c r="D3484" s="16"/>
      <c r="E3484" s="16"/>
      <c r="F3484" s="16"/>
      <c r="G3484" s="16"/>
      <c r="H3484" s="16"/>
      <c r="I3484" s="16"/>
      <c r="J3484" s="16"/>
      <c r="K3484" s="16"/>
      <c r="L3484" s="16"/>
      <c r="M3484" s="16"/>
      <c r="N3484" s="16"/>
      <c r="O3484" s="16"/>
    </row>
    <row r="3485" spans="1:15" x14ac:dyDescent="0.35">
      <c r="A3485" s="16"/>
      <c r="B3485" s="16"/>
      <c r="C3485" s="16"/>
      <c r="D3485" s="16"/>
      <c r="E3485" s="16"/>
      <c r="F3485" s="16"/>
      <c r="G3485" s="16"/>
      <c r="H3485" s="16"/>
      <c r="I3485" s="16"/>
      <c r="J3485" s="16"/>
      <c r="K3485" s="16"/>
      <c r="L3485" s="16"/>
      <c r="M3485" s="16"/>
      <c r="N3485" s="16"/>
      <c r="O3485" s="16"/>
    </row>
    <row r="3486" spans="1:15" x14ac:dyDescent="0.35">
      <c r="A3486" s="16"/>
      <c r="B3486" s="16"/>
      <c r="C3486" s="16"/>
      <c r="D3486" s="16"/>
      <c r="E3486" s="16"/>
      <c r="F3486" s="16"/>
      <c r="G3486" s="16"/>
      <c r="H3486" s="16"/>
      <c r="I3486" s="16"/>
      <c r="J3486" s="16"/>
      <c r="K3486" s="16"/>
      <c r="L3486" s="16"/>
      <c r="M3486" s="16"/>
      <c r="N3486" s="16"/>
      <c r="O3486" s="16"/>
    </row>
    <row r="3487" spans="1:15" x14ac:dyDescent="0.35">
      <c r="A3487" s="16"/>
      <c r="B3487" s="16"/>
      <c r="C3487" s="16"/>
      <c r="D3487" s="16"/>
      <c r="E3487" s="16"/>
      <c r="F3487" s="16"/>
      <c r="G3487" s="16"/>
      <c r="H3487" s="16"/>
      <c r="I3487" s="16"/>
      <c r="J3487" s="16"/>
      <c r="K3487" s="16"/>
      <c r="L3487" s="16"/>
      <c r="M3487" s="16"/>
      <c r="N3487" s="16"/>
      <c r="O3487" s="16"/>
    </row>
    <row r="3488" spans="1:15" x14ac:dyDescent="0.35">
      <c r="A3488" s="16"/>
      <c r="B3488" s="16"/>
      <c r="C3488" s="16"/>
      <c r="D3488" s="16"/>
      <c r="E3488" s="16"/>
      <c r="F3488" s="16"/>
      <c r="G3488" s="16"/>
      <c r="H3488" s="16"/>
      <c r="I3488" s="16"/>
      <c r="J3488" s="16"/>
      <c r="K3488" s="16"/>
      <c r="L3488" s="16"/>
      <c r="M3488" s="16"/>
      <c r="N3488" s="16"/>
      <c r="O3488" s="16"/>
    </row>
    <row r="3489" spans="1:15" x14ac:dyDescent="0.35">
      <c r="A3489" s="16"/>
      <c r="B3489" s="16"/>
      <c r="C3489" s="16"/>
      <c r="D3489" s="16"/>
      <c r="E3489" s="16"/>
      <c r="F3489" s="16"/>
      <c r="G3489" s="16"/>
      <c r="H3489" s="16"/>
      <c r="I3489" s="16"/>
      <c r="J3489" s="16"/>
      <c r="K3489" s="16"/>
      <c r="L3489" s="16"/>
      <c r="M3489" s="16"/>
      <c r="N3489" s="16"/>
      <c r="O3489" s="16"/>
    </row>
    <row r="3490" spans="1:15" x14ac:dyDescent="0.35">
      <c r="A3490" s="16"/>
      <c r="B3490" s="16"/>
      <c r="C3490" s="16"/>
      <c r="D3490" s="16"/>
      <c r="E3490" s="16"/>
      <c r="F3490" s="16"/>
      <c r="G3490" s="16"/>
      <c r="H3490" s="16"/>
      <c r="I3490" s="16"/>
      <c r="J3490" s="16"/>
      <c r="K3490" s="16"/>
      <c r="L3490" s="16"/>
      <c r="M3490" s="16"/>
      <c r="N3490" s="16"/>
      <c r="O3490" s="16"/>
    </row>
    <row r="3491" spans="1:15" x14ac:dyDescent="0.35">
      <c r="A3491" s="16"/>
      <c r="B3491" s="16"/>
      <c r="C3491" s="16"/>
      <c r="D3491" s="16"/>
      <c r="E3491" s="16"/>
      <c r="F3491" s="16"/>
      <c r="G3491" s="16"/>
      <c r="H3491" s="16"/>
      <c r="I3491" s="16"/>
      <c r="J3491" s="16"/>
      <c r="K3491" s="16"/>
      <c r="L3491" s="16"/>
      <c r="M3491" s="16"/>
      <c r="N3491" s="16"/>
      <c r="O3491" s="16"/>
    </row>
    <row r="3492" spans="1:15" x14ac:dyDescent="0.35">
      <c r="A3492" s="16"/>
      <c r="B3492" s="16"/>
      <c r="C3492" s="16"/>
      <c r="D3492" s="16"/>
      <c r="E3492" s="16"/>
      <c r="F3492" s="16"/>
      <c r="G3492" s="16"/>
      <c r="H3492" s="16"/>
      <c r="I3492" s="16"/>
      <c r="J3492" s="16"/>
      <c r="K3492" s="16"/>
      <c r="L3492" s="16"/>
      <c r="M3492" s="16"/>
      <c r="N3492" s="16"/>
      <c r="O3492" s="16"/>
    </row>
    <row r="3493" spans="1:15" x14ac:dyDescent="0.35">
      <c r="A3493" s="16"/>
      <c r="B3493" s="16"/>
      <c r="C3493" s="16"/>
      <c r="D3493" s="16"/>
      <c r="E3493" s="16"/>
      <c r="F3493" s="16"/>
      <c r="G3493" s="16"/>
      <c r="H3493" s="16"/>
      <c r="I3493" s="16"/>
      <c r="J3493" s="16"/>
      <c r="K3493" s="16"/>
      <c r="L3493" s="16"/>
      <c r="M3493" s="16"/>
      <c r="N3493" s="16"/>
      <c r="O3493" s="16"/>
    </row>
    <row r="3494" spans="1:15" x14ac:dyDescent="0.35">
      <c r="A3494" s="16"/>
      <c r="B3494" s="16"/>
      <c r="C3494" s="16"/>
      <c r="D3494" s="16"/>
      <c r="E3494" s="16"/>
      <c r="F3494" s="16"/>
      <c r="G3494" s="16"/>
      <c r="H3494" s="16"/>
      <c r="I3494" s="16"/>
      <c r="J3494" s="16"/>
      <c r="K3494" s="16"/>
      <c r="L3494" s="16"/>
      <c r="M3494" s="16"/>
      <c r="N3494" s="16"/>
      <c r="O3494" s="16"/>
    </row>
    <row r="3495" spans="1:15" x14ac:dyDescent="0.35">
      <c r="A3495" s="16"/>
      <c r="B3495" s="16"/>
      <c r="C3495" s="16"/>
      <c r="D3495" s="16"/>
      <c r="E3495" s="16"/>
      <c r="F3495" s="16"/>
      <c r="G3495" s="16"/>
      <c r="H3495" s="16"/>
      <c r="I3495" s="16"/>
      <c r="J3495" s="16"/>
      <c r="K3495" s="16"/>
      <c r="L3495" s="16"/>
      <c r="M3495" s="16"/>
      <c r="N3495" s="16"/>
      <c r="O3495" s="16"/>
    </row>
    <row r="3496" spans="1:15" x14ac:dyDescent="0.35">
      <c r="A3496" s="16"/>
      <c r="B3496" s="16"/>
      <c r="C3496" s="16"/>
      <c r="D3496" s="16"/>
      <c r="E3496" s="16"/>
      <c r="F3496" s="16"/>
      <c r="G3496" s="16"/>
      <c r="H3496" s="16"/>
      <c r="I3496" s="16"/>
      <c r="J3496" s="16"/>
      <c r="K3496" s="16"/>
      <c r="L3496" s="16"/>
      <c r="M3496" s="16"/>
      <c r="N3496" s="16"/>
      <c r="O3496" s="16"/>
    </row>
    <row r="3497" spans="1:15" x14ac:dyDescent="0.35">
      <c r="A3497" s="16"/>
      <c r="B3497" s="16"/>
      <c r="C3497" s="16"/>
      <c r="D3497" s="16"/>
      <c r="E3497" s="16"/>
      <c r="F3497" s="16"/>
      <c r="G3497" s="16"/>
      <c r="H3497" s="16"/>
      <c r="I3497" s="16"/>
      <c r="J3497" s="16"/>
      <c r="K3497" s="16"/>
      <c r="L3497" s="16"/>
      <c r="M3497" s="16"/>
      <c r="N3497" s="16"/>
      <c r="O3497" s="16"/>
    </row>
    <row r="3498" spans="1:15" x14ac:dyDescent="0.35">
      <c r="A3498" s="16"/>
      <c r="B3498" s="16"/>
      <c r="C3498" s="16"/>
      <c r="D3498" s="16"/>
      <c r="E3498" s="16"/>
      <c r="F3498" s="16"/>
      <c r="G3498" s="16"/>
      <c r="H3498" s="16"/>
      <c r="I3498" s="16"/>
      <c r="J3498" s="16"/>
      <c r="K3498" s="16"/>
      <c r="L3498" s="16"/>
      <c r="M3498" s="16"/>
      <c r="N3498" s="16"/>
      <c r="O3498" s="16"/>
    </row>
    <row r="3499" spans="1:15" x14ac:dyDescent="0.35">
      <c r="A3499" s="16"/>
      <c r="B3499" s="16"/>
      <c r="C3499" s="16"/>
      <c r="D3499" s="16"/>
      <c r="E3499" s="16"/>
      <c r="F3499" s="16"/>
      <c r="G3499" s="16"/>
      <c r="H3499" s="16"/>
      <c r="I3499" s="16"/>
      <c r="J3499" s="16"/>
      <c r="K3499" s="16"/>
      <c r="L3499" s="16"/>
      <c r="M3499" s="16"/>
      <c r="N3499" s="16"/>
      <c r="O3499" s="16"/>
    </row>
    <row r="3500" spans="1:15" x14ac:dyDescent="0.35">
      <c r="A3500" s="16"/>
      <c r="B3500" s="16"/>
      <c r="C3500" s="16"/>
      <c r="D3500" s="16"/>
      <c r="E3500" s="16"/>
      <c r="F3500" s="16"/>
      <c r="G3500" s="16"/>
      <c r="H3500" s="16"/>
      <c r="I3500" s="16"/>
      <c r="J3500" s="16"/>
      <c r="K3500" s="16"/>
      <c r="L3500" s="16"/>
      <c r="M3500" s="16"/>
      <c r="N3500" s="16"/>
      <c r="O3500" s="16"/>
    </row>
    <row r="3501" spans="1:15" x14ac:dyDescent="0.35">
      <c r="A3501" s="16"/>
      <c r="B3501" s="16"/>
      <c r="C3501" s="16"/>
      <c r="D3501" s="16"/>
      <c r="E3501" s="16"/>
      <c r="F3501" s="16"/>
      <c r="G3501" s="16"/>
      <c r="H3501" s="16"/>
      <c r="I3501" s="16"/>
      <c r="J3501" s="16"/>
      <c r="K3501" s="16"/>
      <c r="L3501" s="16"/>
      <c r="M3501" s="16"/>
      <c r="N3501" s="16"/>
      <c r="O3501" s="16"/>
    </row>
    <row r="3502" spans="1:15" x14ac:dyDescent="0.35">
      <c r="A3502" s="16"/>
      <c r="B3502" s="16"/>
      <c r="C3502" s="16"/>
      <c r="D3502" s="16"/>
      <c r="E3502" s="16"/>
      <c r="F3502" s="16"/>
      <c r="G3502" s="16"/>
      <c r="H3502" s="16"/>
      <c r="I3502" s="16"/>
      <c r="J3502" s="16"/>
      <c r="K3502" s="16"/>
      <c r="L3502" s="16"/>
      <c r="M3502" s="16"/>
      <c r="N3502" s="16"/>
      <c r="O3502" s="16"/>
    </row>
    <row r="3503" spans="1:15" x14ac:dyDescent="0.35">
      <c r="A3503" s="16"/>
      <c r="B3503" s="16"/>
      <c r="C3503" s="16"/>
      <c r="D3503" s="16"/>
      <c r="E3503" s="16"/>
      <c r="F3503" s="16"/>
      <c r="G3503" s="16"/>
      <c r="H3503" s="16"/>
      <c r="I3503" s="16"/>
      <c r="J3503" s="16"/>
      <c r="K3503" s="16"/>
      <c r="L3503" s="16"/>
      <c r="M3503" s="16"/>
      <c r="N3503" s="16"/>
      <c r="O3503" s="16"/>
    </row>
    <row r="3504" spans="1:15" x14ac:dyDescent="0.35">
      <c r="A3504" s="16"/>
      <c r="B3504" s="16"/>
      <c r="C3504" s="16"/>
      <c r="D3504" s="16"/>
      <c r="E3504" s="16"/>
      <c r="F3504" s="16"/>
      <c r="G3504" s="16"/>
      <c r="H3504" s="16"/>
      <c r="I3504" s="16"/>
      <c r="J3504" s="16"/>
      <c r="K3504" s="16"/>
      <c r="L3504" s="16"/>
      <c r="M3504" s="16"/>
      <c r="N3504" s="16"/>
      <c r="O3504" s="16"/>
    </row>
    <row r="3505" spans="1:15" x14ac:dyDescent="0.35">
      <c r="A3505" s="16"/>
      <c r="B3505" s="16"/>
      <c r="C3505" s="16"/>
      <c r="D3505" s="16"/>
      <c r="E3505" s="16"/>
      <c r="F3505" s="16"/>
      <c r="G3505" s="16"/>
      <c r="H3505" s="16"/>
      <c r="I3505" s="16"/>
      <c r="J3505" s="16"/>
      <c r="K3505" s="16"/>
      <c r="L3505" s="16"/>
      <c r="M3505" s="16"/>
      <c r="N3505" s="16"/>
      <c r="O3505" s="16"/>
    </row>
    <row r="3506" spans="1:15" x14ac:dyDescent="0.35">
      <c r="A3506" s="16"/>
      <c r="B3506" s="16"/>
      <c r="C3506" s="16"/>
      <c r="D3506" s="16"/>
      <c r="E3506" s="16"/>
      <c r="F3506" s="16"/>
      <c r="G3506" s="16"/>
      <c r="H3506" s="16"/>
      <c r="I3506" s="16"/>
      <c r="J3506" s="16"/>
      <c r="K3506" s="16"/>
      <c r="L3506" s="16"/>
      <c r="M3506" s="16"/>
      <c r="N3506" s="16"/>
      <c r="O3506" s="16"/>
    </row>
    <row r="3507" spans="1:15" x14ac:dyDescent="0.35">
      <c r="A3507" s="16"/>
      <c r="B3507" s="16"/>
      <c r="C3507" s="16"/>
      <c r="D3507" s="16"/>
      <c r="E3507" s="16"/>
      <c r="F3507" s="16"/>
      <c r="G3507" s="16"/>
      <c r="H3507" s="16"/>
      <c r="I3507" s="16"/>
      <c r="J3507" s="16"/>
      <c r="K3507" s="16"/>
      <c r="L3507" s="16"/>
      <c r="M3507" s="16"/>
      <c r="N3507" s="16"/>
      <c r="O3507" s="16"/>
    </row>
    <row r="3508" spans="1:15" x14ac:dyDescent="0.35">
      <c r="A3508" s="16"/>
      <c r="B3508" s="16"/>
      <c r="C3508" s="16"/>
      <c r="D3508" s="16"/>
      <c r="E3508" s="16"/>
      <c r="F3508" s="16"/>
      <c r="G3508" s="16"/>
      <c r="H3508" s="16"/>
      <c r="I3508" s="16"/>
      <c r="J3508" s="16"/>
      <c r="K3508" s="16"/>
      <c r="L3508" s="16"/>
      <c r="M3508" s="16"/>
      <c r="N3508" s="16"/>
      <c r="O3508" s="16"/>
    </row>
    <row r="3509" spans="1:15" x14ac:dyDescent="0.35">
      <c r="A3509" s="16"/>
      <c r="B3509" s="16"/>
      <c r="C3509" s="16"/>
      <c r="D3509" s="16"/>
      <c r="E3509" s="16"/>
      <c r="F3509" s="16"/>
      <c r="G3509" s="16"/>
      <c r="H3509" s="16"/>
      <c r="I3509" s="16"/>
      <c r="J3509" s="16"/>
      <c r="K3509" s="16"/>
      <c r="L3509" s="16"/>
      <c r="M3509" s="16"/>
      <c r="N3509" s="16"/>
      <c r="O3509" s="16"/>
    </row>
    <row r="3510" spans="1:15" x14ac:dyDescent="0.35">
      <c r="A3510" s="16"/>
      <c r="B3510" s="16"/>
      <c r="C3510" s="16"/>
      <c r="D3510" s="16"/>
      <c r="E3510" s="16"/>
      <c r="F3510" s="16"/>
      <c r="G3510" s="16"/>
      <c r="H3510" s="16"/>
      <c r="I3510" s="16"/>
      <c r="J3510" s="16"/>
      <c r="K3510" s="16"/>
      <c r="L3510" s="16"/>
      <c r="M3510" s="16"/>
      <c r="N3510" s="16"/>
      <c r="O3510" s="16"/>
    </row>
    <row r="3511" spans="1:15" x14ac:dyDescent="0.35">
      <c r="A3511" s="16"/>
      <c r="B3511" s="16"/>
      <c r="C3511" s="16"/>
      <c r="D3511" s="16"/>
      <c r="E3511" s="16"/>
      <c r="F3511" s="16"/>
      <c r="G3511" s="16"/>
      <c r="H3511" s="16"/>
      <c r="I3511" s="16"/>
      <c r="J3511" s="16"/>
      <c r="K3511" s="16"/>
      <c r="L3511" s="16"/>
      <c r="M3511" s="16"/>
      <c r="N3511" s="16"/>
      <c r="O3511" s="16"/>
    </row>
    <row r="3512" spans="1:15" x14ac:dyDescent="0.35">
      <c r="A3512" s="16"/>
      <c r="B3512" s="16"/>
      <c r="C3512" s="16"/>
      <c r="D3512" s="16"/>
      <c r="E3512" s="16"/>
      <c r="F3512" s="16"/>
      <c r="G3512" s="16"/>
      <c r="H3512" s="16"/>
      <c r="I3512" s="16"/>
      <c r="J3512" s="16"/>
      <c r="K3512" s="16"/>
      <c r="L3512" s="16"/>
      <c r="M3512" s="16"/>
      <c r="N3512" s="16"/>
      <c r="O3512" s="16"/>
    </row>
    <row r="3513" spans="1:15" x14ac:dyDescent="0.35">
      <c r="A3513" s="16"/>
      <c r="B3513" s="16"/>
      <c r="C3513" s="16"/>
      <c r="D3513" s="16"/>
      <c r="E3513" s="16"/>
      <c r="F3513" s="16"/>
      <c r="G3513" s="16"/>
      <c r="H3513" s="16"/>
      <c r="I3513" s="16"/>
      <c r="J3513" s="16"/>
      <c r="K3513" s="16"/>
      <c r="L3513" s="16"/>
      <c r="M3513" s="16"/>
      <c r="N3513" s="16"/>
      <c r="O3513" s="16"/>
    </row>
    <row r="3514" spans="1:15" x14ac:dyDescent="0.35">
      <c r="A3514" s="16"/>
      <c r="B3514" s="16"/>
      <c r="C3514" s="16"/>
      <c r="D3514" s="16"/>
      <c r="E3514" s="16"/>
      <c r="F3514" s="16"/>
      <c r="G3514" s="16"/>
      <c r="H3514" s="16"/>
      <c r="I3514" s="16"/>
      <c r="J3514" s="16"/>
      <c r="K3514" s="16"/>
      <c r="L3514" s="16"/>
      <c r="M3514" s="16"/>
      <c r="N3514" s="16"/>
      <c r="O3514" s="16"/>
    </row>
    <row r="3515" spans="1:15" x14ac:dyDescent="0.35">
      <c r="A3515" s="16"/>
      <c r="B3515" s="16"/>
      <c r="C3515" s="16"/>
      <c r="D3515" s="16"/>
      <c r="E3515" s="16"/>
      <c r="F3515" s="16"/>
      <c r="G3515" s="16"/>
      <c r="H3515" s="16"/>
      <c r="I3515" s="16"/>
      <c r="J3515" s="16"/>
      <c r="K3515" s="16"/>
      <c r="L3515" s="16"/>
      <c r="M3515" s="16"/>
      <c r="N3515" s="16"/>
      <c r="O3515" s="16"/>
    </row>
    <row r="3516" spans="1:15" x14ac:dyDescent="0.35">
      <c r="A3516" s="16"/>
      <c r="B3516" s="16"/>
      <c r="C3516" s="16"/>
      <c r="D3516" s="16"/>
      <c r="E3516" s="16"/>
      <c r="F3516" s="16"/>
      <c r="G3516" s="16"/>
      <c r="H3516" s="16"/>
      <c r="I3516" s="16"/>
      <c r="J3516" s="16"/>
      <c r="K3516" s="16"/>
      <c r="L3516" s="16"/>
      <c r="M3516" s="16"/>
      <c r="N3516" s="16"/>
      <c r="O3516" s="16"/>
    </row>
    <row r="3517" spans="1:15" x14ac:dyDescent="0.35">
      <c r="A3517" s="16"/>
      <c r="B3517" s="16"/>
      <c r="C3517" s="16"/>
      <c r="D3517" s="16"/>
      <c r="E3517" s="16"/>
      <c r="F3517" s="16"/>
      <c r="G3517" s="16"/>
      <c r="H3517" s="16"/>
      <c r="I3517" s="16"/>
      <c r="J3517" s="16"/>
      <c r="K3517" s="16"/>
      <c r="L3517" s="16"/>
      <c r="M3517" s="16"/>
      <c r="N3517" s="16"/>
      <c r="O3517" s="16"/>
    </row>
    <row r="3518" spans="1:15" x14ac:dyDescent="0.35">
      <c r="A3518" s="16"/>
      <c r="B3518" s="16"/>
      <c r="C3518" s="16"/>
      <c r="D3518" s="16"/>
      <c r="E3518" s="16"/>
      <c r="F3518" s="16"/>
      <c r="G3518" s="16"/>
      <c r="H3518" s="16"/>
      <c r="I3518" s="16"/>
      <c r="J3518" s="16"/>
      <c r="K3518" s="16"/>
      <c r="L3518" s="16"/>
      <c r="M3518" s="16"/>
      <c r="N3518" s="16"/>
      <c r="O3518" s="16"/>
    </row>
    <row r="3519" spans="1:15" x14ac:dyDescent="0.35">
      <c r="A3519" s="16"/>
      <c r="B3519" s="16"/>
      <c r="C3519" s="16"/>
      <c r="D3519" s="16"/>
      <c r="E3519" s="16"/>
      <c r="F3519" s="16"/>
      <c r="G3519" s="16"/>
      <c r="H3519" s="16"/>
      <c r="I3519" s="16"/>
      <c r="J3519" s="16"/>
      <c r="K3519" s="16"/>
      <c r="L3519" s="16"/>
      <c r="M3519" s="16"/>
      <c r="N3519" s="16"/>
      <c r="O3519" s="16"/>
    </row>
    <row r="3520" spans="1:15" x14ac:dyDescent="0.35">
      <c r="A3520" s="16"/>
      <c r="B3520" s="16"/>
      <c r="C3520" s="16"/>
      <c r="D3520" s="16"/>
      <c r="E3520" s="16"/>
      <c r="F3520" s="16"/>
      <c r="G3520" s="16"/>
      <c r="H3520" s="16"/>
      <c r="I3520" s="16"/>
      <c r="J3520" s="16"/>
      <c r="K3520" s="16"/>
      <c r="L3520" s="16"/>
      <c r="M3520" s="16"/>
      <c r="N3520" s="16"/>
      <c r="O3520" s="16"/>
    </row>
    <row r="3521" spans="1:15" x14ac:dyDescent="0.35">
      <c r="A3521" s="16"/>
      <c r="B3521" s="16"/>
      <c r="C3521" s="16"/>
      <c r="D3521" s="16"/>
      <c r="E3521" s="16"/>
      <c r="F3521" s="16"/>
      <c r="G3521" s="16"/>
      <c r="H3521" s="16"/>
      <c r="I3521" s="16"/>
      <c r="J3521" s="16"/>
      <c r="K3521" s="16"/>
      <c r="L3521" s="16"/>
      <c r="M3521" s="16"/>
      <c r="N3521" s="16"/>
      <c r="O3521" s="16"/>
    </row>
    <row r="3522" spans="1:15" x14ac:dyDescent="0.35">
      <c r="A3522" s="16"/>
      <c r="B3522" s="16"/>
      <c r="C3522" s="16"/>
      <c r="D3522" s="16"/>
      <c r="E3522" s="16"/>
      <c r="F3522" s="16"/>
      <c r="G3522" s="16"/>
      <c r="H3522" s="16"/>
      <c r="I3522" s="16"/>
      <c r="J3522" s="16"/>
      <c r="K3522" s="16"/>
      <c r="L3522" s="16"/>
      <c r="M3522" s="16"/>
      <c r="N3522" s="16"/>
      <c r="O3522" s="16"/>
    </row>
    <row r="3523" spans="1:15" x14ac:dyDescent="0.35">
      <c r="A3523" s="16"/>
      <c r="B3523" s="16"/>
      <c r="C3523" s="16"/>
      <c r="D3523" s="16"/>
      <c r="E3523" s="16"/>
      <c r="F3523" s="16"/>
      <c r="G3523" s="16"/>
      <c r="H3523" s="16"/>
      <c r="I3523" s="16"/>
      <c r="J3523" s="16"/>
      <c r="K3523" s="16"/>
      <c r="L3523" s="16"/>
      <c r="M3523" s="16"/>
      <c r="N3523" s="16"/>
      <c r="O3523" s="16"/>
    </row>
    <row r="3524" spans="1:15" x14ac:dyDescent="0.35">
      <c r="A3524" s="16"/>
      <c r="B3524" s="16"/>
      <c r="C3524" s="16"/>
      <c r="D3524" s="16"/>
      <c r="E3524" s="16"/>
      <c r="F3524" s="16"/>
      <c r="G3524" s="16"/>
      <c r="H3524" s="16"/>
      <c r="I3524" s="16"/>
      <c r="J3524" s="16"/>
      <c r="K3524" s="16"/>
      <c r="L3524" s="16"/>
      <c r="M3524" s="16"/>
      <c r="N3524" s="16"/>
      <c r="O3524" s="16"/>
    </row>
    <row r="3525" spans="1:15" x14ac:dyDescent="0.35">
      <c r="A3525" s="16"/>
      <c r="B3525" s="16"/>
      <c r="C3525" s="16"/>
      <c r="D3525" s="16"/>
      <c r="E3525" s="16"/>
      <c r="F3525" s="16"/>
      <c r="G3525" s="16"/>
      <c r="H3525" s="16"/>
      <c r="I3525" s="16"/>
      <c r="J3525" s="16"/>
      <c r="K3525" s="16"/>
      <c r="L3525" s="16"/>
      <c r="M3525" s="16"/>
      <c r="N3525" s="16"/>
      <c r="O3525" s="16"/>
    </row>
    <row r="3526" spans="1:15" x14ac:dyDescent="0.35">
      <c r="A3526" s="16"/>
      <c r="B3526" s="16"/>
      <c r="C3526" s="16"/>
      <c r="D3526" s="16"/>
      <c r="E3526" s="16"/>
      <c r="F3526" s="16"/>
      <c r="G3526" s="16"/>
      <c r="H3526" s="16"/>
      <c r="I3526" s="16"/>
      <c r="J3526" s="16"/>
      <c r="K3526" s="16"/>
      <c r="L3526" s="16"/>
      <c r="M3526" s="16"/>
      <c r="N3526" s="16"/>
      <c r="O3526" s="16"/>
    </row>
    <row r="3527" spans="1:15" x14ac:dyDescent="0.35">
      <c r="A3527" s="16"/>
      <c r="B3527" s="16"/>
      <c r="C3527" s="16"/>
      <c r="D3527" s="16"/>
      <c r="E3527" s="16"/>
      <c r="F3527" s="16"/>
      <c r="G3527" s="16"/>
      <c r="H3527" s="16"/>
      <c r="I3527" s="16"/>
      <c r="J3527" s="16"/>
      <c r="K3527" s="16"/>
      <c r="L3527" s="16"/>
      <c r="M3527" s="16"/>
      <c r="N3527" s="16"/>
      <c r="O3527" s="16"/>
    </row>
    <row r="3528" spans="1:15" x14ac:dyDescent="0.35">
      <c r="A3528" s="16"/>
      <c r="B3528" s="16"/>
      <c r="C3528" s="16"/>
      <c r="D3528" s="16"/>
      <c r="E3528" s="16"/>
      <c r="F3528" s="16"/>
      <c r="G3528" s="16"/>
      <c r="H3528" s="16"/>
      <c r="I3528" s="16"/>
      <c r="J3528" s="16"/>
      <c r="K3528" s="16"/>
      <c r="L3528" s="16"/>
      <c r="M3528" s="16"/>
      <c r="N3528" s="16"/>
      <c r="O3528" s="16"/>
    </row>
    <row r="3529" spans="1:15" x14ac:dyDescent="0.35">
      <c r="A3529" s="16"/>
      <c r="B3529" s="16"/>
      <c r="C3529" s="16"/>
      <c r="D3529" s="16"/>
      <c r="E3529" s="16"/>
      <c r="F3529" s="16"/>
      <c r="G3529" s="16"/>
      <c r="H3529" s="16"/>
      <c r="I3529" s="16"/>
      <c r="J3529" s="16"/>
      <c r="K3529" s="16"/>
      <c r="L3529" s="16"/>
      <c r="M3529" s="16"/>
      <c r="N3529" s="16"/>
      <c r="O3529" s="16"/>
    </row>
    <row r="3530" spans="1:15" x14ac:dyDescent="0.35">
      <c r="A3530" s="16"/>
      <c r="B3530" s="16"/>
      <c r="C3530" s="16"/>
      <c r="D3530" s="16"/>
      <c r="E3530" s="16"/>
      <c r="F3530" s="16"/>
      <c r="G3530" s="16"/>
      <c r="H3530" s="16"/>
      <c r="I3530" s="16"/>
      <c r="J3530" s="16"/>
      <c r="K3530" s="16"/>
      <c r="L3530" s="16"/>
      <c r="M3530" s="16"/>
      <c r="N3530" s="16"/>
      <c r="O3530" s="16"/>
    </row>
    <row r="3531" spans="1:15" x14ac:dyDescent="0.35">
      <c r="A3531" s="16"/>
      <c r="B3531" s="16"/>
      <c r="C3531" s="16"/>
      <c r="D3531" s="16"/>
      <c r="E3531" s="16"/>
      <c r="F3531" s="16"/>
      <c r="G3531" s="16"/>
      <c r="H3531" s="16"/>
      <c r="I3531" s="16"/>
      <c r="J3531" s="16"/>
      <c r="K3531" s="16"/>
      <c r="L3531" s="16"/>
      <c r="M3531" s="16"/>
      <c r="N3531" s="16"/>
      <c r="O3531" s="16"/>
    </row>
    <row r="3532" spans="1:15" x14ac:dyDescent="0.35">
      <c r="A3532" s="16"/>
      <c r="B3532" s="16"/>
      <c r="C3532" s="16"/>
      <c r="D3532" s="16"/>
      <c r="E3532" s="16"/>
      <c r="F3532" s="16"/>
      <c r="G3532" s="16"/>
      <c r="H3532" s="16"/>
      <c r="I3532" s="16"/>
      <c r="J3532" s="16"/>
      <c r="K3532" s="16"/>
      <c r="L3532" s="16"/>
      <c r="M3532" s="16"/>
      <c r="N3532" s="16"/>
      <c r="O3532" s="16"/>
    </row>
    <row r="3533" spans="1:15" x14ac:dyDescent="0.35">
      <c r="A3533" s="16"/>
      <c r="B3533" s="16"/>
      <c r="C3533" s="16"/>
      <c r="D3533" s="16"/>
      <c r="E3533" s="16"/>
      <c r="F3533" s="16"/>
      <c r="G3533" s="16"/>
      <c r="H3533" s="16"/>
      <c r="I3533" s="16"/>
      <c r="J3533" s="16"/>
      <c r="K3533" s="16"/>
      <c r="L3533" s="16"/>
      <c r="M3533" s="16"/>
      <c r="N3533" s="16"/>
      <c r="O3533" s="16"/>
    </row>
    <row r="3534" spans="1:15" x14ac:dyDescent="0.35">
      <c r="A3534" s="16"/>
      <c r="B3534" s="16"/>
      <c r="C3534" s="16"/>
      <c r="D3534" s="16"/>
      <c r="E3534" s="16"/>
      <c r="F3534" s="16"/>
      <c r="G3534" s="16"/>
      <c r="H3534" s="16"/>
      <c r="I3534" s="16"/>
      <c r="J3534" s="16"/>
      <c r="K3534" s="16"/>
      <c r="L3534" s="16"/>
      <c r="M3534" s="16"/>
      <c r="N3534" s="16"/>
      <c r="O3534" s="16"/>
    </row>
    <row r="3535" spans="1:15" x14ac:dyDescent="0.35">
      <c r="A3535" s="16"/>
      <c r="B3535" s="16"/>
      <c r="C3535" s="16"/>
      <c r="D3535" s="16"/>
      <c r="E3535" s="16"/>
      <c r="F3535" s="16"/>
      <c r="G3535" s="16"/>
      <c r="H3535" s="16"/>
      <c r="I3535" s="16"/>
      <c r="J3535" s="16"/>
      <c r="K3535" s="16"/>
      <c r="L3535" s="16"/>
      <c r="M3535" s="16"/>
      <c r="N3535" s="16"/>
      <c r="O3535" s="16"/>
    </row>
    <row r="3536" spans="1:15" x14ac:dyDescent="0.35">
      <c r="A3536" s="16"/>
      <c r="B3536" s="16"/>
      <c r="C3536" s="16"/>
      <c r="D3536" s="16"/>
      <c r="E3536" s="16"/>
      <c r="F3536" s="16"/>
      <c r="G3536" s="16"/>
      <c r="H3536" s="16"/>
      <c r="I3536" s="16"/>
      <c r="J3536" s="16"/>
      <c r="K3536" s="16"/>
      <c r="L3536" s="16"/>
      <c r="M3536" s="16"/>
      <c r="N3536" s="16"/>
      <c r="O3536" s="16"/>
    </row>
    <row r="3537" spans="1:15" x14ac:dyDescent="0.35">
      <c r="A3537" s="16"/>
      <c r="B3537" s="16"/>
      <c r="C3537" s="16"/>
      <c r="D3537" s="16"/>
      <c r="E3537" s="16"/>
      <c r="F3537" s="16"/>
      <c r="G3537" s="16"/>
      <c r="H3537" s="16"/>
      <c r="I3537" s="16"/>
      <c r="J3537" s="16"/>
      <c r="K3537" s="16"/>
      <c r="L3537" s="16"/>
      <c r="M3537" s="16"/>
      <c r="N3537" s="16"/>
      <c r="O3537" s="16"/>
    </row>
    <row r="3538" spans="1:15" x14ac:dyDescent="0.35">
      <c r="A3538" s="16"/>
      <c r="B3538" s="16"/>
      <c r="C3538" s="16"/>
      <c r="D3538" s="16"/>
      <c r="E3538" s="16"/>
      <c r="F3538" s="16"/>
      <c r="G3538" s="16"/>
      <c r="H3538" s="16"/>
      <c r="I3538" s="16"/>
      <c r="J3538" s="16"/>
      <c r="K3538" s="16"/>
      <c r="L3538" s="16"/>
      <c r="M3538" s="16"/>
      <c r="N3538" s="16"/>
      <c r="O3538" s="16"/>
    </row>
    <row r="3539" spans="1:15" x14ac:dyDescent="0.35">
      <c r="A3539" s="16"/>
      <c r="B3539" s="16"/>
      <c r="C3539" s="16"/>
      <c r="D3539" s="16"/>
      <c r="E3539" s="16"/>
      <c r="F3539" s="16"/>
      <c r="G3539" s="16"/>
      <c r="H3539" s="16"/>
      <c r="I3539" s="16"/>
      <c r="J3539" s="16"/>
      <c r="K3539" s="16"/>
      <c r="L3539" s="16"/>
      <c r="M3539" s="16"/>
      <c r="N3539" s="16"/>
      <c r="O3539" s="16"/>
    </row>
    <row r="3540" spans="1:15" x14ac:dyDescent="0.35">
      <c r="A3540" s="16"/>
      <c r="B3540" s="16"/>
      <c r="C3540" s="16"/>
      <c r="D3540" s="16"/>
      <c r="E3540" s="16"/>
      <c r="F3540" s="16"/>
      <c r="G3540" s="16"/>
      <c r="H3540" s="16"/>
      <c r="I3540" s="16"/>
      <c r="J3540" s="16"/>
      <c r="K3540" s="16"/>
      <c r="L3540" s="16"/>
      <c r="M3540" s="16"/>
      <c r="N3540" s="16"/>
      <c r="O3540" s="16"/>
    </row>
    <row r="3541" spans="1:15" x14ac:dyDescent="0.35">
      <c r="A3541" s="16"/>
      <c r="B3541" s="16"/>
      <c r="C3541" s="16"/>
      <c r="D3541" s="16"/>
      <c r="E3541" s="16"/>
      <c r="F3541" s="16"/>
      <c r="G3541" s="16"/>
      <c r="H3541" s="16"/>
      <c r="I3541" s="16"/>
      <c r="J3541" s="16"/>
      <c r="K3541" s="16"/>
      <c r="L3541" s="16"/>
      <c r="M3541" s="16"/>
      <c r="N3541" s="16"/>
      <c r="O3541" s="16"/>
    </row>
    <row r="3542" spans="1:15" x14ac:dyDescent="0.35">
      <c r="A3542" s="16"/>
      <c r="B3542" s="16"/>
      <c r="C3542" s="16"/>
      <c r="D3542" s="16"/>
      <c r="E3542" s="16"/>
      <c r="F3542" s="16"/>
      <c r="G3542" s="16"/>
      <c r="H3542" s="16"/>
      <c r="I3542" s="16"/>
      <c r="J3542" s="16"/>
      <c r="K3542" s="16"/>
      <c r="L3542" s="16"/>
      <c r="M3542" s="16"/>
      <c r="N3542" s="16"/>
      <c r="O3542" s="16"/>
    </row>
    <row r="3543" spans="1:15" x14ac:dyDescent="0.35">
      <c r="A3543" s="16"/>
      <c r="B3543" s="16"/>
      <c r="C3543" s="16"/>
      <c r="D3543" s="16"/>
      <c r="E3543" s="16"/>
      <c r="F3543" s="16"/>
      <c r="G3543" s="16"/>
      <c r="H3543" s="16"/>
      <c r="I3543" s="16"/>
      <c r="J3543" s="16"/>
      <c r="K3543" s="16"/>
      <c r="L3543" s="16"/>
      <c r="M3543" s="16"/>
      <c r="N3543" s="16"/>
      <c r="O3543" s="16"/>
    </row>
    <row r="3544" spans="1:15" x14ac:dyDescent="0.35">
      <c r="A3544" s="16"/>
      <c r="B3544" s="16"/>
      <c r="C3544" s="16"/>
      <c r="D3544" s="16"/>
      <c r="E3544" s="16"/>
      <c r="F3544" s="16"/>
      <c r="G3544" s="16"/>
      <c r="H3544" s="16"/>
      <c r="I3544" s="16"/>
      <c r="J3544" s="16"/>
      <c r="K3544" s="16"/>
      <c r="L3544" s="16"/>
      <c r="M3544" s="16"/>
      <c r="N3544" s="16"/>
      <c r="O3544" s="16"/>
    </row>
    <row r="3545" spans="1:15" x14ac:dyDescent="0.35">
      <c r="A3545" s="16"/>
      <c r="B3545" s="16"/>
      <c r="C3545" s="16"/>
      <c r="D3545" s="16"/>
      <c r="E3545" s="16"/>
      <c r="F3545" s="16"/>
      <c r="G3545" s="16"/>
      <c r="H3545" s="16"/>
      <c r="I3545" s="16"/>
      <c r="J3545" s="16"/>
      <c r="K3545" s="16"/>
      <c r="L3545" s="16"/>
      <c r="M3545" s="16"/>
      <c r="N3545" s="16"/>
      <c r="O3545" s="16"/>
    </row>
    <row r="3546" spans="1:15" x14ac:dyDescent="0.35">
      <c r="A3546" s="16"/>
      <c r="B3546" s="16"/>
      <c r="C3546" s="16"/>
      <c r="D3546" s="16"/>
      <c r="E3546" s="16"/>
      <c r="F3546" s="16"/>
      <c r="G3546" s="16"/>
      <c r="H3546" s="16"/>
      <c r="I3546" s="16"/>
      <c r="J3546" s="16"/>
      <c r="K3546" s="16"/>
      <c r="L3546" s="16"/>
      <c r="M3546" s="16"/>
      <c r="N3546" s="16"/>
      <c r="O3546" s="16"/>
    </row>
    <row r="3547" spans="1:15" x14ac:dyDescent="0.35">
      <c r="A3547" s="16"/>
      <c r="B3547" s="16"/>
      <c r="C3547" s="16"/>
      <c r="D3547" s="16"/>
      <c r="E3547" s="16"/>
      <c r="F3547" s="16"/>
      <c r="G3547" s="16"/>
      <c r="H3547" s="16"/>
      <c r="I3547" s="16"/>
      <c r="J3547" s="16"/>
      <c r="K3547" s="16"/>
      <c r="L3547" s="16"/>
      <c r="M3547" s="16"/>
      <c r="N3547" s="16"/>
      <c r="O3547" s="16"/>
    </row>
    <row r="3548" spans="1:15" x14ac:dyDescent="0.35">
      <c r="A3548" s="16"/>
      <c r="B3548" s="16"/>
      <c r="C3548" s="16"/>
      <c r="D3548" s="16"/>
      <c r="E3548" s="16"/>
      <c r="F3548" s="16"/>
      <c r="G3548" s="16"/>
      <c r="H3548" s="16"/>
      <c r="I3548" s="16"/>
      <c r="J3548" s="16"/>
      <c r="K3548" s="16"/>
      <c r="L3548" s="16"/>
      <c r="M3548" s="16"/>
      <c r="N3548" s="16"/>
      <c r="O3548" s="16"/>
    </row>
    <row r="3549" spans="1:15" x14ac:dyDescent="0.35">
      <c r="A3549" s="16"/>
      <c r="B3549" s="16"/>
      <c r="C3549" s="16"/>
      <c r="D3549" s="16"/>
      <c r="E3549" s="16"/>
      <c r="F3549" s="16"/>
      <c r="G3549" s="16"/>
      <c r="H3549" s="16"/>
      <c r="I3549" s="16"/>
      <c r="J3549" s="16"/>
      <c r="K3549" s="16"/>
      <c r="L3549" s="16"/>
      <c r="M3549" s="16"/>
      <c r="N3549" s="16"/>
      <c r="O3549" s="16"/>
    </row>
    <row r="3550" spans="1:15" x14ac:dyDescent="0.35">
      <c r="A3550" s="16"/>
      <c r="B3550" s="16"/>
      <c r="C3550" s="16"/>
      <c r="D3550" s="16"/>
      <c r="E3550" s="16"/>
      <c r="F3550" s="16"/>
      <c r="G3550" s="16"/>
      <c r="H3550" s="16"/>
      <c r="I3550" s="16"/>
      <c r="J3550" s="16"/>
      <c r="K3550" s="16"/>
      <c r="L3550" s="16"/>
      <c r="M3550" s="16"/>
      <c r="N3550" s="16"/>
      <c r="O3550" s="16"/>
    </row>
    <row r="3551" spans="1:15" x14ac:dyDescent="0.35">
      <c r="A3551" s="16"/>
      <c r="B3551" s="16"/>
      <c r="C3551" s="16"/>
      <c r="D3551" s="16"/>
      <c r="E3551" s="16"/>
      <c r="F3551" s="16"/>
      <c r="G3551" s="16"/>
      <c r="H3551" s="16"/>
      <c r="I3551" s="16"/>
      <c r="J3551" s="16"/>
      <c r="K3551" s="16"/>
      <c r="L3551" s="16"/>
      <c r="M3551" s="16"/>
      <c r="N3551" s="16"/>
      <c r="O3551" s="16"/>
    </row>
    <row r="3552" spans="1:15" x14ac:dyDescent="0.35">
      <c r="A3552" s="16"/>
      <c r="B3552" s="16"/>
      <c r="C3552" s="16"/>
      <c r="D3552" s="16"/>
      <c r="E3552" s="16"/>
      <c r="F3552" s="16"/>
      <c r="G3552" s="16"/>
      <c r="H3552" s="16"/>
      <c r="I3552" s="16"/>
      <c r="J3552" s="16"/>
      <c r="K3552" s="16"/>
      <c r="L3552" s="16"/>
      <c r="M3552" s="16"/>
      <c r="N3552" s="16"/>
      <c r="O3552" s="16"/>
    </row>
    <row r="3553" spans="1:15" x14ac:dyDescent="0.35">
      <c r="A3553" s="16"/>
      <c r="B3553" s="16"/>
      <c r="C3553" s="16"/>
      <c r="D3553" s="16"/>
      <c r="E3553" s="16"/>
      <c r="F3553" s="16"/>
      <c r="G3553" s="16"/>
      <c r="H3553" s="16"/>
      <c r="I3553" s="16"/>
      <c r="J3553" s="16"/>
      <c r="K3553" s="16"/>
      <c r="L3553" s="16"/>
      <c r="M3553" s="16"/>
      <c r="N3553" s="16"/>
      <c r="O3553" s="16"/>
    </row>
    <row r="3554" spans="1:15" x14ac:dyDescent="0.35">
      <c r="A3554" s="16"/>
      <c r="B3554" s="16"/>
      <c r="C3554" s="16"/>
      <c r="D3554" s="16"/>
      <c r="E3554" s="16"/>
      <c r="F3554" s="16"/>
      <c r="G3554" s="16"/>
      <c r="H3554" s="16"/>
      <c r="I3554" s="16"/>
      <c r="J3554" s="16"/>
      <c r="K3554" s="16"/>
      <c r="L3554" s="16"/>
      <c r="M3554" s="16"/>
      <c r="N3554" s="16"/>
      <c r="O3554" s="16"/>
    </row>
    <row r="3555" spans="1:15" x14ac:dyDescent="0.35">
      <c r="A3555" s="16"/>
      <c r="B3555" s="16"/>
      <c r="C3555" s="16"/>
      <c r="D3555" s="16"/>
      <c r="E3555" s="16"/>
      <c r="F3555" s="16"/>
      <c r="G3555" s="16"/>
      <c r="H3555" s="16"/>
      <c r="I3555" s="16"/>
      <c r="J3555" s="16"/>
      <c r="K3555" s="16"/>
      <c r="L3555" s="16"/>
      <c r="M3555" s="16"/>
      <c r="N3555" s="16"/>
      <c r="O3555" s="16"/>
    </row>
    <row r="3556" spans="1:15" x14ac:dyDescent="0.35">
      <c r="A3556" s="16"/>
      <c r="B3556" s="16"/>
      <c r="C3556" s="16"/>
      <c r="D3556" s="16"/>
      <c r="E3556" s="16"/>
      <c r="F3556" s="16"/>
      <c r="G3556" s="16"/>
      <c r="H3556" s="16"/>
      <c r="I3556" s="16"/>
      <c r="J3556" s="16"/>
      <c r="K3556" s="16"/>
      <c r="L3556" s="16"/>
      <c r="M3556" s="16"/>
      <c r="N3556" s="16"/>
      <c r="O3556" s="16"/>
    </row>
    <row r="3557" spans="1:15" x14ac:dyDescent="0.35">
      <c r="A3557" s="16"/>
      <c r="B3557" s="16"/>
      <c r="C3557" s="16"/>
      <c r="D3557" s="16"/>
      <c r="E3557" s="16"/>
      <c r="F3557" s="16"/>
      <c r="G3557" s="16"/>
      <c r="H3557" s="16"/>
      <c r="I3557" s="16"/>
      <c r="J3557" s="16"/>
      <c r="K3557" s="16"/>
      <c r="L3557" s="16"/>
      <c r="M3557" s="16"/>
      <c r="N3557" s="16"/>
      <c r="O3557" s="16"/>
    </row>
    <row r="3558" spans="1:15" x14ac:dyDescent="0.35">
      <c r="A3558" s="16"/>
      <c r="B3558" s="16"/>
      <c r="C3558" s="16"/>
      <c r="D3558" s="16"/>
      <c r="E3558" s="16"/>
      <c r="F3558" s="16"/>
      <c r="G3558" s="16"/>
      <c r="H3558" s="16"/>
      <c r="I3558" s="16"/>
      <c r="J3558" s="16"/>
      <c r="K3558" s="16"/>
      <c r="L3558" s="16"/>
      <c r="M3558" s="16"/>
      <c r="N3558" s="16"/>
      <c r="O3558" s="16"/>
    </row>
    <row r="3559" spans="1:15" x14ac:dyDescent="0.35">
      <c r="A3559" s="16"/>
      <c r="B3559" s="16"/>
      <c r="C3559" s="16"/>
      <c r="D3559" s="16"/>
      <c r="E3559" s="16"/>
      <c r="F3559" s="16"/>
      <c r="G3559" s="16"/>
      <c r="H3559" s="16"/>
      <c r="I3559" s="16"/>
      <c r="J3559" s="16"/>
      <c r="K3559" s="16"/>
      <c r="L3559" s="16"/>
      <c r="M3559" s="16"/>
      <c r="N3559" s="16"/>
      <c r="O3559" s="16"/>
    </row>
    <row r="3560" spans="1:15" x14ac:dyDescent="0.35">
      <c r="A3560" s="16"/>
      <c r="B3560" s="16"/>
      <c r="C3560" s="16"/>
      <c r="D3560" s="16"/>
      <c r="E3560" s="16"/>
      <c r="F3560" s="16"/>
      <c r="G3560" s="16"/>
      <c r="H3560" s="16"/>
      <c r="I3560" s="16"/>
      <c r="J3560" s="16"/>
      <c r="K3560" s="16"/>
      <c r="L3560" s="16"/>
      <c r="M3560" s="16"/>
      <c r="N3560" s="16"/>
      <c r="O3560" s="16"/>
    </row>
    <row r="3561" spans="1:15" x14ac:dyDescent="0.35">
      <c r="A3561" s="16"/>
      <c r="B3561" s="16"/>
      <c r="C3561" s="16"/>
      <c r="D3561" s="16"/>
      <c r="E3561" s="16"/>
      <c r="F3561" s="16"/>
      <c r="G3561" s="16"/>
      <c r="H3561" s="16"/>
      <c r="I3561" s="16"/>
      <c r="J3561" s="16"/>
      <c r="K3561" s="16"/>
      <c r="L3561" s="16"/>
      <c r="M3561" s="16"/>
      <c r="N3561" s="16"/>
      <c r="O3561" s="16"/>
    </row>
    <row r="3562" spans="1:15" x14ac:dyDescent="0.35">
      <c r="A3562" s="16"/>
      <c r="B3562" s="16"/>
      <c r="C3562" s="16"/>
      <c r="D3562" s="16"/>
      <c r="E3562" s="16"/>
      <c r="F3562" s="16"/>
      <c r="G3562" s="16"/>
      <c r="H3562" s="16"/>
      <c r="I3562" s="16"/>
      <c r="J3562" s="16"/>
      <c r="K3562" s="16"/>
      <c r="L3562" s="16"/>
      <c r="M3562" s="16"/>
      <c r="N3562" s="16"/>
      <c r="O3562" s="16"/>
    </row>
    <row r="3563" spans="1:15" x14ac:dyDescent="0.35">
      <c r="A3563" s="16"/>
      <c r="B3563" s="16"/>
      <c r="C3563" s="16"/>
      <c r="D3563" s="16"/>
      <c r="E3563" s="16"/>
      <c r="F3563" s="16"/>
      <c r="G3563" s="16"/>
      <c r="H3563" s="16"/>
      <c r="I3563" s="16"/>
      <c r="J3563" s="16"/>
      <c r="K3563" s="16"/>
      <c r="L3563" s="16"/>
      <c r="M3563" s="16"/>
      <c r="N3563" s="16"/>
      <c r="O3563" s="16"/>
    </row>
    <row r="3564" spans="1:15" x14ac:dyDescent="0.35">
      <c r="A3564" s="16"/>
      <c r="B3564" s="16"/>
      <c r="C3564" s="16"/>
      <c r="D3564" s="16"/>
      <c r="E3564" s="16"/>
      <c r="F3564" s="16"/>
      <c r="G3564" s="16"/>
      <c r="H3564" s="16"/>
      <c r="I3564" s="16"/>
      <c r="J3564" s="16"/>
      <c r="K3564" s="16"/>
      <c r="L3564" s="16"/>
      <c r="M3564" s="16"/>
      <c r="N3564" s="16"/>
      <c r="O3564" s="16"/>
    </row>
    <row r="3565" spans="1:15" x14ac:dyDescent="0.35">
      <c r="A3565" s="16"/>
      <c r="B3565" s="16"/>
      <c r="C3565" s="16"/>
      <c r="D3565" s="16"/>
      <c r="E3565" s="16"/>
      <c r="F3565" s="16"/>
      <c r="G3565" s="16"/>
      <c r="H3565" s="16"/>
      <c r="I3565" s="16"/>
      <c r="J3565" s="16"/>
      <c r="K3565" s="16"/>
      <c r="L3565" s="16"/>
      <c r="M3565" s="16"/>
      <c r="N3565" s="16"/>
      <c r="O3565" s="16"/>
    </row>
    <row r="3566" spans="1:15" x14ac:dyDescent="0.35">
      <c r="A3566" s="16"/>
      <c r="B3566" s="16"/>
      <c r="C3566" s="16"/>
      <c r="D3566" s="16"/>
      <c r="E3566" s="16"/>
      <c r="F3566" s="16"/>
      <c r="G3566" s="16"/>
      <c r="H3566" s="16"/>
      <c r="I3566" s="16"/>
      <c r="J3566" s="16"/>
      <c r="K3566" s="16"/>
      <c r="L3566" s="16"/>
      <c r="M3566" s="16"/>
      <c r="N3566" s="16"/>
      <c r="O3566" s="16"/>
    </row>
    <row r="3567" spans="1:15" x14ac:dyDescent="0.35">
      <c r="A3567" s="16"/>
      <c r="B3567" s="16"/>
      <c r="C3567" s="16"/>
      <c r="D3567" s="16"/>
      <c r="E3567" s="16"/>
      <c r="F3567" s="16"/>
      <c r="G3567" s="16"/>
      <c r="H3567" s="16"/>
      <c r="I3567" s="16"/>
      <c r="J3567" s="16"/>
      <c r="K3567" s="16"/>
      <c r="L3567" s="16"/>
      <c r="M3567" s="16"/>
      <c r="N3567" s="16"/>
      <c r="O3567" s="16"/>
    </row>
    <row r="3568" spans="1:15" x14ac:dyDescent="0.35">
      <c r="A3568" s="16"/>
      <c r="B3568" s="16"/>
      <c r="C3568" s="16"/>
      <c r="D3568" s="16"/>
      <c r="E3568" s="16"/>
      <c r="F3568" s="16"/>
      <c r="G3568" s="16"/>
      <c r="H3568" s="16"/>
      <c r="I3568" s="16"/>
      <c r="J3568" s="16"/>
      <c r="K3568" s="16"/>
      <c r="L3568" s="16"/>
      <c r="M3568" s="16"/>
      <c r="N3568" s="16"/>
      <c r="O3568" s="16"/>
    </row>
    <row r="3569" spans="1:15" x14ac:dyDescent="0.35">
      <c r="A3569" s="16"/>
      <c r="B3569" s="16"/>
      <c r="C3569" s="16"/>
      <c r="D3569" s="16"/>
      <c r="E3569" s="16"/>
      <c r="F3569" s="16"/>
      <c r="G3569" s="16"/>
      <c r="H3569" s="16"/>
      <c r="I3569" s="16"/>
      <c r="J3569" s="16"/>
      <c r="K3569" s="16"/>
      <c r="L3569" s="16"/>
      <c r="M3569" s="16"/>
      <c r="N3569" s="16"/>
      <c r="O3569" s="16"/>
    </row>
    <row r="3570" spans="1:15" x14ac:dyDescent="0.35">
      <c r="A3570" s="16"/>
      <c r="B3570" s="16"/>
      <c r="C3570" s="16"/>
      <c r="D3570" s="16"/>
      <c r="E3570" s="16"/>
      <c r="F3570" s="16"/>
      <c r="G3570" s="16"/>
      <c r="H3570" s="16"/>
      <c r="I3570" s="16"/>
      <c r="J3570" s="16"/>
      <c r="K3570" s="16"/>
      <c r="L3570" s="16"/>
      <c r="M3570" s="16"/>
      <c r="N3570" s="16"/>
      <c r="O3570" s="16"/>
    </row>
    <row r="3571" spans="1:15" x14ac:dyDescent="0.35">
      <c r="A3571" s="16"/>
      <c r="B3571" s="16"/>
      <c r="C3571" s="16"/>
      <c r="D3571" s="16"/>
      <c r="E3571" s="16"/>
      <c r="F3571" s="16"/>
      <c r="G3571" s="16"/>
      <c r="H3571" s="16"/>
      <c r="I3571" s="16"/>
      <c r="J3571" s="16"/>
      <c r="K3571" s="16"/>
      <c r="L3571" s="16"/>
      <c r="M3571" s="16"/>
      <c r="N3571" s="16"/>
      <c r="O3571" s="16"/>
    </row>
    <row r="3572" spans="1:15" x14ac:dyDescent="0.35">
      <c r="A3572" s="16"/>
      <c r="B3572" s="16"/>
      <c r="C3572" s="16"/>
      <c r="D3572" s="16"/>
      <c r="E3572" s="16"/>
      <c r="F3572" s="16"/>
      <c r="G3572" s="16"/>
      <c r="H3572" s="16"/>
      <c r="I3572" s="16"/>
      <c r="J3572" s="16"/>
      <c r="K3572" s="16"/>
      <c r="L3572" s="16"/>
      <c r="M3572" s="16"/>
      <c r="N3572" s="16"/>
      <c r="O3572" s="16"/>
    </row>
    <row r="3573" spans="1:15" x14ac:dyDescent="0.35">
      <c r="A3573" s="16"/>
      <c r="B3573" s="16"/>
      <c r="C3573" s="16"/>
      <c r="D3573" s="16"/>
      <c r="E3573" s="16"/>
      <c r="F3573" s="16"/>
      <c r="G3573" s="16"/>
      <c r="H3573" s="16"/>
      <c r="I3573" s="16"/>
      <c r="J3573" s="16"/>
      <c r="K3573" s="16"/>
      <c r="L3573" s="16"/>
      <c r="M3573" s="16"/>
      <c r="N3573" s="16"/>
      <c r="O3573" s="16"/>
    </row>
    <row r="3574" spans="1:15" x14ac:dyDescent="0.35">
      <c r="A3574" s="16"/>
      <c r="B3574" s="16"/>
      <c r="C3574" s="16"/>
      <c r="D3574" s="16"/>
      <c r="E3574" s="16"/>
      <c r="F3574" s="16"/>
      <c r="G3574" s="16"/>
      <c r="H3574" s="16"/>
      <c r="I3574" s="16"/>
      <c r="J3574" s="16"/>
      <c r="K3574" s="16"/>
      <c r="L3574" s="16"/>
      <c r="M3574" s="16"/>
      <c r="N3574" s="16"/>
      <c r="O3574" s="16"/>
    </row>
    <row r="3575" spans="1:15" x14ac:dyDescent="0.35">
      <c r="A3575" s="16"/>
      <c r="B3575" s="16"/>
      <c r="C3575" s="16"/>
      <c r="D3575" s="16"/>
      <c r="E3575" s="16"/>
      <c r="F3575" s="16"/>
      <c r="G3575" s="16"/>
      <c r="H3575" s="16"/>
      <c r="I3575" s="16"/>
      <c r="J3575" s="16"/>
      <c r="K3575" s="16"/>
      <c r="L3575" s="16"/>
      <c r="M3575" s="16"/>
      <c r="N3575" s="16"/>
      <c r="O3575" s="16"/>
    </row>
    <row r="3576" spans="1:15" x14ac:dyDescent="0.35">
      <c r="A3576" s="16"/>
      <c r="B3576" s="16"/>
      <c r="C3576" s="16"/>
      <c r="D3576" s="16"/>
      <c r="E3576" s="16"/>
      <c r="F3576" s="16"/>
      <c r="G3576" s="16"/>
      <c r="H3576" s="16"/>
      <c r="I3576" s="16"/>
      <c r="J3576" s="16"/>
      <c r="K3576" s="16"/>
      <c r="L3576" s="16"/>
      <c r="M3576" s="16"/>
      <c r="N3576" s="16"/>
      <c r="O3576" s="16"/>
    </row>
    <row r="3577" spans="1:15" x14ac:dyDescent="0.35">
      <c r="A3577" s="16"/>
      <c r="B3577" s="16"/>
      <c r="C3577" s="16"/>
      <c r="D3577" s="16"/>
      <c r="E3577" s="16"/>
      <c r="F3577" s="16"/>
      <c r="G3577" s="16"/>
      <c r="H3577" s="16"/>
      <c r="I3577" s="16"/>
      <c r="J3577" s="16"/>
      <c r="K3577" s="16"/>
      <c r="L3577" s="16"/>
      <c r="M3577" s="16"/>
      <c r="N3577" s="16"/>
      <c r="O3577" s="16"/>
    </row>
    <row r="3578" spans="1:15" x14ac:dyDescent="0.35">
      <c r="A3578" s="16"/>
      <c r="B3578" s="16"/>
      <c r="C3578" s="16"/>
      <c r="D3578" s="16"/>
      <c r="E3578" s="16"/>
      <c r="F3578" s="16"/>
      <c r="G3578" s="16"/>
      <c r="H3578" s="16"/>
      <c r="I3578" s="16"/>
      <c r="J3578" s="16"/>
      <c r="K3578" s="16"/>
      <c r="L3578" s="16"/>
      <c r="M3578" s="16"/>
      <c r="N3578" s="16"/>
      <c r="O3578" s="16"/>
    </row>
    <row r="3579" spans="1:15" x14ac:dyDescent="0.35">
      <c r="A3579" s="16"/>
      <c r="B3579" s="16"/>
      <c r="C3579" s="16"/>
      <c r="D3579" s="16"/>
      <c r="E3579" s="16"/>
      <c r="F3579" s="16"/>
      <c r="G3579" s="16"/>
      <c r="H3579" s="16"/>
      <c r="I3579" s="16"/>
      <c r="J3579" s="16"/>
      <c r="K3579" s="16"/>
      <c r="L3579" s="16"/>
      <c r="M3579" s="16"/>
      <c r="N3579" s="16"/>
      <c r="O3579" s="16"/>
    </row>
    <row r="3580" spans="1:15" x14ac:dyDescent="0.35">
      <c r="A3580" s="16"/>
      <c r="B3580" s="16"/>
      <c r="C3580" s="16"/>
      <c r="D3580" s="16"/>
      <c r="E3580" s="16"/>
      <c r="F3580" s="16"/>
      <c r="G3580" s="16"/>
      <c r="H3580" s="16"/>
      <c r="I3580" s="16"/>
      <c r="J3580" s="16"/>
      <c r="K3580" s="16"/>
      <c r="L3580" s="16"/>
      <c r="M3580" s="16"/>
      <c r="N3580" s="16"/>
      <c r="O3580" s="16"/>
    </row>
    <row r="3581" spans="1:15" x14ac:dyDescent="0.35">
      <c r="A3581" s="16"/>
      <c r="B3581" s="16"/>
      <c r="C3581" s="16"/>
      <c r="D3581" s="16"/>
      <c r="E3581" s="16"/>
      <c r="F3581" s="16"/>
      <c r="G3581" s="16"/>
      <c r="H3581" s="16"/>
      <c r="I3581" s="16"/>
      <c r="J3581" s="16"/>
      <c r="K3581" s="16"/>
      <c r="L3581" s="16"/>
      <c r="M3581" s="16"/>
      <c r="N3581" s="16"/>
      <c r="O3581" s="16"/>
    </row>
    <row r="3582" spans="1:15" x14ac:dyDescent="0.35">
      <c r="A3582" s="16"/>
      <c r="B3582" s="16"/>
      <c r="C3582" s="16"/>
      <c r="D3582" s="16"/>
      <c r="E3582" s="16"/>
      <c r="F3582" s="16"/>
      <c r="G3582" s="16"/>
      <c r="H3582" s="16"/>
      <c r="I3582" s="16"/>
      <c r="J3582" s="16"/>
      <c r="K3582" s="16"/>
      <c r="L3582" s="16"/>
      <c r="M3582" s="16"/>
      <c r="N3582" s="16"/>
      <c r="O3582" s="16"/>
    </row>
    <row r="3583" spans="1:15" x14ac:dyDescent="0.35">
      <c r="A3583" s="16"/>
      <c r="B3583" s="16"/>
      <c r="C3583" s="16"/>
      <c r="D3583" s="16"/>
      <c r="E3583" s="16"/>
      <c r="F3583" s="16"/>
      <c r="G3583" s="16"/>
      <c r="H3583" s="16"/>
      <c r="I3583" s="16"/>
      <c r="J3583" s="16"/>
      <c r="K3583" s="16"/>
      <c r="L3583" s="16"/>
      <c r="M3583" s="16"/>
      <c r="N3583" s="16"/>
      <c r="O3583" s="16"/>
    </row>
    <row r="3584" spans="1:15" x14ac:dyDescent="0.35">
      <c r="A3584" s="16"/>
      <c r="B3584" s="16"/>
      <c r="C3584" s="16"/>
      <c r="D3584" s="16"/>
      <c r="E3584" s="16"/>
      <c r="F3584" s="16"/>
      <c r="G3584" s="16"/>
      <c r="H3584" s="16"/>
      <c r="I3584" s="16"/>
      <c r="J3584" s="16"/>
      <c r="K3584" s="16"/>
      <c r="L3584" s="16"/>
      <c r="M3584" s="16"/>
      <c r="N3584" s="16"/>
      <c r="O3584" s="16"/>
    </row>
    <row r="3585" spans="1:15" x14ac:dyDescent="0.35">
      <c r="A3585" s="16"/>
      <c r="B3585" s="16"/>
      <c r="C3585" s="16"/>
      <c r="D3585" s="16"/>
      <c r="E3585" s="16"/>
      <c r="F3585" s="16"/>
      <c r="G3585" s="16"/>
      <c r="H3585" s="16"/>
      <c r="I3585" s="16"/>
      <c r="J3585" s="16"/>
      <c r="K3585" s="16"/>
      <c r="L3585" s="16"/>
      <c r="M3585" s="16"/>
      <c r="N3585" s="16"/>
      <c r="O3585" s="16"/>
    </row>
    <row r="3586" spans="1:15" x14ac:dyDescent="0.35">
      <c r="A3586" s="16"/>
      <c r="B3586" s="16"/>
      <c r="C3586" s="16"/>
      <c r="D3586" s="16"/>
      <c r="E3586" s="16"/>
      <c r="F3586" s="16"/>
      <c r="G3586" s="16"/>
      <c r="H3586" s="16"/>
      <c r="I3586" s="16"/>
      <c r="J3586" s="16"/>
      <c r="K3586" s="16"/>
      <c r="L3586" s="16"/>
      <c r="M3586" s="16"/>
      <c r="N3586" s="16"/>
      <c r="O3586" s="16"/>
    </row>
    <row r="3587" spans="1:15" x14ac:dyDescent="0.35">
      <c r="A3587" s="16"/>
      <c r="B3587" s="16"/>
      <c r="C3587" s="16"/>
      <c r="D3587" s="16"/>
      <c r="E3587" s="16"/>
      <c r="F3587" s="16"/>
      <c r="G3587" s="16"/>
      <c r="H3587" s="16"/>
      <c r="I3587" s="16"/>
      <c r="J3587" s="16"/>
      <c r="K3587" s="16"/>
      <c r="L3587" s="16"/>
      <c r="M3587" s="16"/>
      <c r="N3587" s="16"/>
      <c r="O3587" s="16"/>
    </row>
    <row r="3588" spans="1:15" x14ac:dyDescent="0.35">
      <c r="A3588" s="16"/>
      <c r="B3588" s="16"/>
      <c r="C3588" s="16"/>
      <c r="D3588" s="16"/>
      <c r="E3588" s="16"/>
      <c r="F3588" s="16"/>
      <c r="G3588" s="16"/>
      <c r="H3588" s="16"/>
      <c r="I3588" s="16"/>
      <c r="J3588" s="16"/>
      <c r="K3588" s="16"/>
      <c r="L3588" s="16"/>
      <c r="M3588" s="16"/>
      <c r="N3588" s="16"/>
      <c r="O3588" s="16"/>
    </row>
    <row r="3589" spans="1:15" x14ac:dyDescent="0.35">
      <c r="A3589" s="16"/>
      <c r="B3589" s="16"/>
      <c r="C3589" s="16"/>
      <c r="D3589" s="16"/>
      <c r="E3589" s="16"/>
      <c r="F3589" s="16"/>
      <c r="G3589" s="16"/>
      <c r="H3589" s="16"/>
      <c r="I3589" s="16"/>
      <c r="J3589" s="16"/>
      <c r="K3589" s="16"/>
      <c r="L3589" s="16"/>
      <c r="M3589" s="16"/>
      <c r="N3589" s="16"/>
      <c r="O3589" s="16"/>
    </row>
    <row r="3590" spans="1:15" x14ac:dyDescent="0.35">
      <c r="A3590" s="16"/>
      <c r="B3590" s="16"/>
      <c r="C3590" s="16"/>
      <c r="D3590" s="16"/>
      <c r="E3590" s="16"/>
      <c r="F3590" s="16"/>
      <c r="G3590" s="16"/>
      <c r="H3590" s="16"/>
      <c r="I3590" s="16"/>
      <c r="J3590" s="16"/>
      <c r="K3590" s="16"/>
      <c r="L3590" s="16"/>
      <c r="M3590" s="16"/>
      <c r="N3590" s="16"/>
      <c r="O3590" s="16"/>
    </row>
    <row r="3591" spans="1:15" x14ac:dyDescent="0.35">
      <c r="A3591" s="16"/>
      <c r="B3591" s="16"/>
      <c r="C3591" s="16"/>
      <c r="D3591" s="16"/>
      <c r="E3591" s="16"/>
      <c r="F3591" s="16"/>
      <c r="G3591" s="16"/>
      <c r="H3591" s="16"/>
      <c r="I3591" s="16"/>
      <c r="J3591" s="16"/>
      <c r="K3591" s="16"/>
      <c r="L3591" s="16"/>
      <c r="M3591" s="16"/>
      <c r="N3591" s="16"/>
      <c r="O3591" s="16"/>
    </row>
    <row r="3592" spans="1:15" x14ac:dyDescent="0.35">
      <c r="A3592" s="16"/>
      <c r="B3592" s="16"/>
      <c r="C3592" s="16"/>
      <c r="D3592" s="16"/>
      <c r="E3592" s="16"/>
      <c r="F3592" s="16"/>
      <c r="G3592" s="16"/>
      <c r="H3592" s="16"/>
      <c r="I3592" s="16"/>
      <c r="J3592" s="16"/>
      <c r="K3592" s="16"/>
      <c r="L3592" s="16"/>
      <c r="M3592" s="16"/>
      <c r="N3592" s="16"/>
      <c r="O3592" s="16"/>
    </row>
    <row r="3593" spans="1:15" x14ac:dyDescent="0.35">
      <c r="A3593" s="16"/>
      <c r="B3593" s="16"/>
      <c r="C3593" s="16"/>
      <c r="D3593" s="16"/>
      <c r="E3593" s="16"/>
      <c r="F3593" s="16"/>
      <c r="G3593" s="16"/>
      <c r="H3593" s="16"/>
      <c r="I3593" s="16"/>
      <c r="J3593" s="16"/>
      <c r="K3593" s="16"/>
      <c r="L3593" s="16"/>
      <c r="M3593" s="16"/>
      <c r="N3593" s="16"/>
      <c r="O3593" s="16"/>
    </row>
    <row r="3594" spans="1:15" x14ac:dyDescent="0.35">
      <c r="A3594" s="16"/>
      <c r="B3594" s="16"/>
      <c r="C3594" s="16"/>
      <c r="D3594" s="16"/>
      <c r="E3594" s="16"/>
      <c r="F3594" s="16"/>
      <c r="G3594" s="16"/>
      <c r="H3594" s="16"/>
      <c r="I3594" s="16"/>
      <c r="J3594" s="16"/>
      <c r="K3594" s="16"/>
      <c r="L3594" s="16"/>
      <c r="M3594" s="16"/>
      <c r="N3594" s="16"/>
      <c r="O3594" s="16"/>
    </row>
    <row r="3595" spans="1:15" x14ac:dyDescent="0.35">
      <c r="A3595" s="16"/>
      <c r="B3595" s="16"/>
      <c r="C3595" s="16"/>
      <c r="D3595" s="16"/>
      <c r="E3595" s="16"/>
      <c r="F3595" s="16"/>
      <c r="G3595" s="16"/>
      <c r="H3595" s="16"/>
      <c r="I3595" s="16"/>
      <c r="J3595" s="16"/>
      <c r="K3595" s="16"/>
      <c r="L3595" s="16"/>
      <c r="M3595" s="16"/>
      <c r="N3595" s="16"/>
      <c r="O3595" s="16"/>
    </row>
    <row r="3596" spans="1:15" x14ac:dyDescent="0.35">
      <c r="A3596" s="16"/>
      <c r="B3596" s="16"/>
      <c r="C3596" s="16"/>
      <c r="D3596" s="16"/>
      <c r="E3596" s="16"/>
      <c r="F3596" s="16"/>
      <c r="G3596" s="16"/>
      <c r="H3596" s="16"/>
      <c r="I3596" s="16"/>
      <c r="J3596" s="16"/>
      <c r="K3596" s="16"/>
      <c r="L3596" s="16"/>
      <c r="M3596" s="16"/>
      <c r="N3596" s="16"/>
      <c r="O3596" s="16"/>
    </row>
    <row r="3597" spans="1:15" x14ac:dyDescent="0.35">
      <c r="A3597" s="16"/>
      <c r="B3597" s="16"/>
      <c r="C3597" s="16"/>
      <c r="D3597" s="16"/>
      <c r="E3597" s="16"/>
      <c r="F3597" s="16"/>
      <c r="G3597" s="16"/>
      <c r="H3597" s="16"/>
      <c r="I3597" s="16"/>
      <c r="J3597" s="16"/>
      <c r="K3597" s="16"/>
      <c r="L3597" s="16"/>
      <c r="M3597" s="16"/>
      <c r="N3597" s="16"/>
      <c r="O3597" s="16"/>
    </row>
    <row r="3598" spans="1:15" x14ac:dyDescent="0.35">
      <c r="A3598" s="16"/>
      <c r="B3598" s="16"/>
      <c r="C3598" s="16"/>
      <c r="D3598" s="16"/>
      <c r="E3598" s="16"/>
      <c r="F3598" s="16"/>
      <c r="G3598" s="16"/>
      <c r="H3598" s="16"/>
      <c r="I3598" s="16"/>
      <c r="J3598" s="16"/>
      <c r="K3598" s="16"/>
      <c r="L3598" s="16"/>
      <c r="M3598" s="16"/>
      <c r="N3598" s="16"/>
      <c r="O3598" s="16"/>
    </row>
    <row r="3599" spans="1:15" x14ac:dyDescent="0.35">
      <c r="A3599" s="16"/>
      <c r="B3599" s="16"/>
      <c r="C3599" s="16"/>
      <c r="D3599" s="16"/>
      <c r="E3599" s="16"/>
      <c r="F3599" s="16"/>
      <c r="G3599" s="16"/>
      <c r="H3599" s="16"/>
      <c r="I3599" s="16"/>
      <c r="J3599" s="16"/>
      <c r="K3599" s="16"/>
      <c r="L3599" s="16"/>
      <c r="M3599" s="16"/>
      <c r="N3599" s="16"/>
      <c r="O3599" s="16"/>
    </row>
    <row r="3600" spans="1:15" x14ac:dyDescent="0.35">
      <c r="A3600" s="16"/>
      <c r="B3600" s="16"/>
      <c r="C3600" s="16"/>
      <c r="D3600" s="16"/>
      <c r="E3600" s="16"/>
      <c r="F3600" s="16"/>
      <c r="G3600" s="16"/>
      <c r="H3600" s="16"/>
      <c r="I3600" s="16"/>
      <c r="J3600" s="16"/>
      <c r="K3600" s="16"/>
      <c r="L3600" s="16"/>
      <c r="M3600" s="16"/>
      <c r="N3600" s="16"/>
      <c r="O3600" s="16"/>
    </row>
    <row r="3601" spans="1:15" x14ac:dyDescent="0.35">
      <c r="A3601" s="16"/>
      <c r="B3601" s="16"/>
      <c r="C3601" s="16"/>
      <c r="D3601" s="16"/>
      <c r="E3601" s="16"/>
      <c r="F3601" s="16"/>
      <c r="G3601" s="16"/>
      <c r="H3601" s="16"/>
      <c r="I3601" s="16"/>
      <c r="J3601" s="16"/>
      <c r="K3601" s="16"/>
      <c r="L3601" s="16"/>
      <c r="M3601" s="16"/>
      <c r="N3601" s="16"/>
      <c r="O3601" s="16"/>
    </row>
    <row r="3602" spans="1:15" x14ac:dyDescent="0.35">
      <c r="A3602" s="16"/>
      <c r="B3602" s="16"/>
      <c r="C3602" s="16"/>
      <c r="D3602" s="16"/>
      <c r="E3602" s="16"/>
      <c r="F3602" s="16"/>
      <c r="G3602" s="16"/>
      <c r="H3602" s="16"/>
      <c r="I3602" s="16"/>
      <c r="J3602" s="16"/>
      <c r="K3602" s="16"/>
      <c r="L3602" s="16"/>
      <c r="M3602" s="16"/>
      <c r="N3602" s="16"/>
      <c r="O3602" s="16"/>
    </row>
    <row r="3603" spans="1:15" x14ac:dyDescent="0.35">
      <c r="A3603" s="16"/>
      <c r="B3603" s="16"/>
      <c r="C3603" s="16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</row>
    <row r="3604" spans="1:15" x14ac:dyDescent="0.35">
      <c r="A3604" s="16"/>
      <c r="B3604" s="16"/>
      <c r="C3604" s="16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</row>
    <row r="3605" spans="1:15" x14ac:dyDescent="0.35">
      <c r="A3605" s="16"/>
      <c r="B3605" s="16"/>
      <c r="C3605" s="16"/>
      <c r="D3605" s="16"/>
      <c r="E3605" s="16"/>
      <c r="F3605" s="16"/>
      <c r="G3605" s="16"/>
      <c r="H3605" s="16"/>
      <c r="I3605" s="16"/>
      <c r="J3605" s="16"/>
      <c r="K3605" s="16"/>
      <c r="L3605" s="16"/>
      <c r="M3605" s="16"/>
      <c r="N3605" s="16"/>
      <c r="O3605" s="16"/>
    </row>
    <row r="3606" spans="1:15" x14ac:dyDescent="0.35">
      <c r="A3606" s="16"/>
      <c r="B3606" s="16"/>
      <c r="C3606" s="16"/>
      <c r="D3606" s="16"/>
      <c r="E3606" s="16"/>
      <c r="F3606" s="16"/>
      <c r="G3606" s="16"/>
      <c r="H3606" s="16"/>
      <c r="I3606" s="16"/>
      <c r="J3606" s="16"/>
      <c r="K3606" s="16"/>
      <c r="L3606" s="16"/>
      <c r="M3606" s="16"/>
      <c r="N3606" s="16"/>
      <c r="O3606" s="16"/>
    </row>
    <row r="3607" spans="1:15" x14ac:dyDescent="0.35">
      <c r="A3607" s="16"/>
      <c r="B3607" s="16"/>
      <c r="C3607" s="16"/>
      <c r="D3607" s="16"/>
      <c r="E3607" s="16"/>
      <c r="F3607" s="16"/>
      <c r="G3607" s="16"/>
      <c r="H3607" s="16"/>
      <c r="I3607" s="16"/>
      <c r="J3607" s="16"/>
      <c r="K3607" s="16"/>
      <c r="L3607" s="16"/>
      <c r="M3607" s="16"/>
      <c r="N3607" s="16"/>
      <c r="O3607" s="16"/>
    </row>
    <row r="3608" spans="1:15" x14ac:dyDescent="0.35">
      <c r="A3608" s="16"/>
      <c r="B3608" s="16"/>
      <c r="C3608" s="16"/>
      <c r="D3608" s="16"/>
      <c r="E3608" s="16"/>
      <c r="F3608" s="16"/>
      <c r="G3608" s="16"/>
      <c r="H3608" s="16"/>
      <c r="I3608" s="16"/>
      <c r="J3608" s="16"/>
      <c r="K3608" s="16"/>
      <c r="L3608" s="16"/>
      <c r="M3608" s="16"/>
      <c r="N3608" s="16"/>
      <c r="O3608" s="16"/>
    </row>
    <row r="3609" spans="1:15" x14ac:dyDescent="0.35">
      <c r="A3609" s="16"/>
      <c r="B3609" s="16"/>
      <c r="C3609" s="16"/>
      <c r="D3609" s="16"/>
      <c r="E3609" s="16"/>
      <c r="F3609" s="16"/>
      <c r="G3609" s="16"/>
      <c r="H3609" s="16"/>
      <c r="I3609" s="16"/>
      <c r="J3609" s="16"/>
      <c r="K3609" s="16"/>
      <c r="L3609" s="16"/>
      <c r="M3609" s="16"/>
      <c r="N3609" s="16"/>
      <c r="O3609" s="16"/>
    </row>
    <row r="3610" spans="1:15" x14ac:dyDescent="0.35">
      <c r="A3610" s="16"/>
      <c r="B3610" s="16"/>
      <c r="C3610" s="16"/>
      <c r="D3610" s="16"/>
      <c r="E3610" s="16"/>
      <c r="F3610" s="16"/>
      <c r="G3610" s="16"/>
      <c r="H3610" s="16"/>
      <c r="I3610" s="16"/>
      <c r="J3610" s="16"/>
      <c r="K3610" s="16"/>
      <c r="L3610" s="16"/>
      <c r="M3610" s="16"/>
      <c r="N3610" s="16"/>
      <c r="O3610" s="16"/>
    </row>
    <row r="3611" spans="1:15" x14ac:dyDescent="0.35">
      <c r="A3611" s="16"/>
      <c r="B3611" s="16"/>
      <c r="C3611" s="16"/>
      <c r="D3611" s="16"/>
      <c r="E3611" s="16"/>
      <c r="F3611" s="16"/>
      <c r="G3611" s="16"/>
      <c r="H3611" s="16"/>
      <c r="I3611" s="16"/>
      <c r="J3611" s="16"/>
      <c r="K3611" s="16"/>
      <c r="L3611" s="16"/>
      <c r="M3611" s="16"/>
      <c r="N3611" s="16"/>
      <c r="O3611" s="16"/>
    </row>
    <row r="3612" spans="1:15" x14ac:dyDescent="0.35">
      <c r="A3612" s="16"/>
      <c r="B3612" s="16"/>
      <c r="C3612" s="16"/>
      <c r="D3612" s="16"/>
      <c r="E3612" s="16"/>
      <c r="F3612" s="16"/>
      <c r="G3612" s="16"/>
      <c r="H3612" s="16"/>
      <c r="I3612" s="16"/>
      <c r="J3612" s="16"/>
      <c r="K3612" s="16"/>
      <c r="L3612" s="16"/>
      <c r="M3612" s="16"/>
      <c r="N3612" s="16"/>
      <c r="O3612" s="16"/>
    </row>
    <row r="3613" spans="1:15" x14ac:dyDescent="0.35">
      <c r="A3613" s="16"/>
      <c r="B3613" s="16"/>
      <c r="C3613" s="16"/>
      <c r="D3613" s="16"/>
      <c r="E3613" s="16"/>
      <c r="F3613" s="16"/>
      <c r="G3613" s="16"/>
      <c r="H3613" s="16"/>
      <c r="I3613" s="16"/>
      <c r="J3613" s="16"/>
      <c r="K3613" s="16"/>
      <c r="L3613" s="16"/>
      <c r="M3613" s="16"/>
      <c r="N3613" s="16"/>
      <c r="O3613" s="16"/>
    </row>
    <row r="3614" spans="1:15" x14ac:dyDescent="0.35">
      <c r="A3614" s="16"/>
      <c r="B3614" s="16"/>
      <c r="C3614" s="16"/>
      <c r="D3614" s="16"/>
      <c r="E3614" s="16"/>
      <c r="F3614" s="16"/>
      <c r="G3614" s="16"/>
      <c r="H3614" s="16"/>
      <c r="I3614" s="16"/>
      <c r="J3614" s="16"/>
      <c r="K3614" s="16"/>
      <c r="L3614" s="16"/>
      <c r="M3614" s="16"/>
      <c r="N3614" s="16"/>
      <c r="O3614" s="16"/>
    </row>
    <row r="3615" spans="1:15" x14ac:dyDescent="0.35">
      <c r="A3615" s="16"/>
      <c r="B3615" s="16"/>
      <c r="C3615" s="16"/>
      <c r="D3615" s="16"/>
      <c r="E3615" s="16"/>
      <c r="F3615" s="16"/>
      <c r="G3615" s="16"/>
      <c r="H3615" s="16"/>
      <c r="I3615" s="16"/>
      <c r="J3615" s="16"/>
      <c r="K3615" s="16"/>
      <c r="L3615" s="16"/>
      <c r="M3615" s="16"/>
      <c r="N3615" s="16"/>
      <c r="O3615" s="16"/>
    </row>
    <row r="3616" spans="1:15" x14ac:dyDescent="0.35">
      <c r="A3616" s="16"/>
      <c r="B3616" s="16"/>
      <c r="C3616" s="16"/>
      <c r="D3616" s="16"/>
      <c r="E3616" s="16"/>
      <c r="F3616" s="16"/>
      <c r="G3616" s="16"/>
      <c r="H3616" s="16"/>
      <c r="I3616" s="16"/>
      <c r="J3616" s="16"/>
      <c r="K3616" s="16"/>
      <c r="L3616" s="16"/>
      <c r="M3616" s="16"/>
      <c r="N3616" s="16"/>
      <c r="O3616" s="16"/>
    </row>
    <row r="3617" spans="1:15" x14ac:dyDescent="0.35">
      <c r="A3617" s="16"/>
      <c r="B3617" s="16"/>
      <c r="C3617" s="16"/>
      <c r="D3617" s="16"/>
      <c r="E3617" s="16"/>
      <c r="F3617" s="16"/>
      <c r="G3617" s="16"/>
      <c r="H3617" s="16"/>
      <c r="I3617" s="16"/>
      <c r="J3617" s="16"/>
      <c r="K3617" s="16"/>
      <c r="L3617" s="16"/>
      <c r="M3617" s="16"/>
      <c r="N3617" s="16"/>
      <c r="O3617" s="16"/>
    </row>
    <row r="3618" spans="1:15" x14ac:dyDescent="0.35">
      <c r="A3618" s="16"/>
      <c r="B3618" s="16"/>
      <c r="C3618" s="16"/>
      <c r="D3618" s="16"/>
      <c r="E3618" s="16"/>
      <c r="F3618" s="16"/>
      <c r="G3618" s="16"/>
      <c r="H3618" s="16"/>
      <c r="I3618" s="16"/>
      <c r="J3618" s="16"/>
      <c r="K3618" s="16"/>
      <c r="L3618" s="16"/>
      <c r="M3618" s="16"/>
      <c r="N3618" s="16"/>
      <c r="O3618" s="16"/>
    </row>
    <row r="3619" spans="1:15" x14ac:dyDescent="0.35">
      <c r="A3619" s="16"/>
      <c r="B3619" s="16"/>
      <c r="C3619" s="16"/>
      <c r="D3619" s="16"/>
      <c r="E3619" s="16"/>
      <c r="F3619" s="16"/>
      <c r="G3619" s="16"/>
      <c r="H3619" s="16"/>
      <c r="I3619" s="16"/>
      <c r="J3619" s="16"/>
      <c r="K3619" s="16"/>
      <c r="L3619" s="16"/>
      <c r="M3619" s="16"/>
      <c r="N3619" s="16"/>
      <c r="O3619" s="16"/>
    </row>
    <row r="3620" spans="1:15" x14ac:dyDescent="0.35">
      <c r="A3620" s="16"/>
      <c r="B3620" s="16"/>
      <c r="C3620" s="16"/>
      <c r="D3620" s="16"/>
      <c r="E3620" s="16"/>
      <c r="F3620" s="16"/>
      <c r="G3620" s="16"/>
      <c r="H3620" s="16"/>
      <c r="I3620" s="16"/>
      <c r="J3620" s="16"/>
      <c r="K3620" s="16"/>
      <c r="L3620" s="16"/>
      <c r="M3620" s="16"/>
      <c r="N3620" s="16"/>
      <c r="O3620" s="16"/>
    </row>
    <row r="3621" spans="1:15" x14ac:dyDescent="0.35">
      <c r="A3621" s="16"/>
      <c r="B3621" s="16"/>
      <c r="C3621" s="16"/>
      <c r="D3621" s="16"/>
      <c r="E3621" s="16"/>
      <c r="F3621" s="16"/>
      <c r="G3621" s="16"/>
      <c r="H3621" s="16"/>
      <c r="I3621" s="16"/>
      <c r="J3621" s="16"/>
      <c r="K3621" s="16"/>
      <c r="L3621" s="16"/>
      <c r="M3621" s="16"/>
      <c r="N3621" s="16"/>
      <c r="O3621" s="16"/>
    </row>
    <row r="3622" spans="1:15" x14ac:dyDescent="0.35">
      <c r="A3622" s="16"/>
      <c r="B3622" s="16"/>
      <c r="C3622" s="16"/>
      <c r="D3622" s="16"/>
      <c r="E3622" s="16"/>
      <c r="F3622" s="16"/>
      <c r="G3622" s="16"/>
      <c r="H3622" s="16"/>
      <c r="I3622" s="16"/>
      <c r="J3622" s="16"/>
      <c r="K3622" s="16"/>
      <c r="L3622" s="16"/>
      <c r="M3622" s="16"/>
      <c r="N3622" s="16"/>
      <c r="O3622" s="16"/>
    </row>
    <row r="3623" spans="1:15" x14ac:dyDescent="0.35">
      <c r="A3623" s="16"/>
      <c r="B3623" s="16"/>
      <c r="C3623" s="16"/>
      <c r="D3623" s="16"/>
      <c r="E3623" s="16"/>
      <c r="F3623" s="16"/>
      <c r="G3623" s="16"/>
      <c r="H3623" s="16"/>
      <c r="I3623" s="16"/>
      <c r="J3623" s="16"/>
      <c r="K3623" s="16"/>
      <c r="L3623" s="16"/>
      <c r="M3623" s="16"/>
      <c r="N3623" s="16"/>
      <c r="O3623" s="16"/>
    </row>
    <row r="3624" spans="1:15" x14ac:dyDescent="0.35">
      <c r="A3624" s="16"/>
      <c r="B3624" s="16"/>
      <c r="C3624" s="16"/>
      <c r="D3624" s="16"/>
      <c r="E3624" s="16"/>
      <c r="F3624" s="16"/>
      <c r="G3624" s="16"/>
      <c r="H3624" s="16"/>
      <c r="I3624" s="16"/>
      <c r="J3624" s="16"/>
      <c r="K3624" s="16"/>
      <c r="L3624" s="16"/>
      <c r="M3624" s="16"/>
      <c r="N3624" s="16"/>
      <c r="O3624" s="16"/>
    </row>
    <row r="3625" spans="1:15" x14ac:dyDescent="0.35">
      <c r="A3625" s="16"/>
      <c r="B3625" s="16"/>
      <c r="C3625" s="16"/>
      <c r="D3625" s="16"/>
      <c r="E3625" s="16"/>
      <c r="F3625" s="16"/>
      <c r="G3625" s="16"/>
      <c r="H3625" s="16"/>
      <c r="I3625" s="16"/>
      <c r="J3625" s="16"/>
      <c r="K3625" s="16"/>
      <c r="L3625" s="16"/>
      <c r="M3625" s="16"/>
      <c r="N3625" s="16"/>
      <c r="O3625" s="16"/>
    </row>
    <row r="3626" spans="1:15" x14ac:dyDescent="0.35">
      <c r="A3626" s="16"/>
      <c r="B3626" s="16"/>
      <c r="C3626" s="16"/>
      <c r="D3626" s="16"/>
      <c r="E3626" s="16"/>
      <c r="F3626" s="16"/>
      <c r="G3626" s="16"/>
      <c r="H3626" s="16"/>
      <c r="I3626" s="16"/>
      <c r="J3626" s="16"/>
      <c r="K3626" s="16"/>
      <c r="L3626" s="16"/>
      <c r="M3626" s="16"/>
      <c r="N3626" s="16"/>
      <c r="O3626" s="16"/>
    </row>
    <row r="3627" spans="1:15" x14ac:dyDescent="0.35">
      <c r="A3627" s="16"/>
      <c r="B3627" s="16"/>
      <c r="C3627" s="16"/>
      <c r="D3627" s="16"/>
      <c r="E3627" s="16"/>
      <c r="F3627" s="16"/>
      <c r="G3627" s="16"/>
      <c r="H3627" s="16"/>
      <c r="I3627" s="16"/>
      <c r="J3627" s="16"/>
      <c r="K3627" s="16"/>
      <c r="L3627" s="16"/>
      <c r="M3627" s="16"/>
      <c r="N3627" s="16"/>
      <c r="O3627" s="16"/>
    </row>
    <row r="3628" spans="1:15" x14ac:dyDescent="0.35">
      <c r="A3628" s="16"/>
      <c r="B3628" s="16"/>
      <c r="C3628" s="16"/>
      <c r="D3628" s="16"/>
      <c r="E3628" s="16"/>
      <c r="F3628" s="16"/>
      <c r="G3628" s="16"/>
      <c r="H3628" s="16"/>
      <c r="I3628" s="16"/>
      <c r="J3628" s="16"/>
      <c r="K3628" s="16"/>
      <c r="L3628" s="16"/>
      <c r="M3628" s="16"/>
      <c r="N3628" s="16"/>
      <c r="O3628" s="16"/>
    </row>
    <row r="3629" spans="1:15" x14ac:dyDescent="0.35">
      <c r="A3629" s="16"/>
      <c r="B3629" s="16"/>
      <c r="C3629" s="16"/>
      <c r="D3629" s="16"/>
      <c r="E3629" s="16"/>
      <c r="F3629" s="16"/>
      <c r="G3629" s="16"/>
      <c r="H3629" s="16"/>
      <c r="I3629" s="16"/>
      <c r="J3629" s="16"/>
      <c r="K3629" s="16"/>
      <c r="L3629" s="16"/>
      <c r="M3629" s="16"/>
      <c r="N3629" s="16"/>
      <c r="O3629" s="16"/>
    </row>
    <row r="3630" spans="1:15" x14ac:dyDescent="0.35">
      <c r="A3630" s="16"/>
      <c r="B3630" s="16"/>
      <c r="C3630" s="16"/>
      <c r="D3630" s="16"/>
      <c r="E3630" s="16"/>
      <c r="F3630" s="16"/>
      <c r="G3630" s="16"/>
      <c r="H3630" s="16"/>
      <c r="I3630" s="16"/>
      <c r="J3630" s="16"/>
      <c r="K3630" s="16"/>
      <c r="L3630" s="16"/>
      <c r="M3630" s="16"/>
      <c r="N3630" s="16"/>
      <c r="O3630" s="16"/>
    </row>
    <row r="3631" spans="1:15" x14ac:dyDescent="0.35">
      <c r="A3631" s="16"/>
      <c r="B3631" s="16"/>
      <c r="C3631" s="16"/>
      <c r="D3631" s="16"/>
      <c r="E3631" s="16"/>
      <c r="F3631" s="16"/>
      <c r="G3631" s="16"/>
      <c r="H3631" s="16"/>
      <c r="I3631" s="16"/>
      <c r="J3631" s="16"/>
      <c r="K3631" s="16"/>
      <c r="L3631" s="16"/>
      <c r="M3631" s="16"/>
      <c r="N3631" s="16"/>
      <c r="O3631" s="16"/>
    </row>
    <row r="3632" spans="1:15" x14ac:dyDescent="0.35">
      <c r="A3632" s="16"/>
      <c r="B3632" s="16"/>
      <c r="C3632" s="16"/>
      <c r="D3632" s="16"/>
      <c r="E3632" s="16"/>
      <c r="F3632" s="16"/>
      <c r="G3632" s="16"/>
      <c r="H3632" s="16"/>
      <c r="I3632" s="16"/>
      <c r="J3632" s="16"/>
      <c r="K3632" s="16"/>
      <c r="L3632" s="16"/>
      <c r="M3632" s="16"/>
      <c r="N3632" s="16"/>
      <c r="O3632" s="16"/>
    </row>
    <row r="3633" spans="1:15" x14ac:dyDescent="0.35">
      <c r="A3633" s="16"/>
      <c r="B3633" s="16"/>
      <c r="C3633" s="16"/>
      <c r="D3633" s="16"/>
      <c r="E3633" s="16"/>
      <c r="F3633" s="16"/>
      <c r="G3633" s="16"/>
      <c r="H3633" s="16"/>
      <c r="I3633" s="16"/>
      <c r="J3633" s="16"/>
      <c r="K3633" s="16"/>
      <c r="L3633" s="16"/>
      <c r="M3633" s="16"/>
      <c r="N3633" s="16"/>
      <c r="O3633" s="16"/>
    </row>
    <row r="3634" spans="1:15" x14ac:dyDescent="0.35">
      <c r="A3634" s="16"/>
      <c r="B3634" s="16"/>
      <c r="C3634" s="16"/>
      <c r="D3634" s="16"/>
      <c r="E3634" s="16"/>
      <c r="F3634" s="16"/>
      <c r="G3634" s="16"/>
      <c r="H3634" s="16"/>
      <c r="I3634" s="16"/>
      <c r="J3634" s="16"/>
      <c r="K3634" s="16"/>
      <c r="L3634" s="16"/>
      <c r="M3634" s="16"/>
      <c r="N3634" s="16"/>
      <c r="O3634" s="16"/>
    </row>
    <row r="3635" spans="1:15" x14ac:dyDescent="0.35">
      <c r="A3635" s="16"/>
      <c r="B3635" s="16"/>
      <c r="C3635" s="16"/>
      <c r="D3635" s="16"/>
      <c r="E3635" s="16"/>
      <c r="F3635" s="16"/>
      <c r="G3635" s="16"/>
      <c r="H3635" s="16"/>
      <c r="I3635" s="16"/>
      <c r="J3635" s="16"/>
      <c r="K3635" s="16"/>
      <c r="L3635" s="16"/>
      <c r="M3635" s="16"/>
      <c r="N3635" s="16"/>
      <c r="O3635" s="16"/>
    </row>
    <row r="3636" spans="1:15" x14ac:dyDescent="0.35">
      <c r="A3636" s="16"/>
      <c r="B3636" s="16"/>
      <c r="C3636" s="16"/>
      <c r="D3636" s="16"/>
      <c r="E3636" s="16"/>
      <c r="F3636" s="16"/>
      <c r="G3636" s="16"/>
      <c r="H3636" s="16"/>
      <c r="I3636" s="16"/>
      <c r="J3636" s="16"/>
      <c r="K3636" s="16"/>
      <c r="L3636" s="16"/>
      <c r="M3636" s="16"/>
      <c r="N3636" s="16"/>
      <c r="O3636" s="16"/>
    </row>
    <row r="3637" spans="1:15" x14ac:dyDescent="0.35">
      <c r="A3637" s="16"/>
      <c r="B3637" s="16"/>
      <c r="C3637" s="16"/>
      <c r="D3637" s="16"/>
      <c r="E3637" s="16"/>
      <c r="F3637" s="16"/>
      <c r="G3637" s="16"/>
      <c r="H3637" s="16"/>
      <c r="I3637" s="16"/>
      <c r="J3637" s="16"/>
      <c r="K3637" s="16"/>
      <c r="L3637" s="16"/>
      <c r="M3637" s="16"/>
      <c r="N3637" s="16"/>
      <c r="O3637" s="16"/>
    </row>
    <row r="3638" spans="1:15" x14ac:dyDescent="0.35">
      <c r="A3638" s="16"/>
      <c r="B3638" s="16"/>
      <c r="C3638" s="16"/>
      <c r="D3638" s="16"/>
      <c r="E3638" s="16"/>
      <c r="F3638" s="16"/>
      <c r="G3638" s="16"/>
      <c r="H3638" s="16"/>
      <c r="I3638" s="16"/>
      <c r="J3638" s="16"/>
      <c r="K3638" s="16"/>
      <c r="L3638" s="16"/>
      <c r="M3638" s="16"/>
      <c r="N3638" s="16"/>
      <c r="O3638" s="16"/>
    </row>
    <row r="3639" spans="1:15" x14ac:dyDescent="0.35">
      <c r="A3639" s="16"/>
      <c r="B3639" s="16"/>
      <c r="C3639" s="16"/>
      <c r="D3639" s="16"/>
      <c r="E3639" s="16"/>
      <c r="F3639" s="16"/>
      <c r="G3639" s="16"/>
      <c r="H3639" s="16"/>
      <c r="I3639" s="16"/>
      <c r="J3639" s="16"/>
      <c r="K3639" s="16"/>
      <c r="L3639" s="16"/>
      <c r="M3639" s="16"/>
      <c r="N3639" s="16"/>
      <c r="O3639" s="16"/>
    </row>
    <row r="3640" spans="1:15" x14ac:dyDescent="0.35">
      <c r="A3640" s="16"/>
      <c r="B3640" s="16"/>
      <c r="C3640" s="16"/>
      <c r="D3640" s="16"/>
      <c r="E3640" s="16"/>
      <c r="F3640" s="16"/>
      <c r="G3640" s="16"/>
      <c r="H3640" s="16"/>
      <c r="I3640" s="16"/>
      <c r="J3640" s="16"/>
      <c r="K3640" s="16"/>
      <c r="L3640" s="16"/>
      <c r="M3640" s="16"/>
      <c r="N3640" s="16"/>
      <c r="O3640" s="16"/>
    </row>
    <row r="3641" spans="1:15" x14ac:dyDescent="0.35">
      <c r="A3641" s="16"/>
      <c r="B3641" s="16"/>
      <c r="C3641" s="16"/>
      <c r="D3641" s="16"/>
      <c r="E3641" s="16"/>
      <c r="F3641" s="16"/>
      <c r="G3641" s="16"/>
      <c r="H3641" s="16"/>
      <c r="I3641" s="16"/>
      <c r="J3641" s="16"/>
      <c r="K3641" s="16"/>
      <c r="L3641" s="16"/>
      <c r="M3641" s="16"/>
      <c r="N3641" s="16"/>
      <c r="O3641" s="16"/>
    </row>
    <row r="3642" spans="1:15" x14ac:dyDescent="0.35">
      <c r="A3642" s="16"/>
      <c r="B3642" s="16"/>
      <c r="C3642" s="16"/>
      <c r="D3642" s="16"/>
      <c r="E3642" s="16"/>
      <c r="F3642" s="16"/>
      <c r="G3642" s="16"/>
      <c r="H3642" s="16"/>
      <c r="I3642" s="16"/>
      <c r="J3642" s="16"/>
      <c r="K3642" s="16"/>
      <c r="L3642" s="16"/>
      <c r="M3642" s="16"/>
      <c r="N3642" s="16"/>
      <c r="O3642" s="16"/>
    </row>
    <row r="3643" spans="1:15" x14ac:dyDescent="0.35">
      <c r="A3643" s="16"/>
      <c r="B3643" s="16"/>
      <c r="C3643" s="16"/>
      <c r="D3643" s="16"/>
      <c r="E3643" s="16"/>
      <c r="F3643" s="16"/>
      <c r="G3643" s="16"/>
      <c r="H3643" s="16"/>
      <c r="I3643" s="16"/>
      <c r="J3643" s="16"/>
      <c r="K3643" s="16"/>
      <c r="L3643" s="16"/>
      <c r="M3643" s="16"/>
      <c r="N3643" s="16"/>
      <c r="O3643" s="16"/>
    </row>
    <row r="3644" spans="1:15" x14ac:dyDescent="0.35">
      <c r="A3644" s="16"/>
      <c r="B3644" s="16"/>
      <c r="C3644" s="16"/>
      <c r="D3644" s="16"/>
      <c r="E3644" s="16"/>
      <c r="F3644" s="16"/>
      <c r="G3644" s="16"/>
      <c r="H3644" s="16"/>
      <c r="I3644" s="16"/>
      <c r="J3644" s="16"/>
      <c r="K3644" s="16"/>
      <c r="L3644" s="16"/>
      <c r="M3644" s="16"/>
      <c r="N3644" s="16"/>
      <c r="O3644" s="16"/>
    </row>
    <row r="3645" spans="1:15" x14ac:dyDescent="0.35">
      <c r="A3645" s="16"/>
      <c r="B3645" s="16"/>
      <c r="C3645" s="16"/>
      <c r="D3645" s="16"/>
      <c r="E3645" s="16"/>
      <c r="F3645" s="16"/>
      <c r="G3645" s="16"/>
      <c r="H3645" s="16"/>
      <c r="I3645" s="16"/>
      <c r="J3645" s="16"/>
      <c r="K3645" s="16"/>
      <c r="L3645" s="16"/>
      <c r="M3645" s="16"/>
      <c r="N3645" s="16"/>
      <c r="O3645" s="16"/>
    </row>
    <row r="3646" spans="1:15" x14ac:dyDescent="0.35">
      <c r="A3646" s="16"/>
      <c r="B3646" s="16"/>
      <c r="C3646" s="16"/>
      <c r="D3646" s="16"/>
      <c r="E3646" s="16"/>
      <c r="F3646" s="16"/>
      <c r="G3646" s="16"/>
      <c r="H3646" s="16"/>
      <c r="I3646" s="16"/>
      <c r="J3646" s="16"/>
      <c r="K3646" s="16"/>
      <c r="L3646" s="16"/>
      <c r="M3646" s="16"/>
      <c r="N3646" s="16"/>
      <c r="O3646" s="16"/>
    </row>
    <row r="3647" spans="1:15" x14ac:dyDescent="0.35">
      <c r="A3647" s="16"/>
      <c r="B3647" s="16"/>
      <c r="C3647" s="16"/>
      <c r="D3647" s="16"/>
      <c r="E3647" s="16"/>
      <c r="F3647" s="16"/>
      <c r="G3647" s="16"/>
      <c r="H3647" s="16"/>
      <c r="I3647" s="16"/>
      <c r="J3647" s="16"/>
      <c r="K3647" s="16"/>
      <c r="L3647" s="16"/>
      <c r="M3647" s="16"/>
      <c r="N3647" s="16"/>
      <c r="O3647" s="16"/>
    </row>
    <row r="3648" spans="1:15" x14ac:dyDescent="0.35">
      <c r="A3648" s="16"/>
      <c r="B3648" s="16"/>
      <c r="C3648" s="16"/>
      <c r="D3648" s="16"/>
      <c r="E3648" s="16"/>
      <c r="F3648" s="16"/>
      <c r="G3648" s="16"/>
      <c r="H3648" s="16"/>
      <c r="I3648" s="16"/>
      <c r="J3648" s="16"/>
      <c r="K3648" s="16"/>
      <c r="L3648" s="16"/>
      <c r="M3648" s="16"/>
      <c r="N3648" s="16"/>
      <c r="O3648" s="16"/>
    </row>
    <row r="3649" spans="1:15" x14ac:dyDescent="0.35">
      <c r="A3649" s="16"/>
      <c r="B3649" s="16"/>
      <c r="C3649" s="16"/>
      <c r="D3649" s="16"/>
      <c r="E3649" s="16"/>
      <c r="F3649" s="16"/>
      <c r="G3649" s="16"/>
      <c r="H3649" s="16"/>
      <c r="I3649" s="16"/>
      <c r="J3649" s="16"/>
      <c r="K3649" s="16"/>
      <c r="L3649" s="16"/>
      <c r="M3649" s="16"/>
      <c r="N3649" s="16"/>
      <c r="O3649" s="16"/>
    </row>
    <row r="3650" spans="1:15" x14ac:dyDescent="0.35">
      <c r="A3650" s="16"/>
      <c r="B3650" s="16"/>
      <c r="C3650" s="16"/>
      <c r="D3650" s="16"/>
      <c r="E3650" s="16"/>
      <c r="F3650" s="16"/>
      <c r="G3650" s="16"/>
      <c r="H3650" s="16"/>
      <c r="I3650" s="16"/>
      <c r="J3650" s="16"/>
      <c r="K3650" s="16"/>
      <c r="L3650" s="16"/>
      <c r="M3650" s="16"/>
      <c r="N3650" s="16"/>
      <c r="O3650" s="16"/>
    </row>
    <row r="3651" spans="1:15" x14ac:dyDescent="0.35">
      <c r="A3651" s="16"/>
      <c r="B3651" s="16"/>
      <c r="C3651" s="16"/>
      <c r="D3651" s="16"/>
      <c r="E3651" s="16"/>
      <c r="F3651" s="16"/>
      <c r="G3651" s="16"/>
      <c r="H3651" s="16"/>
      <c r="I3651" s="16"/>
      <c r="J3651" s="16"/>
      <c r="K3651" s="16"/>
      <c r="L3651" s="16"/>
      <c r="M3651" s="16"/>
      <c r="N3651" s="16"/>
      <c r="O3651" s="16"/>
    </row>
    <row r="3652" spans="1:15" x14ac:dyDescent="0.35">
      <c r="A3652" s="16"/>
      <c r="B3652" s="16"/>
      <c r="C3652" s="16"/>
      <c r="D3652" s="16"/>
      <c r="E3652" s="16"/>
      <c r="F3652" s="16"/>
      <c r="G3652" s="16"/>
      <c r="H3652" s="16"/>
      <c r="I3652" s="16"/>
      <c r="J3652" s="16"/>
      <c r="K3652" s="16"/>
      <c r="L3652" s="16"/>
      <c r="M3652" s="16"/>
      <c r="N3652" s="16"/>
      <c r="O3652" s="16"/>
    </row>
    <row r="3653" spans="1:15" x14ac:dyDescent="0.35">
      <c r="A3653" s="16"/>
      <c r="B3653" s="16"/>
      <c r="C3653" s="16"/>
      <c r="D3653" s="16"/>
      <c r="E3653" s="16"/>
      <c r="F3653" s="16"/>
      <c r="G3653" s="16"/>
      <c r="H3653" s="16"/>
      <c r="I3653" s="16"/>
      <c r="J3653" s="16"/>
      <c r="K3653" s="16"/>
      <c r="L3653" s="16"/>
      <c r="M3653" s="16"/>
      <c r="N3653" s="16"/>
      <c r="O3653" s="16"/>
    </row>
    <row r="3654" spans="1:15" x14ac:dyDescent="0.35">
      <c r="A3654" s="16"/>
      <c r="B3654" s="16"/>
      <c r="C3654" s="16"/>
      <c r="D3654" s="16"/>
      <c r="E3654" s="16"/>
      <c r="F3654" s="16"/>
      <c r="G3654" s="16"/>
      <c r="H3654" s="16"/>
      <c r="I3654" s="16"/>
      <c r="J3654" s="16"/>
      <c r="K3654" s="16"/>
      <c r="L3654" s="16"/>
      <c r="M3654" s="16"/>
      <c r="N3654" s="16"/>
      <c r="O3654" s="16"/>
    </row>
    <row r="3655" spans="1:15" x14ac:dyDescent="0.35">
      <c r="A3655" s="16"/>
      <c r="B3655" s="16"/>
      <c r="C3655" s="16"/>
      <c r="D3655" s="16"/>
      <c r="E3655" s="16"/>
      <c r="F3655" s="16"/>
      <c r="G3655" s="16"/>
      <c r="H3655" s="16"/>
      <c r="I3655" s="16"/>
      <c r="J3655" s="16"/>
      <c r="K3655" s="16"/>
      <c r="L3655" s="16"/>
      <c r="M3655" s="16"/>
      <c r="N3655" s="16"/>
      <c r="O3655" s="16"/>
    </row>
    <row r="3656" spans="1:15" x14ac:dyDescent="0.35">
      <c r="A3656" s="16"/>
      <c r="B3656" s="16"/>
      <c r="C3656" s="16"/>
      <c r="D3656" s="16"/>
      <c r="E3656" s="16"/>
      <c r="F3656" s="16"/>
      <c r="G3656" s="16"/>
      <c r="H3656" s="16"/>
      <c r="I3656" s="16"/>
      <c r="J3656" s="16"/>
      <c r="K3656" s="16"/>
      <c r="L3656" s="16"/>
      <c r="M3656" s="16"/>
      <c r="N3656" s="16"/>
      <c r="O3656" s="16"/>
    </row>
    <row r="3657" spans="1:15" x14ac:dyDescent="0.35">
      <c r="A3657" s="16"/>
      <c r="B3657" s="16"/>
      <c r="C3657" s="16"/>
      <c r="D3657" s="16"/>
      <c r="E3657" s="16"/>
      <c r="F3657" s="16"/>
      <c r="G3657" s="16"/>
      <c r="H3657" s="16"/>
      <c r="I3657" s="16"/>
      <c r="J3657" s="16"/>
      <c r="K3657" s="16"/>
      <c r="L3657" s="16"/>
      <c r="M3657" s="16"/>
      <c r="N3657" s="16"/>
      <c r="O3657" s="16"/>
    </row>
    <row r="3658" spans="1:15" x14ac:dyDescent="0.35">
      <c r="A3658" s="16"/>
      <c r="B3658" s="16"/>
      <c r="C3658" s="16"/>
      <c r="D3658" s="16"/>
      <c r="E3658" s="16"/>
      <c r="F3658" s="16"/>
      <c r="G3658" s="16"/>
      <c r="H3658" s="16"/>
      <c r="I3658" s="16"/>
      <c r="J3658" s="16"/>
      <c r="K3658" s="16"/>
      <c r="L3658" s="16"/>
      <c r="M3658" s="16"/>
      <c r="N3658" s="16"/>
      <c r="O3658" s="16"/>
    </row>
    <row r="3659" spans="1:15" x14ac:dyDescent="0.35">
      <c r="A3659" s="16"/>
      <c r="B3659" s="16"/>
      <c r="C3659" s="16"/>
      <c r="D3659" s="16"/>
      <c r="E3659" s="16"/>
      <c r="F3659" s="16"/>
      <c r="G3659" s="16"/>
      <c r="H3659" s="16"/>
      <c r="I3659" s="16"/>
      <c r="J3659" s="16"/>
      <c r="K3659" s="16"/>
      <c r="L3659" s="16"/>
      <c r="M3659" s="16"/>
      <c r="N3659" s="16"/>
      <c r="O3659" s="16"/>
    </row>
    <row r="3660" spans="1:15" x14ac:dyDescent="0.35">
      <c r="A3660" s="16"/>
      <c r="B3660" s="16"/>
      <c r="C3660" s="16"/>
      <c r="D3660" s="16"/>
      <c r="E3660" s="16"/>
      <c r="F3660" s="16"/>
      <c r="G3660" s="16"/>
      <c r="H3660" s="16"/>
      <c r="I3660" s="16"/>
      <c r="J3660" s="16"/>
      <c r="K3660" s="16"/>
      <c r="L3660" s="16"/>
      <c r="M3660" s="16"/>
      <c r="N3660" s="16"/>
      <c r="O3660" s="16"/>
    </row>
    <row r="3661" spans="1:15" x14ac:dyDescent="0.35">
      <c r="A3661" s="16"/>
      <c r="B3661" s="16"/>
      <c r="C3661" s="16"/>
      <c r="D3661" s="16"/>
      <c r="E3661" s="16"/>
      <c r="F3661" s="16"/>
      <c r="G3661" s="16"/>
      <c r="H3661" s="16"/>
      <c r="I3661" s="16"/>
      <c r="J3661" s="16"/>
      <c r="K3661" s="16"/>
      <c r="L3661" s="16"/>
      <c r="M3661" s="16"/>
      <c r="N3661" s="16"/>
      <c r="O3661" s="16"/>
    </row>
    <row r="3662" spans="1:15" x14ac:dyDescent="0.35">
      <c r="A3662" s="16"/>
      <c r="B3662" s="16"/>
      <c r="C3662" s="16"/>
      <c r="D3662" s="16"/>
      <c r="E3662" s="16"/>
      <c r="F3662" s="16"/>
      <c r="G3662" s="16"/>
      <c r="H3662" s="16"/>
      <c r="I3662" s="16"/>
      <c r="J3662" s="16"/>
      <c r="K3662" s="16"/>
      <c r="L3662" s="16"/>
      <c r="M3662" s="16"/>
      <c r="N3662" s="16"/>
      <c r="O3662" s="16"/>
    </row>
    <row r="3663" spans="1:15" x14ac:dyDescent="0.35">
      <c r="A3663" s="16"/>
      <c r="B3663" s="16"/>
      <c r="C3663" s="16"/>
      <c r="D3663" s="16"/>
      <c r="E3663" s="16"/>
      <c r="F3663" s="16"/>
      <c r="G3663" s="16"/>
      <c r="H3663" s="16"/>
      <c r="I3663" s="16"/>
      <c r="J3663" s="16"/>
      <c r="K3663" s="16"/>
      <c r="L3663" s="16"/>
      <c r="M3663" s="16"/>
      <c r="N3663" s="16"/>
      <c r="O3663" s="16"/>
    </row>
    <row r="3664" spans="1:15" x14ac:dyDescent="0.35">
      <c r="A3664" s="16"/>
      <c r="B3664" s="16"/>
      <c r="C3664" s="16"/>
      <c r="D3664" s="16"/>
      <c r="E3664" s="16"/>
      <c r="F3664" s="16"/>
      <c r="G3664" s="16"/>
      <c r="H3664" s="16"/>
      <c r="I3664" s="16"/>
      <c r="J3664" s="16"/>
      <c r="K3664" s="16"/>
      <c r="L3664" s="16"/>
      <c r="M3664" s="16"/>
      <c r="N3664" s="16"/>
      <c r="O3664" s="16"/>
    </row>
    <row r="3665" spans="1:15" x14ac:dyDescent="0.35">
      <c r="A3665" s="16"/>
      <c r="B3665" s="16"/>
      <c r="C3665" s="16"/>
      <c r="D3665" s="16"/>
      <c r="E3665" s="16"/>
      <c r="F3665" s="16"/>
      <c r="G3665" s="16"/>
      <c r="H3665" s="16"/>
      <c r="I3665" s="16"/>
      <c r="J3665" s="16"/>
      <c r="K3665" s="16"/>
      <c r="L3665" s="16"/>
      <c r="M3665" s="16"/>
      <c r="N3665" s="16"/>
      <c r="O3665" s="16"/>
    </row>
    <row r="3666" spans="1:15" x14ac:dyDescent="0.35">
      <c r="A3666" s="16"/>
      <c r="B3666" s="16"/>
      <c r="C3666" s="16"/>
      <c r="D3666" s="16"/>
      <c r="E3666" s="16"/>
      <c r="F3666" s="16"/>
      <c r="G3666" s="16"/>
      <c r="H3666" s="16"/>
      <c r="I3666" s="16"/>
      <c r="J3666" s="16"/>
      <c r="K3666" s="16"/>
      <c r="L3666" s="16"/>
      <c r="M3666" s="16"/>
      <c r="N3666" s="16"/>
      <c r="O3666" s="16"/>
    </row>
    <row r="3667" spans="1:15" x14ac:dyDescent="0.35">
      <c r="A3667" s="16"/>
      <c r="B3667" s="16"/>
      <c r="C3667" s="16"/>
      <c r="D3667" s="16"/>
      <c r="E3667" s="16"/>
      <c r="F3667" s="16"/>
      <c r="G3667" s="16"/>
      <c r="H3667" s="16"/>
      <c r="I3667" s="16"/>
      <c r="J3667" s="16"/>
      <c r="K3667" s="16"/>
      <c r="L3667" s="16"/>
      <c r="M3667" s="16"/>
      <c r="N3667" s="16"/>
      <c r="O3667" s="16"/>
    </row>
    <row r="3668" spans="1:15" x14ac:dyDescent="0.35">
      <c r="A3668" s="16"/>
      <c r="B3668" s="16"/>
      <c r="C3668" s="16"/>
      <c r="D3668" s="16"/>
      <c r="E3668" s="16"/>
      <c r="F3668" s="16"/>
      <c r="G3668" s="16"/>
      <c r="H3668" s="16"/>
      <c r="I3668" s="16"/>
      <c r="J3668" s="16"/>
      <c r="K3668" s="16"/>
      <c r="L3668" s="16"/>
      <c r="M3668" s="16"/>
      <c r="N3668" s="16"/>
      <c r="O3668" s="16"/>
    </row>
    <row r="3669" spans="1:15" x14ac:dyDescent="0.35">
      <c r="A3669" s="16"/>
      <c r="B3669" s="16"/>
      <c r="C3669" s="16"/>
      <c r="D3669" s="16"/>
      <c r="E3669" s="16"/>
      <c r="F3669" s="16"/>
      <c r="G3669" s="16"/>
      <c r="H3669" s="16"/>
      <c r="I3669" s="16"/>
      <c r="J3669" s="16"/>
      <c r="K3669" s="16"/>
      <c r="L3669" s="16"/>
      <c r="M3669" s="16"/>
      <c r="N3669" s="16"/>
      <c r="O3669" s="16"/>
    </row>
    <row r="3670" spans="1:15" x14ac:dyDescent="0.35">
      <c r="A3670" s="16"/>
      <c r="B3670" s="16"/>
      <c r="C3670" s="16"/>
      <c r="D3670" s="16"/>
      <c r="E3670" s="16"/>
      <c r="F3670" s="16"/>
      <c r="G3670" s="16"/>
      <c r="H3670" s="16"/>
      <c r="I3670" s="16"/>
      <c r="J3670" s="16"/>
      <c r="K3670" s="16"/>
      <c r="L3670" s="16"/>
      <c r="M3670" s="16"/>
      <c r="N3670" s="16"/>
      <c r="O3670" s="16"/>
    </row>
    <row r="3671" spans="1:15" x14ac:dyDescent="0.35">
      <c r="A3671" s="16"/>
      <c r="B3671" s="16"/>
      <c r="C3671" s="16"/>
      <c r="D3671" s="16"/>
      <c r="E3671" s="16"/>
      <c r="F3671" s="16"/>
      <c r="G3671" s="16"/>
      <c r="H3671" s="16"/>
      <c r="I3671" s="16"/>
      <c r="J3671" s="16"/>
      <c r="K3671" s="16"/>
      <c r="L3671" s="16"/>
      <c r="M3671" s="16"/>
      <c r="N3671" s="16"/>
      <c r="O3671" s="16"/>
    </row>
    <row r="3672" spans="1:15" x14ac:dyDescent="0.35">
      <c r="A3672" s="16"/>
      <c r="B3672" s="16"/>
      <c r="C3672" s="16"/>
      <c r="D3672" s="16"/>
      <c r="E3672" s="16"/>
      <c r="F3672" s="16"/>
      <c r="G3672" s="16"/>
      <c r="H3672" s="16"/>
      <c r="I3672" s="16"/>
      <c r="J3672" s="16"/>
      <c r="K3672" s="16"/>
      <c r="L3672" s="16"/>
      <c r="M3672" s="16"/>
      <c r="N3672" s="16"/>
      <c r="O3672" s="16"/>
    </row>
    <row r="3673" spans="1:15" x14ac:dyDescent="0.35">
      <c r="A3673" s="16"/>
      <c r="B3673" s="16"/>
      <c r="C3673" s="16"/>
      <c r="D3673" s="16"/>
      <c r="E3673" s="16"/>
      <c r="F3673" s="16"/>
      <c r="G3673" s="16"/>
      <c r="H3673" s="16"/>
      <c r="I3673" s="16"/>
      <c r="J3673" s="16"/>
      <c r="K3673" s="16"/>
      <c r="L3673" s="16"/>
      <c r="M3673" s="16"/>
      <c r="N3673" s="16"/>
      <c r="O3673" s="16"/>
    </row>
    <row r="3674" spans="1:15" x14ac:dyDescent="0.35">
      <c r="A3674" s="16"/>
      <c r="B3674" s="16"/>
      <c r="C3674" s="16"/>
      <c r="D3674" s="16"/>
      <c r="E3674" s="16"/>
      <c r="F3674" s="16"/>
      <c r="G3674" s="16"/>
      <c r="H3674" s="16"/>
      <c r="I3674" s="16"/>
      <c r="J3674" s="16"/>
      <c r="K3674" s="16"/>
      <c r="L3674" s="16"/>
      <c r="M3674" s="16"/>
      <c r="N3674" s="16"/>
      <c r="O3674" s="16"/>
    </row>
    <row r="3675" spans="1:15" x14ac:dyDescent="0.35">
      <c r="A3675" s="16"/>
      <c r="B3675" s="16"/>
      <c r="C3675" s="16"/>
      <c r="D3675" s="16"/>
      <c r="E3675" s="16"/>
      <c r="F3675" s="16"/>
      <c r="G3675" s="16"/>
      <c r="H3675" s="16"/>
      <c r="I3675" s="16"/>
      <c r="J3675" s="16"/>
      <c r="K3675" s="16"/>
      <c r="L3675" s="16"/>
      <c r="M3675" s="16"/>
      <c r="N3675" s="16"/>
      <c r="O3675" s="16"/>
    </row>
    <row r="3676" spans="1:15" x14ac:dyDescent="0.35">
      <c r="A3676" s="26"/>
      <c r="B3676" s="26"/>
      <c r="C3676" s="26"/>
      <c r="D3676" s="26"/>
      <c r="E3676" s="26"/>
      <c r="F3676" s="26"/>
      <c r="G3676" s="26"/>
      <c r="H3676" s="26"/>
      <c r="I3676" s="26"/>
      <c r="J3676" s="26"/>
      <c r="K3676" s="26"/>
      <c r="L3676" s="26"/>
      <c r="M3676" s="26"/>
      <c r="N3676" s="26"/>
      <c r="O3676" s="2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7" tint="0.39997558519241921"/>
  </sheetPr>
  <dimension ref="A1:F314"/>
  <sheetViews>
    <sheetView workbookViewId="0">
      <pane ySplit="1" topLeftCell="A106" activePane="bottomLeft" state="frozen"/>
      <selection pane="bottomLeft" activeCell="D314" sqref="D314"/>
    </sheetView>
  </sheetViews>
  <sheetFormatPr baseColWidth="10" defaultColWidth="11.453125" defaultRowHeight="14.5" x14ac:dyDescent="0.35"/>
  <cols>
    <col min="1" max="1" width="20.1796875" style="12" bestFit="1" customWidth="1"/>
    <col min="2" max="2" width="16.453125" style="12" bestFit="1" customWidth="1"/>
    <col min="3" max="3" width="41.54296875" style="12" bestFit="1" customWidth="1"/>
    <col min="4" max="4" width="29.54296875" style="12" bestFit="1" customWidth="1"/>
    <col min="5" max="5" width="10.81640625" style="12" customWidth="1"/>
  </cols>
  <sheetData>
    <row r="1" spans="1:6" x14ac:dyDescent="0.35">
      <c r="A1" s="80" t="s">
        <v>163</v>
      </c>
      <c r="B1" s="25" t="s">
        <v>164</v>
      </c>
      <c r="C1" s="25" t="s">
        <v>165</v>
      </c>
      <c r="D1" s="25" t="s">
        <v>2</v>
      </c>
      <c r="E1" s="81" t="s">
        <v>531</v>
      </c>
      <c r="F1" s="25" t="s">
        <v>6727</v>
      </c>
    </row>
    <row r="2" spans="1:6" hidden="1" x14ac:dyDescent="0.35">
      <c r="A2" s="22">
        <v>2006153</v>
      </c>
      <c r="B2" s="11" t="s">
        <v>573</v>
      </c>
      <c r="C2" s="11" t="s">
        <v>364</v>
      </c>
      <c r="D2" s="11" t="s">
        <v>76</v>
      </c>
      <c r="E2" s="24">
        <v>25</v>
      </c>
      <c r="F2" s="26"/>
    </row>
    <row r="3" spans="1:6" hidden="1" x14ac:dyDescent="0.35">
      <c r="A3" s="22"/>
      <c r="B3" s="11" t="s">
        <v>6728</v>
      </c>
      <c r="C3" s="11" t="s">
        <v>6060</v>
      </c>
      <c r="D3" s="11" t="s">
        <v>76</v>
      </c>
      <c r="E3" s="24">
        <v>1000</v>
      </c>
      <c r="F3" s="11"/>
    </row>
    <row r="4" spans="1:6" hidden="1" x14ac:dyDescent="0.35">
      <c r="A4" s="22">
        <v>2006394</v>
      </c>
      <c r="B4" s="11" t="s">
        <v>565</v>
      </c>
      <c r="C4" s="11" t="s">
        <v>331</v>
      </c>
      <c r="D4" s="11" t="s">
        <v>117</v>
      </c>
      <c r="E4" s="24">
        <v>25</v>
      </c>
      <c r="F4" s="11"/>
    </row>
    <row r="5" spans="1:6" hidden="1" x14ac:dyDescent="0.35">
      <c r="A5" s="22">
        <v>2006479</v>
      </c>
      <c r="B5" s="11" t="s">
        <v>677</v>
      </c>
      <c r="C5" s="11" t="s">
        <v>460</v>
      </c>
      <c r="D5" s="11" t="s">
        <v>117</v>
      </c>
      <c r="E5" s="24">
        <v>100</v>
      </c>
      <c r="F5" s="11"/>
    </row>
    <row r="6" spans="1:6" hidden="1" x14ac:dyDescent="0.35">
      <c r="A6" s="22">
        <v>2007498</v>
      </c>
      <c r="B6" s="11" t="s">
        <v>684</v>
      </c>
      <c r="C6" s="11" t="s">
        <v>685</v>
      </c>
      <c r="D6" s="11" t="s">
        <v>117</v>
      </c>
      <c r="E6" s="24">
        <v>1000</v>
      </c>
      <c r="F6" s="11"/>
    </row>
    <row r="7" spans="1:6" hidden="1" x14ac:dyDescent="0.35">
      <c r="A7" s="22">
        <v>2006655</v>
      </c>
      <c r="B7" s="11" t="s">
        <v>544</v>
      </c>
      <c r="C7" s="11" t="s">
        <v>545</v>
      </c>
      <c r="D7" s="11" t="s">
        <v>50</v>
      </c>
      <c r="E7" s="24">
        <v>25</v>
      </c>
      <c r="F7" s="11"/>
    </row>
    <row r="8" spans="1:6" hidden="1" x14ac:dyDescent="0.35">
      <c r="A8" s="22">
        <v>2006477</v>
      </c>
      <c r="B8" s="11" t="s">
        <v>627</v>
      </c>
      <c r="C8" s="11" t="s">
        <v>407</v>
      </c>
      <c r="D8" s="11" t="s">
        <v>50</v>
      </c>
      <c r="E8" s="24">
        <v>50</v>
      </c>
      <c r="F8" s="11"/>
    </row>
    <row r="9" spans="1:6" hidden="1" x14ac:dyDescent="0.35">
      <c r="A9" s="22"/>
      <c r="B9" s="11" t="s">
        <v>6729</v>
      </c>
      <c r="C9" s="11" t="s">
        <v>6730</v>
      </c>
      <c r="D9" s="11" t="s">
        <v>50</v>
      </c>
      <c r="E9" s="24">
        <v>1000</v>
      </c>
      <c r="F9" s="11"/>
    </row>
    <row r="10" spans="1:6" hidden="1" x14ac:dyDescent="0.35">
      <c r="A10" s="22"/>
      <c r="B10" s="11" t="s">
        <v>6729</v>
      </c>
      <c r="C10" s="11" t="s">
        <v>6354</v>
      </c>
      <c r="D10" s="11" t="s">
        <v>50</v>
      </c>
      <c r="E10" s="24">
        <v>1000</v>
      </c>
      <c r="F10" s="11"/>
    </row>
    <row r="11" spans="1:6" hidden="1" x14ac:dyDescent="0.35">
      <c r="A11" s="22">
        <v>2006475</v>
      </c>
      <c r="B11" s="11" t="s">
        <v>535</v>
      </c>
      <c r="C11" s="11" t="s">
        <v>319</v>
      </c>
      <c r="D11" s="11" t="s">
        <v>40</v>
      </c>
      <c r="E11" s="24">
        <v>100</v>
      </c>
      <c r="F11" s="11"/>
    </row>
    <row r="12" spans="1:6" hidden="1" x14ac:dyDescent="0.35">
      <c r="A12" s="22">
        <v>2006476</v>
      </c>
      <c r="B12" s="11" t="s">
        <v>576</v>
      </c>
      <c r="C12" s="11" t="s">
        <v>325</v>
      </c>
      <c r="D12" s="11" t="s">
        <v>40</v>
      </c>
      <c r="E12" s="24">
        <v>100</v>
      </c>
      <c r="F12" s="11"/>
    </row>
    <row r="13" spans="1:6" hidden="1" x14ac:dyDescent="0.35">
      <c r="A13" s="22">
        <v>2006155</v>
      </c>
      <c r="B13" s="11" t="s">
        <v>581</v>
      </c>
      <c r="C13" s="11" t="s">
        <v>582</v>
      </c>
      <c r="D13" s="11" t="s">
        <v>40</v>
      </c>
      <c r="E13" s="24">
        <v>100</v>
      </c>
      <c r="F13" s="11"/>
    </row>
    <row r="14" spans="1:6" hidden="1" x14ac:dyDescent="0.35">
      <c r="A14" s="22">
        <v>2006180</v>
      </c>
      <c r="B14" s="11" t="s">
        <v>590</v>
      </c>
      <c r="C14" s="11" t="s">
        <v>379</v>
      </c>
      <c r="D14" s="11" t="s">
        <v>40</v>
      </c>
      <c r="E14" s="24">
        <v>100</v>
      </c>
      <c r="F14" s="11"/>
    </row>
    <row r="15" spans="1:6" hidden="1" x14ac:dyDescent="0.35">
      <c r="A15" s="22">
        <v>2006395</v>
      </c>
      <c r="B15" s="11" t="s">
        <v>778</v>
      </c>
      <c r="C15" s="11" t="s">
        <v>436</v>
      </c>
      <c r="D15" s="11" t="s">
        <v>40</v>
      </c>
      <c r="E15" s="24">
        <v>50</v>
      </c>
      <c r="F15" s="11"/>
    </row>
    <row r="16" spans="1:6" hidden="1" x14ac:dyDescent="0.35">
      <c r="A16" s="22"/>
      <c r="B16" s="11" t="s">
        <v>731</v>
      </c>
      <c r="C16" s="11" t="s">
        <v>732</v>
      </c>
      <c r="D16" s="11" t="s">
        <v>40</v>
      </c>
      <c r="E16" s="24">
        <v>50</v>
      </c>
      <c r="F16" s="11"/>
    </row>
    <row r="17" spans="1:6" hidden="1" x14ac:dyDescent="0.35">
      <c r="A17" s="22">
        <v>2006206</v>
      </c>
      <c r="B17" s="11" t="s">
        <v>585</v>
      </c>
      <c r="C17" s="11" t="s">
        <v>388</v>
      </c>
      <c r="D17" s="11" t="s">
        <v>81</v>
      </c>
      <c r="E17" s="24">
        <v>860</v>
      </c>
      <c r="F17" s="11"/>
    </row>
    <row r="18" spans="1:6" hidden="1" x14ac:dyDescent="0.35">
      <c r="A18" s="22">
        <v>2006207</v>
      </c>
      <c r="B18" s="11" t="s">
        <v>624</v>
      </c>
      <c r="C18" s="11" t="s">
        <v>408</v>
      </c>
      <c r="D18" s="11" t="s">
        <v>81</v>
      </c>
      <c r="E18" s="24">
        <v>800</v>
      </c>
      <c r="F18" s="11"/>
    </row>
    <row r="19" spans="1:6" hidden="1" x14ac:dyDescent="0.35">
      <c r="A19" s="22"/>
      <c r="B19" s="11" t="s">
        <v>6731</v>
      </c>
      <c r="C19" s="11" t="s">
        <v>6732</v>
      </c>
      <c r="D19" s="11" t="s">
        <v>6733</v>
      </c>
      <c r="E19" s="24">
        <v>100</v>
      </c>
      <c r="F19" s="11"/>
    </row>
    <row r="20" spans="1:6" hidden="1" x14ac:dyDescent="0.35">
      <c r="A20" s="22">
        <v>2006683</v>
      </c>
      <c r="B20" s="11" t="s">
        <v>555</v>
      </c>
      <c r="C20" s="11" t="s">
        <v>349</v>
      </c>
      <c r="D20" s="11" t="s">
        <v>63</v>
      </c>
      <c r="E20" s="24">
        <v>1000</v>
      </c>
      <c r="F20" s="11"/>
    </row>
    <row r="21" spans="1:6" hidden="1" x14ac:dyDescent="0.35">
      <c r="A21" s="22"/>
      <c r="B21" s="11" t="s">
        <v>709</v>
      </c>
      <c r="C21" s="11" t="s">
        <v>523</v>
      </c>
      <c r="D21" s="11" t="s">
        <v>130</v>
      </c>
      <c r="E21" s="24">
        <v>100</v>
      </c>
      <c r="F21" s="11"/>
    </row>
    <row r="22" spans="1:6" hidden="1" x14ac:dyDescent="0.35">
      <c r="A22" s="22">
        <v>2006793</v>
      </c>
      <c r="B22" s="11" t="s">
        <v>566</v>
      </c>
      <c r="C22" s="11" t="s">
        <v>329</v>
      </c>
      <c r="D22" s="11" t="s">
        <v>70</v>
      </c>
      <c r="E22" s="24">
        <v>100</v>
      </c>
      <c r="F22" s="11"/>
    </row>
    <row r="23" spans="1:6" hidden="1" x14ac:dyDescent="0.35">
      <c r="A23" s="22">
        <v>2006472</v>
      </c>
      <c r="B23" s="11" t="s">
        <v>588</v>
      </c>
      <c r="C23" s="11" t="s">
        <v>359</v>
      </c>
      <c r="D23" s="11" t="s">
        <v>70</v>
      </c>
      <c r="E23" s="24">
        <v>100</v>
      </c>
      <c r="F23" s="11"/>
    </row>
    <row r="24" spans="1:6" hidden="1" x14ac:dyDescent="0.35">
      <c r="A24" s="22">
        <v>2006474</v>
      </c>
      <c r="B24" s="11" t="s">
        <v>428</v>
      </c>
      <c r="C24" s="11" t="s">
        <v>429</v>
      </c>
      <c r="D24" s="11" t="s">
        <v>70</v>
      </c>
      <c r="E24" s="24">
        <v>50</v>
      </c>
      <c r="F24" s="11"/>
    </row>
    <row r="25" spans="1:6" hidden="1" x14ac:dyDescent="0.35">
      <c r="A25" s="22">
        <v>2006152</v>
      </c>
      <c r="B25" s="11" t="s">
        <v>690</v>
      </c>
      <c r="C25" s="11" t="s">
        <v>691</v>
      </c>
      <c r="D25" s="11" t="s">
        <v>70</v>
      </c>
      <c r="E25" s="24">
        <v>1000</v>
      </c>
      <c r="F25" s="11"/>
    </row>
    <row r="26" spans="1:6" hidden="1" x14ac:dyDescent="0.35">
      <c r="A26" s="22">
        <v>2006393</v>
      </c>
      <c r="B26" s="11" t="s">
        <v>560</v>
      </c>
      <c r="C26" s="11" t="s">
        <v>302</v>
      </c>
      <c r="D26" s="11" t="s">
        <v>66</v>
      </c>
      <c r="E26" s="24">
        <v>100</v>
      </c>
      <c r="F26" s="11"/>
    </row>
    <row r="27" spans="1:6" hidden="1" x14ac:dyDescent="0.35">
      <c r="A27" s="22">
        <v>2006179</v>
      </c>
      <c r="B27" s="11" t="s">
        <v>625</v>
      </c>
      <c r="C27" s="11" t="s">
        <v>409</v>
      </c>
      <c r="D27" s="11" t="s">
        <v>66</v>
      </c>
      <c r="E27" s="24">
        <v>50</v>
      </c>
      <c r="F27" s="11"/>
    </row>
    <row r="28" spans="1:6" hidden="1" x14ac:dyDescent="0.35">
      <c r="A28" s="22">
        <v>2006828</v>
      </c>
      <c r="B28" s="11" t="s">
        <v>689</v>
      </c>
      <c r="C28" s="11" t="s">
        <v>518</v>
      </c>
      <c r="D28" s="11" t="s">
        <v>66</v>
      </c>
      <c r="E28" s="24">
        <v>80</v>
      </c>
      <c r="F28" s="11"/>
    </row>
    <row r="29" spans="1:6" hidden="1" x14ac:dyDescent="0.35">
      <c r="A29" s="22">
        <v>2006201</v>
      </c>
      <c r="B29" s="11" t="s">
        <v>567</v>
      </c>
      <c r="C29" s="11" t="s">
        <v>326</v>
      </c>
      <c r="D29" s="11" t="s">
        <v>71</v>
      </c>
      <c r="E29" s="24">
        <v>600</v>
      </c>
      <c r="F29" s="11"/>
    </row>
    <row r="30" spans="1:6" hidden="1" x14ac:dyDescent="0.35">
      <c r="A30" s="22">
        <v>2006827</v>
      </c>
      <c r="B30" s="11" t="s">
        <v>572</v>
      </c>
      <c r="C30" s="11" t="s">
        <v>354</v>
      </c>
      <c r="D30" s="11" t="s">
        <v>71</v>
      </c>
      <c r="E30" s="24">
        <v>400</v>
      </c>
      <c r="F30" s="11"/>
    </row>
    <row r="31" spans="1:6" hidden="1" x14ac:dyDescent="0.35">
      <c r="A31" s="22"/>
      <c r="B31" s="42" t="s">
        <v>6734</v>
      </c>
      <c r="C31" s="11" t="s">
        <v>6735</v>
      </c>
      <c r="D31" s="11" t="s">
        <v>71</v>
      </c>
      <c r="E31" s="24">
        <v>1</v>
      </c>
      <c r="F31" s="11"/>
    </row>
    <row r="32" spans="1:6" hidden="1" x14ac:dyDescent="0.35">
      <c r="A32" s="22"/>
      <c r="B32" s="11" t="s">
        <v>6736</v>
      </c>
      <c r="C32" s="11" t="s">
        <v>3220</v>
      </c>
      <c r="D32" s="11" t="s">
        <v>71</v>
      </c>
      <c r="E32" s="24">
        <v>600</v>
      </c>
      <c r="F32" s="11"/>
    </row>
    <row r="33" spans="1:6" hidden="1" x14ac:dyDescent="0.35">
      <c r="A33" s="22">
        <v>2006798</v>
      </c>
      <c r="B33" s="11" t="s">
        <v>562</v>
      </c>
      <c r="C33" s="11" t="s">
        <v>392</v>
      </c>
      <c r="D33" s="11" t="s">
        <v>67</v>
      </c>
      <c r="E33" s="24">
        <v>600</v>
      </c>
      <c r="F33" s="11"/>
    </row>
    <row r="34" spans="1:6" hidden="1" x14ac:dyDescent="0.35">
      <c r="A34" s="22">
        <v>2006202</v>
      </c>
      <c r="B34" s="11" t="s">
        <v>563</v>
      </c>
      <c r="C34" s="11" t="s">
        <v>394</v>
      </c>
      <c r="D34" s="11" t="s">
        <v>67</v>
      </c>
      <c r="E34" s="24">
        <v>1000</v>
      </c>
      <c r="F34" s="11"/>
    </row>
    <row r="35" spans="1:6" hidden="1" x14ac:dyDescent="0.35">
      <c r="A35" s="22">
        <v>2007250</v>
      </c>
      <c r="B35" s="11" t="s">
        <v>736</v>
      </c>
      <c r="C35" s="11" t="s">
        <v>5846</v>
      </c>
      <c r="D35" s="11" t="s">
        <v>67</v>
      </c>
      <c r="E35" s="24">
        <v>1000</v>
      </c>
      <c r="F35" s="11" t="s">
        <v>34</v>
      </c>
    </row>
    <row r="36" spans="1:6" hidden="1" x14ac:dyDescent="0.35">
      <c r="A36" s="22">
        <v>2006451</v>
      </c>
      <c r="B36" s="11" t="s">
        <v>578</v>
      </c>
      <c r="C36" s="11" t="s">
        <v>336</v>
      </c>
      <c r="D36" s="11" t="s">
        <v>78</v>
      </c>
      <c r="E36" s="24">
        <v>100</v>
      </c>
      <c r="F36" s="11"/>
    </row>
    <row r="37" spans="1:6" hidden="1" x14ac:dyDescent="0.35">
      <c r="A37" s="22" t="s">
        <v>265</v>
      </c>
      <c r="B37" s="11" t="s">
        <v>616</v>
      </c>
      <c r="C37" s="11" t="s">
        <v>418</v>
      </c>
      <c r="D37" s="11" t="s">
        <v>78</v>
      </c>
      <c r="E37" s="24">
        <v>100</v>
      </c>
      <c r="F37" s="11"/>
    </row>
    <row r="38" spans="1:6" hidden="1" x14ac:dyDescent="0.35">
      <c r="A38" s="22">
        <v>2006204</v>
      </c>
      <c r="B38" s="11" t="s">
        <v>433</v>
      </c>
      <c r="C38" s="11" t="s">
        <v>434</v>
      </c>
      <c r="D38" s="11" t="s">
        <v>78</v>
      </c>
      <c r="E38" s="24">
        <v>600</v>
      </c>
      <c r="F38" s="11"/>
    </row>
    <row r="39" spans="1:6" hidden="1" x14ac:dyDescent="0.35">
      <c r="A39" s="22">
        <v>2006453</v>
      </c>
      <c r="B39" s="11" t="s">
        <v>599</v>
      </c>
      <c r="C39" s="11" t="s">
        <v>402</v>
      </c>
      <c r="D39" s="11" t="s">
        <v>88</v>
      </c>
      <c r="E39" s="24">
        <v>800</v>
      </c>
      <c r="F39" s="11"/>
    </row>
    <row r="40" spans="1:6" hidden="1" x14ac:dyDescent="0.35">
      <c r="A40" s="22">
        <v>2006473</v>
      </c>
      <c r="B40" s="11" t="s">
        <v>629</v>
      </c>
      <c r="C40" s="11" t="s">
        <v>426</v>
      </c>
      <c r="D40" s="11" t="s">
        <v>88</v>
      </c>
      <c r="E40" s="24">
        <v>800</v>
      </c>
      <c r="F40" s="11"/>
    </row>
    <row r="41" spans="1:6" hidden="1" x14ac:dyDescent="0.35">
      <c r="A41" s="22">
        <v>2006452</v>
      </c>
      <c r="B41" s="11" t="s">
        <v>765</v>
      </c>
      <c r="C41" s="11" t="s">
        <v>365</v>
      </c>
      <c r="D41" s="11" t="s">
        <v>80</v>
      </c>
      <c r="E41" s="24">
        <v>2000</v>
      </c>
      <c r="F41" s="11"/>
    </row>
    <row r="42" spans="1:6" hidden="1" x14ac:dyDescent="0.35">
      <c r="A42" s="22"/>
      <c r="B42" s="11" t="s">
        <v>6737</v>
      </c>
      <c r="C42" s="11" t="s">
        <v>3445</v>
      </c>
      <c r="D42" s="11" t="s">
        <v>80</v>
      </c>
      <c r="E42" s="24">
        <v>2000</v>
      </c>
      <c r="F42" s="11"/>
    </row>
    <row r="43" spans="1:6" hidden="1" x14ac:dyDescent="0.35">
      <c r="A43" s="22">
        <v>2007579</v>
      </c>
      <c r="B43" s="11" t="s">
        <v>712</v>
      </c>
      <c r="C43" s="11" t="s">
        <v>713</v>
      </c>
      <c r="D43" s="11" t="s">
        <v>131</v>
      </c>
      <c r="E43" s="24">
        <v>1</v>
      </c>
      <c r="F43" s="11"/>
    </row>
    <row r="44" spans="1:6" hidden="1" x14ac:dyDescent="0.35">
      <c r="A44" s="22">
        <v>2006684</v>
      </c>
      <c r="B44" s="11" t="s">
        <v>564</v>
      </c>
      <c r="C44" s="11" t="s">
        <v>348</v>
      </c>
      <c r="D44" s="11" t="s">
        <v>69</v>
      </c>
      <c r="E44" s="24">
        <v>50</v>
      </c>
      <c r="F44" s="11"/>
    </row>
    <row r="45" spans="1:6" hidden="1" x14ac:dyDescent="0.35">
      <c r="A45" s="22">
        <v>2006653</v>
      </c>
      <c r="B45" s="11" t="s">
        <v>614</v>
      </c>
      <c r="C45" s="11" t="s">
        <v>366</v>
      </c>
      <c r="D45" s="11" t="s">
        <v>69</v>
      </c>
      <c r="E45" s="24">
        <v>100</v>
      </c>
      <c r="F45" s="11"/>
    </row>
    <row r="46" spans="1:6" hidden="1" x14ac:dyDescent="0.35">
      <c r="A46" s="22">
        <v>2006391</v>
      </c>
      <c r="B46" s="11" t="s">
        <v>575</v>
      </c>
      <c r="C46" s="11" t="s">
        <v>324</v>
      </c>
      <c r="D46" s="11" t="s">
        <v>77</v>
      </c>
      <c r="E46" s="24">
        <v>50</v>
      </c>
      <c r="F46" s="11"/>
    </row>
    <row r="47" spans="1:6" hidden="1" x14ac:dyDescent="0.35">
      <c r="A47" s="22">
        <v>2006686</v>
      </c>
      <c r="B47" s="11" t="s">
        <v>600</v>
      </c>
      <c r="C47" s="11" t="s">
        <v>515</v>
      </c>
      <c r="D47" s="11" t="s">
        <v>77</v>
      </c>
      <c r="E47" s="24">
        <v>50</v>
      </c>
      <c r="F47" s="11"/>
    </row>
    <row r="48" spans="1:6" hidden="1" x14ac:dyDescent="0.35">
      <c r="A48" s="22">
        <v>2006647</v>
      </c>
      <c r="B48" s="11" t="s">
        <v>643</v>
      </c>
      <c r="C48" s="11" t="s">
        <v>412</v>
      </c>
      <c r="D48" s="11" t="s">
        <v>77</v>
      </c>
      <c r="E48" s="24">
        <v>100</v>
      </c>
      <c r="F48" s="11"/>
    </row>
    <row r="49" spans="1:6" hidden="1" x14ac:dyDescent="0.35">
      <c r="A49" s="22">
        <v>2006652</v>
      </c>
      <c r="B49" s="11" t="s">
        <v>571</v>
      </c>
      <c r="C49" s="11" t="s">
        <v>353</v>
      </c>
      <c r="D49" s="11" t="s">
        <v>75</v>
      </c>
      <c r="E49" s="24">
        <v>50</v>
      </c>
      <c r="F49" s="11"/>
    </row>
    <row r="50" spans="1:6" hidden="1" x14ac:dyDescent="0.35">
      <c r="A50" s="22">
        <v>2006471</v>
      </c>
      <c r="B50" s="11" t="s">
        <v>770</v>
      </c>
      <c r="C50" s="11" t="s">
        <v>383</v>
      </c>
      <c r="D50" s="11" t="s">
        <v>75</v>
      </c>
      <c r="E50" s="24">
        <v>100</v>
      </c>
      <c r="F50" s="11"/>
    </row>
    <row r="51" spans="1:6" hidden="1" x14ac:dyDescent="0.35">
      <c r="A51" s="22">
        <v>2006651</v>
      </c>
      <c r="B51" s="11" t="s">
        <v>548</v>
      </c>
      <c r="C51" s="11" t="s">
        <v>277</v>
      </c>
      <c r="D51" s="11" t="s">
        <v>55</v>
      </c>
      <c r="E51" s="24">
        <v>100</v>
      </c>
      <c r="F51" s="11"/>
    </row>
    <row r="52" spans="1:6" hidden="1" x14ac:dyDescent="0.35">
      <c r="A52" s="22">
        <v>2007287</v>
      </c>
      <c r="B52" s="11" t="s">
        <v>650</v>
      </c>
      <c r="C52" s="11" t="s">
        <v>440</v>
      </c>
      <c r="D52" s="11" t="s">
        <v>55</v>
      </c>
      <c r="E52" s="24">
        <v>50</v>
      </c>
      <c r="F52" s="11"/>
    </row>
    <row r="53" spans="1:6" hidden="1" x14ac:dyDescent="0.35">
      <c r="A53" s="22"/>
      <c r="B53" s="11" t="s">
        <v>760</v>
      </c>
      <c r="C53" s="11" t="s">
        <v>6738</v>
      </c>
      <c r="D53" s="11" t="s">
        <v>55</v>
      </c>
      <c r="E53" s="24">
        <v>100</v>
      </c>
      <c r="F53" s="11"/>
    </row>
    <row r="54" spans="1:6" hidden="1" x14ac:dyDescent="0.35">
      <c r="A54" s="22"/>
      <c r="B54" s="11" t="s">
        <v>724</v>
      </c>
      <c r="C54" s="11" t="s">
        <v>725</v>
      </c>
      <c r="D54" s="11" t="s">
        <v>137</v>
      </c>
      <c r="E54" s="24">
        <v>70</v>
      </c>
      <c r="F54" s="11"/>
    </row>
    <row r="55" spans="1:6" hidden="1" x14ac:dyDescent="0.35">
      <c r="A55" s="22">
        <v>2006674</v>
      </c>
      <c r="B55" s="11" t="s">
        <v>550</v>
      </c>
      <c r="C55" s="11" t="s">
        <v>551</v>
      </c>
      <c r="D55" s="11" t="s">
        <v>59</v>
      </c>
      <c r="E55" s="24">
        <v>1000</v>
      </c>
      <c r="F55" s="11"/>
    </row>
    <row r="56" spans="1:6" hidden="1" x14ac:dyDescent="0.35">
      <c r="A56" s="22"/>
      <c r="B56" s="11" t="s">
        <v>735</v>
      </c>
      <c r="C56" s="11" t="s">
        <v>469</v>
      </c>
      <c r="D56" s="11" t="s">
        <v>142</v>
      </c>
      <c r="E56" s="24">
        <v>500</v>
      </c>
      <c r="F56" s="11"/>
    </row>
    <row r="57" spans="1:6" hidden="1" x14ac:dyDescent="0.35">
      <c r="A57" s="22" t="s">
        <v>265</v>
      </c>
      <c r="B57" s="11" t="s">
        <v>667</v>
      </c>
      <c r="C57" s="11" t="s">
        <v>668</v>
      </c>
      <c r="D57" s="11" t="s">
        <v>111</v>
      </c>
      <c r="E57" s="24">
        <v>1600</v>
      </c>
      <c r="F57" s="11"/>
    </row>
    <row r="58" spans="1:6" hidden="1" x14ac:dyDescent="0.35">
      <c r="A58" s="22">
        <v>2006232</v>
      </c>
      <c r="B58" s="11" t="s">
        <v>688</v>
      </c>
      <c r="C58" s="11" t="s">
        <v>516</v>
      </c>
      <c r="D58" s="11" t="s">
        <v>111</v>
      </c>
      <c r="E58" s="24">
        <v>600</v>
      </c>
      <c r="F58" s="11"/>
    </row>
    <row r="59" spans="1:6" hidden="1" x14ac:dyDescent="0.35">
      <c r="A59" s="22"/>
      <c r="B59" s="11" t="s">
        <v>780</v>
      </c>
      <c r="C59" s="11" t="s">
        <v>496</v>
      </c>
      <c r="D59" s="11" t="s">
        <v>111</v>
      </c>
      <c r="E59" s="24">
        <v>2000</v>
      </c>
      <c r="F59" s="11"/>
    </row>
    <row r="60" spans="1:6" hidden="1" x14ac:dyDescent="0.35">
      <c r="A60" s="22">
        <v>2006233</v>
      </c>
      <c r="B60" s="11" t="s">
        <v>396</v>
      </c>
      <c r="C60" s="11" t="s">
        <v>397</v>
      </c>
      <c r="D60" s="11" t="s">
        <v>105</v>
      </c>
      <c r="E60" s="24">
        <v>10000</v>
      </c>
      <c r="F60" s="11"/>
    </row>
    <row r="61" spans="1:6" hidden="1" x14ac:dyDescent="0.35">
      <c r="A61" s="22"/>
      <c r="B61" s="11" t="s">
        <v>396</v>
      </c>
      <c r="C61" s="11" t="s">
        <v>6739</v>
      </c>
      <c r="D61" s="11" t="s">
        <v>105</v>
      </c>
      <c r="E61" s="24">
        <v>10000</v>
      </c>
      <c r="F61" s="11"/>
    </row>
    <row r="62" spans="1:6" hidden="1" x14ac:dyDescent="0.35">
      <c r="A62" s="22">
        <v>2006219</v>
      </c>
      <c r="B62" s="11" t="s">
        <v>620</v>
      </c>
      <c r="C62" s="11" t="s">
        <v>395</v>
      </c>
      <c r="D62" s="11" t="s">
        <v>99</v>
      </c>
      <c r="E62" s="24">
        <v>1000</v>
      </c>
      <c r="F62" s="11"/>
    </row>
    <row r="63" spans="1:6" hidden="1" x14ac:dyDescent="0.35">
      <c r="A63" s="22">
        <v>2007381</v>
      </c>
      <c r="B63" s="11" t="s">
        <v>675</v>
      </c>
      <c r="C63" s="11" t="s">
        <v>676</v>
      </c>
      <c r="D63" s="11" t="s">
        <v>149</v>
      </c>
      <c r="E63" s="24">
        <v>1000</v>
      </c>
      <c r="F63" s="11"/>
    </row>
    <row r="64" spans="1:6" hidden="1" x14ac:dyDescent="0.35">
      <c r="A64" s="22">
        <v>2006483</v>
      </c>
      <c r="B64" s="11" t="s">
        <v>586</v>
      </c>
      <c r="C64" s="11" t="s">
        <v>346</v>
      </c>
      <c r="D64" s="11" t="s">
        <v>151</v>
      </c>
      <c r="E64" s="24">
        <v>1000</v>
      </c>
      <c r="F64" s="11"/>
    </row>
    <row r="65" spans="1:6" hidden="1" x14ac:dyDescent="0.35">
      <c r="A65" s="22"/>
      <c r="B65" s="11" t="s">
        <v>6740</v>
      </c>
      <c r="C65" s="11" t="s">
        <v>6741</v>
      </c>
      <c r="D65" s="11" t="s">
        <v>151</v>
      </c>
      <c r="E65" s="24">
        <v>1000</v>
      </c>
      <c r="F65" s="11"/>
    </row>
    <row r="66" spans="1:6" hidden="1" x14ac:dyDescent="0.35">
      <c r="A66" s="22">
        <v>2006800</v>
      </c>
      <c r="B66" s="11" t="s">
        <v>237</v>
      </c>
      <c r="C66" s="11" t="s">
        <v>238</v>
      </c>
      <c r="D66" s="11" t="s">
        <v>16</v>
      </c>
      <c r="E66" s="24">
        <v>1000</v>
      </c>
      <c r="F66" s="11"/>
    </row>
    <row r="67" spans="1:6" hidden="1" x14ac:dyDescent="0.35">
      <c r="A67" s="22">
        <v>2006461</v>
      </c>
      <c r="B67" s="11" t="s">
        <v>214</v>
      </c>
      <c r="C67" s="11" t="s">
        <v>215</v>
      </c>
      <c r="D67" s="11" t="s">
        <v>16</v>
      </c>
      <c r="E67" s="24">
        <v>1000</v>
      </c>
      <c r="F67" s="11"/>
    </row>
    <row r="68" spans="1:6" hidden="1" x14ac:dyDescent="0.35">
      <c r="A68" s="22">
        <v>2006159</v>
      </c>
      <c r="B68" s="11" t="s">
        <v>594</v>
      </c>
      <c r="C68" s="11" t="s">
        <v>595</v>
      </c>
      <c r="D68" s="11" t="s">
        <v>16</v>
      </c>
      <c r="E68" s="24">
        <v>1000</v>
      </c>
      <c r="F68" s="11"/>
    </row>
    <row r="69" spans="1:6" hidden="1" x14ac:dyDescent="0.35">
      <c r="A69" s="22">
        <v>2006170</v>
      </c>
      <c r="B69" s="11" t="s">
        <v>249</v>
      </c>
      <c r="C69" s="11" t="s">
        <v>250</v>
      </c>
      <c r="D69" s="11" t="s">
        <v>16</v>
      </c>
      <c r="E69" s="24">
        <v>1000</v>
      </c>
      <c r="F69" s="11"/>
    </row>
    <row r="70" spans="1:6" hidden="1" x14ac:dyDescent="0.35">
      <c r="A70" s="22">
        <v>2006690</v>
      </c>
      <c r="B70" s="11" t="s">
        <v>559</v>
      </c>
      <c r="C70" s="11" t="s">
        <v>316</v>
      </c>
      <c r="D70" s="11" t="s">
        <v>16</v>
      </c>
      <c r="E70" s="24">
        <v>1000</v>
      </c>
      <c r="F70" s="11"/>
    </row>
    <row r="71" spans="1:6" hidden="1" x14ac:dyDescent="0.35">
      <c r="A71" s="22">
        <v>2006462</v>
      </c>
      <c r="B71" s="11" t="s">
        <v>607</v>
      </c>
      <c r="C71" s="11" t="s">
        <v>608</v>
      </c>
      <c r="D71" s="11" t="s">
        <v>16</v>
      </c>
      <c r="E71" s="24">
        <v>2000</v>
      </c>
      <c r="F71" s="11"/>
    </row>
    <row r="72" spans="1:6" hidden="1" x14ac:dyDescent="0.35">
      <c r="A72" s="22">
        <v>2007100</v>
      </c>
      <c r="B72" s="11" t="s">
        <v>621</v>
      </c>
      <c r="C72" s="11" t="s">
        <v>521</v>
      </c>
      <c r="D72" s="11" t="s">
        <v>16</v>
      </c>
      <c r="E72" s="24">
        <v>2000</v>
      </c>
      <c r="F72" s="11"/>
    </row>
    <row r="73" spans="1:6" hidden="1" x14ac:dyDescent="0.35">
      <c r="A73" s="22">
        <v>2007114</v>
      </c>
      <c r="B73" s="11" t="s">
        <v>6742</v>
      </c>
      <c r="C73" s="11" t="s">
        <v>3247</v>
      </c>
      <c r="D73" s="11" t="s">
        <v>16</v>
      </c>
      <c r="E73" s="24">
        <v>2000</v>
      </c>
      <c r="F73" s="11"/>
    </row>
    <row r="74" spans="1:6" hidden="1" x14ac:dyDescent="0.35">
      <c r="A74" s="22">
        <v>2006218</v>
      </c>
      <c r="B74" s="11" t="s">
        <v>602</v>
      </c>
      <c r="C74" s="11" t="s">
        <v>401</v>
      </c>
      <c r="D74" s="11" t="s">
        <v>93</v>
      </c>
      <c r="E74" s="24">
        <v>1000</v>
      </c>
      <c r="F74" s="11"/>
    </row>
    <row r="75" spans="1:6" hidden="1" x14ac:dyDescent="0.35">
      <c r="A75" s="22">
        <v>2006801</v>
      </c>
      <c r="B75" s="11" t="s">
        <v>771</v>
      </c>
      <c r="C75" s="11" t="s">
        <v>384</v>
      </c>
      <c r="D75" s="11" t="s">
        <v>90</v>
      </c>
      <c r="E75" s="24">
        <v>2000</v>
      </c>
      <c r="F75" s="11"/>
    </row>
    <row r="76" spans="1:6" hidden="1" x14ac:dyDescent="0.35">
      <c r="A76" s="22">
        <v>2006666</v>
      </c>
      <c r="B76" s="11" t="s">
        <v>661</v>
      </c>
      <c r="C76" s="11" t="s">
        <v>443</v>
      </c>
      <c r="D76" s="11" t="s">
        <v>90</v>
      </c>
      <c r="E76" s="24">
        <v>1000</v>
      </c>
      <c r="F76" s="11"/>
    </row>
    <row r="77" spans="1:6" hidden="1" x14ac:dyDescent="0.35">
      <c r="A77" s="22"/>
      <c r="B77" s="11" t="s">
        <v>720</v>
      </c>
      <c r="C77" s="11" t="s">
        <v>6743</v>
      </c>
      <c r="D77" s="11" t="s">
        <v>6744</v>
      </c>
      <c r="E77" s="24">
        <v>1000</v>
      </c>
      <c r="F77" s="11"/>
    </row>
    <row r="78" spans="1:6" hidden="1" x14ac:dyDescent="0.35">
      <c r="A78" s="22">
        <v>2006665</v>
      </c>
      <c r="B78" s="11" t="s">
        <v>632</v>
      </c>
      <c r="C78" s="11" t="s">
        <v>419</v>
      </c>
      <c r="D78" s="11" t="s">
        <v>138</v>
      </c>
      <c r="E78" s="24">
        <v>8400</v>
      </c>
      <c r="F78" s="11"/>
    </row>
    <row r="79" spans="1:6" hidden="1" x14ac:dyDescent="0.35">
      <c r="A79" s="22"/>
      <c r="B79" s="11" t="s">
        <v>727</v>
      </c>
      <c r="C79" s="11" t="s">
        <v>367</v>
      </c>
      <c r="D79" s="11" t="s">
        <v>138</v>
      </c>
      <c r="E79" s="24">
        <v>2000</v>
      </c>
      <c r="F79" s="11"/>
    </row>
    <row r="80" spans="1:6" hidden="1" x14ac:dyDescent="0.35">
      <c r="A80" s="22"/>
      <c r="B80" s="11" t="s">
        <v>6745</v>
      </c>
      <c r="C80" s="11" t="s">
        <v>1791</v>
      </c>
      <c r="D80" s="11" t="s">
        <v>141</v>
      </c>
      <c r="E80" s="24">
        <v>1</v>
      </c>
      <c r="F80" s="11"/>
    </row>
    <row r="81" spans="1:6" hidden="1" x14ac:dyDescent="0.35">
      <c r="A81" s="22">
        <v>2006209</v>
      </c>
      <c r="B81" s="11" t="s">
        <v>247</v>
      </c>
      <c r="C81" s="11" t="s">
        <v>33</v>
      </c>
      <c r="D81" s="11" t="s">
        <v>33</v>
      </c>
      <c r="E81" s="24">
        <v>1</v>
      </c>
      <c r="F81" s="11" t="s">
        <v>34</v>
      </c>
    </row>
    <row r="82" spans="1:6" hidden="1" x14ac:dyDescent="0.35">
      <c r="A82" s="22">
        <v>2007343</v>
      </c>
      <c r="B82" s="11" t="s">
        <v>652</v>
      </c>
      <c r="C82" s="11" t="s">
        <v>653</v>
      </c>
      <c r="D82" s="11" t="s">
        <v>33</v>
      </c>
      <c r="E82" s="24">
        <v>1</v>
      </c>
      <c r="F82" s="11"/>
    </row>
    <row r="83" spans="1:6" hidden="1" x14ac:dyDescent="0.35">
      <c r="A83" s="22">
        <v>2006396</v>
      </c>
      <c r="B83" s="11" t="s">
        <v>263</v>
      </c>
      <c r="C83" s="11" t="s">
        <v>264</v>
      </c>
      <c r="D83" s="11" t="s">
        <v>37</v>
      </c>
      <c r="E83" s="24">
        <v>1</v>
      </c>
      <c r="F83" s="11"/>
    </row>
    <row r="84" spans="1:6" hidden="1" x14ac:dyDescent="0.35">
      <c r="A84" s="22">
        <v>2006663</v>
      </c>
      <c r="B84" s="11" t="s">
        <v>243</v>
      </c>
      <c r="C84" s="11" t="s">
        <v>244</v>
      </c>
      <c r="D84" s="11" t="s">
        <v>37</v>
      </c>
      <c r="E84" s="24">
        <v>1</v>
      </c>
      <c r="F84" s="11"/>
    </row>
    <row r="85" spans="1:6" hidden="1" x14ac:dyDescent="0.35">
      <c r="A85" s="22">
        <v>2006662</v>
      </c>
      <c r="B85" s="11" t="s">
        <v>536</v>
      </c>
      <c r="C85" s="11" t="s">
        <v>537</v>
      </c>
      <c r="D85" s="11" t="s">
        <v>37</v>
      </c>
      <c r="E85" s="24">
        <v>1</v>
      </c>
      <c r="F85" s="11"/>
    </row>
    <row r="86" spans="1:6" hidden="1" x14ac:dyDescent="0.35">
      <c r="A86" s="22">
        <v>2006799</v>
      </c>
      <c r="B86" s="11" t="s">
        <v>766</v>
      </c>
      <c r="C86" s="11" t="s">
        <v>451</v>
      </c>
      <c r="D86" s="11" t="s">
        <v>37</v>
      </c>
      <c r="E86" s="24">
        <v>1</v>
      </c>
      <c r="F86" s="11"/>
    </row>
    <row r="87" spans="1:6" hidden="1" x14ac:dyDescent="0.35">
      <c r="A87" s="22">
        <v>2007332</v>
      </c>
      <c r="B87" s="11" t="s">
        <v>648</v>
      </c>
      <c r="C87" s="11" t="s">
        <v>649</v>
      </c>
      <c r="D87" s="11" t="s">
        <v>37</v>
      </c>
      <c r="E87" s="24">
        <v>1</v>
      </c>
      <c r="F87" s="11"/>
    </row>
    <row r="88" spans="1:6" hidden="1" x14ac:dyDescent="0.35">
      <c r="A88" s="22"/>
      <c r="B88" s="11" t="s">
        <v>719</v>
      </c>
      <c r="C88" s="11" t="s">
        <v>1362</v>
      </c>
      <c r="D88" s="11" t="s">
        <v>37</v>
      </c>
      <c r="E88" s="24">
        <v>1</v>
      </c>
      <c r="F88" s="11"/>
    </row>
    <row r="89" spans="1:6" hidden="1" x14ac:dyDescent="0.35">
      <c r="A89" s="22">
        <v>2006847</v>
      </c>
      <c r="B89" s="11" t="s">
        <v>579</v>
      </c>
      <c r="C89" s="11" t="s">
        <v>580</v>
      </c>
      <c r="D89" s="11" t="s">
        <v>79</v>
      </c>
      <c r="E89" s="24">
        <v>1000</v>
      </c>
      <c r="F89" s="11"/>
    </row>
    <row r="90" spans="1:6" hidden="1" x14ac:dyDescent="0.35">
      <c r="A90" s="22">
        <v>2006740</v>
      </c>
      <c r="B90" s="11" t="s">
        <v>538</v>
      </c>
      <c r="C90" s="11" t="s">
        <v>260</v>
      </c>
      <c r="D90" s="11" t="s">
        <v>43</v>
      </c>
      <c r="E90" s="24">
        <v>50</v>
      </c>
      <c r="F90" s="11"/>
    </row>
    <row r="91" spans="1:6" hidden="1" x14ac:dyDescent="0.35">
      <c r="A91" s="22">
        <v>2006419</v>
      </c>
      <c r="B91" s="11" t="s">
        <v>583</v>
      </c>
      <c r="C91" s="11" t="s">
        <v>584</v>
      </c>
      <c r="D91" s="11" t="s">
        <v>43</v>
      </c>
      <c r="E91" s="24">
        <v>1000</v>
      </c>
      <c r="F91" s="11"/>
    </row>
    <row r="92" spans="1:6" hidden="1" x14ac:dyDescent="0.35">
      <c r="A92" s="22">
        <v>2006661</v>
      </c>
      <c r="B92" s="11" t="s">
        <v>597</v>
      </c>
      <c r="C92" s="11" t="s">
        <v>368</v>
      </c>
      <c r="D92" s="11" t="s">
        <v>87</v>
      </c>
      <c r="E92" s="24">
        <v>116</v>
      </c>
      <c r="F92" s="11"/>
    </row>
    <row r="93" spans="1:6" hidden="1" x14ac:dyDescent="0.35">
      <c r="A93" s="22" t="s">
        <v>265</v>
      </c>
      <c r="B93" s="11" t="s">
        <v>617</v>
      </c>
      <c r="C93" s="11" t="s">
        <v>422</v>
      </c>
      <c r="D93" s="11" t="s">
        <v>96</v>
      </c>
      <c r="E93" s="24">
        <v>50</v>
      </c>
      <c r="F93" s="11"/>
    </row>
    <row r="94" spans="1:6" hidden="1" x14ac:dyDescent="0.35">
      <c r="A94" s="22" t="s">
        <v>265</v>
      </c>
      <c r="B94" s="11" t="s">
        <v>414</v>
      </c>
      <c r="C94" s="11" t="s">
        <v>415</v>
      </c>
      <c r="D94" s="11" t="s">
        <v>96</v>
      </c>
      <c r="E94" s="24">
        <v>25</v>
      </c>
      <c r="F94" s="11"/>
    </row>
    <row r="95" spans="1:6" hidden="1" x14ac:dyDescent="0.35">
      <c r="A95" s="22" t="s">
        <v>265</v>
      </c>
      <c r="B95" s="11" t="s">
        <v>618</v>
      </c>
      <c r="C95" s="11" t="s">
        <v>619</v>
      </c>
      <c r="D95" s="11" t="s">
        <v>96</v>
      </c>
      <c r="E95" s="24">
        <v>25</v>
      </c>
      <c r="F95" s="11"/>
    </row>
    <row r="96" spans="1:6" hidden="1" x14ac:dyDescent="0.35">
      <c r="A96" s="22"/>
      <c r="B96" s="11" t="s">
        <v>6746</v>
      </c>
      <c r="C96" s="11" t="s">
        <v>3263</v>
      </c>
      <c r="D96" s="11" t="s">
        <v>96</v>
      </c>
      <c r="E96" s="24">
        <v>50</v>
      </c>
      <c r="F96" s="11"/>
    </row>
    <row r="97" spans="1:6" hidden="1" x14ac:dyDescent="0.35">
      <c r="A97" s="22"/>
      <c r="B97" s="11" t="s">
        <v>738</v>
      </c>
      <c r="C97" s="11" t="s">
        <v>6044</v>
      </c>
      <c r="D97" s="11" t="s">
        <v>96</v>
      </c>
      <c r="E97" s="24">
        <v>25</v>
      </c>
      <c r="F97" s="11"/>
    </row>
    <row r="98" spans="1:6" hidden="1" x14ac:dyDescent="0.35">
      <c r="A98" s="22"/>
      <c r="B98" s="11" t="s">
        <v>6747</v>
      </c>
      <c r="C98" s="11" t="s">
        <v>5869</v>
      </c>
      <c r="D98" s="11" t="s">
        <v>125</v>
      </c>
      <c r="E98" s="24">
        <v>1000</v>
      </c>
      <c r="F98" s="11"/>
    </row>
    <row r="99" spans="1:6" hidden="1" x14ac:dyDescent="0.35">
      <c r="A99" s="22">
        <v>2006637</v>
      </c>
      <c r="B99" s="11" t="s">
        <v>769</v>
      </c>
      <c r="C99" s="11" t="s">
        <v>376</v>
      </c>
      <c r="D99" s="11" t="s">
        <v>86</v>
      </c>
      <c r="E99" s="24">
        <v>1000</v>
      </c>
      <c r="F99" s="11"/>
    </row>
    <row r="100" spans="1:6" hidden="1" x14ac:dyDescent="0.35">
      <c r="A100" s="22">
        <v>2007004</v>
      </c>
      <c r="B100" s="11" t="s">
        <v>672</v>
      </c>
      <c r="C100" s="11" t="s">
        <v>455</v>
      </c>
      <c r="D100" s="11" t="s">
        <v>114</v>
      </c>
      <c r="E100" s="24">
        <v>200</v>
      </c>
      <c r="F100" s="11"/>
    </row>
    <row r="101" spans="1:6" hidden="1" x14ac:dyDescent="0.35">
      <c r="A101" s="22" t="s">
        <v>265</v>
      </c>
      <c r="B101" s="11" t="s">
        <v>779</v>
      </c>
      <c r="C101" s="11" t="s">
        <v>470</v>
      </c>
      <c r="D101" s="11" t="s">
        <v>109</v>
      </c>
      <c r="E101" s="24">
        <v>1000</v>
      </c>
      <c r="F101" s="11"/>
    </row>
    <row r="102" spans="1:6" hidden="1" x14ac:dyDescent="0.35">
      <c r="A102" s="22"/>
      <c r="B102" s="11" t="s">
        <v>6748</v>
      </c>
      <c r="C102" s="11" t="s">
        <v>6749</v>
      </c>
      <c r="D102" s="11" t="s">
        <v>128</v>
      </c>
      <c r="E102" s="24">
        <v>1000</v>
      </c>
      <c r="F102" s="11"/>
    </row>
    <row r="103" spans="1:6" hidden="1" x14ac:dyDescent="0.35">
      <c r="A103" s="22">
        <v>2007192</v>
      </c>
      <c r="B103" s="11" t="s">
        <v>651</v>
      </c>
      <c r="C103" s="11" t="s">
        <v>441</v>
      </c>
      <c r="D103" s="11" t="s">
        <v>106</v>
      </c>
      <c r="E103" s="24">
        <v>1000</v>
      </c>
      <c r="F103" s="11"/>
    </row>
    <row r="104" spans="1:6" hidden="1" x14ac:dyDescent="0.35">
      <c r="A104" s="22">
        <v>2007032</v>
      </c>
      <c r="B104" s="11" t="s">
        <v>256</v>
      </c>
      <c r="C104" s="11" t="s">
        <v>257</v>
      </c>
      <c r="D104" s="11" t="s">
        <v>38</v>
      </c>
      <c r="E104" s="24">
        <v>100</v>
      </c>
      <c r="F104" s="11"/>
    </row>
    <row r="105" spans="1:6" hidden="1" x14ac:dyDescent="0.35">
      <c r="A105" s="22"/>
      <c r="B105" s="11" t="s">
        <v>6750</v>
      </c>
      <c r="C105" s="11" t="s">
        <v>6751</v>
      </c>
      <c r="D105" s="11" t="s">
        <v>38</v>
      </c>
      <c r="E105" s="24">
        <v>100</v>
      </c>
      <c r="F105" s="11"/>
    </row>
    <row r="106" spans="1:6" x14ac:dyDescent="0.35">
      <c r="A106" s="22">
        <v>2006379</v>
      </c>
      <c r="B106" s="11" t="s">
        <v>284</v>
      </c>
      <c r="C106" s="11" t="s">
        <v>285</v>
      </c>
      <c r="D106" s="11" t="s">
        <v>162</v>
      </c>
      <c r="E106" s="24">
        <v>100</v>
      </c>
      <c r="F106" s="11"/>
    </row>
    <row r="107" spans="1:6" x14ac:dyDescent="0.35">
      <c r="A107" s="22">
        <v>2006306</v>
      </c>
      <c r="B107" s="11" t="s">
        <v>637</v>
      </c>
      <c r="C107" s="11" t="s">
        <v>638</v>
      </c>
      <c r="D107" s="11" t="s">
        <v>162</v>
      </c>
      <c r="E107" s="24">
        <v>100</v>
      </c>
      <c r="F107" s="11"/>
    </row>
    <row r="108" spans="1:6" x14ac:dyDescent="0.35">
      <c r="A108" s="22"/>
      <c r="B108" s="11" t="s">
        <v>6752</v>
      </c>
      <c r="C108" s="11" t="s">
        <v>6753</v>
      </c>
      <c r="D108" s="11" t="s">
        <v>162</v>
      </c>
      <c r="E108" s="24">
        <v>100</v>
      </c>
      <c r="F108" s="11"/>
    </row>
    <row r="109" spans="1:6" x14ac:dyDescent="0.35">
      <c r="A109" s="22"/>
      <c r="B109" s="11" t="s">
        <v>6754</v>
      </c>
      <c r="C109" s="11" t="s">
        <v>6755</v>
      </c>
      <c r="D109" s="11" t="s">
        <v>162</v>
      </c>
      <c r="E109" s="24">
        <v>100</v>
      </c>
      <c r="F109" s="11"/>
    </row>
    <row r="110" spans="1:6" x14ac:dyDescent="0.35">
      <c r="A110" s="22"/>
      <c r="B110" s="11" t="s">
        <v>741</v>
      </c>
      <c r="C110" s="11" t="s">
        <v>742</v>
      </c>
      <c r="D110" s="11" t="s">
        <v>162</v>
      </c>
      <c r="E110" s="24">
        <v>100</v>
      </c>
      <c r="F110" s="11"/>
    </row>
    <row r="111" spans="1:6" hidden="1" x14ac:dyDescent="0.35">
      <c r="A111" s="22">
        <v>2006353</v>
      </c>
      <c r="B111" s="11" t="s">
        <v>204</v>
      </c>
      <c r="C111" s="11" t="s">
        <v>205</v>
      </c>
      <c r="D111" s="11" t="s">
        <v>22</v>
      </c>
      <c r="E111" s="24">
        <v>100</v>
      </c>
      <c r="F111" s="11"/>
    </row>
    <row r="112" spans="1:6" hidden="1" x14ac:dyDescent="0.35">
      <c r="A112" s="22">
        <v>2006631</v>
      </c>
      <c r="B112" s="11" t="s">
        <v>609</v>
      </c>
      <c r="C112" s="11" t="s">
        <v>413</v>
      </c>
      <c r="D112" s="11" t="s">
        <v>22</v>
      </c>
      <c r="E112" s="24">
        <v>100</v>
      </c>
      <c r="F112" s="11"/>
    </row>
    <row r="113" spans="1:6" hidden="1" x14ac:dyDescent="0.35">
      <c r="A113" s="22">
        <v>2006780</v>
      </c>
      <c r="B113" s="11" t="s">
        <v>633</v>
      </c>
      <c r="C113" s="11" t="s">
        <v>410</v>
      </c>
      <c r="D113" s="11" t="s">
        <v>22</v>
      </c>
      <c r="E113" s="24">
        <v>100</v>
      </c>
      <c r="F113" s="11"/>
    </row>
    <row r="114" spans="1:6" hidden="1" x14ac:dyDescent="0.35">
      <c r="A114" s="22">
        <v>2006835</v>
      </c>
      <c r="B114" s="11" t="s">
        <v>674</v>
      </c>
      <c r="C114" s="11" t="s">
        <v>493</v>
      </c>
      <c r="D114" s="11" t="s">
        <v>22</v>
      </c>
      <c r="E114" s="24">
        <v>100</v>
      </c>
      <c r="F114" s="11"/>
    </row>
    <row r="115" spans="1:6" hidden="1" x14ac:dyDescent="0.35">
      <c r="A115" s="22" t="s">
        <v>265</v>
      </c>
      <c r="B115" s="11" t="s">
        <v>509</v>
      </c>
      <c r="C115" s="11" t="s">
        <v>510</v>
      </c>
      <c r="D115" s="11" t="s">
        <v>22</v>
      </c>
      <c r="E115" s="24">
        <v>100</v>
      </c>
      <c r="F115" s="11"/>
    </row>
    <row r="116" spans="1:6" hidden="1" x14ac:dyDescent="0.35">
      <c r="A116" s="22" t="s">
        <v>265</v>
      </c>
      <c r="B116" s="11" t="s">
        <v>682</v>
      </c>
      <c r="C116" s="11" t="s">
        <v>683</v>
      </c>
      <c r="D116" s="11" t="s">
        <v>22</v>
      </c>
      <c r="E116" s="24">
        <v>100</v>
      </c>
      <c r="F116" s="11"/>
    </row>
    <row r="117" spans="1:6" hidden="1" x14ac:dyDescent="0.35">
      <c r="A117" s="22">
        <v>2006269</v>
      </c>
      <c r="B117" s="11" t="s">
        <v>603</v>
      </c>
      <c r="C117" s="11" t="s">
        <v>382</v>
      </c>
      <c r="D117" s="11" t="s">
        <v>94</v>
      </c>
      <c r="E117" s="24">
        <v>100</v>
      </c>
      <c r="F117" s="11"/>
    </row>
    <row r="118" spans="1:6" hidden="1" x14ac:dyDescent="0.35">
      <c r="A118" s="22">
        <v>2006268</v>
      </c>
      <c r="B118" s="11" t="s">
        <v>622</v>
      </c>
      <c r="C118" s="11" t="s">
        <v>623</v>
      </c>
      <c r="D118" s="11" t="s">
        <v>94</v>
      </c>
      <c r="E118" s="24">
        <v>100</v>
      </c>
      <c r="F118" s="11"/>
    </row>
    <row r="119" spans="1:6" hidden="1" x14ac:dyDescent="0.35">
      <c r="A119" s="22">
        <v>2006356</v>
      </c>
      <c r="B119" s="11" t="s">
        <v>628</v>
      </c>
      <c r="C119" s="11" t="s">
        <v>421</v>
      </c>
      <c r="D119" s="11" t="s">
        <v>94</v>
      </c>
      <c r="E119" s="24">
        <v>100</v>
      </c>
      <c r="F119" s="11"/>
    </row>
    <row r="120" spans="1:6" hidden="1" x14ac:dyDescent="0.35">
      <c r="A120" s="22">
        <v>2006735</v>
      </c>
      <c r="B120" s="11" t="s">
        <v>773</v>
      </c>
      <c r="C120" s="11" t="s">
        <v>472</v>
      </c>
      <c r="D120" s="11" t="s">
        <v>94</v>
      </c>
      <c r="E120" s="24">
        <v>100</v>
      </c>
      <c r="F120" s="11"/>
    </row>
    <row r="121" spans="1:6" hidden="1" x14ac:dyDescent="0.35">
      <c r="A121" s="22">
        <v>2007090</v>
      </c>
      <c r="B121" s="11" t="s">
        <v>639</v>
      </c>
      <c r="C121" s="11" t="s">
        <v>404</v>
      </c>
      <c r="D121" s="11" t="s">
        <v>94</v>
      </c>
      <c r="E121" s="24">
        <v>100</v>
      </c>
      <c r="F121" s="11"/>
    </row>
    <row r="122" spans="1:6" hidden="1" x14ac:dyDescent="0.35">
      <c r="A122" s="22" t="s">
        <v>265</v>
      </c>
      <c r="B122" s="11" t="s">
        <v>681</v>
      </c>
      <c r="C122" s="11" t="s">
        <v>499</v>
      </c>
      <c r="D122" s="11" t="s">
        <v>94</v>
      </c>
      <c r="E122" s="24">
        <v>100</v>
      </c>
      <c r="F122" s="11"/>
    </row>
    <row r="123" spans="1:6" hidden="1" x14ac:dyDescent="0.35">
      <c r="A123" s="22">
        <v>2007316</v>
      </c>
      <c r="B123" s="11" t="s">
        <v>671</v>
      </c>
      <c r="C123" s="11" t="s">
        <v>445</v>
      </c>
      <c r="D123" s="11" t="s">
        <v>113</v>
      </c>
      <c r="E123" s="24">
        <v>2</v>
      </c>
      <c r="F123" s="11"/>
    </row>
    <row r="124" spans="1:6" hidden="1" x14ac:dyDescent="0.35">
      <c r="A124" s="22">
        <v>2006657</v>
      </c>
      <c r="B124" s="11" t="s">
        <v>210</v>
      </c>
      <c r="C124" s="11" t="s">
        <v>211</v>
      </c>
      <c r="D124" s="11" t="s">
        <v>24</v>
      </c>
      <c r="E124" s="24">
        <v>1</v>
      </c>
      <c r="F124" s="11"/>
    </row>
    <row r="125" spans="1:6" hidden="1" x14ac:dyDescent="0.35">
      <c r="A125" s="22">
        <v>2007310</v>
      </c>
      <c r="B125" s="11" t="s">
        <v>640</v>
      </c>
      <c r="C125" s="11" t="s">
        <v>641</v>
      </c>
      <c r="D125" s="11" t="s">
        <v>24</v>
      </c>
      <c r="E125" s="24">
        <v>1</v>
      </c>
      <c r="F125" s="11"/>
    </row>
    <row r="126" spans="1:6" hidden="1" x14ac:dyDescent="0.35">
      <c r="A126" s="22"/>
      <c r="B126" s="11" t="s">
        <v>6756</v>
      </c>
      <c r="C126" s="11" t="s">
        <v>5684</v>
      </c>
      <c r="D126" s="11" t="s">
        <v>124</v>
      </c>
      <c r="E126" s="24">
        <v>1</v>
      </c>
      <c r="F126" s="11"/>
    </row>
    <row r="127" spans="1:6" hidden="1" x14ac:dyDescent="0.35">
      <c r="A127" s="22"/>
      <c r="B127" s="11" t="s">
        <v>733</v>
      </c>
      <c r="C127" s="11" t="s">
        <v>734</v>
      </c>
      <c r="D127" s="11" t="s">
        <v>124</v>
      </c>
      <c r="E127" s="24">
        <v>1</v>
      </c>
      <c r="F127" s="11"/>
    </row>
    <row r="128" spans="1:6" hidden="1" x14ac:dyDescent="0.35">
      <c r="A128" s="22">
        <v>2006354</v>
      </c>
      <c r="B128" s="11" t="s">
        <v>764</v>
      </c>
      <c r="C128" s="11" t="s">
        <v>437</v>
      </c>
      <c r="D128" s="11" t="s">
        <v>97</v>
      </c>
      <c r="E128" s="24">
        <v>1</v>
      </c>
      <c r="F128" s="11"/>
    </row>
    <row r="129" spans="1:6" hidden="1" x14ac:dyDescent="0.35">
      <c r="A129" s="22"/>
      <c r="B129" s="11" t="s">
        <v>6757</v>
      </c>
      <c r="C129" s="11" t="s">
        <v>6758</v>
      </c>
      <c r="D129" s="11" t="s">
        <v>97</v>
      </c>
      <c r="E129" s="24">
        <v>1</v>
      </c>
      <c r="F129" s="11"/>
    </row>
    <row r="130" spans="1:6" hidden="1" x14ac:dyDescent="0.35">
      <c r="A130" s="22">
        <v>2006442</v>
      </c>
      <c r="B130" s="11" t="s">
        <v>192</v>
      </c>
      <c r="C130" s="11" t="s">
        <v>193</v>
      </c>
      <c r="D130" s="11" t="s">
        <v>15</v>
      </c>
      <c r="E130" s="24">
        <v>1</v>
      </c>
      <c r="F130" s="11"/>
    </row>
    <row r="131" spans="1:6" hidden="1" x14ac:dyDescent="0.35">
      <c r="A131" s="22">
        <v>2006635</v>
      </c>
      <c r="B131" s="11" t="s">
        <v>626</v>
      </c>
      <c r="C131" s="11" t="s">
        <v>405</v>
      </c>
      <c r="D131" s="11" t="s">
        <v>15</v>
      </c>
      <c r="E131" s="24">
        <v>1</v>
      </c>
      <c r="F131" s="11"/>
    </row>
    <row r="132" spans="1:6" hidden="1" x14ac:dyDescent="0.35">
      <c r="A132" s="22">
        <v>2007374</v>
      </c>
      <c r="B132" s="11" t="s">
        <v>646</v>
      </c>
      <c r="C132" s="11" t="s">
        <v>647</v>
      </c>
      <c r="D132" s="11" t="s">
        <v>15</v>
      </c>
      <c r="E132" s="24">
        <v>1</v>
      </c>
      <c r="F132" s="11"/>
    </row>
    <row r="133" spans="1:6" hidden="1" x14ac:dyDescent="0.35">
      <c r="A133" s="22">
        <v>2007184</v>
      </c>
      <c r="B133" s="11" t="s">
        <v>655</v>
      </c>
      <c r="C133" s="11" t="s">
        <v>497</v>
      </c>
      <c r="D133" s="11" t="s">
        <v>15</v>
      </c>
      <c r="E133" s="24">
        <v>1</v>
      </c>
      <c r="F133" s="11"/>
    </row>
    <row r="134" spans="1:6" hidden="1" x14ac:dyDescent="0.35">
      <c r="A134" s="22">
        <v>2006381</v>
      </c>
      <c r="B134" s="11" t="s">
        <v>657</v>
      </c>
      <c r="C134" s="11" t="s">
        <v>447</v>
      </c>
      <c r="D134" s="11" t="s">
        <v>15</v>
      </c>
      <c r="E134" s="24">
        <v>1</v>
      </c>
      <c r="F134" s="11"/>
    </row>
    <row r="135" spans="1:6" hidden="1" x14ac:dyDescent="0.35">
      <c r="A135" s="22"/>
      <c r="B135" s="11" t="s">
        <v>782</v>
      </c>
      <c r="C135" s="11" t="s">
        <v>2559</v>
      </c>
      <c r="D135" s="11" t="s">
        <v>129</v>
      </c>
      <c r="E135" s="24">
        <v>1</v>
      </c>
      <c r="F135" s="11"/>
    </row>
    <row r="136" spans="1:6" hidden="1" x14ac:dyDescent="0.35">
      <c r="A136" s="22">
        <v>2007531</v>
      </c>
      <c r="B136" s="11" t="s">
        <v>679</v>
      </c>
      <c r="C136" s="11" t="s">
        <v>680</v>
      </c>
      <c r="D136" s="11" t="s">
        <v>118</v>
      </c>
      <c r="E136" s="24">
        <v>1</v>
      </c>
      <c r="F136" s="11"/>
    </row>
    <row r="137" spans="1:6" hidden="1" x14ac:dyDescent="0.35">
      <c r="A137" s="22">
        <v>2006778</v>
      </c>
      <c r="B137" s="11" t="s">
        <v>308</v>
      </c>
      <c r="C137" s="11" t="s">
        <v>309</v>
      </c>
      <c r="D137" s="11" t="s">
        <v>36</v>
      </c>
      <c r="E137" s="24">
        <v>1000</v>
      </c>
      <c r="F137" s="11"/>
    </row>
    <row r="138" spans="1:6" hidden="1" x14ac:dyDescent="0.35">
      <c r="A138" s="22">
        <v>2006355</v>
      </c>
      <c r="B138" s="11" t="s">
        <v>589</v>
      </c>
      <c r="C138" s="11" t="s">
        <v>378</v>
      </c>
      <c r="D138" s="11" t="s">
        <v>36</v>
      </c>
      <c r="E138" s="24">
        <v>1000</v>
      </c>
      <c r="F138" s="11"/>
    </row>
    <row r="139" spans="1:6" hidden="1" x14ac:dyDescent="0.35">
      <c r="A139" s="22">
        <v>2006267</v>
      </c>
      <c r="B139" s="11" t="s">
        <v>605</v>
      </c>
      <c r="C139" s="11" t="s">
        <v>606</v>
      </c>
      <c r="D139" s="11" t="s">
        <v>36</v>
      </c>
      <c r="E139" s="24">
        <v>800</v>
      </c>
      <c r="F139" s="11"/>
    </row>
    <row r="140" spans="1:6" hidden="1" x14ac:dyDescent="0.35">
      <c r="A140" s="22">
        <v>2006737</v>
      </c>
      <c r="B140" s="11" t="s">
        <v>642</v>
      </c>
      <c r="C140" s="11" t="s">
        <v>488</v>
      </c>
      <c r="D140" s="11" t="s">
        <v>36</v>
      </c>
      <c r="E140" s="24">
        <v>500</v>
      </c>
      <c r="F140" s="11"/>
    </row>
    <row r="141" spans="1:6" hidden="1" x14ac:dyDescent="0.35">
      <c r="A141" s="22" t="s">
        <v>265</v>
      </c>
      <c r="B141" s="11" t="s">
        <v>759</v>
      </c>
      <c r="C141" s="11" t="s">
        <v>524</v>
      </c>
      <c r="D141" s="11" t="s">
        <v>36</v>
      </c>
      <c r="E141" s="24">
        <v>500</v>
      </c>
      <c r="F141" s="11"/>
    </row>
    <row r="142" spans="1:6" hidden="1" x14ac:dyDescent="0.35">
      <c r="A142" s="22">
        <v>2006422</v>
      </c>
      <c r="B142" s="11" t="s">
        <v>251</v>
      </c>
      <c r="C142" s="11" t="s">
        <v>252</v>
      </c>
      <c r="D142" s="11" t="s">
        <v>32</v>
      </c>
      <c r="E142" s="24">
        <v>100</v>
      </c>
      <c r="F142" s="11"/>
    </row>
    <row r="143" spans="1:6" hidden="1" x14ac:dyDescent="0.35">
      <c r="A143" s="22" t="s">
        <v>265</v>
      </c>
      <c r="B143" s="11" t="s">
        <v>372</v>
      </c>
      <c r="C143" s="11" t="s">
        <v>373</v>
      </c>
      <c r="D143" s="11" t="s">
        <v>120</v>
      </c>
      <c r="E143" s="24">
        <v>2000</v>
      </c>
      <c r="F143" s="11"/>
    </row>
    <row r="144" spans="1:6" hidden="1" x14ac:dyDescent="0.35">
      <c r="A144" s="22"/>
      <c r="B144" s="11" t="s">
        <v>266</v>
      </c>
      <c r="C144" s="11" t="s">
        <v>267</v>
      </c>
      <c r="D144" s="11" t="s">
        <v>120</v>
      </c>
      <c r="E144" s="24">
        <v>1000</v>
      </c>
      <c r="F144" s="11"/>
    </row>
    <row r="145" spans="1:6" hidden="1" x14ac:dyDescent="0.35">
      <c r="A145" s="22"/>
      <c r="B145" s="11" t="s">
        <v>6759</v>
      </c>
      <c r="C145" s="11" t="s">
        <v>1728</v>
      </c>
      <c r="D145" s="11" t="s">
        <v>120</v>
      </c>
      <c r="E145" s="24">
        <v>2000</v>
      </c>
      <c r="F145" s="11"/>
    </row>
    <row r="146" spans="1:6" hidden="1" x14ac:dyDescent="0.35">
      <c r="A146" s="22">
        <v>2006176</v>
      </c>
      <c r="B146" s="11" t="s">
        <v>547</v>
      </c>
      <c r="C146" s="11" t="s">
        <v>274</v>
      </c>
      <c r="D146" s="11" t="s">
        <v>53</v>
      </c>
      <c r="E146" s="24">
        <v>1000</v>
      </c>
      <c r="F146" s="11"/>
    </row>
    <row r="147" spans="1:6" hidden="1" x14ac:dyDescent="0.35">
      <c r="A147" s="22">
        <v>2007576</v>
      </c>
      <c r="B147" s="11" t="s">
        <v>656</v>
      </c>
      <c r="C147" s="11" t="s">
        <v>484</v>
      </c>
      <c r="D147" s="11" t="s">
        <v>110</v>
      </c>
      <c r="E147" s="24">
        <v>100</v>
      </c>
      <c r="F147" s="11"/>
    </row>
    <row r="148" spans="1:6" hidden="1" x14ac:dyDescent="0.35">
      <c r="A148" s="22">
        <v>2006649</v>
      </c>
      <c r="B148" s="11" t="s">
        <v>543</v>
      </c>
      <c r="C148" s="11" t="s">
        <v>313</v>
      </c>
      <c r="D148" s="11" t="s">
        <v>48</v>
      </c>
      <c r="E148" s="24">
        <v>1000</v>
      </c>
      <c r="F148" s="11"/>
    </row>
    <row r="149" spans="1:6" hidden="1" x14ac:dyDescent="0.35">
      <c r="A149" s="22">
        <v>2006682</v>
      </c>
      <c r="B149" s="11" t="s">
        <v>558</v>
      </c>
      <c r="C149" s="11" t="s">
        <v>352</v>
      </c>
      <c r="D149" s="11" t="s">
        <v>48</v>
      </c>
      <c r="E149" s="24">
        <v>1000</v>
      </c>
      <c r="F149" s="11"/>
    </row>
    <row r="150" spans="1:6" hidden="1" x14ac:dyDescent="0.35">
      <c r="A150" s="22">
        <v>2006449</v>
      </c>
      <c r="B150" s="11" t="s">
        <v>557</v>
      </c>
      <c r="C150" s="11" t="s">
        <v>315</v>
      </c>
      <c r="D150" s="11" t="s">
        <v>65</v>
      </c>
      <c r="E150" s="24">
        <v>1000</v>
      </c>
      <c r="F150" s="11"/>
    </row>
    <row r="151" spans="1:6" hidden="1" x14ac:dyDescent="0.35">
      <c r="A151" s="22">
        <v>2007571</v>
      </c>
      <c r="B151" s="11" t="s">
        <v>673</v>
      </c>
      <c r="C151" s="11" t="s">
        <v>468</v>
      </c>
      <c r="D151" s="11" t="s">
        <v>115</v>
      </c>
      <c r="E151" s="24">
        <v>100</v>
      </c>
      <c r="F151" s="11"/>
    </row>
    <row r="152" spans="1:6" hidden="1" x14ac:dyDescent="0.35">
      <c r="A152" s="22">
        <v>2006846</v>
      </c>
      <c r="B152" s="11" t="s">
        <v>549</v>
      </c>
      <c r="C152" s="11" t="s">
        <v>343</v>
      </c>
      <c r="D152" s="11" t="s">
        <v>57</v>
      </c>
      <c r="E152" s="24">
        <v>100</v>
      </c>
      <c r="F152" s="11"/>
    </row>
    <row r="153" spans="1:6" hidden="1" x14ac:dyDescent="0.35">
      <c r="A153" s="22">
        <v>2006779</v>
      </c>
      <c r="B153" s="11" t="s">
        <v>221</v>
      </c>
      <c r="C153" s="11" t="s">
        <v>222</v>
      </c>
      <c r="D153" s="11" t="s">
        <v>29</v>
      </c>
      <c r="E153" s="24">
        <v>100</v>
      </c>
      <c r="F153" s="11"/>
    </row>
    <row r="154" spans="1:6" hidden="1" x14ac:dyDescent="0.35">
      <c r="A154" s="22">
        <v>2006404</v>
      </c>
      <c r="B154" s="11" t="s">
        <v>231</v>
      </c>
      <c r="C154" s="11" t="s">
        <v>232</v>
      </c>
      <c r="D154" s="11" t="s">
        <v>140</v>
      </c>
      <c r="E154" s="24">
        <v>1000</v>
      </c>
      <c r="F154" s="11"/>
    </row>
    <row r="155" spans="1:6" hidden="1" x14ac:dyDescent="0.35">
      <c r="A155" s="22">
        <v>2006739</v>
      </c>
      <c r="B155" s="11" t="s">
        <v>577</v>
      </c>
      <c r="C155" s="11" t="s">
        <v>300</v>
      </c>
      <c r="D155" s="11" t="s">
        <v>140</v>
      </c>
      <c r="E155" s="24">
        <v>1000</v>
      </c>
      <c r="F155" s="11"/>
    </row>
    <row r="156" spans="1:6" hidden="1" x14ac:dyDescent="0.35">
      <c r="A156" s="22">
        <v>2006392</v>
      </c>
      <c r="B156" s="11" t="s">
        <v>772</v>
      </c>
      <c r="C156" s="11" t="s">
        <v>425</v>
      </c>
      <c r="D156" s="11" t="s">
        <v>140</v>
      </c>
      <c r="E156" s="24">
        <v>100</v>
      </c>
      <c r="F156" s="11"/>
    </row>
    <row r="157" spans="1:6" hidden="1" x14ac:dyDescent="0.35">
      <c r="A157" s="22"/>
      <c r="B157" s="11" t="s">
        <v>231</v>
      </c>
      <c r="C157" s="11" t="s">
        <v>6760</v>
      </c>
      <c r="D157" s="11" t="s">
        <v>140</v>
      </c>
      <c r="E157" s="24">
        <v>1000</v>
      </c>
      <c r="F157" s="11"/>
    </row>
    <row r="158" spans="1:6" hidden="1" x14ac:dyDescent="0.35">
      <c r="A158" s="22"/>
      <c r="B158" s="11" t="s">
        <v>6761</v>
      </c>
      <c r="C158" s="11" t="s">
        <v>3430</v>
      </c>
      <c r="D158" s="11" t="s">
        <v>140</v>
      </c>
      <c r="E158" s="24">
        <v>100</v>
      </c>
      <c r="F158" s="11"/>
    </row>
    <row r="159" spans="1:6" hidden="1" x14ac:dyDescent="0.35">
      <c r="A159" s="22">
        <v>2006410</v>
      </c>
      <c r="B159" s="11" t="s">
        <v>554</v>
      </c>
      <c r="C159" s="11" t="s">
        <v>292</v>
      </c>
      <c r="D159" s="11" t="s">
        <v>62</v>
      </c>
      <c r="E159" s="24">
        <v>100</v>
      </c>
      <c r="F159" s="11"/>
    </row>
    <row r="160" spans="1:6" hidden="1" x14ac:dyDescent="0.35">
      <c r="A160" s="22">
        <v>2006224</v>
      </c>
      <c r="B160" s="11" t="s">
        <v>568</v>
      </c>
      <c r="C160" s="11" t="s">
        <v>306</v>
      </c>
      <c r="D160" s="11" t="s">
        <v>62</v>
      </c>
      <c r="E160" s="24">
        <v>100</v>
      </c>
      <c r="F160" s="11"/>
    </row>
    <row r="161" spans="1:6" hidden="1" x14ac:dyDescent="0.35">
      <c r="A161" s="22">
        <v>2006140</v>
      </c>
      <c r="B161" s="11" t="s">
        <v>615</v>
      </c>
      <c r="C161" s="11" t="s">
        <v>517</v>
      </c>
      <c r="D161" s="11" t="s">
        <v>62</v>
      </c>
      <c r="E161" s="24">
        <v>60</v>
      </c>
      <c r="F161" s="11"/>
    </row>
    <row r="162" spans="1:6" hidden="1" x14ac:dyDescent="0.35">
      <c r="A162" s="22">
        <v>2007397</v>
      </c>
      <c r="B162" s="11" t="s">
        <v>635</v>
      </c>
      <c r="C162" s="11" t="s">
        <v>636</v>
      </c>
      <c r="D162" s="11" t="s">
        <v>104</v>
      </c>
      <c r="E162" s="24">
        <v>60</v>
      </c>
      <c r="F162" s="11"/>
    </row>
    <row r="163" spans="1:6" hidden="1" x14ac:dyDescent="0.35">
      <c r="A163" s="22">
        <v>2006953</v>
      </c>
      <c r="B163" s="11" t="s">
        <v>664</v>
      </c>
      <c r="C163" s="11" t="s">
        <v>448</v>
      </c>
      <c r="D163" s="11" t="s">
        <v>104</v>
      </c>
      <c r="E163" s="24">
        <v>50</v>
      </c>
      <c r="F163" s="11"/>
    </row>
    <row r="164" spans="1:6" hidden="1" x14ac:dyDescent="0.35">
      <c r="A164" s="22">
        <v>2006223</v>
      </c>
      <c r="B164" s="11" t="s">
        <v>539</v>
      </c>
      <c r="C164" s="11" t="s">
        <v>317</v>
      </c>
      <c r="D164" s="11" t="s">
        <v>44</v>
      </c>
      <c r="E164" s="24">
        <v>100</v>
      </c>
      <c r="F164" s="11"/>
    </row>
    <row r="165" spans="1:6" hidden="1" x14ac:dyDescent="0.35">
      <c r="A165" s="22">
        <v>2006468</v>
      </c>
      <c r="B165" s="11" t="s">
        <v>596</v>
      </c>
      <c r="C165" s="11" t="s">
        <v>411</v>
      </c>
      <c r="D165" s="11" t="s">
        <v>44</v>
      </c>
      <c r="E165" s="24">
        <v>100</v>
      </c>
      <c r="F165" s="11"/>
    </row>
    <row r="166" spans="1:6" hidden="1" x14ac:dyDescent="0.35">
      <c r="A166" s="22">
        <v>2007329</v>
      </c>
      <c r="B166" s="11" t="s">
        <v>666</v>
      </c>
      <c r="C166" s="11" t="s">
        <v>454</v>
      </c>
      <c r="D166" s="11" t="s">
        <v>44</v>
      </c>
      <c r="E166" s="24">
        <v>100</v>
      </c>
      <c r="F166" s="11"/>
    </row>
    <row r="167" spans="1:6" hidden="1" x14ac:dyDescent="0.35">
      <c r="A167" s="22"/>
      <c r="B167" s="11" t="s">
        <v>726</v>
      </c>
      <c r="C167" s="11" t="s">
        <v>411</v>
      </c>
      <c r="D167" s="11" t="s">
        <v>44</v>
      </c>
      <c r="E167" s="24">
        <v>100</v>
      </c>
      <c r="F167" s="11"/>
    </row>
    <row r="168" spans="1:6" hidden="1" x14ac:dyDescent="0.35">
      <c r="A168" s="22">
        <v>2006671</v>
      </c>
      <c r="B168" s="11" t="s">
        <v>226</v>
      </c>
      <c r="C168" s="11" t="s">
        <v>227</v>
      </c>
      <c r="D168" s="11" t="s">
        <v>27</v>
      </c>
      <c r="E168" s="24">
        <v>1</v>
      </c>
      <c r="F168" s="11"/>
    </row>
    <row r="169" spans="1:6" hidden="1" x14ac:dyDescent="0.35">
      <c r="A169" s="22">
        <v>2006280</v>
      </c>
      <c r="B169" s="11" t="s">
        <v>591</v>
      </c>
      <c r="C169" s="11" t="s">
        <v>592</v>
      </c>
      <c r="D169" s="11" t="s">
        <v>83</v>
      </c>
      <c r="E169" s="24">
        <v>100</v>
      </c>
      <c r="F169" s="11"/>
    </row>
    <row r="170" spans="1:6" hidden="1" x14ac:dyDescent="0.35">
      <c r="A170" s="22"/>
      <c r="B170" s="11" t="s">
        <v>6762</v>
      </c>
      <c r="C170" s="11" t="s">
        <v>3042</v>
      </c>
      <c r="D170" s="11" t="s">
        <v>6763</v>
      </c>
      <c r="E170" s="24">
        <v>1</v>
      </c>
      <c r="F170" s="11"/>
    </row>
    <row r="171" spans="1:6" hidden="1" x14ac:dyDescent="0.35">
      <c r="A171" s="22"/>
      <c r="B171" s="11" t="s">
        <v>707</v>
      </c>
      <c r="C171" s="11" t="s">
        <v>708</v>
      </c>
      <c r="D171" s="11" t="s">
        <v>123</v>
      </c>
      <c r="E171" s="24">
        <v>1</v>
      </c>
      <c r="F171" s="11"/>
    </row>
    <row r="172" spans="1:6" hidden="1" x14ac:dyDescent="0.35">
      <c r="A172" s="22"/>
      <c r="B172" s="11" t="s">
        <v>705</v>
      </c>
      <c r="C172" s="11" t="s">
        <v>706</v>
      </c>
      <c r="D172" s="11" t="s">
        <v>122</v>
      </c>
      <c r="E172" s="24">
        <v>1</v>
      </c>
      <c r="F172" s="11"/>
    </row>
    <row r="173" spans="1:6" hidden="1" x14ac:dyDescent="0.35">
      <c r="A173" s="22"/>
      <c r="B173" s="11" t="s">
        <v>697</v>
      </c>
      <c r="C173" s="11" t="s">
        <v>698</v>
      </c>
      <c r="D173" s="11" t="s">
        <v>6764</v>
      </c>
      <c r="E173" s="24">
        <v>1</v>
      </c>
      <c r="F173" s="11"/>
    </row>
    <row r="174" spans="1:6" hidden="1" x14ac:dyDescent="0.35">
      <c r="A174" s="22"/>
      <c r="B174" s="11" t="s">
        <v>693</v>
      </c>
      <c r="C174" s="11" t="s">
        <v>694</v>
      </c>
      <c r="D174" s="11" t="s">
        <v>6765</v>
      </c>
      <c r="E174" s="24">
        <v>1</v>
      </c>
      <c r="F174" s="11"/>
    </row>
    <row r="175" spans="1:6" hidden="1" x14ac:dyDescent="0.35">
      <c r="A175" s="22"/>
      <c r="B175" s="11" t="s">
        <v>699</v>
      </c>
      <c r="C175" s="11" t="s">
        <v>700</v>
      </c>
      <c r="D175" s="11" t="s">
        <v>6766</v>
      </c>
      <c r="E175" s="24">
        <v>1</v>
      </c>
      <c r="F175" s="11"/>
    </row>
    <row r="176" spans="1:6" hidden="1" x14ac:dyDescent="0.35">
      <c r="A176" s="22"/>
      <c r="B176" s="11" t="s">
        <v>695</v>
      </c>
      <c r="C176" s="11" t="s">
        <v>696</v>
      </c>
      <c r="D176" s="11" t="s">
        <v>6767</v>
      </c>
      <c r="E176" s="24">
        <v>1</v>
      </c>
      <c r="F176" s="11"/>
    </row>
    <row r="177" spans="1:6" hidden="1" x14ac:dyDescent="0.35">
      <c r="A177" s="22"/>
      <c r="B177" s="11" t="s">
        <v>703</v>
      </c>
      <c r="C177" s="11" t="s">
        <v>704</v>
      </c>
      <c r="D177" s="11" t="s">
        <v>121</v>
      </c>
      <c r="E177" s="24">
        <v>1</v>
      </c>
      <c r="F177" s="11"/>
    </row>
    <row r="178" spans="1:6" hidden="1" x14ac:dyDescent="0.35">
      <c r="A178" s="22"/>
      <c r="B178" s="11" t="s">
        <v>6768</v>
      </c>
      <c r="C178" s="11" t="s">
        <v>6769</v>
      </c>
      <c r="D178" s="11" t="s">
        <v>6770</v>
      </c>
      <c r="E178" s="24">
        <v>1</v>
      </c>
      <c r="F178" s="11"/>
    </row>
    <row r="179" spans="1:6" hidden="1" x14ac:dyDescent="0.35">
      <c r="A179" s="22">
        <v>2006165</v>
      </c>
      <c r="B179" s="11" t="s">
        <v>701</v>
      </c>
      <c r="C179" s="11" t="s">
        <v>6771</v>
      </c>
      <c r="D179" s="11" t="s">
        <v>100</v>
      </c>
      <c r="E179" s="24">
        <v>1</v>
      </c>
      <c r="F179" s="11"/>
    </row>
    <row r="180" spans="1:6" hidden="1" x14ac:dyDescent="0.35">
      <c r="A180" s="22"/>
      <c r="B180" s="11" t="s">
        <v>701</v>
      </c>
      <c r="C180" s="11" t="s">
        <v>702</v>
      </c>
      <c r="D180" s="11" t="s">
        <v>100</v>
      </c>
      <c r="E180" s="24">
        <v>1</v>
      </c>
      <c r="F180" s="11"/>
    </row>
    <row r="181" spans="1:6" hidden="1" x14ac:dyDescent="0.35">
      <c r="A181" s="22"/>
      <c r="B181" s="11">
        <v>7790321719168</v>
      </c>
      <c r="C181" s="11" t="s">
        <v>6772</v>
      </c>
      <c r="D181" s="11" t="s">
        <v>6773</v>
      </c>
      <c r="E181" s="24">
        <v>1</v>
      </c>
      <c r="F181" s="11"/>
    </row>
    <row r="182" spans="1:6" hidden="1" x14ac:dyDescent="0.35">
      <c r="A182" s="22"/>
      <c r="B182" s="11" t="s">
        <v>6774</v>
      </c>
      <c r="C182" s="11" t="s">
        <v>3515</v>
      </c>
      <c r="D182" s="11" t="s">
        <v>6775</v>
      </c>
      <c r="E182" s="24">
        <v>1</v>
      </c>
      <c r="F182" s="11"/>
    </row>
    <row r="183" spans="1:6" hidden="1" x14ac:dyDescent="0.35">
      <c r="A183" s="22"/>
      <c r="B183" s="11" t="s">
        <v>6776</v>
      </c>
      <c r="C183" s="11" t="s">
        <v>3746</v>
      </c>
      <c r="D183" s="11" t="s">
        <v>6777</v>
      </c>
      <c r="E183" s="24">
        <v>1</v>
      </c>
      <c r="F183" s="11"/>
    </row>
    <row r="184" spans="1:6" hidden="1" x14ac:dyDescent="0.35">
      <c r="A184" s="22">
        <v>2006633</v>
      </c>
      <c r="B184" s="11" t="s">
        <v>762</v>
      </c>
      <c r="C184" s="11" t="s">
        <v>357</v>
      </c>
      <c r="D184" s="11" t="s">
        <v>72</v>
      </c>
      <c r="E184" s="24">
        <v>80</v>
      </c>
      <c r="F184" s="11"/>
    </row>
    <row r="185" spans="1:6" hidden="1" x14ac:dyDescent="0.35">
      <c r="A185" s="22"/>
      <c r="B185" s="11" t="s">
        <v>714</v>
      </c>
      <c r="C185" s="11" t="s">
        <v>458</v>
      </c>
      <c r="D185" s="11" t="s">
        <v>132</v>
      </c>
      <c r="E185" s="24">
        <v>600</v>
      </c>
      <c r="F185" s="11"/>
    </row>
    <row r="186" spans="1:6" hidden="1" x14ac:dyDescent="0.35">
      <c r="A186" s="22">
        <v>2007580</v>
      </c>
      <c r="B186" s="11" t="s">
        <v>722</v>
      </c>
      <c r="C186" s="11" t="s">
        <v>723</v>
      </c>
      <c r="D186" s="11" t="s">
        <v>136</v>
      </c>
      <c r="E186" s="24">
        <v>1</v>
      </c>
      <c r="F186" s="11"/>
    </row>
    <row r="187" spans="1:6" hidden="1" x14ac:dyDescent="0.35">
      <c r="A187" s="22">
        <v>2006644</v>
      </c>
      <c r="B187" s="11" t="s">
        <v>341</v>
      </c>
      <c r="C187" s="11" t="s">
        <v>342</v>
      </c>
      <c r="D187" s="11" t="s">
        <v>39</v>
      </c>
      <c r="E187" s="24">
        <v>100</v>
      </c>
      <c r="F187" s="11"/>
    </row>
    <row r="188" spans="1:6" hidden="1" x14ac:dyDescent="0.35">
      <c r="A188" s="22">
        <v>2006490</v>
      </c>
      <c r="B188" s="11" t="s">
        <v>686</v>
      </c>
      <c r="C188" s="11" t="s">
        <v>687</v>
      </c>
      <c r="D188" s="11" t="s">
        <v>119</v>
      </c>
      <c r="E188" s="24">
        <v>1</v>
      </c>
      <c r="F188" s="11"/>
    </row>
    <row r="189" spans="1:6" hidden="1" x14ac:dyDescent="0.35">
      <c r="A189" s="22">
        <v>2006676</v>
      </c>
      <c r="B189" s="11" t="s">
        <v>604</v>
      </c>
      <c r="C189" s="11" t="s">
        <v>380</v>
      </c>
      <c r="D189" s="11" t="s">
        <v>95</v>
      </c>
      <c r="E189" s="24">
        <v>100</v>
      </c>
      <c r="F189" s="11"/>
    </row>
    <row r="190" spans="1:6" hidden="1" x14ac:dyDescent="0.35">
      <c r="A190" s="22">
        <v>2006692</v>
      </c>
      <c r="B190" s="11" t="s">
        <v>593</v>
      </c>
      <c r="C190" s="11" t="s">
        <v>385</v>
      </c>
      <c r="D190" s="11" t="s">
        <v>85</v>
      </c>
      <c r="E190" s="24">
        <v>100</v>
      </c>
      <c r="F190" s="11"/>
    </row>
    <row r="191" spans="1:6" hidden="1" x14ac:dyDescent="0.35">
      <c r="A191" s="22">
        <v>2006411</v>
      </c>
      <c r="B191" s="11" t="s">
        <v>761</v>
      </c>
      <c r="C191" s="11" t="s">
        <v>430</v>
      </c>
      <c r="D191" s="11" t="s">
        <v>85</v>
      </c>
      <c r="E191" s="24">
        <v>200</v>
      </c>
      <c r="F191" s="11"/>
    </row>
    <row r="192" spans="1:6" hidden="1" x14ac:dyDescent="0.35">
      <c r="A192" s="22">
        <v>2006796</v>
      </c>
      <c r="B192" s="11" t="s">
        <v>601</v>
      </c>
      <c r="C192" s="11" t="s">
        <v>374</v>
      </c>
      <c r="D192" s="11" t="s">
        <v>89</v>
      </c>
      <c r="E192" s="24">
        <v>100</v>
      </c>
      <c r="F192" s="11"/>
    </row>
    <row r="193" spans="1:6" hidden="1" x14ac:dyDescent="0.35">
      <c r="A193" s="22">
        <v>2006390</v>
      </c>
      <c r="B193" s="11" t="s">
        <v>763</v>
      </c>
      <c r="C193" s="11" t="s">
        <v>435</v>
      </c>
      <c r="D193" s="11" t="s">
        <v>89</v>
      </c>
      <c r="E193" s="24">
        <v>25</v>
      </c>
      <c r="F193" s="11"/>
    </row>
    <row r="194" spans="1:6" hidden="1" x14ac:dyDescent="0.35">
      <c r="A194" s="22">
        <v>2006432</v>
      </c>
      <c r="B194" s="11" t="s">
        <v>438</v>
      </c>
      <c r="C194" s="11" t="s">
        <v>439</v>
      </c>
      <c r="D194" s="11" t="s">
        <v>89</v>
      </c>
      <c r="E194" s="24">
        <v>600</v>
      </c>
      <c r="F194" s="11"/>
    </row>
    <row r="195" spans="1:6" hidden="1" x14ac:dyDescent="0.35">
      <c r="A195" s="22">
        <v>2006265</v>
      </c>
      <c r="B195" s="11" t="s">
        <v>197</v>
      </c>
      <c r="C195" s="11" t="s">
        <v>198</v>
      </c>
      <c r="D195" s="11" t="s">
        <v>25</v>
      </c>
      <c r="E195" s="24">
        <v>25</v>
      </c>
      <c r="F195" s="11"/>
    </row>
    <row r="196" spans="1:6" hidden="1" x14ac:dyDescent="0.35">
      <c r="A196" s="22">
        <v>2006383</v>
      </c>
      <c r="B196" s="11" t="s">
        <v>294</v>
      </c>
      <c r="C196" s="11" t="s">
        <v>295</v>
      </c>
      <c r="D196" s="11" t="s">
        <v>25</v>
      </c>
      <c r="E196" s="24">
        <v>100</v>
      </c>
      <c r="F196" s="11"/>
    </row>
    <row r="197" spans="1:6" hidden="1" x14ac:dyDescent="0.35">
      <c r="A197" s="22">
        <v>2006638</v>
      </c>
      <c r="B197" s="11" t="s">
        <v>360</v>
      </c>
      <c r="C197" s="11" t="s">
        <v>361</v>
      </c>
      <c r="D197" s="11" t="s">
        <v>25</v>
      </c>
      <c r="E197" s="24">
        <v>50</v>
      </c>
      <c r="F197" s="11"/>
    </row>
    <row r="198" spans="1:6" hidden="1" x14ac:dyDescent="0.35">
      <c r="A198" s="22"/>
      <c r="B198" s="11" t="s">
        <v>728</v>
      </c>
      <c r="C198" s="11" t="s">
        <v>729</v>
      </c>
      <c r="D198" s="11" t="s">
        <v>25</v>
      </c>
      <c r="E198" s="24">
        <v>50</v>
      </c>
      <c r="F198" s="11"/>
    </row>
    <row r="199" spans="1:6" hidden="1" x14ac:dyDescent="0.35">
      <c r="A199" s="22"/>
      <c r="B199" s="11" t="s">
        <v>740</v>
      </c>
      <c r="C199" s="11" t="s">
        <v>520</v>
      </c>
      <c r="D199" s="11" t="s">
        <v>25</v>
      </c>
      <c r="E199" s="24">
        <v>50</v>
      </c>
      <c r="F199" s="11"/>
    </row>
    <row r="200" spans="1:6" hidden="1" x14ac:dyDescent="0.35">
      <c r="A200" s="22">
        <v>2006678</v>
      </c>
      <c r="B200" s="11" t="s">
        <v>355</v>
      </c>
      <c r="C200" s="11" t="s">
        <v>356</v>
      </c>
      <c r="D200" s="11" t="s">
        <v>74</v>
      </c>
      <c r="E200" s="24">
        <v>100</v>
      </c>
      <c r="F200" s="11"/>
    </row>
    <row r="201" spans="1:6" hidden="1" x14ac:dyDescent="0.35">
      <c r="A201" s="22"/>
      <c r="B201" s="11" t="s">
        <v>710</v>
      </c>
      <c r="C201" s="11" t="s">
        <v>6778</v>
      </c>
      <c r="D201" s="11" t="s">
        <v>74</v>
      </c>
      <c r="E201" s="24">
        <v>1</v>
      </c>
      <c r="F201" s="11"/>
    </row>
    <row r="202" spans="1:6" hidden="1" x14ac:dyDescent="0.35">
      <c r="A202" s="22"/>
      <c r="B202" s="11" t="s">
        <v>716</v>
      </c>
      <c r="C202" s="11" t="s">
        <v>5197</v>
      </c>
      <c r="D202" s="11" t="s">
        <v>74</v>
      </c>
      <c r="E202" s="24">
        <v>50</v>
      </c>
      <c r="F202" s="11"/>
    </row>
    <row r="203" spans="1:6" hidden="1" x14ac:dyDescent="0.35">
      <c r="A203" s="22"/>
      <c r="B203" s="11" t="s">
        <v>6779</v>
      </c>
      <c r="C203" s="11" t="s">
        <v>3813</v>
      </c>
      <c r="D203" s="11" t="s">
        <v>74</v>
      </c>
      <c r="E203" s="24">
        <v>1</v>
      </c>
      <c r="F203" s="11"/>
    </row>
    <row r="204" spans="1:6" hidden="1" x14ac:dyDescent="0.35">
      <c r="A204" s="22">
        <v>2006424</v>
      </c>
      <c r="B204" s="11" t="s">
        <v>556</v>
      </c>
      <c r="C204" s="11" t="s">
        <v>296</v>
      </c>
      <c r="D204" s="11" t="s">
        <v>64</v>
      </c>
      <c r="E204" s="24">
        <v>600</v>
      </c>
      <c r="F204" s="11"/>
    </row>
    <row r="205" spans="1:6" hidden="1" x14ac:dyDescent="0.35">
      <c r="A205" s="22">
        <v>2006795</v>
      </c>
      <c r="B205" s="11" t="s">
        <v>574</v>
      </c>
      <c r="C205" s="11" t="s">
        <v>323</v>
      </c>
      <c r="D205" s="11" t="s">
        <v>64</v>
      </c>
      <c r="E205" s="24">
        <v>600</v>
      </c>
      <c r="F205" s="11"/>
    </row>
    <row r="206" spans="1:6" hidden="1" x14ac:dyDescent="0.35">
      <c r="A206" s="22"/>
      <c r="B206" s="11" t="s">
        <v>6780</v>
      </c>
      <c r="C206" s="11" t="s">
        <v>3713</v>
      </c>
      <c r="D206" s="11" t="s">
        <v>64</v>
      </c>
      <c r="E206" s="24">
        <v>600</v>
      </c>
      <c r="F206" s="11"/>
    </row>
    <row r="207" spans="1:6" hidden="1" x14ac:dyDescent="0.35">
      <c r="A207" s="22">
        <v>2006679</v>
      </c>
      <c r="B207" s="11" t="s">
        <v>552</v>
      </c>
      <c r="C207" s="11" t="s">
        <v>280</v>
      </c>
      <c r="D207" s="11" t="s">
        <v>60</v>
      </c>
      <c r="E207" s="24">
        <v>600</v>
      </c>
      <c r="F207" s="11"/>
    </row>
    <row r="208" spans="1:6" hidden="1" x14ac:dyDescent="0.35">
      <c r="A208" s="22">
        <v>2006426</v>
      </c>
      <c r="B208" s="11" t="s">
        <v>561</v>
      </c>
      <c r="C208" s="11" t="s">
        <v>347</v>
      </c>
      <c r="D208" s="11" t="s">
        <v>60</v>
      </c>
      <c r="E208" s="24">
        <v>600</v>
      </c>
      <c r="F208" s="11"/>
    </row>
    <row r="209" spans="1:6" hidden="1" x14ac:dyDescent="0.35">
      <c r="A209" s="22">
        <v>2006822</v>
      </c>
      <c r="B209" s="11" t="s">
        <v>730</v>
      </c>
      <c r="C209" s="11" t="s">
        <v>5341</v>
      </c>
      <c r="D209" s="11" t="s">
        <v>60</v>
      </c>
      <c r="E209" s="24">
        <v>500</v>
      </c>
      <c r="F209" s="11"/>
    </row>
    <row r="210" spans="1:6" hidden="1" x14ac:dyDescent="0.35">
      <c r="A210" s="22"/>
      <c r="B210" s="11" t="s">
        <v>6781</v>
      </c>
      <c r="C210" s="11" t="s">
        <v>6242</v>
      </c>
      <c r="D210" s="11" t="s">
        <v>126</v>
      </c>
      <c r="E210" s="24">
        <v>75</v>
      </c>
      <c r="F210" s="11"/>
    </row>
    <row r="211" spans="1:6" hidden="1" x14ac:dyDescent="0.35">
      <c r="A211" s="22">
        <v>2006849</v>
      </c>
      <c r="B211" s="11" t="s">
        <v>540</v>
      </c>
      <c r="C211" s="11" t="s">
        <v>541</v>
      </c>
      <c r="D211" s="11" t="s">
        <v>45</v>
      </c>
      <c r="E211" s="24">
        <v>1</v>
      </c>
      <c r="F211" s="11"/>
    </row>
    <row r="212" spans="1:6" hidden="1" x14ac:dyDescent="0.35">
      <c r="A212" s="22"/>
      <c r="B212" s="11" t="s">
        <v>746</v>
      </c>
      <c r="C212" s="11" t="s">
        <v>747</v>
      </c>
      <c r="D212" s="11" t="s">
        <v>143</v>
      </c>
      <c r="E212" s="24">
        <v>50</v>
      </c>
      <c r="F212" s="11"/>
    </row>
    <row r="213" spans="1:6" hidden="1" x14ac:dyDescent="0.35">
      <c r="A213" s="22"/>
      <c r="B213" s="11" t="s">
        <v>715</v>
      </c>
      <c r="C213" s="11" t="s">
        <v>528</v>
      </c>
      <c r="D213" s="11" t="s">
        <v>133</v>
      </c>
      <c r="E213" s="24">
        <v>700</v>
      </c>
      <c r="F213" s="11"/>
    </row>
    <row r="214" spans="1:6" hidden="1" x14ac:dyDescent="0.35">
      <c r="A214" s="22">
        <v>2006681</v>
      </c>
      <c r="B214" s="11" t="s">
        <v>553</v>
      </c>
      <c r="C214" s="11" t="s">
        <v>391</v>
      </c>
      <c r="D214" s="11" t="s">
        <v>61</v>
      </c>
      <c r="E214" s="24">
        <v>100</v>
      </c>
      <c r="F214" s="11"/>
    </row>
    <row r="215" spans="1:6" hidden="1" x14ac:dyDescent="0.35">
      <c r="A215" s="22">
        <v>2006645</v>
      </c>
      <c r="B215" s="11" t="s">
        <v>569</v>
      </c>
      <c r="C215" s="11" t="s">
        <v>334</v>
      </c>
      <c r="D215" s="11" t="s">
        <v>61</v>
      </c>
      <c r="E215" s="24">
        <v>100</v>
      </c>
      <c r="F215" s="11"/>
    </row>
    <row r="216" spans="1:6" hidden="1" x14ac:dyDescent="0.35">
      <c r="A216" s="22" t="s">
        <v>265</v>
      </c>
      <c r="B216" s="11" t="s">
        <v>774</v>
      </c>
      <c r="C216" s="11" t="s">
        <v>508</v>
      </c>
      <c r="D216" s="11" t="s">
        <v>61</v>
      </c>
      <c r="E216" s="24">
        <v>100</v>
      </c>
      <c r="F216" s="11"/>
    </row>
    <row r="217" spans="1:6" hidden="1" x14ac:dyDescent="0.35">
      <c r="A217" s="22">
        <v>2006797</v>
      </c>
      <c r="B217" s="11" t="s">
        <v>662</v>
      </c>
      <c r="C217" s="11" t="s">
        <v>464</v>
      </c>
      <c r="D217" s="11" t="s">
        <v>61</v>
      </c>
      <c r="E217" s="24">
        <v>200</v>
      </c>
      <c r="F217" s="11"/>
    </row>
    <row r="218" spans="1:6" hidden="1" x14ac:dyDescent="0.35">
      <c r="A218" s="22" t="s">
        <v>265</v>
      </c>
      <c r="B218" s="11" t="s">
        <v>678</v>
      </c>
      <c r="C218" s="11" t="s">
        <v>474</v>
      </c>
      <c r="D218" s="11" t="s">
        <v>61</v>
      </c>
      <c r="E218" s="24">
        <v>100</v>
      </c>
      <c r="F218" s="11"/>
    </row>
    <row r="219" spans="1:6" hidden="1" x14ac:dyDescent="0.35">
      <c r="A219" s="22"/>
      <c r="B219" s="11" t="s">
        <v>743</v>
      </c>
      <c r="C219" s="11" t="s">
        <v>744</v>
      </c>
      <c r="D219" s="11" t="s">
        <v>61</v>
      </c>
      <c r="E219" s="24">
        <v>100</v>
      </c>
      <c r="F219" s="11"/>
    </row>
    <row r="220" spans="1:6" hidden="1" x14ac:dyDescent="0.35">
      <c r="A220" s="22"/>
      <c r="B220" s="11" t="s">
        <v>718</v>
      </c>
      <c r="C220" s="11" t="s">
        <v>491</v>
      </c>
      <c r="D220" s="11" t="s">
        <v>135</v>
      </c>
      <c r="E220" s="24">
        <v>900</v>
      </c>
      <c r="F220" s="11"/>
    </row>
    <row r="221" spans="1:6" hidden="1" x14ac:dyDescent="0.35">
      <c r="A221" s="22">
        <v>2006680</v>
      </c>
      <c r="B221" s="11" t="s">
        <v>546</v>
      </c>
      <c r="C221" s="11" t="s">
        <v>390</v>
      </c>
      <c r="D221" s="11" t="s">
        <v>51</v>
      </c>
      <c r="E221" s="24">
        <v>100</v>
      </c>
      <c r="F221" s="11"/>
    </row>
    <row r="222" spans="1:6" hidden="1" x14ac:dyDescent="0.35">
      <c r="A222" s="22">
        <v>2006388</v>
      </c>
      <c r="B222" s="11" t="s">
        <v>598</v>
      </c>
      <c r="C222" s="11" t="s">
        <v>370</v>
      </c>
      <c r="D222" s="11" t="s">
        <v>51</v>
      </c>
      <c r="E222" s="24">
        <v>100</v>
      </c>
      <c r="F222" s="11"/>
    </row>
    <row r="223" spans="1:6" hidden="1" x14ac:dyDescent="0.35">
      <c r="A223" s="22" t="s">
        <v>265</v>
      </c>
      <c r="B223" s="11" t="s">
        <v>665</v>
      </c>
      <c r="C223" s="11" t="s">
        <v>449</v>
      </c>
      <c r="D223" s="11" t="s">
        <v>51</v>
      </c>
      <c r="E223" s="24">
        <v>100</v>
      </c>
      <c r="F223" s="11"/>
    </row>
    <row r="224" spans="1:6" hidden="1" x14ac:dyDescent="0.35">
      <c r="A224" s="22" t="s">
        <v>265</v>
      </c>
      <c r="B224" s="11" t="s">
        <v>669</v>
      </c>
      <c r="C224" s="11" t="s">
        <v>670</v>
      </c>
      <c r="D224" s="11" t="s">
        <v>51</v>
      </c>
      <c r="E224" s="24">
        <v>100</v>
      </c>
      <c r="F224" s="11"/>
    </row>
    <row r="225" spans="1:6" hidden="1" x14ac:dyDescent="0.35">
      <c r="A225" s="22">
        <v>2006434</v>
      </c>
      <c r="B225" s="11" t="s">
        <v>692</v>
      </c>
      <c r="C225" s="11" t="s">
        <v>519</v>
      </c>
      <c r="D225" s="11" t="s">
        <v>51</v>
      </c>
      <c r="E225" s="24">
        <v>200</v>
      </c>
      <c r="F225" s="11"/>
    </row>
    <row r="226" spans="1:6" hidden="1" x14ac:dyDescent="0.35">
      <c r="A226" s="22">
        <v>2011502</v>
      </c>
      <c r="B226" s="11" t="s">
        <v>745</v>
      </c>
      <c r="C226" s="11" t="s">
        <v>504</v>
      </c>
      <c r="D226" s="11" t="s">
        <v>51</v>
      </c>
      <c r="E226" s="24">
        <v>100</v>
      </c>
      <c r="F226" s="11"/>
    </row>
    <row r="227" spans="1:6" hidden="1" x14ac:dyDescent="0.35">
      <c r="A227" s="22">
        <v>2007321</v>
      </c>
      <c r="B227" s="11" t="s">
        <v>654</v>
      </c>
      <c r="C227" s="11" t="s">
        <v>444</v>
      </c>
      <c r="D227" s="11" t="s">
        <v>107</v>
      </c>
      <c r="E227" s="24">
        <v>1400</v>
      </c>
      <c r="F227" s="11"/>
    </row>
    <row r="228" spans="1:6" hidden="1" x14ac:dyDescent="0.35">
      <c r="A228" s="22">
        <v>2006175</v>
      </c>
      <c r="B228" s="11" t="s">
        <v>570</v>
      </c>
      <c r="C228" s="11" t="s">
        <v>362</v>
      </c>
      <c r="D228" s="11" t="s">
        <v>73</v>
      </c>
      <c r="E228" s="24">
        <v>100</v>
      </c>
      <c r="F228" s="11"/>
    </row>
    <row r="229" spans="1:6" hidden="1" x14ac:dyDescent="0.35">
      <c r="A229" s="22">
        <v>2006387</v>
      </c>
      <c r="B229" s="11" t="s">
        <v>612</v>
      </c>
      <c r="C229" s="11" t="s">
        <v>613</v>
      </c>
      <c r="D229" s="11" t="s">
        <v>73</v>
      </c>
      <c r="E229" s="24">
        <v>100</v>
      </c>
      <c r="F229" s="11"/>
    </row>
    <row r="230" spans="1:6" hidden="1" x14ac:dyDescent="0.35">
      <c r="A230" s="22" t="s">
        <v>265</v>
      </c>
      <c r="B230" s="11" t="s">
        <v>644</v>
      </c>
      <c r="C230" s="11" t="s">
        <v>452</v>
      </c>
      <c r="D230" s="11" t="s">
        <v>73</v>
      </c>
      <c r="E230" s="24">
        <v>100</v>
      </c>
      <c r="F230" s="11"/>
    </row>
    <row r="231" spans="1:6" hidden="1" x14ac:dyDescent="0.35">
      <c r="A231" s="22">
        <v>2011504</v>
      </c>
      <c r="B231" s="11" t="s">
        <v>659</v>
      </c>
      <c r="C231" s="11" t="s">
        <v>457</v>
      </c>
      <c r="D231" s="11" t="s">
        <v>73</v>
      </c>
      <c r="E231" s="24">
        <v>100</v>
      </c>
      <c r="F231" s="11"/>
    </row>
    <row r="232" spans="1:6" hidden="1" x14ac:dyDescent="0.35">
      <c r="A232" s="22">
        <v>2006427</v>
      </c>
      <c r="B232" s="11" t="s">
        <v>542</v>
      </c>
      <c r="C232" s="11" t="s">
        <v>289</v>
      </c>
      <c r="D232" s="11" t="s">
        <v>47</v>
      </c>
      <c r="E232" s="24">
        <v>100</v>
      </c>
      <c r="F232" s="11"/>
    </row>
    <row r="233" spans="1:6" hidden="1" x14ac:dyDescent="0.35">
      <c r="A233" s="22">
        <v>2006825</v>
      </c>
      <c r="B233" s="11" t="s">
        <v>767</v>
      </c>
      <c r="C233" s="11" t="s">
        <v>423</v>
      </c>
      <c r="D233" s="11" t="s">
        <v>47</v>
      </c>
      <c r="E233" s="24">
        <v>200</v>
      </c>
      <c r="F233" s="11"/>
    </row>
    <row r="234" spans="1:6" hidden="1" x14ac:dyDescent="0.35">
      <c r="A234" s="22">
        <v>2006646</v>
      </c>
      <c r="B234" s="11" t="s">
        <v>768</v>
      </c>
      <c r="C234" s="11" t="s">
        <v>427</v>
      </c>
      <c r="D234" s="11" t="s">
        <v>47</v>
      </c>
      <c r="E234" s="24">
        <v>100</v>
      </c>
      <c r="F234" s="11"/>
    </row>
    <row r="235" spans="1:6" hidden="1" x14ac:dyDescent="0.35">
      <c r="A235" s="22">
        <v>2006389</v>
      </c>
      <c r="B235" s="11" t="s">
        <v>610</v>
      </c>
      <c r="C235" s="11" t="s">
        <v>611</v>
      </c>
      <c r="D235" s="11" t="s">
        <v>47</v>
      </c>
      <c r="E235" s="24">
        <v>100</v>
      </c>
      <c r="F235" s="11"/>
    </row>
    <row r="236" spans="1:6" hidden="1" x14ac:dyDescent="0.35">
      <c r="A236" s="22" t="s">
        <v>265</v>
      </c>
      <c r="B236" s="11" t="s">
        <v>645</v>
      </c>
      <c r="C236" s="11" t="s">
        <v>466</v>
      </c>
      <c r="D236" s="11" t="s">
        <v>47</v>
      </c>
      <c r="E236" s="24">
        <v>100</v>
      </c>
      <c r="F236" s="11"/>
    </row>
    <row r="237" spans="1:6" hidden="1" x14ac:dyDescent="0.35">
      <c r="A237" s="22" t="s">
        <v>265</v>
      </c>
      <c r="B237" s="11" t="s">
        <v>777</v>
      </c>
      <c r="C237" s="11" t="s">
        <v>467</v>
      </c>
      <c r="D237" s="11" t="s">
        <v>47</v>
      </c>
      <c r="E237" s="24">
        <v>100</v>
      </c>
      <c r="F237" s="11"/>
    </row>
    <row r="238" spans="1:6" hidden="1" x14ac:dyDescent="0.35">
      <c r="A238" s="22">
        <v>2007232</v>
      </c>
      <c r="B238" s="11" t="s">
        <v>658</v>
      </c>
      <c r="C238" s="11" t="s">
        <v>450</v>
      </c>
      <c r="D238" s="11" t="s">
        <v>47</v>
      </c>
      <c r="E238" s="24">
        <v>50</v>
      </c>
      <c r="F238" s="11"/>
    </row>
    <row r="239" spans="1:6" hidden="1" x14ac:dyDescent="0.35">
      <c r="A239" s="22">
        <v>2006850</v>
      </c>
      <c r="B239" s="11" t="s">
        <v>663</v>
      </c>
      <c r="C239" s="11" t="s">
        <v>465</v>
      </c>
      <c r="D239" s="11" t="s">
        <v>47</v>
      </c>
      <c r="E239" s="24">
        <v>200</v>
      </c>
      <c r="F239" s="11"/>
    </row>
    <row r="240" spans="1:6" hidden="1" x14ac:dyDescent="0.35">
      <c r="A240" s="22">
        <v>2006407</v>
      </c>
      <c r="B240" s="11" t="s">
        <v>186</v>
      </c>
      <c r="C240" s="11" t="s">
        <v>187</v>
      </c>
      <c r="D240" s="11" t="s">
        <v>19</v>
      </c>
      <c r="E240" s="24">
        <v>1</v>
      </c>
      <c r="F240" s="11"/>
    </row>
    <row r="241" spans="1:6" hidden="1" x14ac:dyDescent="0.35">
      <c r="A241" s="22">
        <v>2006489</v>
      </c>
      <c r="B241" s="11" t="s">
        <v>298</v>
      </c>
      <c r="C241" s="11" t="s">
        <v>299</v>
      </c>
      <c r="D241" s="11" t="s">
        <v>19</v>
      </c>
      <c r="E241" s="24">
        <v>1</v>
      </c>
      <c r="F241" s="11"/>
    </row>
    <row r="242" spans="1:6" hidden="1" x14ac:dyDescent="0.35">
      <c r="A242" s="22"/>
      <c r="B242" s="11" t="s">
        <v>6782</v>
      </c>
      <c r="C242" s="11" t="s">
        <v>1142</v>
      </c>
      <c r="D242" s="11" t="s">
        <v>19</v>
      </c>
      <c r="E242" s="24">
        <v>1</v>
      </c>
      <c r="F242" s="11"/>
    </row>
    <row r="243" spans="1:6" hidden="1" x14ac:dyDescent="0.35">
      <c r="A243" s="22">
        <v>2006669</v>
      </c>
      <c r="B243" s="11" t="s">
        <v>630</v>
      </c>
      <c r="C243" s="11" t="s">
        <v>631</v>
      </c>
      <c r="D243" s="11" t="s">
        <v>19</v>
      </c>
      <c r="E243" s="24">
        <v>1</v>
      </c>
      <c r="F243" s="11"/>
    </row>
    <row r="244" spans="1:6" hidden="1" x14ac:dyDescent="0.35">
      <c r="A244" s="22">
        <v>2006220</v>
      </c>
      <c r="B244" s="11" t="s">
        <v>311</v>
      </c>
      <c r="C244" s="11" t="s">
        <v>312</v>
      </c>
      <c r="D244" s="11" t="s">
        <v>26</v>
      </c>
      <c r="E244" s="24">
        <v>1</v>
      </c>
      <c r="F244" s="11"/>
    </row>
    <row r="245" spans="1:6" hidden="1" x14ac:dyDescent="0.35">
      <c r="A245" s="22">
        <v>2006486</v>
      </c>
      <c r="B245" s="11" t="s">
        <v>219</v>
      </c>
      <c r="C245" s="11" t="s">
        <v>220</v>
      </c>
      <c r="D245" s="11" t="s">
        <v>20</v>
      </c>
      <c r="E245" s="24">
        <v>1</v>
      </c>
      <c r="F245" s="11"/>
    </row>
    <row r="246" spans="1:6" hidden="1" x14ac:dyDescent="0.35">
      <c r="A246" s="22">
        <v>2006406</v>
      </c>
      <c r="B246" s="11" t="s">
        <v>200</v>
      </c>
      <c r="C246" s="11" t="s">
        <v>201</v>
      </c>
      <c r="D246" s="11" t="s">
        <v>20</v>
      </c>
      <c r="E246" s="24">
        <v>1</v>
      </c>
      <c r="F246" s="11"/>
    </row>
    <row r="247" spans="1:6" hidden="1" x14ac:dyDescent="0.35">
      <c r="A247" s="22">
        <v>2006272</v>
      </c>
      <c r="B247" s="11" t="s">
        <v>271</v>
      </c>
      <c r="C247" s="11" t="s">
        <v>272</v>
      </c>
      <c r="D247" s="11" t="s">
        <v>20</v>
      </c>
      <c r="E247" s="24">
        <v>1</v>
      </c>
      <c r="F247" s="11"/>
    </row>
    <row r="248" spans="1:6" hidden="1" x14ac:dyDescent="0.35">
      <c r="A248" s="22">
        <v>2006237</v>
      </c>
      <c r="B248" s="11" t="s">
        <v>241</v>
      </c>
      <c r="C248" s="11" t="s">
        <v>242</v>
      </c>
      <c r="D248" s="11" t="s">
        <v>20</v>
      </c>
      <c r="E248" s="24">
        <v>1</v>
      </c>
      <c r="F248" s="11"/>
    </row>
    <row r="249" spans="1:6" hidden="1" x14ac:dyDescent="0.35">
      <c r="A249" s="22">
        <v>2006238</v>
      </c>
      <c r="B249" s="11" t="s">
        <v>254</v>
      </c>
      <c r="C249" s="11" t="s">
        <v>255</v>
      </c>
      <c r="D249" s="11" t="s">
        <v>20</v>
      </c>
      <c r="E249" s="24">
        <v>1</v>
      </c>
      <c r="F249" s="11"/>
    </row>
    <row r="250" spans="1:6" hidden="1" x14ac:dyDescent="0.35">
      <c r="A250" s="22">
        <v>2006865</v>
      </c>
      <c r="B250" s="11" t="s">
        <v>339</v>
      </c>
      <c r="C250" s="11" t="s">
        <v>340</v>
      </c>
      <c r="D250" s="11" t="s">
        <v>20</v>
      </c>
      <c r="E250" s="24">
        <v>1</v>
      </c>
      <c r="F250" s="11"/>
    </row>
    <row r="251" spans="1:6" hidden="1" x14ac:dyDescent="0.35">
      <c r="A251" s="22">
        <v>2007506</v>
      </c>
      <c r="B251" s="11" t="s">
        <v>660</v>
      </c>
      <c r="C251" s="11" t="s">
        <v>527</v>
      </c>
      <c r="D251" s="11" t="s">
        <v>20</v>
      </c>
      <c r="E251" s="24">
        <v>1</v>
      </c>
      <c r="F251" s="11"/>
    </row>
    <row r="252" spans="1:6" hidden="1" x14ac:dyDescent="0.35">
      <c r="A252" s="22"/>
      <c r="B252" s="11" t="s">
        <v>6783</v>
      </c>
      <c r="C252" s="11" t="s">
        <v>6784</v>
      </c>
      <c r="D252" s="11" t="s">
        <v>20</v>
      </c>
      <c r="E252" s="24">
        <v>12</v>
      </c>
      <c r="F252" s="11"/>
    </row>
    <row r="253" spans="1:6" hidden="1" x14ac:dyDescent="0.35">
      <c r="A253" s="22">
        <v>2006408</v>
      </c>
      <c r="B253" s="11" t="s">
        <v>202</v>
      </c>
      <c r="C253" s="11" t="s">
        <v>203</v>
      </c>
      <c r="D253" s="11" t="s">
        <v>21</v>
      </c>
      <c r="E253" s="24">
        <v>1</v>
      </c>
      <c r="F253" s="11"/>
    </row>
    <row r="254" spans="1:6" hidden="1" x14ac:dyDescent="0.35">
      <c r="A254" s="22">
        <v>2006234</v>
      </c>
      <c r="B254" s="11" t="s">
        <v>224</v>
      </c>
      <c r="C254" s="11" t="s">
        <v>225</v>
      </c>
      <c r="D254" s="11" t="s">
        <v>21</v>
      </c>
      <c r="E254" s="24">
        <v>1</v>
      </c>
      <c r="F254" s="11"/>
    </row>
    <row r="255" spans="1:6" hidden="1" x14ac:dyDescent="0.35">
      <c r="A255" s="22">
        <v>2006485</v>
      </c>
      <c r="B255" s="11" t="s">
        <v>239</v>
      </c>
      <c r="C255" s="11" t="s">
        <v>240</v>
      </c>
      <c r="D255" s="11" t="s">
        <v>21</v>
      </c>
      <c r="E255" s="24">
        <v>1</v>
      </c>
      <c r="F255" s="11"/>
    </row>
    <row r="256" spans="1:6" hidden="1" x14ac:dyDescent="0.35">
      <c r="A256" s="22">
        <v>2006143</v>
      </c>
      <c r="B256" s="11" t="s">
        <v>273</v>
      </c>
      <c r="C256" s="11" t="s">
        <v>240</v>
      </c>
      <c r="D256" s="11" t="s">
        <v>21</v>
      </c>
      <c r="E256" s="24">
        <v>1</v>
      </c>
      <c r="F256" s="11"/>
    </row>
    <row r="257" spans="1:6" hidden="1" x14ac:dyDescent="0.35">
      <c r="A257" s="22">
        <v>2006487</v>
      </c>
      <c r="B257" s="11" t="s">
        <v>235</v>
      </c>
      <c r="C257" s="11" t="s">
        <v>236</v>
      </c>
      <c r="D257" s="11" t="s">
        <v>35</v>
      </c>
      <c r="E257" s="24">
        <v>1</v>
      </c>
      <c r="F257" s="11"/>
    </row>
    <row r="258" spans="1:6" hidden="1" x14ac:dyDescent="0.35">
      <c r="A258" s="22"/>
      <c r="B258" s="11" t="s">
        <v>235</v>
      </c>
      <c r="C258" s="11" t="s">
        <v>2599</v>
      </c>
      <c r="D258" s="11" t="s">
        <v>35</v>
      </c>
      <c r="E258" s="24">
        <v>1</v>
      </c>
      <c r="F258" s="11"/>
    </row>
    <row r="259" spans="1:6" hidden="1" x14ac:dyDescent="0.35">
      <c r="A259" s="22"/>
      <c r="B259" s="11" t="s">
        <v>6785</v>
      </c>
      <c r="C259" s="11" t="s">
        <v>1947</v>
      </c>
      <c r="D259" s="11" t="s">
        <v>35</v>
      </c>
      <c r="E259" s="24">
        <v>1</v>
      </c>
      <c r="F259" s="11"/>
    </row>
    <row r="260" spans="1:6" hidden="1" x14ac:dyDescent="0.35">
      <c r="A260" s="22">
        <v>2006441</v>
      </c>
      <c r="B260" s="11" t="s">
        <v>587</v>
      </c>
      <c r="C260" s="11" t="s">
        <v>398</v>
      </c>
      <c r="D260" s="11" t="s">
        <v>82</v>
      </c>
      <c r="E260" s="24">
        <v>24</v>
      </c>
      <c r="F260" s="11" t="s">
        <v>6786</v>
      </c>
    </row>
    <row r="261" spans="1:6" hidden="1" x14ac:dyDescent="0.35">
      <c r="A261" s="22">
        <v>2007573</v>
      </c>
      <c r="B261" s="11" t="s">
        <v>634</v>
      </c>
      <c r="C261" s="11" t="s">
        <v>477</v>
      </c>
      <c r="D261" s="11" t="s">
        <v>102</v>
      </c>
      <c r="E261" s="24">
        <v>500</v>
      </c>
      <c r="F261" s="11"/>
    </row>
    <row r="262" spans="1:6" hidden="1" x14ac:dyDescent="0.35">
      <c r="A262" s="22">
        <v>2006151</v>
      </c>
      <c r="B262" s="11" t="s">
        <v>208</v>
      </c>
      <c r="C262" s="11" t="s">
        <v>209</v>
      </c>
      <c r="D262" s="11" t="s">
        <v>18</v>
      </c>
      <c r="E262" s="24">
        <v>1000</v>
      </c>
      <c r="F262" s="11"/>
    </row>
    <row r="263" spans="1:6" hidden="1" x14ac:dyDescent="0.35">
      <c r="A263" s="22"/>
      <c r="B263" s="11" t="s">
        <v>6787</v>
      </c>
      <c r="C263" s="11" t="s">
        <v>6788</v>
      </c>
      <c r="D263" s="11" t="s">
        <v>18</v>
      </c>
      <c r="E263" s="24">
        <v>1000</v>
      </c>
      <c r="F263" s="11"/>
    </row>
    <row r="264" spans="1:6" hidden="1" x14ac:dyDescent="0.35">
      <c r="A264" s="22"/>
      <c r="B264" s="11" t="s">
        <v>6789</v>
      </c>
      <c r="C264" s="11" t="s">
        <v>3711</v>
      </c>
      <c r="D264" s="11" t="s">
        <v>53</v>
      </c>
      <c r="E264" s="24">
        <v>1000</v>
      </c>
      <c r="F264" s="11"/>
    </row>
    <row r="265" spans="1:6" hidden="1" x14ac:dyDescent="0.35">
      <c r="A265" s="22"/>
      <c r="B265" s="11" t="s">
        <v>756</v>
      </c>
      <c r="C265" s="11" t="s">
        <v>1460</v>
      </c>
      <c r="D265" s="11" t="s">
        <v>21</v>
      </c>
      <c r="E265" s="24">
        <v>12</v>
      </c>
      <c r="F265" s="11"/>
    </row>
    <row r="266" spans="1:6" hidden="1" x14ac:dyDescent="0.35">
      <c r="A266" s="22"/>
      <c r="B266" s="11" t="s">
        <v>752</v>
      </c>
      <c r="C266" s="11" t="s">
        <v>966</v>
      </c>
      <c r="D266" s="11" t="s">
        <v>20</v>
      </c>
      <c r="E266" s="24">
        <v>6</v>
      </c>
      <c r="F266" s="11"/>
    </row>
    <row r="267" spans="1:6" hidden="1" x14ac:dyDescent="0.35">
      <c r="A267" s="22"/>
      <c r="B267" s="11" t="s">
        <v>749</v>
      </c>
      <c r="C267" s="11" t="s">
        <v>6790</v>
      </c>
      <c r="D267" s="11" t="s">
        <v>47</v>
      </c>
      <c r="E267" s="24">
        <v>100</v>
      </c>
      <c r="F267" s="11"/>
    </row>
    <row r="268" spans="1:6" hidden="1" x14ac:dyDescent="0.35">
      <c r="A268" s="22"/>
      <c r="B268" s="11">
        <v>7794459003554</v>
      </c>
      <c r="C268" s="11" t="s">
        <v>481</v>
      </c>
      <c r="D268" s="11" t="s">
        <v>19</v>
      </c>
      <c r="E268" s="24">
        <v>4</v>
      </c>
      <c r="F268" s="11"/>
    </row>
    <row r="269" spans="1:6" hidden="1" x14ac:dyDescent="0.35">
      <c r="A269" s="22"/>
      <c r="B269" s="11">
        <v>7794459003516</v>
      </c>
      <c r="C269" s="11" t="s">
        <v>495</v>
      </c>
      <c r="D269" s="11" t="s">
        <v>21</v>
      </c>
      <c r="E269" s="24">
        <v>6</v>
      </c>
      <c r="F269" s="11"/>
    </row>
    <row r="270" spans="1:6" hidden="1" x14ac:dyDescent="0.35">
      <c r="A270" s="22"/>
      <c r="B270" s="11">
        <v>7790000000768</v>
      </c>
      <c r="C270" s="11" t="s">
        <v>461</v>
      </c>
      <c r="D270" s="11" t="s">
        <v>15</v>
      </c>
      <c r="E270" s="24">
        <v>1</v>
      </c>
      <c r="F270" s="11"/>
    </row>
    <row r="271" spans="1:6" hidden="1" x14ac:dyDescent="0.35">
      <c r="A271" s="22">
        <v>2007560</v>
      </c>
      <c r="B271" s="11">
        <v>7790250912828</v>
      </c>
      <c r="C271" s="11" t="s">
        <v>492</v>
      </c>
      <c r="D271" s="11" t="s">
        <v>138</v>
      </c>
      <c r="E271" s="24">
        <v>8400</v>
      </c>
      <c r="F271" s="11"/>
    </row>
    <row r="272" spans="1:6" hidden="1" x14ac:dyDescent="0.35">
      <c r="A272" s="22"/>
      <c r="B272" s="11">
        <v>7790000000762</v>
      </c>
      <c r="C272" s="11" t="s">
        <v>511</v>
      </c>
      <c r="D272" s="11" t="s">
        <v>144</v>
      </c>
      <c r="E272" s="24">
        <v>300</v>
      </c>
      <c r="F272" s="11"/>
    </row>
    <row r="273" spans="1:6" hidden="1" x14ac:dyDescent="0.35">
      <c r="A273" s="22"/>
      <c r="B273" s="11">
        <v>7790000000250</v>
      </c>
      <c r="C273" s="11" t="s">
        <v>500</v>
      </c>
      <c r="D273" s="11" t="s">
        <v>144</v>
      </c>
      <c r="E273" s="24">
        <v>600</v>
      </c>
      <c r="F273" s="11"/>
    </row>
    <row r="274" spans="1:6" hidden="1" x14ac:dyDescent="0.35">
      <c r="A274" s="22"/>
      <c r="B274" s="11">
        <v>790757820753</v>
      </c>
      <c r="C274" s="11" t="s">
        <v>489</v>
      </c>
      <c r="D274" s="11" t="s">
        <v>16</v>
      </c>
      <c r="E274" s="24">
        <v>2000</v>
      </c>
      <c r="F274" s="11"/>
    </row>
    <row r="275" spans="1:6" hidden="1" x14ac:dyDescent="0.35">
      <c r="A275" s="22"/>
      <c r="B275" s="11" t="s">
        <v>758</v>
      </c>
      <c r="C275" s="11" t="s">
        <v>482</v>
      </c>
      <c r="D275" s="11" t="s">
        <v>16</v>
      </c>
      <c r="E275" s="24">
        <v>1000</v>
      </c>
      <c r="F275" s="11"/>
    </row>
    <row r="276" spans="1:6" hidden="1" x14ac:dyDescent="0.35">
      <c r="A276" s="22"/>
      <c r="B276" s="11" t="s">
        <v>6791</v>
      </c>
      <c r="C276" s="11" t="s">
        <v>5716</v>
      </c>
      <c r="D276" s="11" t="s">
        <v>149</v>
      </c>
      <c r="E276" s="24">
        <v>1000</v>
      </c>
      <c r="F276" s="11"/>
    </row>
    <row r="277" spans="1:6" hidden="1" x14ac:dyDescent="0.35">
      <c r="A277" s="22"/>
      <c r="B277" s="11" t="s">
        <v>6792</v>
      </c>
      <c r="C277" s="11" t="s">
        <v>1610</v>
      </c>
      <c r="D277" s="11" t="s">
        <v>151</v>
      </c>
      <c r="E277" s="24">
        <v>1000</v>
      </c>
      <c r="F277" s="11"/>
    </row>
    <row r="278" spans="1:6" hidden="1" x14ac:dyDescent="0.35">
      <c r="A278" s="22"/>
      <c r="B278" s="11" t="s">
        <v>6793</v>
      </c>
      <c r="C278" s="11" t="s">
        <v>2788</v>
      </c>
      <c r="D278" s="11" t="s">
        <v>117</v>
      </c>
      <c r="E278" s="24">
        <v>1000</v>
      </c>
      <c r="F278" s="11"/>
    </row>
    <row r="279" spans="1:6" hidden="1" x14ac:dyDescent="0.35">
      <c r="A279" s="22"/>
      <c r="B279" s="11" t="s">
        <v>6794</v>
      </c>
      <c r="C279" s="11" t="s">
        <v>3567</v>
      </c>
      <c r="D279" s="11" t="s">
        <v>117</v>
      </c>
      <c r="E279" s="24">
        <v>1000</v>
      </c>
      <c r="F279" s="11"/>
    </row>
    <row r="280" spans="1:6" hidden="1" x14ac:dyDescent="0.35">
      <c r="A280" s="22">
        <v>2011433</v>
      </c>
      <c r="B280" s="11" t="s">
        <v>781</v>
      </c>
      <c r="C280" s="11" t="s">
        <v>4206</v>
      </c>
      <c r="D280" s="11" t="s">
        <v>145</v>
      </c>
      <c r="E280" s="24">
        <v>100</v>
      </c>
      <c r="F280" s="11"/>
    </row>
    <row r="281" spans="1:6" hidden="1" x14ac:dyDescent="0.35">
      <c r="A281" s="22">
        <v>2011434</v>
      </c>
      <c r="B281" s="11" t="s">
        <v>6795</v>
      </c>
      <c r="C281" s="11" t="s">
        <v>6732</v>
      </c>
      <c r="D281" s="11" t="s">
        <v>147</v>
      </c>
      <c r="E281" s="24">
        <v>100</v>
      </c>
      <c r="F281" s="11"/>
    </row>
    <row r="282" spans="1:6" hidden="1" x14ac:dyDescent="0.35">
      <c r="A282" s="22"/>
      <c r="B282" s="11" t="s">
        <v>945</v>
      </c>
      <c r="C282" s="11" t="s">
        <v>946</v>
      </c>
      <c r="D282" s="11" t="s">
        <v>6796</v>
      </c>
      <c r="E282" s="24">
        <v>1000</v>
      </c>
      <c r="F282" s="11"/>
    </row>
    <row r="283" spans="1:6" hidden="1" x14ac:dyDescent="0.35">
      <c r="A283" s="22"/>
      <c r="B283" s="11" t="s">
        <v>6797</v>
      </c>
      <c r="C283" s="11" t="s">
        <v>6798</v>
      </c>
      <c r="D283" s="11" t="s">
        <v>50</v>
      </c>
      <c r="E283" s="24">
        <v>1000</v>
      </c>
      <c r="F283" s="11"/>
    </row>
    <row r="284" spans="1:6" hidden="1" x14ac:dyDescent="0.35">
      <c r="A284" s="22"/>
      <c r="B284" s="11" t="s">
        <v>754</v>
      </c>
      <c r="C284" s="11" t="s">
        <v>5337</v>
      </c>
      <c r="D284" s="11" t="s">
        <v>77</v>
      </c>
      <c r="E284" s="24">
        <v>50</v>
      </c>
      <c r="F284" s="11"/>
    </row>
    <row r="285" spans="1:6" hidden="1" x14ac:dyDescent="0.35">
      <c r="A285" s="22"/>
      <c r="B285" s="11" t="s">
        <v>751</v>
      </c>
      <c r="C285" s="11" t="s">
        <v>490</v>
      </c>
      <c r="D285" s="11" t="s">
        <v>21</v>
      </c>
      <c r="E285" s="24">
        <v>12</v>
      </c>
      <c r="F285" s="11"/>
    </row>
    <row r="286" spans="1:6" hidden="1" x14ac:dyDescent="0.35">
      <c r="A286" s="27"/>
      <c r="B286" s="28" t="s">
        <v>775</v>
      </c>
      <c r="C286" s="28" t="s">
        <v>776</v>
      </c>
      <c r="D286" s="28" t="s">
        <v>150</v>
      </c>
      <c r="E286" s="82">
        <v>600</v>
      </c>
      <c r="F286" s="11"/>
    </row>
    <row r="287" spans="1:6" hidden="1" x14ac:dyDescent="0.35">
      <c r="A287" s="27"/>
      <c r="B287" s="28" t="s">
        <v>6799</v>
      </c>
      <c r="C287" s="28" t="s">
        <v>2877</v>
      </c>
      <c r="D287" s="28" t="s">
        <v>26</v>
      </c>
      <c r="E287" s="82">
        <v>6</v>
      </c>
      <c r="F287" s="11"/>
    </row>
    <row r="288" spans="1:6" hidden="1" x14ac:dyDescent="0.35">
      <c r="A288" s="22"/>
      <c r="B288" s="11" t="s">
        <v>6800</v>
      </c>
      <c r="C288" s="11" t="s">
        <v>5699</v>
      </c>
      <c r="D288" s="11" t="s">
        <v>99</v>
      </c>
      <c r="E288" s="24">
        <v>1000</v>
      </c>
      <c r="F288" s="11"/>
    </row>
    <row r="289" spans="1:6" hidden="1" x14ac:dyDescent="0.35">
      <c r="A289" s="27"/>
      <c r="B289" s="28" t="s">
        <v>6801</v>
      </c>
      <c r="C289" s="28" t="s">
        <v>6042</v>
      </c>
      <c r="D289" s="28" t="s">
        <v>37</v>
      </c>
      <c r="E289" s="82">
        <v>1</v>
      </c>
      <c r="F289" s="11"/>
    </row>
    <row r="290" spans="1:6" hidden="1" x14ac:dyDescent="0.35">
      <c r="A290" s="27"/>
      <c r="B290" s="28" t="s">
        <v>6802</v>
      </c>
      <c r="C290" s="28" t="s">
        <v>6146</v>
      </c>
      <c r="D290" s="28" t="s">
        <v>48</v>
      </c>
      <c r="E290" s="82">
        <v>1000</v>
      </c>
      <c r="F290" s="28"/>
    </row>
    <row r="291" spans="1:6" hidden="1" x14ac:dyDescent="0.35">
      <c r="A291" s="27"/>
      <c r="B291" s="28" t="s">
        <v>783</v>
      </c>
      <c r="C291" s="28" t="s">
        <v>505</v>
      </c>
      <c r="D291" s="28" t="s">
        <v>132</v>
      </c>
      <c r="E291" s="82">
        <v>800</v>
      </c>
      <c r="F291" s="28"/>
    </row>
    <row r="292" spans="1:6" hidden="1" x14ac:dyDescent="0.35">
      <c r="A292" s="27"/>
      <c r="B292" s="28" t="s">
        <v>6803</v>
      </c>
      <c r="C292" s="28" t="s">
        <v>1093</v>
      </c>
      <c r="D292" s="28" t="s">
        <v>110</v>
      </c>
      <c r="E292" s="82">
        <v>100</v>
      </c>
      <c r="F292" s="28"/>
    </row>
    <row r="293" spans="1:6" hidden="1" x14ac:dyDescent="0.35">
      <c r="A293" s="27"/>
      <c r="B293" s="28" t="s">
        <v>6804</v>
      </c>
      <c r="C293" s="28" t="s">
        <v>3050</v>
      </c>
      <c r="D293" s="28" t="s">
        <v>115</v>
      </c>
      <c r="E293" s="82">
        <v>100</v>
      </c>
      <c r="F293" s="28"/>
    </row>
    <row r="294" spans="1:6" hidden="1" x14ac:dyDescent="0.35">
      <c r="A294" s="27"/>
      <c r="B294" s="28" t="s">
        <v>6805</v>
      </c>
      <c r="C294" s="28" t="s">
        <v>834</v>
      </c>
      <c r="D294" s="28" t="s">
        <v>63</v>
      </c>
      <c r="E294" s="82">
        <v>1000</v>
      </c>
      <c r="F294" s="28" t="s">
        <v>6806</v>
      </c>
    </row>
    <row r="295" spans="1:6" hidden="1" x14ac:dyDescent="0.35">
      <c r="A295" s="27"/>
      <c r="B295" s="28" t="s">
        <v>6807</v>
      </c>
      <c r="C295" s="28" t="s">
        <v>1259</v>
      </c>
      <c r="D295" s="28" t="s">
        <v>137</v>
      </c>
      <c r="E295" s="82">
        <v>1000</v>
      </c>
      <c r="F295" s="28" t="s">
        <v>6808</v>
      </c>
    </row>
    <row r="296" spans="1:6" hidden="1" x14ac:dyDescent="0.35">
      <c r="A296" s="27"/>
      <c r="B296" s="28" t="s">
        <v>784</v>
      </c>
      <c r="C296" s="28" t="s">
        <v>431</v>
      </c>
      <c r="D296" s="28" t="s">
        <v>152</v>
      </c>
      <c r="E296" s="82">
        <v>1</v>
      </c>
      <c r="F296" s="28"/>
    </row>
    <row r="297" spans="1:6" hidden="1" x14ac:dyDescent="0.35">
      <c r="A297" s="27"/>
      <c r="B297" s="28">
        <v>7790000000676</v>
      </c>
      <c r="C297" s="28" t="s">
        <v>453</v>
      </c>
      <c r="D297" s="28" t="s">
        <v>147</v>
      </c>
      <c r="E297" s="82">
        <v>100</v>
      </c>
      <c r="F297" s="28"/>
    </row>
    <row r="298" spans="1:6" hidden="1" x14ac:dyDescent="0.35">
      <c r="A298" s="22"/>
      <c r="B298" s="11">
        <v>7790000000711</v>
      </c>
      <c r="C298" s="11" t="s">
        <v>475</v>
      </c>
      <c r="D298" s="11" t="s">
        <v>153</v>
      </c>
      <c r="E298" s="24">
        <v>1000</v>
      </c>
      <c r="F298" s="11"/>
    </row>
    <row r="299" spans="1:6" hidden="1" x14ac:dyDescent="0.35">
      <c r="A299" s="22"/>
      <c r="B299" s="11">
        <v>714604111788</v>
      </c>
      <c r="C299" s="11" t="s">
        <v>476</v>
      </c>
      <c r="D299" s="11" t="s">
        <v>53</v>
      </c>
      <c r="E299" s="24">
        <v>1000</v>
      </c>
      <c r="F299" s="11"/>
    </row>
    <row r="300" spans="1:6" hidden="1" x14ac:dyDescent="0.35">
      <c r="A300" s="22"/>
      <c r="B300" s="11">
        <v>714604111849</v>
      </c>
      <c r="C300" s="11" t="s">
        <v>483</v>
      </c>
      <c r="D300" s="11" t="s">
        <v>48</v>
      </c>
      <c r="E300" s="24">
        <v>1000</v>
      </c>
      <c r="F300" s="11"/>
    </row>
    <row r="301" spans="1:6" hidden="1" x14ac:dyDescent="0.35">
      <c r="A301" s="22"/>
      <c r="B301" s="11">
        <v>7790000000904</v>
      </c>
      <c r="C301" s="11" t="s">
        <v>485</v>
      </c>
      <c r="D301" s="11" t="s">
        <v>154</v>
      </c>
      <c r="E301" s="24">
        <v>1</v>
      </c>
      <c r="F301" s="11"/>
    </row>
    <row r="302" spans="1:6" hidden="1" x14ac:dyDescent="0.35">
      <c r="A302" s="22"/>
      <c r="B302" s="11">
        <v>7790000000897</v>
      </c>
      <c r="C302" s="11" t="s">
        <v>486</v>
      </c>
      <c r="D302" s="11" t="s">
        <v>155</v>
      </c>
      <c r="E302" s="24">
        <v>100</v>
      </c>
      <c r="F302" s="11"/>
    </row>
    <row r="303" spans="1:6" hidden="1" x14ac:dyDescent="0.35">
      <c r="A303" s="22"/>
      <c r="B303" s="11">
        <v>7790000000710</v>
      </c>
      <c r="C303" s="11" t="s">
        <v>494</v>
      </c>
      <c r="D303" s="11" t="s">
        <v>156</v>
      </c>
      <c r="E303" s="24">
        <v>1000</v>
      </c>
      <c r="F303" s="11"/>
    </row>
    <row r="304" spans="1:6" hidden="1" x14ac:dyDescent="0.35">
      <c r="A304" s="22"/>
      <c r="B304" s="11">
        <v>7790000000902</v>
      </c>
      <c r="C304" s="11" t="s">
        <v>478</v>
      </c>
      <c r="D304" s="11" t="s">
        <v>157</v>
      </c>
      <c r="E304" s="24">
        <v>100</v>
      </c>
      <c r="F304" s="11"/>
    </row>
    <row r="305" spans="1:6" hidden="1" x14ac:dyDescent="0.35">
      <c r="A305" s="22"/>
      <c r="B305" s="11">
        <v>7790000000899</v>
      </c>
      <c r="C305" s="11" t="s">
        <v>502</v>
      </c>
      <c r="D305" s="11" t="s">
        <v>158</v>
      </c>
      <c r="E305" s="24">
        <v>1</v>
      </c>
      <c r="F305" s="11"/>
    </row>
    <row r="306" spans="1:6" hidden="1" x14ac:dyDescent="0.35">
      <c r="A306" s="22"/>
      <c r="B306" s="42">
        <v>7790000000905</v>
      </c>
      <c r="C306" s="11" t="s">
        <v>503</v>
      </c>
      <c r="D306" s="11" t="s">
        <v>97</v>
      </c>
      <c r="E306" s="24">
        <v>1</v>
      </c>
      <c r="F306" s="11"/>
    </row>
    <row r="307" spans="1:6" hidden="1" x14ac:dyDescent="0.35">
      <c r="A307" s="22"/>
      <c r="B307" s="11">
        <v>7790000000901</v>
      </c>
      <c r="C307" s="11" t="s">
        <v>507</v>
      </c>
      <c r="D307" s="11" t="s">
        <v>159</v>
      </c>
      <c r="E307" s="24">
        <v>100</v>
      </c>
      <c r="F307" s="11"/>
    </row>
    <row r="308" spans="1:6" hidden="1" x14ac:dyDescent="0.35">
      <c r="A308" s="22"/>
      <c r="B308" s="11">
        <v>7790000000900</v>
      </c>
      <c r="C308" s="11" t="s">
        <v>512</v>
      </c>
      <c r="D308" s="11" t="s">
        <v>160</v>
      </c>
      <c r="E308" s="24">
        <v>1</v>
      </c>
      <c r="F308" s="11"/>
    </row>
    <row r="309" spans="1:6" hidden="1" x14ac:dyDescent="0.35">
      <c r="A309" s="22"/>
      <c r="B309" s="11">
        <v>7790000000898</v>
      </c>
      <c r="C309" s="11" t="s">
        <v>526</v>
      </c>
      <c r="D309" s="11" t="s">
        <v>161</v>
      </c>
      <c r="E309" s="24">
        <v>1</v>
      </c>
      <c r="F309" s="11"/>
    </row>
    <row r="310" spans="1:6" hidden="1" x14ac:dyDescent="0.35">
      <c r="A310" s="22"/>
      <c r="B310" s="11" t="s">
        <v>784</v>
      </c>
      <c r="C310" s="11" t="s">
        <v>431</v>
      </c>
      <c r="D310" s="11" t="s">
        <v>152</v>
      </c>
      <c r="E310" s="24">
        <v>1</v>
      </c>
      <c r="F310" s="11"/>
    </row>
    <row r="311" spans="1:6" x14ac:dyDescent="0.35">
      <c r="A311" s="27"/>
      <c r="B311" s="28" t="s">
        <v>6809</v>
      </c>
      <c r="C311" s="28" t="s">
        <v>6260</v>
      </c>
      <c r="D311" s="28" t="s">
        <v>162</v>
      </c>
      <c r="E311" s="82">
        <v>100</v>
      </c>
      <c r="F311" s="28"/>
    </row>
    <row r="312" spans="1:6" x14ac:dyDescent="0.35">
      <c r="A312" s="27"/>
      <c r="B312" s="28" t="s">
        <v>5196</v>
      </c>
      <c r="C312" s="28" t="s">
        <v>5197</v>
      </c>
      <c r="D312" s="28" t="s">
        <v>74</v>
      </c>
      <c r="E312" s="82">
        <v>50</v>
      </c>
      <c r="F312" s="28"/>
    </row>
    <row r="313" spans="1:6" x14ac:dyDescent="0.35">
      <c r="A313" s="27"/>
      <c r="B313" s="28" t="s">
        <v>6810</v>
      </c>
      <c r="C313" s="28" t="s">
        <v>3501</v>
      </c>
      <c r="D313" s="28" t="s">
        <v>156</v>
      </c>
      <c r="E313" s="82">
        <v>1000</v>
      </c>
      <c r="F313" s="28"/>
    </row>
    <row r="314" spans="1:6" x14ac:dyDescent="0.35">
      <c r="A314" s="27"/>
      <c r="B314" s="28" t="s">
        <v>6811</v>
      </c>
      <c r="C314" s="28" t="s">
        <v>1605</v>
      </c>
      <c r="D314" s="28" t="s">
        <v>153</v>
      </c>
      <c r="E314" s="82">
        <v>1000</v>
      </c>
      <c r="F314" s="2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tabColor rgb="FFFFFF00"/>
  </sheetPr>
  <dimension ref="A1:S225"/>
  <sheetViews>
    <sheetView tabSelected="1" topLeftCell="D1" workbookViewId="0">
      <selection activeCell="L77" sqref="L77"/>
    </sheetView>
  </sheetViews>
  <sheetFormatPr baseColWidth="10" defaultColWidth="0" defaultRowHeight="14.5" x14ac:dyDescent="0.35"/>
  <cols>
    <col min="1" max="1" width="29.54296875" bestFit="1" customWidth="1"/>
    <col min="2" max="2" width="19.453125" customWidth="1"/>
    <col min="3" max="3" width="18.81640625" customWidth="1"/>
    <col min="4" max="4" width="10.81640625" customWidth="1"/>
    <col min="5" max="5" width="11.453125" customWidth="1"/>
    <col min="6" max="6" width="10.81640625" customWidth="1"/>
    <col min="7" max="8" width="12.453125" customWidth="1"/>
    <col min="9" max="10" width="11.54296875" customWidth="1"/>
    <col min="11" max="11" width="52.453125" style="12" bestFit="1" customWidth="1"/>
    <col min="12" max="12" width="21.81640625" bestFit="1" customWidth="1"/>
    <col min="13" max="13" width="11.54296875" bestFit="1" customWidth="1"/>
    <col min="14" max="14" width="10.81640625" customWidth="1"/>
    <col min="15" max="15" width="32" bestFit="1" customWidth="1"/>
    <col min="16" max="16" width="22.453125" bestFit="1" customWidth="1"/>
    <col min="17" max="17" width="10.81640625" customWidth="1"/>
    <col min="18" max="19" width="13" hidden="1" customWidth="1"/>
    <col min="20" max="54" width="10.81640625" hidden="1" customWidth="1"/>
    <col min="55" max="16384" width="10.81640625" hidden="1"/>
  </cols>
  <sheetData>
    <row r="1" spans="1:14" x14ac:dyDescent="0.35">
      <c r="A1" s="11"/>
      <c r="B1" s="11"/>
      <c r="C1" s="11"/>
      <c r="D1" s="18" t="s">
        <v>0</v>
      </c>
      <c r="E1" s="18"/>
      <c r="F1" s="20" t="s">
        <v>1</v>
      </c>
      <c r="G1" s="20"/>
      <c r="H1" s="20"/>
      <c r="I1" s="13"/>
      <c r="J1" s="13"/>
      <c r="K1" s="1"/>
      <c r="L1" s="16"/>
      <c r="M1" s="16"/>
    </row>
    <row r="2" spans="1:14" x14ac:dyDescent="0.35">
      <c r="A2" s="47" t="s">
        <v>2</v>
      </c>
      <c r="B2" s="31" t="s">
        <v>3</v>
      </c>
      <c r="C2" s="25" t="s">
        <v>4</v>
      </c>
      <c r="D2" s="48" t="s">
        <v>5</v>
      </c>
      <c r="E2" s="48" t="s">
        <v>6</v>
      </c>
      <c r="F2" s="49" t="s">
        <v>7</v>
      </c>
      <c r="G2" s="49" t="s">
        <v>8</v>
      </c>
      <c r="H2" s="49" t="s">
        <v>9</v>
      </c>
      <c r="I2" s="14" t="s">
        <v>10</v>
      </c>
      <c r="J2" s="57" t="s">
        <v>11</v>
      </c>
      <c r="K2" s="57" t="s">
        <v>12</v>
      </c>
      <c r="L2" s="54" t="s">
        <v>13</v>
      </c>
      <c r="M2" s="91" t="s">
        <v>14</v>
      </c>
    </row>
    <row r="3" spans="1:14" hidden="1" x14ac:dyDescent="0.35">
      <c r="A3" s="22" t="s">
        <v>15</v>
      </c>
      <c r="B3" s="11">
        <v>1</v>
      </c>
      <c r="C3" s="11" t="str">
        <f>IF(ISNUMBER(_xlfn.XMATCH(A3,'Calcular necesidad'!E:E,0)),"OK","NO ESTA")</f>
        <v>OK</v>
      </c>
      <c r="D3" s="19">
        <f>SUM(
SUMIF('Calcular necesidad'!E:E,'Necesidad por familia'!A3,'Calcular necesidad'!G:G) +
SUMIF('Calcular necesidad'!E:E,'Necesidad por familia'!A3,'Calcular necesidad'!I:I) +
SUMIF('Calcular necesidad'!E:E,'Necesidad por familia'!A3,'Calcular necesidad'!K:K) +
SUMIF('Calcular necesidad'!E:E,'Necesidad por familia'!A3,'Calcular necesidad'!J:J)
)/B3</f>
        <v>0</v>
      </c>
      <c r="E3" s="19">
        <f>SUMIF('Calcular necesidad'!E:E,'Necesidad por familia'!A3,'Calcular necesidad'!$H:$H)/B3</f>
        <v>408</v>
      </c>
      <c r="F3" s="21">
        <f>SUMIFS(Stock!R:R,Stock!B:B,"&lt;&gt;CD CIUDADELA                  ",Stock!P:P,'Necesidad por familia'!A3)/B3</f>
        <v>1254</v>
      </c>
      <c r="G3" s="21">
        <f>SUMIFS(Stock!R:R,Stock!B:B,"CD CIUDADELA                  ",Stock!P:P,'Necesidad por familia'!A3)/B3</f>
        <v>137</v>
      </c>
      <c r="H3" s="21">
        <f>Tabla1[[#This Row],[Moreno2]]+Tabla1[[#This Row],[Ciudadela3]]</f>
        <v>1391</v>
      </c>
      <c r="I3" s="11">
        <f t="shared" ref="I3:I34" si="0">IF((D3+E3)=0,"Sin consumo",(F3+G3)-(D3+E3))</f>
        <v>983</v>
      </c>
      <c r="J3" s="58">
        <f>IF(Tabla1[[#This Row],[Diferencia]]="Sin Consumo","100%",Tabla1[[#This Row],[Stock total]]/(Tabla1[[#This Row],[Moreno]]+Tabla1[[#This Row],[Ciudadela]]))</f>
        <v>3.409313725490196</v>
      </c>
      <c r="L3" s="16"/>
      <c r="M3" s="16"/>
      <c r="N3" s="16"/>
    </row>
    <row r="4" spans="1:14" hidden="1" x14ac:dyDescent="0.35">
      <c r="A4" s="46" t="s">
        <v>16</v>
      </c>
      <c r="B4" s="1">
        <v>1000</v>
      </c>
      <c r="C4" s="11" t="str">
        <f>IF(ISNUMBER(_xlfn.XMATCH(A4,'Calcular necesidad'!E:E,0)),"OK","NO ESTA")</f>
        <v>OK</v>
      </c>
      <c r="D4" s="50">
        <f>SUM(
SUMIF('Calcular necesidad'!E:E,'Necesidad por familia'!A4,'Calcular necesidad'!G:G) +
SUMIF('Calcular necesidad'!E:E,'Necesidad por familia'!A4,'Calcular necesidad'!I:I) +
SUMIF('Calcular necesidad'!E:E,'Necesidad por familia'!A4,'Calcular necesidad'!K:K) +
SUMIF('Calcular necesidad'!E:E,'Necesidad por familia'!A4,'Calcular necesidad'!J:J)
)/B4</f>
        <v>0</v>
      </c>
      <c r="E4" s="50">
        <f>SUMIF('Calcular necesidad'!E:E,'Necesidad por familia'!A4,'Calcular necesidad'!$H:$H)/B4</f>
        <v>512</v>
      </c>
      <c r="F4" s="51">
        <f>SUMIFS(Stock!R:R,Stock!B:B,"&lt;&gt;CD CIUDADELA                  ",Stock!P:P,'Necesidad por familia'!A4)/B4</f>
        <v>286</v>
      </c>
      <c r="G4" s="51">
        <f>SUMIFS(Stock!R:R,Stock!B:B,"CD CIUDADELA                  ",Stock!P:P,'Necesidad por familia'!A4)/B4</f>
        <v>47</v>
      </c>
      <c r="H4" s="51">
        <f>Tabla1[[#This Row],[Moreno2]]+Tabla1[[#This Row],[Ciudadela3]]</f>
        <v>333</v>
      </c>
      <c r="I4" s="1">
        <f t="shared" si="0"/>
        <v>-179</v>
      </c>
      <c r="J4" s="58">
        <f>IF(Tabla1[[#This Row],[Diferencia]]="Sin Consumo","100%",Tabla1[[#This Row],[Stock total]]/(Tabla1[[#This Row],[Moreno]]+Tabla1[[#This Row],[Ciudadela]]))</f>
        <v>0.650390625</v>
      </c>
      <c r="L4" s="16">
        <v>4600121799</v>
      </c>
      <c r="M4" s="16" t="s">
        <v>17</v>
      </c>
      <c r="N4" s="16"/>
    </row>
    <row r="5" spans="1:14" hidden="1" x14ac:dyDescent="0.35">
      <c r="A5" s="22" t="s">
        <v>18</v>
      </c>
      <c r="B5" s="11">
        <v>1000</v>
      </c>
      <c r="C5" s="11" t="str">
        <f>IF(ISNUMBER(_xlfn.XMATCH(A5,'Calcular necesidad'!E:E,0)),"OK","NO ESTA")</f>
        <v>OK</v>
      </c>
      <c r="D5" s="19">
        <f>SUM(
SUMIF('Calcular necesidad'!E:E,'Necesidad por familia'!A5,'Calcular necesidad'!G:G) +
SUMIF('Calcular necesidad'!E:E,'Necesidad por familia'!A5,'Calcular necesidad'!I:I) +
SUMIF('Calcular necesidad'!E:E,'Necesidad por familia'!A5,'Calcular necesidad'!K:K) +
SUMIF('Calcular necesidad'!E:E,'Necesidad por familia'!A5,'Calcular necesidad'!J:J)
)/B5</f>
        <v>0</v>
      </c>
      <c r="E5" s="19">
        <f>SUMIF('Calcular necesidad'!E:E,'Necesidad por familia'!A5,'Calcular necesidad'!$H:$H)/B5</f>
        <v>53</v>
      </c>
      <c r="F5" s="21">
        <f>SUMIFS(Stock!R:R,Stock!B:B,"&lt;&gt;CD CIUDADELA                  ",Stock!P:P,'Necesidad por familia'!A5)/B5</f>
        <v>192</v>
      </c>
      <c r="G5" s="21">
        <f>SUMIFS(Stock!R:R,Stock!B:B,"CD CIUDADELA                  ",Stock!P:P,'Necesidad por familia'!A5)/B5</f>
        <v>60</v>
      </c>
      <c r="H5" s="21">
        <f>Tabla1[[#This Row],[Moreno2]]+Tabla1[[#This Row],[Ciudadela3]]</f>
        <v>252</v>
      </c>
      <c r="I5" s="11">
        <f t="shared" si="0"/>
        <v>199</v>
      </c>
      <c r="J5" s="58">
        <f>IF(Tabla1[[#This Row],[Diferencia]]="Sin Consumo","100%",Tabla1[[#This Row],[Stock total]]/(Tabla1[[#This Row],[Moreno]]+Tabla1[[#This Row],[Ciudadela]]))</f>
        <v>4.7547169811320753</v>
      </c>
      <c r="L5" s="16"/>
      <c r="M5" s="16"/>
      <c r="N5" s="16"/>
    </row>
    <row r="6" spans="1:14" hidden="1" x14ac:dyDescent="0.35">
      <c r="A6" s="22" t="s">
        <v>19</v>
      </c>
      <c r="B6" s="11">
        <v>1</v>
      </c>
      <c r="C6" s="11" t="str">
        <f>IF(ISNUMBER(_xlfn.XMATCH(A6,'Calcular necesidad'!E:E,0)),"OK","NO ESTA")</f>
        <v>OK</v>
      </c>
      <c r="D6" s="19">
        <f>SUM(
SUMIF('Calcular necesidad'!E:E,'Necesidad por familia'!A6,'Calcular necesidad'!G:G) +
SUMIF('Calcular necesidad'!E:E,'Necesidad por familia'!A6,'Calcular necesidad'!I:I) +
SUMIF('Calcular necesidad'!E:E,'Necesidad por familia'!A6,'Calcular necesidad'!K:K) +
SUMIF('Calcular necesidad'!E:E,'Necesidad por familia'!A6,'Calcular necesidad'!J:J)
)/B6</f>
        <v>0</v>
      </c>
      <c r="E6" s="19">
        <f>SUMIF('Calcular necesidad'!E:E,'Necesidad por familia'!A6,'Calcular necesidad'!$H:$H)/B6</f>
        <v>275</v>
      </c>
      <c r="F6" s="21">
        <f>SUMIFS(Stock!R:R,Stock!B:B,"&lt;&gt;CD CIUDADELA                  ",Stock!P:P,'Necesidad por familia'!A6)/B6</f>
        <v>1876</v>
      </c>
      <c r="G6" s="21">
        <f>SUMIFS(Stock!R:R,Stock!B:B,"CD CIUDADELA                  ",Stock!P:P,'Necesidad por familia'!A6)/B6</f>
        <v>134</v>
      </c>
      <c r="H6" s="21">
        <f>Tabla1[[#This Row],[Moreno2]]+Tabla1[[#This Row],[Ciudadela3]]</f>
        <v>2010</v>
      </c>
      <c r="I6" s="11">
        <f t="shared" si="0"/>
        <v>1735</v>
      </c>
      <c r="J6" s="58">
        <f>IF(Tabla1[[#This Row],[Diferencia]]="Sin Consumo","100%",Tabla1[[#This Row],[Stock total]]/(Tabla1[[#This Row],[Moreno]]+Tabla1[[#This Row],[Ciudadela]]))</f>
        <v>7.3090909090909095</v>
      </c>
      <c r="L6" s="16"/>
      <c r="M6" s="16"/>
      <c r="N6" s="16"/>
    </row>
    <row r="7" spans="1:14" hidden="1" x14ac:dyDescent="0.35">
      <c r="A7" s="22" t="s">
        <v>20</v>
      </c>
      <c r="B7" s="11">
        <v>1</v>
      </c>
      <c r="C7" s="11" t="str">
        <f>IF(ISNUMBER(_xlfn.XMATCH(A7,'Calcular necesidad'!E:E,0)),"OK","NO ESTA")</f>
        <v>OK</v>
      </c>
      <c r="D7" s="19">
        <f>SUM(
SUMIF('Calcular necesidad'!E:E,'Necesidad por familia'!A7,'Calcular necesidad'!G:G) +
SUMIF('Calcular necesidad'!E:E,'Necesidad por familia'!A7,'Calcular necesidad'!I:I) +
SUMIF('Calcular necesidad'!E:E,'Necesidad por familia'!A7,'Calcular necesidad'!K:K) +
SUMIF('Calcular necesidad'!E:E,'Necesidad por familia'!A7,'Calcular necesidad'!J:J)
)/B7</f>
        <v>0</v>
      </c>
      <c r="E7" s="19">
        <f>SUMIF('Calcular necesidad'!E:E,'Necesidad por familia'!A7,'Calcular necesidad'!$H:$H)/B7</f>
        <v>409</v>
      </c>
      <c r="F7" s="21">
        <f>SUMIFS(Stock!R:R,Stock!B:B,"&lt;&gt;CD CIUDADELA                  ",Stock!P:P,'Necesidad por familia'!A7)/B7</f>
        <v>175</v>
      </c>
      <c r="G7" s="21">
        <f>SUMIFS(Stock!R:R,Stock!B:B,"CD CIUDADELA                  ",Stock!P:P,'Necesidad por familia'!A7)/B7</f>
        <v>257</v>
      </c>
      <c r="H7" s="21">
        <f>Tabla1[[#This Row],[Moreno2]]+Tabla1[[#This Row],[Ciudadela3]]</f>
        <v>432</v>
      </c>
      <c r="I7" s="11">
        <f t="shared" si="0"/>
        <v>23</v>
      </c>
      <c r="J7" s="58">
        <f>IF(Tabla1[[#This Row],[Diferencia]]="Sin Consumo","100%",Tabla1[[#This Row],[Stock total]]/(Tabla1[[#This Row],[Moreno]]+Tabla1[[#This Row],[Ciudadela]]))</f>
        <v>1.0562347188264058</v>
      </c>
      <c r="L7" s="16"/>
      <c r="M7" s="16"/>
      <c r="N7" s="16"/>
    </row>
    <row r="8" spans="1:14" hidden="1" x14ac:dyDescent="0.35">
      <c r="A8" s="22" t="s">
        <v>21</v>
      </c>
      <c r="B8" s="11">
        <v>1</v>
      </c>
      <c r="C8" s="11" t="str">
        <f>IF(ISNUMBER(_xlfn.XMATCH(A8,'Calcular necesidad'!E:E,0)),"OK","NO ESTA")</f>
        <v>OK</v>
      </c>
      <c r="D8" s="19">
        <f>SUM(
SUMIF('Calcular necesidad'!E:E,'Necesidad por familia'!A8,'Calcular necesidad'!G:G) +
SUMIF('Calcular necesidad'!E:E,'Necesidad por familia'!A8,'Calcular necesidad'!I:I) +
SUMIF('Calcular necesidad'!E:E,'Necesidad por familia'!A8,'Calcular necesidad'!K:K) +
SUMIF('Calcular necesidad'!E:E,'Necesidad por familia'!A8,'Calcular necesidad'!J:J)
)/B8</f>
        <v>0</v>
      </c>
      <c r="E8" s="19">
        <f>SUMIF('Calcular necesidad'!E:E,'Necesidad por familia'!A8,'Calcular necesidad'!$H:$H)/B8</f>
        <v>393</v>
      </c>
      <c r="F8" s="21">
        <f>SUMIFS(Stock!R:R,Stock!B:B,"&lt;&gt;CD CIUDADELA                  ",Stock!P:P,'Necesidad por familia'!A8)/B8</f>
        <v>240</v>
      </c>
      <c r="G8" s="21">
        <f>SUMIFS(Stock!R:R,Stock!B:B,"CD CIUDADELA                  ",Stock!P:P,'Necesidad por familia'!A8)/B8</f>
        <v>128</v>
      </c>
      <c r="H8" s="21">
        <f>Tabla1[[#This Row],[Moreno2]]+Tabla1[[#This Row],[Ciudadela3]]</f>
        <v>368</v>
      </c>
      <c r="I8" s="11">
        <f t="shared" si="0"/>
        <v>-25</v>
      </c>
      <c r="J8" s="58">
        <f>IF(Tabla1[[#This Row],[Diferencia]]="Sin Consumo","100%",Tabla1[[#This Row],[Stock total]]/(Tabla1[[#This Row],[Moreno]]+Tabla1[[#This Row],[Ciudadela]]))</f>
        <v>0.93638676844783719</v>
      </c>
      <c r="L8" s="16"/>
      <c r="M8" s="16"/>
      <c r="N8" s="16"/>
    </row>
    <row r="9" spans="1:14" hidden="1" x14ac:dyDescent="0.35">
      <c r="A9" s="22" t="s">
        <v>22</v>
      </c>
      <c r="B9" s="11">
        <v>100</v>
      </c>
      <c r="C9" s="11" t="str">
        <f>IF(ISNUMBER(_xlfn.XMATCH(A9,'Calcular necesidad'!E:E,0)),"OK","NO ESTA")</f>
        <v>OK</v>
      </c>
      <c r="D9" s="19">
        <f>SUM(
SUMIF('Calcular necesidad'!E:E,'Necesidad por familia'!A9,'Calcular necesidad'!G:G) +
SUMIF('Calcular necesidad'!E:E,'Necesidad por familia'!A9,'Calcular necesidad'!I:I) +
SUMIF('Calcular necesidad'!E:E,'Necesidad por familia'!A9,'Calcular necesidad'!K:K) +
SUMIF('Calcular necesidad'!E:E,'Necesidad por familia'!A9,'Calcular necesidad'!J:J)
)/B9</f>
        <v>0</v>
      </c>
      <c r="E9" s="19">
        <f>SUMIF('Calcular necesidad'!E:E,'Necesidad por familia'!A9,'Calcular necesidad'!$H:$H)/B9</f>
        <v>600</v>
      </c>
      <c r="F9" s="21">
        <f>SUMIFS(Stock!R:R,Stock!B:B,"&lt;&gt;CD CIUDADELA                  ",Stock!P:P,'Necesidad por familia'!A9)/B9</f>
        <v>173</v>
      </c>
      <c r="G9" s="21">
        <f>SUMIFS(Stock!R:R,Stock!B:B,"CD CIUDADELA                  ",Stock!P:P,'Necesidad por familia'!A9)/B9</f>
        <v>258</v>
      </c>
      <c r="H9" s="21">
        <f>Tabla1[[#This Row],[Moreno2]]+Tabla1[[#This Row],[Ciudadela3]]</f>
        <v>431</v>
      </c>
      <c r="I9" s="11">
        <f t="shared" si="0"/>
        <v>-169</v>
      </c>
      <c r="J9" s="58">
        <f>IF(Tabla1[[#This Row],[Diferencia]]="Sin Consumo","100%",Tabla1[[#This Row],[Stock total]]/(Tabla1[[#This Row],[Moreno]]+Tabla1[[#This Row],[Ciudadela]]))</f>
        <v>0.71833333333333338</v>
      </c>
      <c r="L9" s="16">
        <v>4600122254</v>
      </c>
      <c r="M9" s="16" t="s">
        <v>23</v>
      </c>
      <c r="N9" s="16"/>
    </row>
    <row r="10" spans="1:14" hidden="1" x14ac:dyDescent="0.35">
      <c r="A10" s="22" t="s">
        <v>24</v>
      </c>
      <c r="B10" s="11">
        <v>1</v>
      </c>
      <c r="C10" s="11" t="str">
        <f>IF(ISNUMBER(_xlfn.XMATCH(A10,'Calcular necesidad'!E:E,0)),"OK","NO ESTA")</f>
        <v>OK</v>
      </c>
      <c r="D10" s="19">
        <f>SUM(
SUMIF('Calcular necesidad'!E:E,'Necesidad por familia'!A10,'Calcular necesidad'!G:G) +
SUMIF('Calcular necesidad'!E:E,'Necesidad por familia'!A10,'Calcular necesidad'!I:I) +
SUMIF('Calcular necesidad'!E:E,'Necesidad por familia'!A10,'Calcular necesidad'!K:K) +
SUMIF('Calcular necesidad'!E:E,'Necesidad por familia'!A10,'Calcular necesidad'!J:J)
)/B10</f>
        <v>0</v>
      </c>
      <c r="E10" s="19">
        <f>SUMIF('Calcular necesidad'!E:E,'Necesidad por familia'!A10,'Calcular necesidad'!$H:$H)/B10</f>
        <v>6</v>
      </c>
      <c r="F10" s="21">
        <f>SUMIFS(Stock!R:R,Stock!B:B,"&lt;&gt;CD CIUDADELA                  ",Stock!P:P,'Necesidad por familia'!A10)/B10</f>
        <v>10</v>
      </c>
      <c r="G10" s="21">
        <f>SUMIFS(Stock!R:R,Stock!B:B,"CD CIUDADELA                  ",Stock!P:P,'Necesidad por familia'!A10)/B10</f>
        <v>163</v>
      </c>
      <c r="H10" s="21">
        <f>Tabla1[[#This Row],[Moreno2]]+Tabla1[[#This Row],[Ciudadela3]]</f>
        <v>173</v>
      </c>
      <c r="I10" s="11">
        <f t="shared" si="0"/>
        <v>167</v>
      </c>
      <c r="J10" s="58">
        <f>IF(Tabla1[[#This Row],[Diferencia]]="Sin Consumo","100%",Tabla1[[#This Row],[Stock total]]/(Tabla1[[#This Row],[Moreno]]+Tabla1[[#This Row],[Ciudadela]]))</f>
        <v>28.833333333333332</v>
      </c>
      <c r="K10" s="1"/>
      <c r="L10" s="16"/>
      <c r="M10" s="16"/>
      <c r="N10" s="16"/>
    </row>
    <row r="11" spans="1:14" hidden="1" x14ac:dyDescent="0.35">
      <c r="A11" s="22" t="s">
        <v>25</v>
      </c>
      <c r="B11" s="11">
        <v>50</v>
      </c>
      <c r="C11" s="11" t="str">
        <f>IF(ISNUMBER(_xlfn.XMATCH(A11,'Calcular necesidad'!E:E,0)),"OK","NO ESTA")</f>
        <v>OK</v>
      </c>
      <c r="D11" s="19">
        <f>SUM(
SUMIF('Calcular necesidad'!E:E,'Necesidad por familia'!A11,'Calcular necesidad'!G:G) +
SUMIF('Calcular necesidad'!E:E,'Necesidad por familia'!A11,'Calcular necesidad'!I:I) +
SUMIF('Calcular necesidad'!E:E,'Necesidad por familia'!A11,'Calcular necesidad'!K:K) +
SUMIF('Calcular necesidad'!E:E,'Necesidad por familia'!A11,'Calcular necesidad'!J:J)
)/B11</f>
        <v>0</v>
      </c>
      <c r="E11" s="19">
        <f>SUMIF('Calcular necesidad'!E:E,'Necesidad por familia'!A11,'Calcular necesidad'!$H:$H)/B11</f>
        <v>239.5</v>
      </c>
      <c r="F11" s="21">
        <f>SUMIFS(Stock!R:R,Stock!B:B,"&lt;&gt;CD CIUDADELA                  ",Stock!P:P,'Necesidad por familia'!A11)/B11</f>
        <v>287</v>
      </c>
      <c r="G11" s="21">
        <f>SUMIFS(Stock!R:R,Stock!B:B,"CD CIUDADELA                  ",Stock!P:P,'Necesidad por familia'!A11)/B11</f>
        <v>29</v>
      </c>
      <c r="H11" s="21">
        <f>Tabla1[[#This Row],[Moreno2]]+Tabla1[[#This Row],[Ciudadela3]]</f>
        <v>316</v>
      </c>
      <c r="I11" s="11">
        <f t="shared" si="0"/>
        <v>76.5</v>
      </c>
      <c r="J11" s="58">
        <f>IF(Tabla1[[#This Row],[Diferencia]]="Sin Consumo","100%",Tabla1[[#This Row],[Stock total]]/(Tabla1[[#This Row],[Moreno]]+Tabla1[[#This Row],[Ciudadela]]))</f>
        <v>1.3194154488517744</v>
      </c>
      <c r="L11" s="52"/>
      <c r="M11" s="16"/>
      <c r="N11" s="16"/>
    </row>
    <row r="12" spans="1:14" hidden="1" x14ac:dyDescent="0.35">
      <c r="A12" s="22" t="s">
        <v>26</v>
      </c>
      <c r="B12" s="11">
        <v>6</v>
      </c>
      <c r="C12" s="11" t="str">
        <f>IF(ISNUMBER(_xlfn.XMATCH(A12,'Calcular necesidad'!E:E,0)),"OK","NO ESTA")</f>
        <v>OK</v>
      </c>
      <c r="D12" s="19">
        <f>SUM(
SUMIF('Calcular necesidad'!E:E,'Necesidad por familia'!A12,'Calcular necesidad'!G:G) +
SUMIF('Calcular necesidad'!E:E,'Necesidad por familia'!A12,'Calcular necesidad'!I:I) +
SUMIF('Calcular necesidad'!E:E,'Necesidad por familia'!A12,'Calcular necesidad'!K:K) +
SUMIF('Calcular necesidad'!E:E,'Necesidad por familia'!A12,'Calcular necesidad'!J:J)
)/B12</f>
        <v>0</v>
      </c>
      <c r="E12" s="19">
        <f>SUMIF('Calcular necesidad'!E:E,'Necesidad por familia'!A12,'Calcular necesidad'!$H:$H)/B12</f>
        <v>5.833333333333333</v>
      </c>
      <c r="F12" s="21">
        <f>SUMIFS(Stock!R:R,Stock!B:B,"&lt;&gt;CD CIUDADELA                  ",Stock!P:P,'Necesidad por familia'!A12)/B12</f>
        <v>200</v>
      </c>
      <c r="G12" s="21">
        <f>SUMIFS(Stock!R:R,Stock!B:B,"CD CIUDADELA                  ",Stock!P:P,'Necesidad por familia'!A12)/B12</f>
        <v>64</v>
      </c>
      <c r="H12" s="21">
        <f>Tabla1[[#This Row],[Moreno2]]+Tabla1[[#This Row],[Ciudadela3]]</f>
        <v>264</v>
      </c>
      <c r="I12" s="11">
        <f t="shared" si="0"/>
        <v>258.16666666666669</v>
      </c>
      <c r="J12" s="58">
        <f>IF(Tabla1[[#This Row],[Diferencia]]="Sin Consumo","100%",Tabla1[[#This Row],[Stock total]]/(Tabla1[[#This Row],[Moreno]]+Tabla1[[#This Row],[Ciudadela]]))</f>
        <v>45.25714285714286</v>
      </c>
      <c r="L12" s="16"/>
      <c r="M12" s="16"/>
      <c r="N12" s="16"/>
    </row>
    <row r="13" spans="1:14" hidden="1" x14ac:dyDescent="0.35">
      <c r="A13" s="22" t="s">
        <v>27</v>
      </c>
      <c r="B13" s="11">
        <v>1</v>
      </c>
      <c r="C13" s="11" t="str">
        <f>IF(ISNUMBER(_xlfn.XMATCH(A13,'Calcular necesidad'!E:E,0)),"OK","NO ESTA")</f>
        <v>OK</v>
      </c>
      <c r="D13" s="19">
        <f>SUM(
SUMIF('Calcular necesidad'!E:E,'Necesidad por familia'!A13,'Calcular necesidad'!G:G) +
SUMIF('Calcular necesidad'!E:E,'Necesidad por familia'!A13,'Calcular necesidad'!I:I) +
SUMIF('Calcular necesidad'!E:E,'Necesidad por familia'!A13,'Calcular necesidad'!K:K) +
SUMIF('Calcular necesidad'!E:E,'Necesidad por familia'!A13,'Calcular necesidad'!J:J)
)/B13</f>
        <v>0</v>
      </c>
      <c r="E13" s="19">
        <f>SUMIF('Calcular necesidad'!E:E,'Necesidad por familia'!A13,'Calcular necesidad'!$H:$H)/B13</f>
        <v>85</v>
      </c>
      <c r="F13" s="21">
        <f>SUMIFS(Stock!R:R,Stock!B:B,"&lt;&gt;CD CIUDADELA                  ",Stock!P:P,'Necesidad por familia'!A13)/B13</f>
        <v>50</v>
      </c>
      <c r="G13" s="21">
        <f>SUMIFS(Stock!R:R,Stock!B:B,"CD CIUDADELA                  ",Stock!P:P,'Necesidad por familia'!A13)/B13</f>
        <v>75</v>
      </c>
      <c r="H13" s="21">
        <f>Tabla1[[#This Row],[Moreno2]]+Tabla1[[#This Row],[Ciudadela3]]</f>
        <v>125</v>
      </c>
      <c r="I13" s="11">
        <f t="shared" si="0"/>
        <v>40</v>
      </c>
      <c r="J13" s="58">
        <f>IF(Tabla1[[#This Row],[Diferencia]]="Sin Consumo","100%",Tabla1[[#This Row],[Stock total]]/(Tabla1[[#This Row],[Moreno]]+Tabla1[[#This Row],[Ciudadela]]))</f>
        <v>1.4705882352941178</v>
      </c>
      <c r="K13" s="1"/>
      <c r="L13" s="16">
        <v>4600121878</v>
      </c>
      <c r="M13" s="16" t="s">
        <v>28</v>
      </c>
      <c r="N13" s="16"/>
    </row>
    <row r="14" spans="1:14" x14ac:dyDescent="0.35">
      <c r="A14" s="22" t="s">
        <v>29</v>
      </c>
      <c r="B14" s="11">
        <v>100</v>
      </c>
      <c r="C14" s="11" t="str">
        <f>IF(ISNUMBER(_xlfn.XMATCH(A14,'Calcular necesidad'!E:E,0)),"OK","NO ESTA")</f>
        <v>OK</v>
      </c>
      <c r="D14" s="19">
        <f>SUM(
SUMIF('Calcular necesidad'!E:E,'Necesidad por familia'!A14,'Calcular necesidad'!G:G) +
SUMIF('Calcular necesidad'!E:E,'Necesidad por familia'!A14,'Calcular necesidad'!I:I) +
SUMIF('Calcular necesidad'!E:E,'Necesidad por familia'!A14,'Calcular necesidad'!K:K) +
SUMIF('Calcular necesidad'!E:E,'Necesidad por familia'!A14,'Calcular necesidad'!J:J)
)/B14</f>
        <v>0</v>
      </c>
      <c r="E14" s="19">
        <f>SUMIF('Calcular necesidad'!E:E,'Necesidad por familia'!A14,'Calcular necesidad'!$H:$H)/B14</f>
        <v>178</v>
      </c>
      <c r="F14" s="21">
        <f>SUMIFS(Stock!R:R,Stock!B:B,"&lt;&gt;CD CIUDADELA                  ",Stock!P:P,'Necesidad por familia'!A14)/B14</f>
        <v>0</v>
      </c>
      <c r="G14" s="21">
        <f>SUMIFS(Stock!R:R,Stock!B:B,"CD CIUDADELA                  ",Stock!P:P,'Necesidad por familia'!A14)/B14</f>
        <v>14</v>
      </c>
      <c r="H14" s="21">
        <f>Tabla1[[#This Row],[Moreno2]]+Tabla1[[#This Row],[Ciudadela3]]</f>
        <v>14</v>
      </c>
      <c r="I14" s="11">
        <f t="shared" si="0"/>
        <v>-164</v>
      </c>
      <c r="J14" s="58">
        <f>IF(Tabla1[[#This Row],[Diferencia]]="Sin Consumo","100%",Tabla1[[#This Row],[Stock total]]/(Tabla1[[#This Row],[Moreno]]+Tabla1[[#This Row],[Ciudadela]]))</f>
        <v>7.8651685393258425E-2</v>
      </c>
      <c r="K14" s="12" t="s">
        <v>30</v>
      </c>
      <c r="L14" s="53">
        <v>4600121981</v>
      </c>
      <c r="M14" s="16" t="s">
        <v>23</v>
      </c>
      <c r="N14" s="16"/>
    </row>
    <row r="15" spans="1:14" hidden="1" x14ac:dyDescent="0.35">
      <c r="A15" s="65" t="s">
        <v>31</v>
      </c>
      <c r="B15" s="66">
        <v>1000</v>
      </c>
      <c r="C15" s="67" t="str">
        <f>IF(ISNUMBER(_xlfn.XMATCH(A15,'Calcular necesidad'!E:E,0)),"OK","NO ESTA")</f>
        <v>NO ESTA</v>
      </c>
      <c r="D15" s="19">
        <f>SUM(
SUMIF('Calcular necesidad'!E:E,'Necesidad por familia'!A15,'Calcular necesidad'!G:G) +
SUMIF('Calcular necesidad'!E:E,'Necesidad por familia'!A15,'Calcular necesidad'!I:I) +
SUMIF('Calcular necesidad'!E:E,'Necesidad por familia'!A15,'Calcular necesidad'!K:K) +
SUMIF('Calcular necesidad'!E:E,'Necesidad por familia'!A15,'Calcular necesidad'!J:J)
)/B15</f>
        <v>0</v>
      </c>
      <c r="E15" s="19">
        <f>SUMIF('Calcular necesidad'!E:E,'Necesidad por familia'!A15,'Calcular necesidad'!$H:$H)/B15</f>
        <v>0</v>
      </c>
      <c r="F15" s="21">
        <f>SUMIFS(Stock!R:R,Stock!B:B,"&lt;&gt;CD CIUDADELA                  ",Stock!P:P,'Necesidad por familia'!A15)/B15</f>
        <v>0</v>
      </c>
      <c r="G15" s="21">
        <f>SUMIFS(Stock!R:R,Stock!B:B,"CD CIUDADELA                  ",Stock!P:P,'Necesidad por familia'!A15)/B15</f>
        <v>0</v>
      </c>
      <c r="H15" s="21">
        <f>Tabla1[[#This Row],[Moreno2]]+Tabla1[[#This Row],[Ciudadela3]]</f>
        <v>0</v>
      </c>
      <c r="I15" s="66" t="str">
        <f t="shared" si="0"/>
        <v>Sin consumo</v>
      </c>
      <c r="J15" s="68" t="str">
        <f>IF(Tabla1[[#This Row],[Diferencia]]="Sin Consumo","100%",Tabla1[[#This Row],[Stock total]]/(Tabla1[[#This Row],[Moreno]]+Tabla1[[#This Row],[Ciudadela]]))</f>
        <v>100%</v>
      </c>
      <c r="K15" s="69"/>
      <c r="L15" s="53"/>
      <c r="M15" s="16"/>
      <c r="N15" s="16"/>
    </row>
    <row r="16" spans="1:14" hidden="1" x14ac:dyDescent="0.35">
      <c r="A16" s="22" t="s">
        <v>32</v>
      </c>
      <c r="B16" s="11">
        <v>100</v>
      </c>
      <c r="C16" s="11" t="str">
        <f>IF(ISNUMBER(_xlfn.XMATCH(A16,'Calcular necesidad'!E:E,0)),"OK","NO ESTA")</f>
        <v>OK</v>
      </c>
      <c r="D16" s="19">
        <f>SUM(
SUMIF('Calcular necesidad'!E:E,'Necesidad por familia'!A16,'Calcular necesidad'!G:G) +
SUMIF('Calcular necesidad'!E:E,'Necesidad por familia'!A16,'Calcular necesidad'!I:I) +
SUMIF('Calcular necesidad'!E:E,'Necesidad por familia'!A16,'Calcular necesidad'!K:K) +
SUMIF('Calcular necesidad'!E:E,'Necesidad por familia'!A16,'Calcular necesidad'!J:J)
)/B16</f>
        <v>0</v>
      </c>
      <c r="E16" s="19">
        <f>SUMIF('Calcular necesidad'!E:E,'Necesidad por familia'!A16,'Calcular necesidad'!$H:$H)/B16</f>
        <v>51</v>
      </c>
      <c r="F16" s="21">
        <f>SUMIFS(Stock!R:R,Stock!B:B,"&lt;&gt;CD CIUDADELA                  ",Stock!P:P,'Necesidad por familia'!A16)/B16</f>
        <v>80</v>
      </c>
      <c r="G16" s="21">
        <f>SUMIFS(Stock!R:R,Stock!B:B,"CD CIUDADELA                  ",Stock!P:P,'Necesidad por familia'!A16)/B16</f>
        <v>334</v>
      </c>
      <c r="H16" s="21">
        <f>Tabla1[[#This Row],[Moreno2]]+Tabla1[[#This Row],[Ciudadela3]]</f>
        <v>414</v>
      </c>
      <c r="I16" s="11">
        <f t="shared" si="0"/>
        <v>363</v>
      </c>
      <c r="J16" s="58">
        <f>IF(Tabla1[[#This Row],[Diferencia]]="Sin Consumo","100%",Tabla1[[#This Row],[Stock total]]/(Tabla1[[#This Row],[Moreno]]+Tabla1[[#This Row],[Ciudadela]]))</f>
        <v>8.117647058823529</v>
      </c>
      <c r="L16" s="53"/>
      <c r="M16" s="16"/>
      <c r="N16" s="16"/>
    </row>
    <row r="17" spans="1:14" hidden="1" x14ac:dyDescent="0.35">
      <c r="A17" s="22" t="s">
        <v>33</v>
      </c>
      <c r="B17" s="11">
        <v>1</v>
      </c>
      <c r="C17" s="11" t="str">
        <f>IF(ISNUMBER(_xlfn.XMATCH(A17,'Calcular necesidad'!E:E,0)),"OK","NO ESTA")</f>
        <v>OK</v>
      </c>
      <c r="D17" s="19">
        <f>SUM(
SUMIF('Calcular necesidad'!E:E,'Necesidad por familia'!A17,'Calcular necesidad'!G:G) +
SUMIF('Calcular necesidad'!E:E,'Necesidad por familia'!A17,'Calcular necesidad'!I:I) +
SUMIF('Calcular necesidad'!E:E,'Necesidad por familia'!A17,'Calcular necesidad'!K:K) +
SUMIF('Calcular necesidad'!E:E,'Necesidad por familia'!A17,'Calcular necesidad'!J:J)
)/B17</f>
        <v>0</v>
      </c>
      <c r="E17" s="19">
        <f>SUMIF('Calcular necesidad'!E:E,'Necesidad por familia'!A17,'Calcular necesidad'!$H:$H)/B17</f>
        <v>4</v>
      </c>
      <c r="F17" s="21">
        <f>SUMIFS(Stock!R:R,Stock!B:B,"&lt;&gt;CD CIUDADELA                  ",Stock!P:P,'Necesidad por familia'!A17)/B17</f>
        <v>110</v>
      </c>
      <c r="G17" s="21">
        <f>SUMIFS(Stock!R:R,Stock!B:B,"CD CIUDADELA                  ",Stock!P:P,'Necesidad por familia'!A17)/B17</f>
        <v>12</v>
      </c>
      <c r="H17" s="21">
        <f>Tabla1[[#This Row],[Moreno2]]+Tabla1[[#This Row],[Ciudadela3]]</f>
        <v>122</v>
      </c>
      <c r="I17" s="11">
        <f t="shared" si="0"/>
        <v>118</v>
      </c>
      <c r="J17" s="58">
        <f>IF(Tabla1[[#This Row],[Diferencia]]="Sin Consumo","100%",Tabla1[[#This Row],[Stock total]]/(Tabla1[[#This Row],[Moreno]]+Tabla1[[#This Row],[Ciudadela]]))</f>
        <v>30.5</v>
      </c>
      <c r="K17" s="1"/>
      <c r="L17" s="16">
        <v>4600122003</v>
      </c>
      <c r="M17" s="16" t="s">
        <v>34</v>
      </c>
      <c r="N17" s="16"/>
    </row>
    <row r="18" spans="1:14" hidden="1" x14ac:dyDescent="0.35">
      <c r="A18" s="22" t="s">
        <v>35</v>
      </c>
      <c r="B18" s="11">
        <v>12</v>
      </c>
      <c r="C18" s="11" t="str">
        <f>IF(ISNUMBER(_xlfn.XMATCH(A18,'Calcular necesidad'!E:E,0)),"OK","NO ESTA")</f>
        <v>OK</v>
      </c>
      <c r="D18" s="19">
        <f>SUM(
SUMIF('Calcular necesidad'!E:E,'Necesidad por familia'!A18,'Calcular necesidad'!G:G) +
SUMIF('Calcular necesidad'!E:E,'Necesidad por familia'!A18,'Calcular necesidad'!I:I) +
SUMIF('Calcular necesidad'!E:E,'Necesidad por familia'!A18,'Calcular necesidad'!K:K) +
SUMIF('Calcular necesidad'!E:E,'Necesidad por familia'!A18,'Calcular necesidad'!J:J)
)/B18</f>
        <v>0</v>
      </c>
      <c r="E18" s="19">
        <f>SUMIF('Calcular necesidad'!E:E,'Necesidad por familia'!A18,'Calcular necesidad'!$H:$H)/B18</f>
        <v>15.916666666666666</v>
      </c>
      <c r="F18" s="21">
        <f>SUMIFS(Stock!R:R,Stock!B:B,"&lt;&gt;CD CIUDADELA                  ",Stock!P:P,'Necesidad por familia'!A18)/B18</f>
        <v>115</v>
      </c>
      <c r="G18" s="21">
        <f>SUMIFS(Stock!R:R,Stock!B:B,"CD CIUDADELA                  ",Stock!P:P,'Necesidad por familia'!A18)/B18</f>
        <v>45.916666666666664</v>
      </c>
      <c r="H18" s="21">
        <f>Tabla1[[#This Row],[Moreno2]]+Tabla1[[#This Row],[Ciudadela3]]</f>
        <v>160.91666666666666</v>
      </c>
      <c r="I18" s="11">
        <f t="shared" si="0"/>
        <v>145</v>
      </c>
      <c r="J18" s="58">
        <f>IF(Tabla1[[#This Row],[Diferencia]]="Sin Consumo","100%",Tabla1[[#This Row],[Stock total]]/(Tabla1[[#This Row],[Moreno]]+Tabla1[[#This Row],[Ciudadela]]))</f>
        <v>10.109947643979057</v>
      </c>
      <c r="L18" s="16"/>
      <c r="M18" s="16"/>
      <c r="N18" s="16"/>
    </row>
    <row r="19" spans="1:14" hidden="1" x14ac:dyDescent="0.35">
      <c r="A19" s="22" t="s">
        <v>36</v>
      </c>
      <c r="B19" s="11">
        <v>500</v>
      </c>
      <c r="C19" s="11" t="str">
        <f>IF(ISNUMBER(_xlfn.XMATCH(A19,'Calcular necesidad'!E:E,0)),"OK","NO ESTA")</f>
        <v>OK</v>
      </c>
      <c r="D19" s="19">
        <f>SUM(
SUMIF('Calcular necesidad'!E:E,'Necesidad por familia'!A19,'Calcular necesidad'!G:G) +
SUMIF('Calcular necesidad'!E:E,'Necesidad por familia'!A19,'Calcular necesidad'!I:I) +
SUMIF('Calcular necesidad'!E:E,'Necesidad por familia'!A19,'Calcular necesidad'!K:K) +
SUMIF('Calcular necesidad'!E:E,'Necesidad por familia'!A19,'Calcular necesidad'!J:J)
)/B19</f>
        <v>0</v>
      </c>
      <c r="E19" s="19">
        <f>SUMIF('Calcular necesidad'!E:E,'Necesidad por familia'!A19,'Calcular necesidad'!$H:$H)/B19</f>
        <v>93</v>
      </c>
      <c r="F19" s="21">
        <f>SUMIFS(Stock!R:R,Stock!B:B,"&lt;&gt;CD CIUDADELA                  ",Stock!P:P,'Necesidad por familia'!A19)/B19</f>
        <v>0</v>
      </c>
      <c r="G19" s="21">
        <f>SUMIFS(Stock!R:R,Stock!B:B,"CD CIUDADELA                  ",Stock!P:P,'Necesidad por familia'!A19)/B19</f>
        <v>172</v>
      </c>
      <c r="H19" s="21">
        <f>Tabla1[[#This Row],[Moreno2]]+Tabla1[[#This Row],[Ciudadela3]]</f>
        <v>172</v>
      </c>
      <c r="I19" s="11">
        <f t="shared" si="0"/>
        <v>79</v>
      </c>
      <c r="J19" s="58">
        <f>IF(Tabla1[[#This Row],[Diferencia]]="Sin Consumo","100%",Tabla1[[#This Row],[Stock total]]/(Tabla1[[#This Row],[Moreno]]+Tabla1[[#This Row],[Ciudadela]]))</f>
        <v>1.8494623655913978</v>
      </c>
      <c r="L19" s="16"/>
      <c r="M19" s="16"/>
      <c r="N19" s="16"/>
    </row>
    <row r="20" spans="1:14" hidden="1" x14ac:dyDescent="0.35">
      <c r="A20" s="22" t="s">
        <v>37</v>
      </c>
      <c r="B20" s="11">
        <v>1</v>
      </c>
      <c r="C20" s="11" t="str">
        <f>IF(ISNUMBER(_xlfn.XMATCH(A20,'Calcular necesidad'!E:E,0)),"OK","NO ESTA")</f>
        <v>OK</v>
      </c>
      <c r="D20" s="19">
        <f>SUM(
SUMIF('Calcular necesidad'!E:E,'Necesidad por familia'!A20,'Calcular necesidad'!G:G) +
SUMIF('Calcular necesidad'!E:E,'Necesidad por familia'!A20,'Calcular necesidad'!I:I) +
SUMIF('Calcular necesidad'!E:E,'Necesidad por familia'!A20,'Calcular necesidad'!K:K) +
SUMIF('Calcular necesidad'!E:E,'Necesidad por familia'!A20,'Calcular necesidad'!J:J)
)/B20</f>
        <v>0</v>
      </c>
      <c r="E20" s="19">
        <f>SUMIF('Calcular necesidad'!E:E,'Necesidad por familia'!A20,'Calcular necesidad'!$H:$H)/B20</f>
        <v>74</v>
      </c>
      <c r="F20" s="21">
        <f>SUMIFS(Stock!R:R,Stock!B:B,"&lt;&gt;CD CIUDADELA                  ",Stock!P:P,'Necesidad por familia'!A20)/B20</f>
        <v>0</v>
      </c>
      <c r="G20" s="21">
        <f>SUMIFS(Stock!R:R,Stock!B:B,"CD CIUDADELA                  ",Stock!P:P,'Necesidad por familia'!A20)/B20</f>
        <v>54</v>
      </c>
      <c r="H20" s="21">
        <f>Tabla1[[#This Row],[Moreno2]]+Tabla1[[#This Row],[Ciudadela3]]</f>
        <v>54</v>
      </c>
      <c r="I20" s="11">
        <f t="shared" si="0"/>
        <v>-20</v>
      </c>
      <c r="J20" s="58">
        <f>IF(Tabla1[[#This Row],[Diferencia]]="Sin Consumo","100%",Tabla1[[#This Row],[Stock total]]/(Tabla1[[#This Row],[Moreno]]+Tabla1[[#This Row],[Ciudadela]]))</f>
        <v>0.72972972972972971</v>
      </c>
      <c r="K20" s="1"/>
      <c r="L20" s="53">
        <v>4600122478</v>
      </c>
      <c r="M20" s="16" t="s">
        <v>34</v>
      </c>
      <c r="N20" s="16"/>
    </row>
    <row r="21" spans="1:14" hidden="1" x14ac:dyDescent="0.35">
      <c r="A21" s="22" t="s">
        <v>38</v>
      </c>
      <c r="B21" s="11">
        <v>100</v>
      </c>
      <c r="C21" s="11" t="str">
        <f>IF(ISNUMBER(_xlfn.XMATCH(A21,'Calcular necesidad'!E:E,0)),"OK","NO ESTA")</f>
        <v>OK</v>
      </c>
      <c r="D21" s="19">
        <f>SUM(
SUMIF('Calcular necesidad'!E:E,'Necesidad por familia'!A21,'Calcular necesidad'!G:G) +
SUMIF('Calcular necesidad'!E:E,'Necesidad por familia'!A21,'Calcular necesidad'!I:I) +
SUMIF('Calcular necesidad'!E:E,'Necesidad por familia'!A21,'Calcular necesidad'!K:K) +
SUMIF('Calcular necesidad'!E:E,'Necesidad por familia'!A21,'Calcular necesidad'!J:J)
)/B21</f>
        <v>0</v>
      </c>
      <c r="E21" s="19">
        <f>SUMIF('Calcular necesidad'!E:E,'Necesidad por familia'!A21,'Calcular necesidad'!$H:$H)/B21</f>
        <v>26</v>
      </c>
      <c r="F21" s="21">
        <f>SUMIFS(Stock!R:R,Stock!B:B,"&lt;&gt;CD CIUDADELA                  ",Stock!P:P,'Necesidad por familia'!A21)/B21</f>
        <v>0</v>
      </c>
      <c r="G21" s="21">
        <f>SUMIFS(Stock!R:R,Stock!B:B,"CD CIUDADELA                  ",Stock!P:P,'Necesidad por familia'!A21)/B21</f>
        <v>80</v>
      </c>
      <c r="H21" s="21">
        <f>Tabla1[[#This Row],[Moreno2]]+Tabla1[[#This Row],[Ciudadela3]]</f>
        <v>80</v>
      </c>
      <c r="I21" s="11">
        <f t="shared" si="0"/>
        <v>54</v>
      </c>
      <c r="J21" s="58">
        <f>IF(Tabla1[[#This Row],[Diferencia]]="Sin Consumo","100%",Tabla1[[#This Row],[Stock total]]/(Tabla1[[#This Row],[Moreno]]+Tabla1[[#This Row],[Ciudadela]]))</f>
        <v>3.0769230769230771</v>
      </c>
      <c r="K21" s="1"/>
      <c r="L21" s="16"/>
      <c r="M21" s="16"/>
      <c r="N21" s="16"/>
    </row>
    <row r="22" spans="1:14" hidden="1" x14ac:dyDescent="0.35">
      <c r="A22" s="22" t="s">
        <v>39</v>
      </c>
      <c r="B22" s="11">
        <v>100</v>
      </c>
      <c r="C22" s="11" t="str">
        <f>IF(ISNUMBER(_xlfn.XMATCH(A22,'Calcular necesidad'!E:E,0)),"OK","NO ESTA")</f>
        <v>OK</v>
      </c>
      <c r="D22" s="19">
        <f>SUM(
SUMIF('Calcular necesidad'!E:E,'Necesidad por familia'!A22,'Calcular necesidad'!G:G) +
SUMIF('Calcular necesidad'!E:E,'Necesidad por familia'!A22,'Calcular necesidad'!I:I) +
SUMIF('Calcular necesidad'!E:E,'Necesidad por familia'!A22,'Calcular necesidad'!K:K) +
SUMIF('Calcular necesidad'!E:E,'Necesidad por familia'!A22,'Calcular necesidad'!J:J)
)/B22</f>
        <v>0</v>
      </c>
      <c r="E22" s="19">
        <f>SUMIF('Calcular necesidad'!E:E,'Necesidad por familia'!A22,'Calcular necesidad'!$H:$H)/B22</f>
        <v>105</v>
      </c>
      <c r="F22" s="21">
        <f>SUMIFS(Stock!R:R,Stock!B:B,"&lt;&gt;CD CIUDADELA                  ",Stock!P:P,'Necesidad por familia'!A22)/B22</f>
        <v>230</v>
      </c>
      <c r="G22" s="21">
        <f>SUMIFS(Stock!R:R,Stock!B:B,"CD CIUDADELA                  ",Stock!P:P,'Necesidad por familia'!A22)/B22</f>
        <v>72</v>
      </c>
      <c r="H22" s="21">
        <f>Tabla1[[#This Row],[Moreno2]]+Tabla1[[#This Row],[Ciudadela3]]</f>
        <v>302</v>
      </c>
      <c r="I22" s="11">
        <f t="shared" si="0"/>
        <v>197</v>
      </c>
      <c r="J22" s="58">
        <f>IF(Tabla1[[#This Row],[Diferencia]]="Sin Consumo","100%",Tabla1[[#This Row],[Stock total]]/(Tabla1[[#This Row],[Moreno]]+Tabla1[[#This Row],[Ciudadela]]))</f>
        <v>2.8761904761904762</v>
      </c>
      <c r="K22" s="1"/>
      <c r="L22" s="16"/>
      <c r="M22" s="16"/>
      <c r="N22" s="16"/>
    </row>
    <row r="23" spans="1:14" hidden="1" x14ac:dyDescent="0.35">
      <c r="A23" s="22" t="s">
        <v>40</v>
      </c>
      <c r="B23" s="11">
        <v>100</v>
      </c>
      <c r="C23" s="11" t="str">
        <f>IF(ISNUMBER(_xlfn.XMATCH(A23,'Calcular necesidad'!E:E,0)),"OK","NO ESTA")</f>
        <v>OK</v>
      </c>
      <c r="D23" s="19">
        <f>SUM(
SUMIF('Calcular necesidad'!E:E,'Necesidad por familia'!A23,'Calcular necesidad'!G:G) +
SUMIF('Calcular necesidad'!E:E,'Necesidad por familia'!A23,'Calcular necesidad'!I:I) +
SUMIF('Calcular necesidad'!E:E,'Necesidad por familia'!A23,'Calcular necesidad'!K:K) +
SUMIF('Calcular necesidad'!E:E,'Necesidad por familia'!A23,'Calcular necesidad'!J:J)
)/B23</f>
        <v>0</v>
      </c>
      <c r="E23" s="19">
        <f>SUMIF('Calcular necesidad'!E:E,'Necesidad por familia'!A23,'Calcular necesidad'!$H:$H)/B23</f>
        <v>476.5</v>
      </c>
      <c r="F23" s="21">
        <f>SUMIFS(Stock!R:R,Stock!B:B,"&lt;&gt;CD CIUDADELA                  ",Stock!P:P,'Necesidad por familia'!A23)/B23</f>
        <v>114</v>
      </c>
      <c r="G23" s="21">
        <f>SUMIFS(Stock!R:R,Stock!B:B,"CD CIUDADELA                  ",Stock!P:P,'Necesidad por familia'!A23)/B23</f>
        <v>251</v>
      </c>
      <c r="H23" s="21">
        <f>Tabla1[[#This Row],[Moreno2]]+Tabla1[[#This Row],[Ciudadela3]]</f>
        <v>365</v>
      </c>
      <c r="I23" s="11">
        <f t="shared" si="0"/>
        <v>-111.5</v>
      </c>
      <c r="J23" s="58">
        <f>IF(Tabla1[[#This Row],[Diferencia]]="Sin Consumo","100%",Tabla1[[#This Row],[Stock total]]/(Tabla1[[#This Row],[Moreno]]+Tabla1[[#This Row],[Ciudadela]]))</f>
        <v>0.76600209863588664</v>
      </c>
      <c r="L23" s="16">
        <v>4600121996</v>
      </c>
      <c r="M23" s="16" t="s">
        <v>28</v>
      </c>
      <c r="N23" s="16"/>
    </row>
    <row r="24" spans="1:14" hidden="1" x14ac:dyDescent="0.35">
      <c r="A24" s="22" t="s">
        <v>41</v>
      </c>
      <c r="B24" s="11">
        <v>100</v>
      </c>
      <c r="C24" s="11" t="str">
        <f>IF(ISNUMBER(_xlfn.XMATCH(A24,'Calcular necesidad'!E:E,0)),"OK","NO ESTA")</f>
        <v>NO ESTA</v>
      </c>
      <c r="D24" s="19">
        <f>SUM(
SUMIF('Calcular necesidad'!E:E,'Necesidad por familia'!A24,'Calcular necesidad'!G:G) +
SUMIF('Calcular necesidad'!E:E,'Necesidad por familia'!A24,'Calcular necesidad'!I:I) +
SUMIF('Calcular necesidad'!E:E,'Necesidad por familia'!A24,'Calcular necesidad'!K:K) +
SUMIF('Calcular necesidad'!E:E,'Necesidad por familia'!A24,'Calcular necesidad'!J:J)
)/B24</f>
        <v>0</v>
      </c>
      <c r="E24" s="19">
        <f>SUMIF('Calcular necesidad'!E:E,'Necesidad por familia'!A24,'Calcular necesidad'!$H:$H)/B24</f>
        <v>0</v>
      </c>
      <c r="F24" s="21">
        <f>SUMIFS(Stock!R:R,Stock!B:B,"&lt;&gt;CD CIUDADELA                  ",Stock!P:P,'Necesidad por familia'!A24)/B24</f>
        <v>0</v>
      </c>
      <c r="G24" s="21">
        <f>SUMIFS(Stock!R:R,Stock!B:B,"CD CIUDADELA                  ",Stock!P:P,'Necesidad por familia'!A24)/B24</f>
        <v>0</v>
      </c>
      <c r="H24" s="21">
        <f>Tabla1[[#This Row],[Moreno2]]+Tabla1[[#This Row],[Ciudadela3]]</f>
        <v>0</v>
      </c>
      <c r="I24" s="11" t="str">
        <f t="shared" si="0"/>
        <v>Sin consumo</v>
      </c>
      <c r="J24" s="58" t="str">
        <f>IF(Tabla1[[#This Row],[Diferencia]]="Sin Consumo","100%",Tabla1[[#This Row],[Stock total]]/(Tabla1[[#This Row],[Moreno]]+Tabla1[[#This Row],[Ciudadela]]))</f>
        <v>100%</v>
      </c>
      <c r="K24" s="58" t="s">
        <v>42</v>
      </c>
      <c r="L24" s="53">
        <v>4600121981</v>
      </c>
      <c r="M24" s="16" t="s">
        <v>23</v>
      </c>
      <c r="N24" s="16"/>
    </row>
    <row r="25" spans="1:14" x14ac:dyDescent="0.35">
      <c r="A25" s="22" t="s">
        <v>43</v>
      </c>
      <c r="B25" s="11">
        <v>50</v>
      </c>
      <c r="C25" s="11" t="str">
        <f>IF(ISNUMBER(_xlfn.XMATCH(A25,'Calcular necesidad'!E:E,0)),"OK","NO ESTA")</f>
        <v>OK</v>
      </c>
      <c r="D25" s="19">
        <f>SUM(
SUMIF('Calcular necesidad'!E:E,'Necesidad por familia'!A25,'Calcular necesidad'!G:G) +
SUMIF('Calcular necesidad'!E:E,'Necesidad por familia'!A25,'Calcular necesidad'!I:I) +
SUMIF('Calcular necesidad'!E:E,'Necesidad por familia'!A25,'Calcular necesidad'!K:K) +
SUMIF('Calcular necesidad'!E:E,'Necesidad por familia'!A25,'Calcular necesidad'!J:J)
)/B25</f>
        <v>0</v>
      </c>
      <c r="E25" s="19">
        <f>SUMIF('Calcular necesidad'!E:E,'Necesidad por familia'!A25,'Calcular necesidad'!$H:$H)/B25</f>
        <v>10</v>
      </c>
      <c r="F25" s="21">
        <f>SUMIFS(Stock!R:R,Stock!B:B,"&lt;&gt;CD CIUDADELA                  ",Stock!P:P,'Necesidad por familia'!A25)/B25</f>
        <v>0</v>
      </c>
      <c r="G25" s="21">
        <f>SUMIFS(Stock!R:R,Stock!B:B,"CD CIUDADELA                  ",Stock!P:P,'Necesidad por familia'!A25)/B25</f>
        <v>0</v>
      </c>
      <c r="H25" s="21">
        <f>Tabla1[[#This Row],[Moreno2]]+Tabla1[[#This Row],[Ciudadela3]]</f>
        <v>0</v>
      </c>
      <c r="I25" s="11">
        <f t="shared" si="0"/>
        <v>-10</v>
      </c>
      <c r="J25" s="58">
        <f>IF(Tabla1[[#This Row],[Diferencia]]="Sin Consumo","100%",Tabla1[[#This Row],[Stock total]]/(Tabla1[[#This Row],[Moreno]]+Tabla1[[#This Row],[Ciudadela]]))</f>
        <v>0</v>
      </c>
      <c r="K25" s="1" t="s">
        <v>6813</v>
      </c>
      <c r="L25" s="53">
        <v>4600122551</v>
      </c>
      <c r="M25" t="s">
        <v>34</v>
      </c>
    </row>
    <row r="26" spans="1:14" hidden="1" x14ac:dyDescent="0.35">
      <c r="A26" s="22" t="s">
        <v>44</v>
      </c>
      <c r="B26" s="11">
        <v>100</v>
      </c>
      <c r="C26" s="11" t="str">
        <f>IF(ISNUMBER(_xlfn.XMATCH(A26,'Calcular necesidad'!E:E,0)),"OK","NO ESTA")</f>
        <v>OK</v>
      </c>
      <c r="D26" s="19">
        <f>SUM(
SUMIF('Calcular necesidad'!E:E,'Necesidad por familia'!A26,'Calcular necesidad'!G:G) +
SUMIF('Calcular necesidad'!E:E,'Necesidad por familia'!A26,'Calcular necesidad'!I:I) +
SUMIF('Calcular necesidad'!E:E,'Necesidad por familia'!A26,'Calcular necesidad'!K:K) +
SUMIF('Calcular necesidad'!E:E,'Necesidad por familia'!A26,'Calcular necesidad'!J:J)
)/B26</f>
        <v>33</v>
      </c>
      <c r="E26" s="19">
        <f>SUMIF('Calcular necesidad'!E:E,'Necesidad por familia'!A26,'Calcular necesidad'!$H:$H)/B26</f>
        <v>40</v>
      </c>
      <c r="F26" s="21">
        <f>SUMIFS(Stock!R:R,Stock!B:B,"&lt;&gt;CD CIUDADELA                  ",Stock!P:P,'Necesidad por familia'!A26)/B26</f>
        <v>598</v>
      </c>
      <c r="G26" s="21">
        <f>SUMIFS(Stock!R:R,Stock!B:B,"CD CIUDADELA                  ",Stock!P:P,'Necesidad por familia'!A26)/B26</f>
        <v>115</v>
      </c>
      <c r="H26" s="21">
        <f>Tabla1[[#This Row],[Moreno2]]+Tabla1[[#This Row],[Ciudadela3]]</f>
        <v>713</v>
      </c>
      <c r="I26" s="11">
        <f t="shared" si="0"/>
        <v>640</v>
      </c>
      <c r="J26" s="58">
        <f>IF(Tabla1[[#This Row],[Diferencia]]="Sin Consumo","100%",Tabla1[[#This Row],[Stock total]]/(Tabla1[[#This Row],[Moreno]]+Tabla1[[#This Row],[Ciudadela]]))</f>
        <v>9.7671232876712324</v>
      </c>
      <c r="L26" s="52"/>
    </row>
    <row r="27" spans="1:14" hidden="1" x14ac:dyDescent="0.35">
      <c r="A27" s="22" t="s">
        <v>45</v>
      </c>
      <c r="B27" s="11">
        <v>1600</v>
      </c>
      <c r="C27" s="11" t="str">
        <f>IF(ISNUMBER(_xlfn.XMATCH(A27,'Calcular necesidad'!E:E,0)),"OK","NO ESTA")</f>
        <v>OK</v>
      </c>
      <c r="D27" s="19">
        <f>SUM(
SUMIF('Calcular necesidad'!E:E,'Necesidad por familia'!A27,'Calcular necesidad'!G:G) +
SUMIF('Calcular necesidad'!E:E,'Necesidad por familia'!A27,'Calcular necesidad'!I:I) +
SUMIF('Calcular necesidad'!E:E,'Necesidad por familia'!A27,'Calcular necesidad'!K:K) +
SUMIF('Calcular necesidad'!E:E,'Necesidad por familia'!A27,'Calcular necesidad'!J:J)
)/B27</f>
        <v>0</v>
      </c>
      <c r="E27" s="19">
        <f>SUMIF('Calcular necesidad'!E:E,'Necesidad por familia'!A27,'Calcular necesidad'!$H:$H)/B27</f>
        <v>0</v>
      </c>
      <c r="F27" s="21">
        <f>SUMIFS(Stock!R:R,Stock!B:B,"&lt;&gt;CD CIUDADELA                  ",Stock!P:P,'Necesidad por familia'!A27)/B27</f>
        <v>0</v>
      </c>
      <c r="G27" s="21">
        <f>SUMIFS(Stock!R:R,Stock!B:B,"CD CIUDADELA                  ",Stock!P:P,'Necesidad por familia'!A27)/B27</f>
        <v>0</v>
      </c>
      <c r="H27" s="21">
        <f>Tabla1[[#This Row],[Moreno2]]+Tabla1[[#This Row],[Ciudadela3]]</f>
        <v>0</v>
      </c>
      <c r="I27" s="11" t="str">
        <f t="shared" si="0"/>
        <v>Sin consumo</v>
      </c>
      <c r="J27" s="58" t="str">
        <f>IF(Tabla1[[#This Row],[Diferencia]]="Sin Consumo","100%",Tabla1[[#This Row],[Stock total]]/(Tabla1[[#This Row],[Moreno]]+Tabla1[[#This Row],[Ciudadela]]))</f>
        <v>100%</v>
      </c>
      <c r="K27" s="1" t="s">
        <v>46</v>
      </c>
      <c r="L27" s="53">
        <v>4600122272</v>
      </c>
      <c r="M27" t="s">
        <v>28</v>
      </c>
    </row>
    <row r="28" spans="1:14" hidden="1" x14ac:dyDescent="0.35">
      <c r="A28" s="22" t="s">
        <v>47</v>
      </c>
      <c r="B28" s="11">
        <v>100</v>
      </c>
      <c r="C28" s="11" t="str">
        <f>IF(ISNUMBER(_xlfn.XMATCH(A28,'Calcular necesidad'!E:E,0)),"OK","NO ESTA")</f>
        <v>OK</v>
      </c>
      <c r="D28" s="19">
        <f>SUM(
SUMIF('Calcular necesidad'!E:E,'Necesidad por familia'!A28,'Calcular necesidad'!G:G) +
SUMIF('Calcular necesidad'!E:E,'Necesidad por familia'!A28,'Calcular necesidad'!I:I) +
SUMIF('Calcular necesidad'!E:E,'Necesidad por familia'!A28,'Calcular necesidad'!K:K) +
SUMIF('Calcular necesidad'!E:E,'Necesidad por familia'!A28,'Calcular necesidad'!J:J)
)/B28</f>
        <v>0</v>
      </c>
      <c r="E28" s="19">
        <f>SUMIF('Calcular necesidad'!E:E,'Necesidad por familia'!A28,'Calcular necesidad'!$H:$H)/B28</f>
        <v>1582.5</v>
      </c>
      <c r="F28" s="21">
        <f>SUMIFS(Stock!R:R,Stock!B:B,"&lt;&gt;CD CIUDADELA                  ",Stock!P:P,'Necesidad por familia'!A28)/B28</f>
        <v>2296</v>
      </c>
      <c r="G28" s="21">
        <f>SUMIFS(Stock!R:R,Stock!B:B,"CD CIUDADELA                  ",Stock!P:P,'Necesidad por familia'!A28)/B28</f>
        <v>27</v>
      </c>
      <c r="H28" s="21">
        <f>Tabla1[[#This Row],[Moreno2]]+Tabla1[[#This Row],[Ciudadela3]]</f>
        <v>2323</v>
      </c>
      <c r="I28" s="11">
        <f t="shared" si="0"/>
        <v>740.5</v>
      </c>
      <c r="J28" s="58">
        <f>IF(Tabla1[[#This Row],[Diferencia]]="Sin Consumo","100%",Tabla1[[#This Row],[Stock total]]/(Tabla1[[#This Row],[Moreno]]+Tabla1[[#This Row],[Ciudadela]]))</f>
        <v>1.4679304897314376</v>
      </c>
      <c r="K28" s="1"/>
      <c r="L28" s="16"/>
    </row>
    <row r="29" spans="1:14" x14ac:dyDescent="0.35">
      <c r="A29" s="22" t="s">
        <v>48</v>
      </c>
      <c r="B29" s="11">
        <v>1000</v>
      </c>
      <c r="C29" s="11" t="str">
        <f>IF(ISNUMBER(_xlfn.XMATCH(A29,'Calcular necesidad'!E:E,0)),"OK","NO ESTA")</f>
        <v>OK</v>
      </c>
      <c r="D29" s="19">
        <f>SUM(
SUMIF('Calcular necesidad'!E:E,'Necesidad por familia'!A29,'Calcular necesidad'!G:G) +
SUMIF('Calcular necesidad'!E:E,'Necesidad por familia'!A29,'Calcular necesidad'!I:I) +
SUMIF('Calcular necesidad'!E:E,'Necesidad por familia'!A29,'Calcular necesidad'!K:K) +
SUMIF('Calcular necesidad'!E:E,'Necesidad por familia'!A29,'Calcular necesidad'!J:J)
)/B29</f>
        <v>0</v>
      </c>
      <c r="E29" s="19">
        <f>SUMIF('Calcular necesidad'!E:E,'Necesidad por familia'!A29,'Calcular necesidad'!$H:$H)/B29</f>
        <v>165</v>
      </c>
      <c r="F29" s="21">
        <f>SUMIFS(Stock!R:R,Stock!B:B,"&lt;&gt;CD CIUDADELA                  ",Stock!P:P,'Necesidad por familia'!A29)/B29</f>
        <v>0</v>
      </c>
      <c r="G29" s="21">
        <f>SUMIFS(Stock!R:R,Stock!B:B,"CD CIUDADELA                  ",Stock!P:P,'Necesidad por familia'!A29)/B29</f>
        <v>70</v>
      </c>
      <c r="H29" s="21">
        <f>Tabla1[[#This Row],[Moreno2]]+Tabla1[[#This Row],[Ciudadela3]]</f>
        <v>70</v>
      </c>
      <c r="I29" s="11">
        <f t="shared" si="0"/>
        <v>-95</v>
      </c>
      <c r="J29" s="58">
        <f>IF(Tabla1[[#This Row],[Diferencia]]="Sin Consumo","100%",Tabla1[[#This Row],[Stock total]]/(Tabla1[[#This Row],[Moreno]]+Tabla1[[#This Row],[Ciudadela]]))</f>
        <v>0.42424242424242425</v>
      </c>
      <c r="K29" s="12" t="s">
        <v>49</v>
      </c>
      <c r="L29" s="16">
        <v>4200295599</v>
      </c>
      <c r="M29" t="s">
        <v>28</v>
      </c>
    </row>
    <row r="30" spans="1:14" hidden="1" x14ac:dyDescent="0.35">
      <c r="A30" s="22" t="s">
        <v>50</v>
      </c>
      <c r="B30" s="11">
        <v>1000</v>
      </c>
      <c r="C30" s="11" t="str">
        <f>IF(ISNUMBER(_xlfn.XMATCH(A30,'Calcular necesidad'!E:E,0)),"OK","NO ESTA")</f>
        <v>OK</v>
      </c>
      <c r="D30" s="19">
        <f>SUM(
SUMIF('Calcular necesidad'!E:E,'Necesidad por familia'!A30,'Calcular necesidad'!G:G) +
SUMIF('Calcular necesidad'!E:E,'Necesidad por familia'!A30,'Calcular necesidad'!I:I) +
SUMIF('Calcular necesidad'!E:E,'Necesidad por familia'!A30,'Calcular necesidad'!K:K) +
SUMIF('Calcular necesidad'!E:E,'Necesidad por familia'!A30,'Calcular necesidad'!J:J)
)/B30</f>
        <v>0</v>
      </c>
      <c r="E30" s="19">
        <f>SUMIF('Calcular necesidad'!E:E,'Necesidad por familia'!A30,'Calcular necesidad'!$H:$H)/B30</f>
        <v>0.25</v>
      </c>
      <c r="F30" s="21">
        <f>SUMIFS(Stock!R:R,Stock!B:B,"&lt;&gt;CD CIUDADELA                  ",Stock!P:P,'Necesidad por familia'!A30)/B30</f>
        <v>0</v>
      </c>
      <c r="G30" s="21">
        <f>SUMIFS(Stock!R:R,Stock!B:B,"CD CIUDADELA                  ",Stock!P:P,'Necesidad por familia'!A30)/B30</f>
        <v>3</v>
      </c>
      <c r="H30" s="21">
        <f>Tabla1[[#This Row],[Moreno2]]+Tabla1[[#This Row],[Ciudadela3]]</f>
        <v>3</v>
      </c>
      <c r="I30" s="11">
        <f t="shared" si="0"/>
        <v>2.75</v>
      </c>
      <c r="J30" s="58">
        <f>IF(Tabla1[[#This Row],[Diferencia]]="Sin Consumo","100%",Tabla1[[#This Row],[Stock total]]/(Tabla1[[#This Row],[Moreno]]+Tabla1[[#This Row],[Ciudadela]]))</f>
        <v>12</v>
      </c>
      <c r="L30" s="16"/>
    </row>
    <row r="31" spans="1:14" hidden="1" x14ac:dyDescent="0.35">
      <c r="A31" s="22" t="s">
        <v>51</v>
      </c>
      <c r="B31" s="11">
        <v>100</v>
      </c>
      <c r="C31" s="11" t="str">
        <f>IF(ISNUMBER(_xlfn.XMATCH(A31,'Calcular necesidad'!E:E,0)),"OK","NO ESTA")</f>
        <v>OK</v>
      </c>
      <c r="D31" s="19">
        <f>SUM(
SUMIF('Calcular necesidad'!E:E,'Necesidad por familia'!A31,'Calcular necesidad'!G:G) +
SUMIF('Calcular necesidad'!E:E,'Necesidad por familia'!A31,'Calcular necesidad'!I:I) +
SUMIF('Calcular necesidad'!E:E,'Necesidad por familia'!A31,'Calcular necesidad'!K:K) +
SUMIF('Calcular necesidad'!E:E,'Necesidad por familia'!A31,'Calcular necesidad'!J:J)
)/B31</f>
        <v>0</v>
      </c>
      <c r="E31" s="19">
        <f>SUMIF('Calcular necesidad'!E:E,'Necesidad por familia'!A31,'Calcular necesidad'!$H:$H)/B31</f>
        <v>838</v>
      </c>
      <c r="F31" s="21">
        <f>SUMIFS(Stock!R:R,Stock!B:B,"&lt;&gt;CD CIUDADELA                  ",Stock!P:P,'Necesidad por familia'!A31)/B31</f>
        <v>996</v>
      </c>
      <c r="G31" s="21">
        <f>SUMIFS(Stock!R:R,Stock!B:B,"CD CIUDADELA                  ",Stock!P:P,'Necesidad por familia'!A31)/B31</f>
        <v>32</v>
      </c>
      <c r="H31" s="21">
        <f>Tabla1[[#This Row],[Moreno2]]+Tabla1[[#This Row],[Ciudadela3]]</f>
        <v>1028</v>
      </c>
      <c r="I31" s="11">
        <f t="shared" si="0"/>
        <v>190</v>
      </c>
      <c r="J31" s="58">
        <f>IF(Tabla1[[#This Row],[Diferencia]]="Sin Consumo","100%",Tabla1[[#This Row],[Stock total]]/(Tabla1[[#This Row],[Moreno]]+Tabla1[[#This Row],[Ciudadela]]))</f>
        <v>1.2267303102625298</v>
      </c>
      <c r="L31" s="16">
        <v>4600121858</v>
      </c>
      <c r="M31" t="s">
        <v>52</v>
      </c>
    </row>
    <row r="32" spans="1:14" hidden="1" x14ac:dyDescent="0.35">
      <c r="A32" s="22" t="s">
        <v>53</v>
      </c>
      <c r="B32" s="11">
        <v>1000</v>
      </c>
      <c r="C32" s="11" t="str">
        <f>IF(ISNUMBER(_xlfn.XMATCH(A32,'Calcular necesidad'!E:E,0)),"OK","NO ESTA")</f>
        <v>OK</v>
      </c>
      <c r="D32" s="19">
        <f>SUM(
SUMIF('Calcular necesidad'!E:E,'Necesidad por familia'!A32,'Calcular necesidad'!G:G) +
SUMIF('Calcular necesidad'!E:E,'Necesidad por familia'!A32,'Calcular necesidad'!I:I) +
SUMIF('Calcular necesidad'!E:E,'Necesidad por familia'!A32,'Calcular necesidad'!K:K) +
SUMIF('Calcular necesidad'!E:E,'Necesidad por familia'!A32,'Calcular necesidad'!J:J)
)/B32</f>
        <v>0</v>
      </c>
      <c r="E32" s="19">
        <f>SUMIF('Calcular necesidad'!E:E,'Necesidad por familia'!A32,'Calcular necesidad'!$H:$H)/B32</f>
        <v>134</v>
      </c>
      <c r="F32" s="21">
        <f>SUMIFS(Stock!R:R,Stock!B:B,"&lt;&gt;CD CIUDADELA                  ",Stock!P:P,'Necesidad por familia'!A32)/B32</f>
        <v>51</v>
      </c>
      <c r="G32" s="21">
        <f>SUMIFS(Stock!R:R,Stock!B:B,"CD CIUDADELA                  ",Stock!P:P,'Necesidad por familia'!A32)/B32</f>
        <v>74</v>
      </c>
      <c r="H32" s="21">
        <f>Tabla1[[#This Row],[Moreno2]]+Tabla1[[#This Row],[Ciudadela3]]</f>
        <v>125</v>
      </c>
      <c r="I32" s="11">
        <f t="shared" si="0"/>
        <v>-9</v>
      </c>
      <c r="J32" s="58">
        <f>IF(Tabla1[[#This Row],[Diferencia]]="Sin Consumo","100%",Tabla1[[#This Row],[Stock total]]/(Tabla1[[#This Row],[Moreno]]+Tabla1[[#This Row],[Ciudadela]]))</f>
        <v>0.93283582089552242</v>
      </c>
      <c r="L32" s="16">
        <v>4600122002</v>
      </c>
      <c r="M32" t="s">
        <v>54</v>
      </c>
    </row>
    <row r="33" spans="1:13" hidden="1" x14ac:dyDescent="0.35">
      <c r="A33" s="22" t="s">
        <v>55</v>
      </c>
      <c r="B33" s="11">
        <v>100</v>
      </c>
      <c r="C33" s="11" t="str">
        <f>IF(ISNUMBER(_xlfn.XMATCH(A33,'Calcular necesidad'!E:E,0)),"OK","NO ESTA")</f>
        <v>OK</v>
      </c>
      <c r="D33" s="19">
        <f>SUM(
SUMIF('Calcular necesidad'!E:E,'Necesidad por familia'!A33,'Calcular necesidad'!G:G) +
SUMIF('Calcular necesidad'!E:E,'Necesidad por familia'!A33,'Calcular necesidad'!I:I) +
SUMIF('Calcular necesidad'!E:E,'Necesidad por familia'!A33,'Calcular necesidad'!K:K) +
SUMIF('Calcular necesidad'!E:E,'Necesidad por familia'!A33,'Calcular necesidad'!J:J)
)/B33</f>
        <v>0</v>
      </c>
      <c r="E33" s="19">
        <f>SUMIF('Calcular necesidad'!E:E,'Necesidad por familia'!A33,'Calcular necesidad'!$H:$H)/B33</f>
        <v>1079.5</v>
      </c>
      <c r="F33" s="21">
        <f>SUMIFS(Stock!R:R,Stock!B:B,"&lt;&gt;CD CIUDADELA                  ",Stock!P:P,'Necesidad por familia'!A33)/B33</f>
        <v>496</v>
      </c>
      <c r="G33" s="21">
        <f>SUMIFS(Stock!R:R,Stock!B:B,"CD CIUDADELA                  ",Stock!P:P,'Necesidad por familia'!A33)/B33</f>
        <v>87</v>
      </c>
      <c r="H33" s="21">
        <f>Tabla1[[#This Row],[Moreno2]]+Tabla1[[#This Row],[Ciudadela3]]</f>
        <v>583</v>
      </c>
      <c r="I33" s="11">
        <f t="shared" si="0"/>
        <v>-496.5</v>
      </c>
      <c r="J33" s="58">
        <f>IF(Tabla1[[#This Row],[Diferencia]]="Sin Consumo","100%",Tabla1[[#This Row],[Stock total]]/(Tabla1[[#This Row],[Moreno]]+Tabla1[[#This Row],[Ciudadela]]))</f>
        <v>0.54006484483557204</v>
      </c>
      <c r="K33" s="12" t="s">
        <v>56</v>
      </c>
      <c r="L33" s="16">
        <v>4600121858</v>
      </c>
      <c r="M33" t="s">
        <v>52</v>
      </c>
    </row>
    <row r="34" spans="1:13" hidden="1" x14ac:dyDescent="0.35">
      <c r="A34" s="22" t="s">
        <v>57</v>
      </c>
      <c r="B34" s="11">
        <v>100</v>
      </c>
      <c r="C34" s="11" t="str">
        <f>IF(ISNUMBER(_xlfn.XMATCH(A34,'Calcular necesidad'!E:E,0)),"OK","NO ESTA")</f>
        <v>OK</v>
      </c>
      <c r="D34" s="19">
        <f>SUM(
SUMIF('Calcular necesidad'!E:E,'Necesidad por familia'!A34,'Calcular necesidad'!G:G) +
SUMIF('Calcular necesidad'!E:E,'Necesidad por familia'!A34,'Calcular necesidad'!I:I) +
SUMIF('Calcular necesidad'!E:E,'Necesidad por familia'!A34,'Calcular necesidad'!K:K) +
SUMIF('Calcular necesidad'!E:E,'Necesidad por familia'!A34,'Calcular necesidad'!J:J)
)/B34</f>
        <v>0</v>
      </c>
      <c r="E34" s="19">
        <f>SUMIF('Calcular necesidad'!E:E,'Necesidad por familia'!A34,'Calcular necesidad'!$H:$H)/B34</f>
        <v>14</v>
      </c>
      <c r="F34" s="21">
        <f>SUMIFS(Stock!R:R,Stock!B:B,"&lt;&gt;CD CIUDADELA                  ",Stock!P:P,'Necesidad por familia'!A34)/B34</f>
        <v>0</v>
      </c>
      <c r="G34" s="21">
        <f>SUMIFS(Stock!R:R,Stock!B:B,"CD CIUDADELA                  ",Stock!P:P,'Necesidad por familia'!A34)/B34</f>
        <v>18</v>
      </c>
      <c r="H34" s="21">
        <f>Tabla1[[#This Row],[Moreno2]]+Tabla1[[#This Row],[Ciudadela3]]</f>
        <v>18</v>
      </c>
      <c r="I34" s="11">
        <f t="shared" si="0"/>
        <v>4</v>
      </c>
      <c r="J34" s="58">
        <f>IF(Tabla1[[#This Row],[Diferencia]]="Sin Consumo","100%",Tabla1[[#This Row],[Stock total]]/(Tabla1[[#This Row],[Moreno]]+Tabla1[[#This Row],[Ciudadela]]))</f>
        <v>1.2857142857142858</v>
      </c>
      <c r="K34" s="1"/>
      <c r="L34" s="53">
        <v>4600121606</v>
      </c>
      <c r="M34" t="s">
        <v>58</v>
      </c>
    </row>
    <row r="35" spans="1:13" hidden="1" x14ac:dyDescent="0.35">
      <c r="A35" s="22" t="s">
        <v>59</v>
      </c>
      <c r="B35" s="11">
        <v>1000</v>
      </c>
      <c r="C35" s="11" t="str">
        <f>IF(ISNUMBER(_xlfn.XMATCH(A35,'Calcular necesidad'!E:E,0)),"OK","NO ESTA")</f>
        <v>OK</v>
      </c>
      <c r="D35" s="19">
        <f>SUM(
SUMIF('Calcular necesidad'!E:E,'Necesidad por familia'!A35,'Calcular necesidad'!G:G) +
SUMIF('Calcular necesidad'!E:E,'Necesidad por familia'!A35,'Calcular necesidad'!I:I) +
SUMIF('Calcular necesidad'!E:E,'Necesidad por familia'!A35,'Calcular necesidad'!K:K) +
SUMIF('Calcular necesidad'!E:E,'Necesidad por familia'!A35,'Calcular necesidad'!J:J)
)/B35</f>
        <v>0</v>
      </c>
      <c r="E35" s="19">
        <f>SUMIF('Calcular necesidad'!E:E,'Necesidad por familia'!A35,'Calcular necesidad'!$H:$H)/B35</f>
        <v>0</v>
      </c>
      <c r="F35" s="21">
        <f>SUMIFS(Stock!R:R,Stock!B:B,"&lt;&gt;CD CIUDADELA                  ",Stock!P:P,'Necesidad por familia'!A35)/B35</f>
        <v>4</v>
      </c>
      <c r="G35" s="21">
        <f>SUMIFS(Stock!R:R,Stock!B:B,"CD CIUDADELA                  ",Stock!P:P,'Necesidad por familia'!A35)/B35</f>
        <v>3</v>
      </c>
      <c r="H35" s="21">
        <f>Tabla1[[#This Row],[Moreno2]]+Tabla1[[#This Row],[Ciudadela3]]</f>
        <v>7</v>
      </c>
      <c r="I35" s="11" t="str">
        <f t="shared" ref="I35:I66" si="1">IF((D35+E35)=0,"Sin consumo",(F35+G35)-(D35+E35))</f>
        <v>Sin consumo</v>
      </c>
      <c r="J35" s="58" t="str">
        <f>IF(Tabla1[[#This Row],[Diferencia]]="Sin Consumo","100%",Tabla1[[#This Row],[Stock total]]/(Tabla1[[#This Row],[Moreno]]+Tabla1[[#This Row],[Ciudadela]]))</f>
        <v>100%</v>
      </c>
      <c r="K35" s="1"/>
      <c r="L35" s="16"/>
    </row>
    <row r="36" spans="1:13" x14ac:dyDescent="0.35">
      <c r="A36" s="22" t="s">
        <v>60</v>
      </c>
      <c r="B36" s="11">
        <v>500</v>
      </c>
      <c r="C36" s="11" t="str">
        <f>IF(ISNUMBER(_xlfn.XMATCH(A36,'Calcular necesidad'!E:E,0)),"OK","NO ESTA")</f>
        <v>OK</v>
      </c>
      <c r="D36" s="19">
        <f>SUM(
SUMIF('Calcular necesidad'!E:E,'Necesidad por familia'!A36,'Calcular necesidad'!G:G) +
SUMIF('Calcular necesidad'!E:E,'Necesidad por familia'!A36,'Calcular necesidad'!I:I) +
SUMIF('Calcular necesidad'!E:E,'Necesidad por familia'!A36,'Calcular necesidad'!K:K) +
SUMIF('Calcular necesidad'!E:E,'Necesidad por familia'!A36,'Calcular necesidad'!J:J)
)/B36</f>
        <v>0</v>
      </c>
      <c r="E36" s="19">
        <f>SUMIF('Calcular necesidad'!E:E,'Necesidad por familia'!A36,'Calcular necesidad'!$H:$H)/B36</f>
        <v>204.2</v>
      </c>
      <c r="F36" s="21">
        <f>SUMIFS(Stock!R:R,Stock!B:B,"&lt;&gt;CD CIUDADELA                  ",Stock!P:P,'Necesidad por familia'!A36)/B36</f>
        <v>57</v>
      </c>
      <c r="G36" s="21">
        <f>SUMIFS(Stock!R:R,Stock!B:B,"CD CIUDADELA                  ",Stock!P:P,'Necesidad por familia'!A36)/B36</f>
        <v>35</v>
      </c>
      <c r="H36" s="21">
        <f>Tabla1[[#This Row],[Moreno2]]+Tabla1[[#This Row],[Ciudadela3]]</f>
        <v>92</v>
      </c>
      <c r="I36" s="11">
        <f t="shared" si="1"/>
        <v>-112.19999999999999</v>
      </c>
      <c r="J36" s="58">
        <f>IF(Tabla1[[#This Row],[Diferencia]]="Sin Consumo","100%",Tabla1[[#This Row],[Stock total]]/(Tabla1[[#This Row],[Moreno]]+Tabla1[[#This Row],[Ciudadela]]))</f>
        <v>0.45053868756121451</v>
      </c>
      <c r="K36" s="1" t="s">
        <v>30</v>
      </c>
      <c r="L36" s="16">
        <v>4600122808</v>
      </c>
      <c r="M36" t="s">
        <v>68</v>
      </c>
    </row>
    <row r="37" spans="1:13" x14ac:dyDescent="0.35">
      <c r="A37" s="22" t="s">
        <v>61</v>
      </c>
      <c r="B37" s="11">
        <v>100</v>
      </c>
      <c r="C37" s="11" t="str">
        <f>IF(ISNUMBER(_xlfn.XMATCH(A37,'Calcular necesidad'!E:E,0)),"OK","NO ESTA")</f>
        <v>OK</v>
      </c>
      <c r="D37" s="19">
        <f>SUM(
SUMIF('Calcular necesidad'!E:E,'Necesidad por familia'!A37,'Calcular necesidad'!G:G) +
SUMIF('Calcular necesidad'!E:E,'Necesidad por familia'!A37,'Calcular necesidad'!I:I) +
SUMIF('Calcular necesidad'!E:E,'Necesidad por familia'!A37,'Calcular necesidad'!K:K) +
SUMIF('Calcular necesidad'!E:E,'Necesidad por familia'!A37,'Calcular necesidad'!J:J)
)/B37</f>
        <v>0</v>
      </c>
      <c r="E37" s="19">
        <f>SUMIF('Calcular necesidad'!E:E,'Necesidad por familia'!A37,'Calcular necesidad'!$H:$H)/B37</f>
        <v>348</v>
      </c>
      <c r="F37" s="21">
        <f>SUMIFS(Stock!R:R,Stock!B:B,"&lt;&gt;CD CIUDADELA                  ",Stock!P:P,'Necesidad por familia'!A37)/B37</f>
        <v>0</v>
      </c>
      <c r="G37" s="21">
        <f>SUMIFS(Stock!R:R,Stock!B:B,"CD CIUDADELA                  ",Stock!P:P,'Necesidad por familia'!A37)/B37</f>
        <v>0</v>
      </c>
      <c r="H37" s="21">
        <f>Tabla1[[#This Row],[Moreno2]]+Tabla1[[#This Row],[Ciudadela3]]</f>
        <v>0</v>
      </c>
      <c r="I37" s="11">
        <f t="shared" si="1"/>
        <v>-348</v>
      </c>
      <c r="J37" s="58">
        <f>IF(Tabla1[[#This Row],[Diferencia]]="Sin Consumo","100%",Tabla1[[#This Row],[Stock total]]/(Tabla1[[#This Row],[Moreno]]+Tabla1[[#This Row],[Ciudadela]]))</f>
        <v>0</v>
      </c>
      <c r="K37" s="1" t="s">
        <v>30</v>
      </c>
      <c r="L37" s="16">
        <v>4200295707</v>
      </c>
      <c r="M37" t="s">
        <v>28</v>
      </c>
    </row>
    <row r="38" spans="1:13" hidden="1" x14ac:dyDescent="0.35">
      <c r="A38" s="22" t="s">
        <v>62</v>
      </c>
      <c r="B38" s="11">
        <v>60</v>
      </c>
      <c r="C38" s="11" t="str">
        <f>IF(ISNUMBER(_xlfn.XMATCH(A38,'Calcular necesidad'!E:E,0)),"OK","NO ESTA")</f>
        <v>OK</v>
      </c>
      <c r="D38" s="19">
        <f>SUM(
SUMIF('Calcular necesidad'!E:E,'Necesidad por familia'!A38,'Calcular necesidad'!G:G) +
SUMIF('Calcular necesidad'!E:E,'Necesidad por familia'!A38,'Calcular necesidad'!I:I) +
SUMIF('Calcular necesidad'!E:E,'Necesidad por familia'!A38,'Calcular necesidad'!K:K) +
SUMIF('Calcular necesidad'!E:E,'Necesidad por familia'!A38,'Calcular necesidad'!J:J)
)/B38</f>
        <v>0</v>
      </c>
      <c r="E38" s="19">
        <f>SUMIF('Calcular necesidad'!E:E,'Necesidad por familia'!A38,'Calcular necesidad'!$H:$H)/B38</f>
        <v>330.66666666666669</v>
      </c>
      <c r="F38" s="21">
        <f>SUMIFS(Stock!R:R,Stock!B:B,"&lt;&gt;CD CIUDADELA                  ",Stock!P:P,'Necesidad por familia'!A38)/B38</f>
        <v>993</v>
      </c>
      <c r="G38" s="21">
        <f>SUMIFS(Stock!R:R,Stock!B:B,"CD CIUDADELA                  ",Stock!P:P,'Necesidad por familia'!A38)/B38</f>
        <v>343</v>
      </c>
      <c r="H38" s="21">
        <f>Tabla1[[#This Row],[Moreno2]]+Tabla1[[#This Row],[Ciudadela3]]</f>
        <v>1336</v>
      </c>
      <c r="I38" s="11">
        <f t="shared" si="1"/>
        <v>1005.3333333333333</v>
      </c>
      <c r="J38" s="58">
        <f>IF(Tabla1[[#This Row],[Diferencia]]="Sin Consumo","100%",Tabla1[[#This Row],[Stock total]]/(Tabla1[[#This Row],[Moreno]]+Tabla1[[#This Row],[Ciudadela]]))</f>
        <v>4.040322580645161</v>
      </c>
      <c r="K38" s="1"/>
      <c r="L38" s="16"/>
    </row>
    <row r="39" spans="1:13" hidden="1" x14ac:dyDescent="0.35">
      <c r="A39" s="22" t="s">
        <v>63</v>
      </c>
      <c r="B39" s="11">
        <v>1000</v>
      </c>
      <c r="C39" s="11" t="str">
        <f>IF(ISNUMBER(_xlfn.XMATCH(A39,'Calcular necesidad'!E:E,0)),"OK","NO ESTA")</f>
        <v>OK</v>
      </c>
      <c r="D39" s="19">
        <f>SUM(
SUMIF('Calcular necesidad'!E:E,'Necesidad por familia'!A39,'Calcular necesidad'!G:G) +
SUMIF('Calcular necesidad'!E:E,'Necesidad por familia'!A39,'Calcular necesidad'!I:I) +
SUMIF('Calcular necesidad'!E:E,'Necesidad por familia'!A39,'Calcular necesidad'!K:K) +
SUMIF('Calcular necesidad'!E:E,'Necesidad por familia'!A39,'Calcular necesidad'!J:J)
)/B39</f>
        <v>0</v>
      </c>
      <c r="E39" s="19">
        <f>SUMIF('Calcular necesidad'!E:E,'Necesidad por familia'!A39,'Calcular necesidad'!$H:$H)/B39</f>
        <v>129</v>
      </c>
      <c r="F39" s="21">
        <f>SUMIFS(Stock!R:R,Stock!B:B,"&lt;&gt;CD CIUDADELA                  ",Stock!P:P,'Necesidad por familia'!A39)/B39</f>
        <v>109</v>
      </c>
      <c r="G39" s="21">
        <f>SUMIFS(Stock!R:R,Stock!B:B,"CD CIUDADELA                  ",Stock!P:P,'Necesidad por familia'!A39)/B39</f>
        <v>75</v>
      </c>
      <c r="H39" s="21">
        <f>Tabla1[[#This Row],[Moreno2]]+Tabla1[[#This Row],[Ciudadela3]]</f>
        <v>184</v>
      </c>
      <c r="I39" s="11">
        <f t="shared" si="1"/>
        <v>55</v>
      </c>
      <c r="J39" s="58">
        <f>IF(Tabla1[[#This Row],[Diferencia]]="Sin Consumo","100%",Tabla1[[#This Row],[Stock total]]/(Tabla1[[#This Row],[Moreno]]+Tabla1[[#This Row],[Ciudadela]]))</f>
        <v>1.4263565891472869</v>
      </c>
      <c r="K39" s="1"/>
      <c r="L39" s="16">
        <v>4600122002</v>
      </c>
      <c r="M39" t="s">
        <v>54</v>
      </c>
    </row>
    <row r="40" spans="1:13" hidden="1" x14ac:dyDescent="0.35">
      <c r="A40" s="22" t="s">
        <v>64</v>
      </c>
      <c r="B40" s="11">
        <v>600</v>
      </c>
      <c r="C40" s="11" t="str">
        <f>IF(ISNUMBER(_xlfn.XMATCH(A40,'Calcular necesidad'!E:E,0)),"OK","NO ESTA")</f>
        <v>OK</v>
      </c>
      <c r="D40" s="19">
        <f>SUM(
SUMIF('Calcular necesidad'!E:E,'Necesidad por familia'!A40,'Calcular necesidad'!G:G) +
SUMIF('Calcular necesidad'!E:E,'Necesidad por familia'!A40,'Calcular necesidad'!I:I) +
SUMIF('Calcular necesidad'!E:E,'Necesidad por familia'!A40,'Calcular necesidad'!K:K) +
SUMIF('Calcular necesidad'!E:E,'Necesidad por familia'!A40,'Calcular necesidad'!J:J)
)/B40</f>
        <v>0</v>
      </c>
      <c r="E40" s="19">
        <f>SUMIF('Calcular necesidad'!E:E,'Necesidad por familia'!A40,'Calcular necesidad'!$H:$H)/B40</f>
        <v>16</v>
      </c>
      <c r="F40" s="21">
        <f>SUMIFS(Stock!R:R,Stock!B:B,"&lt;&gt;CD CIUDADELA                  ",Stock!P:P,'Necesidad por familia'!A40)/B40</f>
        <v>459</v>
      </c>
      <c r="G40" s="21">
        <f>SUMIFS(Stock!R:R,Stock!B:B,"CD CIUDADELA                  ",Stock!P:P,'Necesidad por familia'!A40)/B40</f>
        <v>16</v>
      </c>
      <c r="H40" s="21">
        <f>Tabla1[[#This Row],[Moreno2]]+Tabla1[[#This Row],[Ciudadela3]]</f>
        <v>475</v>
      </c>
      <c r="I40" s="11">
        <f t="shared" si="1"/>
        <v>459</v>
      </c>
      <c r="J40" s="58">
        <f>IF(Tabla1[[#This Row],[Diferencia]]="Sin Consumo","100%",Tabla1[[#This Row],[Stock total]]/(Tabla1[[#This Row],[Moreno]]+Tabla1[[#This Row],[Ciudadela]]))</f>
        <v>29.6875</v>
      </c>
      <c r="L40" s="16"/>
    </row>
    <row r="41" spans="1:13" hidden="1" x14ac:dyDescent="0.35">
      <c r="A41" s="22" t="s">
        <v>65</v>
      </c>
      <c r="B41" s="11">
        <v>1000</v>
      </c>
      <c r="C41" s="11" t="str">
        <f>IF(ISNUMBER(_xlfn.XMATCH(A41,'Calcular necesidad'!E:E,0)),"OK","NO ESTA")</f>
        <v>OK</v>
      </c>
      <c r="D41" s="19">
        <f>SUM(
SUMIF('Calcular necesidad'!E:E,'Necesidad por familia'!A41,'Calcular necesidad'!G:G) +
SUMIF('Calcular necesidad'!E:E,'Necesidad por familia'!A41,'Calcular necesidad'!I:I) +
SUMIF('Calcular necesidad'!E:E,'Necesidad por familia'!A41,'Calcular necesidad'!K:K) +
SUMIF('Calcular necesidad'!E:E,'Necesidad por familia'!A41,'Calcular necesidad'!J:J)
)/B41</f>
        <v>0</v>
      </c>
      <c r="E41" s="19">
        <f>SUMIF('Calcular necesidad'!E:E,'Necesidad por familia'!A41,'Calcular necesidad'!$H:$H)/B41</f>
        <v>40</v>
      </c>
      <c r="F41" s="21">
        <f>SUMIFS(Stock!R:R,Stock!B:B,"&lt;&gt;CD CIUDADELA                  ",Stock!P:P,'Necesidad por familia'!A41)/B41</f>
        <v>0</v>
      </c>
      <c r="G41" s="21">
        <f>SUMIFS(Stock!R:R,Stock!B:B,"CD CIUDADELA                  ",Stock!P:P,'Necesidad por familia'!A41)/B41</f>
        <v>32</v>
      </c>
      <c r="H41" s="21">
        <f>Tabla1[[#This Row],[Moreno2]]+Tabla1[[#This Row],[Ciudadela3]]</f>
        <v>32</v>
      </c>
      <c r="I41" s="11">
        <f t="shared" si="1"/>
        <v>-8</v>
      </c>
      <c r="J41" s="58">
        <f>IF(Tabla1[[#This Row],[Diferencia]]="Sin Consumo","100%",Tabla1[[#This Row],[Stock total]]/(Tabla1[[#This Row],[Moreno]]+Tabla1[[#This Row],[Ciudadela]]))</f>
        <v>0.8</v>
      </c>
      <c r="K41" s="1"/>
      <c r="L41" s="11">
        <v>4600121223</v>
      </c>
      <c r="M41" s="16" t="s">
        <v>54</v>
      </c>
    </row>
    <row r="42" spans="1:13" hidden="1" x14ac:dyDescent="0.35">
      <c r="A42" s="22" t="s">
        <v>66</v>
      </c>
      <c r="B42" s="11">
        <v>100</v>
      </c>
      <c r="C42" s="11" t="str">
        <f>IF(ISNUMBER(_xlfn.XMATCH(A42,'Calcular necesidad'!E:E,0)),"OK","NO ESTA")</f>
        <v>OK</v>
      </c>
      <c r="D42" s="19">
        <f>SUM(
SUMIF('Calcular necesidad'!E:E,'Necesidad por familia'!A42,'Calcular necesidad'!G:G) +
SUMIF('Calcular necesidad'!E:E,'Necesidad por familia'!A42,'Calcular necesidad'!I:I) +
SUMIF('Calcular necesidad'!E:E,'Necesidad por familia'!A42,'Calcular necesidad'!K:K) +
SUMIF('Calcular necesidad'!E:E,'Necesidad por familia'!A42,'Calcular necesidad'!J:J)
)/B42</f>
        <v>0</v>
      </c>
      <c r="E42" s="19">
        <f>SUMIF('Calcular necesidad'!E:E,'Necesidad por familia'!A42,'Calcular necesidad'!$H:$H)/B42</f>
        <v>185.4</v>
      </c>
      <c r="F42" s="21">
        <f>SUMIFS(Stock!R:R,Stock!B:B,"&lt;&gt;CD CIUDADELA                  ",Stock!P:P,'Necesidad por familia'!A42)/B42</f>
        <v>59</v>
      </c>
      <c r="G42" s="21">
        <f>SUMIFS(Stock!R:R,Stock!B:B,"CD CIUDADELA                  ",Stock!P:P,'Necesidad por familia'!A42)/B42</f>
        <v>84</v>
      </c>
      <c r="H42" s="21">
        <f>Tabla1[[#This Row],[Moreno2]]+Tabla1[[#This Row],[Ciudadela3]]</f>
        <v>143</v>
      </c>
      <c r="I42" s="11">
        <f t="shared" si="1"/>
        <v>-42.400000000000006</v>
      </c>
      <c r="J42" s="58">
        <f>IF(Tabla1[[#This Row],[Diferencia]]="Sin Consumo","100%",Tabla1[[#This Row],[Stock total]]/(Tabla1[[#This Row],[Moreno]]+Tabla1[[#This Row],[Ciudadela]]))</f>
        <v>0.77130528586839264</v>
      </c>
      <c r="L42" s="16"/>
    </row>
    <row r="43" spans="1:13" x14ac:dyDescent="0.35">
      <c r="A43" s="22" t="s">
        <v>67</v>
      </c>
      <c r="B43" s="11">
        <v>1000</v>
      </c>
      <c r="C43" s="11" t="str">
        <f>IF(ISNUMBER(_xlfn.XMATCH(A43,'Calcular necesidad'!E:E,0)),"OK","NO ESTA")</f>
        <v>OK</v>
      </c>
      <c r="D43" s="19">
        <f>SUM(
SUMIF('Calcular necesidad'!E:E,'Necesidad por familia'!A43,'Calcular necesidad'!G:G) +
SUMIF('Calcular necesidad'!E:E,'Necesidad por familia'!A43,'Calcular necesidad'!I:I) +
SUMIF('Calcular necesidad'!E:E,'Necesidad por familia'!A43,'Calcular necesidad'!K:K) +
SUMIF('Calcular necesidad'!E:E,'Necesidad por familia'!A43,'Calcular necesidad'!J:J)
)/B43</f>
        <v>0</v>
      </c>
      <c r="E43" s="19">
        <f>SUMIF('Calcular necesidad'!E:E,'Necesidad por familia'!A43,'Calcular necesidad'!$H:$H)/B43</f>
        <v>102</v>
      </c>
      <c r="F43" s="21">
        <f>SUMIFS(Stock!R:R,Stock!B:B,"&lt;&gt;CD CIUDADELA                  ",Stock!P:P,'Necesidad por familia'!A43)/B43</f>
        <v>0</v>
      </c>
      <c r="G43" s="21">
        <f>SUMIFS(Stock!R:R,Stock!B:B,"CD CIUDADELA                  ",Stock!P:P,'Necesidad por familia'!A43)/B43</f>
        <v>44</v>
      </c>
      <c r="H43" s="21">
        <f>Tabla1[[#This Row],[Moreno2]]+Tabla1[[#This Row],[Ciudadela3]]</f>
        <v>44</v>
      </c>
      <c r="I43" s="11">
        <f t="shared" si="1"/>
        <v>-58</v>
      </c>
      <c r="J43" s="58">
        <f>IF(Tabla1[[#This Row],[Diferencia]]="Sin Consumo","100%",Tabla1[[#This Row],[Stock total]]/(Tabla1[[#This Row],[Moreno]]+Tabla1[[#This Row],[Ciudadela]]))</f>
        <v>0.43137254901960786</v>
      </c>
      <c r="K43" s="12" t="s">
        <v>30</v>
      </c>
      <c r="L43" s="16">
        <v>4600122808</v>
      </c>
      <c r="M43" t="s">
        <v>68</v>
      </c>
    </row>
    <row r="44" spans="1:13" hidden="1" x14ac:dyDescent="0.35">
      <c r="A44" s="22" t="s">
        <v>69</v>
      </c>
      <c r="B44" s="11">
        <v>50</v>
      </c>
      <c r="C44" s="11" t="str">
        <f>IF(ISNUMBER(_xlfn.XMATCH(A44,'Calcular necesidad'!E:E,0)),"OK","NO ESTA")</f>
        <v>OK</v>
      </c>
      <c r="D44" s="19">
        <f>SUM(
SUMIF('Calcular necesidad'!E:E,'Necesidad por familia'!A44,'Calcular necesidad'!G:G) +
SUMIF('Calcular necesidad'!E:E,'Necesidad por familia'!A44,'Calcular necesidad'!I:I) +
SUMIF('Calcular necesidad'!E:E,'Necesidad por familia'!A44,'Calcular necesidad'!K:K) +
SUMIF('Calcular necesidad'!E:E,'Necesidad por familia'!A44,'Calcular necesidad'!J:J)
)/B44</f>
        <v>0</v>
      </c>
      <c r="E44" s="19">
        <f>SUMIF('Calcular necesidad'!E:E,'Necesidad por familia'!A44,'Calcular necesidad'!$H:$H)/B44</f>
        <v>238</v>
      </c>
      <c r="F44" s="21">
        <f>SUMIFS(Stock!R:R,Stock!B:B,"&lt;&gt;CD CIUDADELA                  ",Stock!P:P,'Necesidad por familia'!A44)/B44</f>
        <v>0</v>
      </c>
      <c r="G44" s="21">
        <f>SUMIFS(Stock!R:R,Stock!B:B,"CD CIUDADELA                  ",Stock!P:P,'Necesidad por familia'!A44)/B44</f>
        <v>135</v>
      </c>
      <c r="H44" s="21">
        <f>Tabla1[[#This Row],[Moreno2]]+Tabla1[[#This Row],[Ciudadela3]]</f>
        <v>135</v>
      </c>
      <c r="I44" s="11">
        <f t="shared" si="1"/>
        <v>-103</v>
      </c>
      <c r="J44" s="58">
        <f>IF(Tabla1[[#This Row],[Diferencia]]="Sin Consumo","100%",Tabla1[[#This Row],[Stock total]]/(Tabla1[[#This Row],[Moreno]]+Tabla1[[#This Row],[Ciudadela]]))</f>
        <v>0.5672268907563025</v>
      </c>
      <c r="K44" s="1"/>
      <c r="L44" s="16"/>
    </row>
    <row r="45" spans="1:13" x14ac:dyDescent="0.35">
      <c r="A45" s="22" t="s">
        <v>70</v>
      </c>
      <c r="B45" s="11">
        <v>100</v>
      </c>
      <c r="C45" s="11" t="str">
        <f>IF(ISNUMBER(_xlfn.XMATCH(A45,'Calcular necesidad'!E:E,0)),"OK","NO ESTA")</f>
        <v>OK</v>
      </c>
      <c r="D45" s="19">
        <f>SUM(
SUMIF('Calcular necesidad'!E:E,'Necesidad por familia'!A45,'Calcular necesidad'!G:G) +
SUMIF('Calcular necesidad'!E:E,'Necesidad por familia'!A45,'Calcular necesidad'!I:I) +
SUMIF('Calcular necesidad'!E:E,'Necesidad por familia'!A45,'Calcular necesidad'!K:K) +
SUMIF('Calcular necesidad'!E:E,'Necesidad por familia'!A45,'Calcular necesidad'!J:J)
)/B45</f>
        <v>0</v>
      </c>
      <c r="E45" s="19">
        <f>SUMIF('Calcular necesidad'!E:E,'Necesidad por familia'!A45,'Calcular necesidad'!$H:$H)/B45</f>
        <v>41.5</v>
      </c>
      <c r="F45" s="21">
        <f>SUMIFS(Stock!R:R,Stock!B:B,"&lt;&gt;CD CIUDADELA                  ",Stock!P:P,'Necesidad por familia'!A45)/B45</f>
        <v>0</v>
      </c>
      <c r="G45" s="21">
        <f>SUMIFS(Stock!R:R,Stock!B:B,"CD CIUDADELA                  ",Stock!P:P,'Necesidad por familia'!A45)/B45</f>
        <v>19</v>
      </c>
      <c r="H45" s="21">
        <f>Tabla1[[#This Row],[Moreno2]]+Tabla1[[#This Row],[Ciudadela3]]</f>
        <v>19</v>
      </c>
      <c r="I45" s="11">
        <f t="shared" si="1"/>
        <v>-22.5</v>
      </c>
      <c r="J45" s="58">
        <f>IF(Tabla1[[#This Row],[Diferencia]]="Sin Consumo","100%",Tabla1[[#This Row],[Stock total]]/(Tabla1[[#This Row],[Moreno]]+Tabla1[[#This Row],[Ciudadela]]))</f>
        <v>0.45783132530120479</v>
      </c>
      <c r="K45" s="1" t="s">
        <v>49</v>
      </c>
      <c r="L45" s="16">
        <v>4600122708</v>
      </c>
      <c r="M45" s="16" t="s">
        <v>28</v>
      </c>
    </row>
    <row r="46" spans="1:13" hidden="1" x14ac:dyDescent="0.35">
      <c r="A46" s="22" t="s">
        <v>71</v>
      </c>
      <c r="B46" s="11">
        <v>600</v>
      </c>
      <c r="C46" s="11" t="str">
        <f>IF(ISNUMBER(_xlfn.XMATCH(A46,'Calcular necesidad'!E:E,0)),"OK","NO ESTA")</f>
        <v>OK</v>
      </c>
      <c r="D46" s="19">
        <f>SUM(
SUMIF('Calcular necesidad'!E:E,'Necesidad por familia'!A46,'Calcular necesidad'!G:G) +
SUMIF('Calcular necesidad'!E:E,'Necesidad por familia'!A46,'Calcular necesidad'!I:I) +
SUMIF('Calcular necesidad'!E:E,'Necesidad por familia'!A46,'Calcular necesidad'!K:K) +
SUMIF('Calcular necesidad'!E:E,'Necesidad por familia'!A46,'Calcular necesidad'!J:J)
)/B46</f>
        <v>0</v>
      </c>
      <c r="E46" s="19">
        <f>SUMIF('Calcular necesidad'!E:E,'Necesidad por familia'!A46,'Calcular necesidad'!$H:$H)/B46</f>
        <v>12.666666666666666</v>
      </c>
      <c r="F46" s="21">
        <f>SUMIFS(Stock!R:R,Stock!B:B,"&lt;&gt;CD CIUDADELA                  ",Stock!P:P,'Necesidad por familia'!A46)/B46</f>
        <v>83.666666666666671</v>
      </c>
      <c r="G46" s="21">
        <f>SUMIFS(Stock!R:R,Stock!B:B,"CD CIUDADELA                  ",Stock!P:P,'Necesidad por familia'!A46)/B46</f>
        <v>8</v>
      </c>
      <c r="H46" s="21">
        <f>Tabla1[[#This Row],[Moreno2]]+Tabla1[[#This Row],[Ciudadela3]]</f>
        <v>91.666666666666671</v>
      </c>
      <c r="I46" s="11">
        <f t="shared" si="1"/>
        <v>79</v>
      </c>
      <c r="J46" s="58">
        <f>IF(Tabla1[[#This Row],[Diferencia]]="Sin Consumo","100%",Tabla1[[#This Row],[Stock total]]/(Tabla1[[#This Row],[Moreno]]+Tabla1[[#This Row],[Ciudadela]]))</f>
        <v>7.2368421052631584</v>
      </c>
      <c r="L46" s="16"/>
    </row>
    <row r="47" spans="1:13" hidden="1" x14ac:dyDescent="0.35">
      <c r="A47" s="22" t="s">
        <v>72</v>
      </c>
      <c r="B47" s="11">
        <v>100</v>
      </c>
      <c r="C47" s="11" t="str">
        <f>IF(ISNUMBER(_xlfn.XMATCH(A47,'Calcular necesidad'!E:E,0)),"OK","NO ESTA")</f>
        <v>OK</v>
      </c>
      <c r="D47" s="19">
        <f>SUM(
SUMIF('Calcular necesidad'!E:E,'Necesidad por familia'!A47,'Calcular necesidad'!G:G) +
SUMIF('Calcular necesidad'!E:E,'Necesidad por familia'!A47,'Calcular necesidad'!I:I) +
SUMIF('Calcular necesidad'!E:E,'Necesidad por familia'!A47,'Calcular necesidad'!K:K) +
SUMIF('Calcular necesidad'!E:E,'Necesidad por familia'!A47,'Calcular necesidad'!J:J)
)/B47</f>
        <v>0</v>
      </c>
      <c r="E47" s="19">
        <f>SUMIF('Calcular necesidad'!E:E,'Necesidad por familia'!A47,'Calcular necesidad'!$H:$H)/B47</f>
        <v>4</v>
      </c>
      <c r="F47" s="21">
        <f>SUMIFS(Stock!R:R,Stock!B:B,"&lt;&gt;CD CIUDADELA                  ",Stock!P:P,'Necesidad por familia'!A47)/B47</f>
        <v>23.2</v>
      </c>
      <c r="G47" s="21">
        <f>SUMIFS(Stock!R:R,Stock!B:B,"CD CIUDADELA                  ",Stock!P:P,'Necesidad por familia'!A47)/B47</f>
        <v>10.4</v>
      </c>
      <c r="H47" s="21">
        <f>Tabla1[[#This Row],[Moreno2]]+Tabla1[[#This Row],[Ciudadela3]]</f>
        <v>33.6</v>
      </c>
      <c r="I47" s="11">
        <f t="shared" si="1"/>
        <v>29.6</v>
      </c>
      <c r="J47" s="58">
        <f>IF(Tabla1[[#This Row],[Diferencia]]="Sin Consumo","100%",Tabla1[[#This Row],[Stock total]]/(Tabla1[[#This Row],[Moreno]]+Tabla1[[#This Row],[Ciudadela]]))</f>
        <v>8.4</v>
      </c>
      <c r="L47" s="16"/>
    </row>
    <row r="48" spans="1:13" hidden="1" x14ac:dyDescent="0.35">
      <c r="A48" s="22" t="s">
        <v>73</v>
      </c>
      <c r="B48" s="11">
        <v>100</v>
      </c>
      <c r="C48" s="11" t="str">
        <f>IF(ISNUMBER(_xlfn.XMATCH(A48,'Calcular necesidad'!E:E,0)),"OK","NO ESTA")</f>
        <v>OK</v>
      </c>
      <c r="D48" s="19">
        <f>SUM(
SUMIF('Calcular necesidad'!E:E,'Necesidad por familia'!A48,'Calcular necesidad'!G:G) +
SUMIF('Calcular necesidad'!E:E,'Necesidad por familia'!A48,'Calcular necesidad'!I:I) +
SUMIF('Calcular necesidad'!E:E,'Necesidad por familia'!A48,'Calcular necesidad'!K:K) +
SUMIF('Calcular necesidad'!E:E,'Necesidad por familia'!A48,'Calcular necesidad'!J:J)
)/B48</f>
        <v>0</v>
      </c>
      <c r="E48" s="19">
        <f>SUMIF('Calcular necesidad'!E:E,'Necesidad por familia'!A48,'Calcular necesidad'!$H:$H)/B48</f>
        <v>533</v>
      </c>
      <c r="F48" s="21">
        <f>SUMIFS(Stock!R:R,Stock!B:B,"&lt;&gt;CD CIUDADELA                  ",Stock!P:P,'Necesidad por familia'!A48)/B48</f>
        <v>495</v>
      </c>
      <c r="G48" s="21">
        <f>SUMIFS(Stock!R:R,Stock!B:B,"CD CIUDADELA                  ",Stock!P:P,'Necesidad por familia'!A48)/B48</f>
        <v>206</v>
      </c>
      <c r="H48" s="21">
        <f>Tabla1[[#This Row],[Moreno2]]+Tabla1[[#This Row],[Ciudadela3]]</f>
        <v>701</v>
      </c>
      <c r="I48" s="11">
        <f t="shared" si="1"/>
        <v>168</v>
      </c>
      <c r="J48" s="58">
        <f>IF(Tabla1[[#This Row],[Diferencia]]="Sin Consumo","100%",Tabla1[[#This Row],[Stock total]]/(Tabla1[[#This Row],[Moreno]]+Tabla1[[#This Row],[Ciudadela]]))</f>
        <v>1.3151969981238274</v>
      </c>
      <c r="L48" s="53">
        <v>4600121858</v>
      </c>
      <c r="M48" s="16" t="s">
        <v>52</v>
      </c>
    </row>
    <row r="49" spans="1:13" x14ac:dyDescent="0.35">
      <c r="A49" s="22" t="s">
        <v>74</v>
      </c>
      <c r="B49" s="11">
        <v>50</v>
      </c>
      <c r="C49" s="11" t="str">
        <f>IF(ISNUMBER(_xlfn.XMATCH(A49,'Calcular necesidad'!E:E,0)),"OK","NO ESTA")</f>
        <v>OK</v>
      </c>
      <c r="D49" s="19">
        <f>SUM(
SUMIF('Calcular necesidad'!E:E,'Necesidad por familia'!A49,'Calcular necesidad'!G:G) +
SUMIF('Calcular necesidad'!E:E,'Necesidad por familia'!A49,'Calcular necesidad'!I:I) +
SUMIF('Calcular necesidad'!E:E,'Necesidad por familia'!A49,'Calcular necesidad'!K:K) +
SUMIF('Calcular necesidad'!E:E,'Necesidad por familia'!A49,'Calcular necesidad'!J:J)
)/B49</f>
        <v>0</v>
      </c>
      <c r="E49" s="19">
        <f>SUMIF('Calcular necesidad'!E:E,'Necesidad por familia'!A49,'Calcular necesidad'!$H:$H)/B49</f>
        <v>200</v>
      </c>
      <c r="F49" s="21">
        <f>SUMIFS(Stock!R:R,Stock!B:B,"&lt;&gt;CD CIUDADELA                  ",Stock!P:P,'Necesidad por familia'!A49)/B49</f>
        <v>0.38</v>
      </c>
      <c r="G49" s="21">
        <f>SUMIFS(Stock!R:R,Stock!B:B,"CD CIUDADELA                  ",Stock!P:P,'Necesidad por familia'!A49)/B49</f>
        <v>0</v>
      </c>
      <c r="H49" s="21">
        <f>Tabla1[[#This Row],[Moreno2]]+Tabla1[[#This Row],[Ciudadela3]]</f>
        <v>0.38</v>
      </c>
      <c r="I49" s="11">
        <f t="shared" si="1"/>
        <v>-199.62</v>
      </c>
      <c r="J49" s="58">
        <f>IF(Tabla1[[#This Row],[Diferencia]]="Sin Consumo","100%",Tabla1[[#This Row],[Stock total]]/(Tabla1[[#This Row],[Moreno]]+Tabla1[[#This Row],[Ciudadela]]))</f>
        <v>1.9E-3</v>
      </c>
      <c r="K49" s="66" t="s">
        <v>6812</v>
      </c>
      <c r="L49" s="16">
        <v>4600121905</v>
      </c>
      <c r="M49" s="12" t="s">
        <v>23</v>
      </c>
    </row>
    <row r="50" spans="1:13" hidden="1" x14ac:dyDescent="0.35">
      <c r="A50" s="22" t="s">
        <v>75</v>
      </c>
      <c r="B50" s="11">
        <v>50</v>
      </c>
      <c r="C50" s="11" t="str">
        <f>IF(ISNUMBER(_xlfn.XMATCH(A50,'Calcular necesidad'!E:E,0)),"OK","NO ESTA")</f>
        <v>OK</v>
      </c>
      <c r="D50" s="19">
        <f>SUM(
SUMIF('Calcular necesidad'!E:E,'Necesidad por familia'!A50,'Calcular necesidad'!G:G) +
SUMIF('Calcular necesidad'!E:E,'Necesidad por familia'!A50,'Calcular necesidad'!I:I) +
SUMIF('Calcular necesidad'!E:E,'Necesidad por familia'!A50,'Calcular necesidad'!K:K) +
SUMIF('Calcular necesidad'!E:E,'Necesidad por familia'!A50,'Calcular necesidad'!J:J)
)/B50</f>
        <v>0</v>
      </c>
      <c r="E50" s="19">
        <f>SUMIF('Calcular necesidad'!E:E,'Necesidad por familia'!A50,'Calcular necesidad'!$H:$H)/B50</f>
        <v>1166</v>
      </c>
      <c r="F50" s="21">
        <f>SUMIFS(Stock!R:R,Stock!B:B,"&lt;&gt;CD CIUDADELA                  ",Stock!P:P,'Necesidad por familia'!A50)/B50</f>
        <v>612</v>
      </c>
      <c r="G50" s="21">
        <f>SUMIFS(Stock!R:R,Stock!B:B,"CD CIUDADELA                  ",Stock!P:P,'Necesidad por familia'!A50)/B50</f>
        <v>9</v>
      </c>
      <c r="H50" s="21">
        <f>Tabla1[[#This Row],[Moreno2]]+Tabla1[[#This Row],[Ciudadela3]]</f>
        <v>621</v>
      </c>
      <c r="I50" s="11">
        <f t="shared" si="1"/>
        <v>-545</v>
      </c>
      <c r="J50" s="58">
        <f>IF(Tabla1[[#This Row],[Diferencia]]="Sin Consumo","100%",Tabla1[[#This Row],[Stock total]]/(Tabla1[[#This Row],[Moreno]]+Tabla1[[#This Row],[Ciudadela]]))</f>
        <v>0.532590051457976</v>
      </c>
      <c r="L50" s="53">
        <v>4600121858</v>
      </c>
      <c r="M50" s="16" t="s">
        <v>52</v>
      </c>
    </row>
    <row r="51" spans="1:13" hidden="1" x14ac:dyDescent="0.35">
      <c r="A51" s="22" t="s">
        <v>76</v>
      </c>
      <c r="B51" s="11">
        <v>1000</v>
      </c>
      <c r="C51" s="11" t="str">
        <f>IF(ISNUMBER(_xlfn.XMATCH(A51,'Calcular necesidad'!E:E,0)),"OK","NO ESTA")</f>
        <v>OK</v>
      </c>
      <c r="D51" s="19">
        <f>SUM(
SUMIF('Calcular necesidad'!E:E,'Necesidad por familia'!A51,'Calcular necesidad'!G:G) +
SUMIF('Calcular necesidad'!E:E,'Necesidad por familia'!A51,'Calcular necesidad'!I:I) +
SUMIF('Calcular necesidad'!E:E,'Necesidad por familia'!A51,'Calcular necesidad'!K:K) +
SUMIF('Calcular necesidad'!E:E,'Necesidad por familia'!A51,'Calcular necesidad'!J:J)
)/B51</f>
        <v>0</v>
      </c>
      <c r="E51" s="19">
        <f>SUMIF('Calcular necesidad'!E:E,'Necesidad por familia'!A51,'Calcular necesidad'!$H:$H)/B51</f>
        <v>8.6750000000000007</v>
      </c>
      <c r="F51" s="21">
        <f>SUMIFS(Stock!R:R,Stock!B:B,"&lt;&gt;CD CIUDADELA                  ",Stock!P:P,'Necesidad por familia'!A51)/B51</f>
        <v>2.5000000000000001E-2</v>
      </c>
      <c r="G51" s="21">
        <f>SUMIFS(Stock!R:R,Stock!B:B,"CD CIUDADELA                  ",Stock!P:P,'Necesidad por familia'!A51)/B51</f>
        <v>26</v>
      </c>
      <c r="H51" s="21">
        <f>Tabla1[[#This Row],[Moreno2]]+Tabla1[[#This Row],[Ciudadela3]]</f>
        <v>26.024999999999999</v>
      </c>
      <c r="I51" s="11">
        <f t="shared" si="1"/>
        <v>17.349999999999998</v>
      </c>
      <c r="J51" s="58">
        <f>IF(Tabla1[[#This Row],[Diferencia]]="Sin Consumo","100%",Tabla1[[#This Row],[Stock total]]/(Tabla1[[#This Row],[Moreno]]+Tabla1[[#This Row],[Ciudadela]]))</f>
        <v>2.9999999999999996</v>
      </c>
      <c r="K51" s="1"/>
      <c r="L51" s="16"/>
    </row>
    <row r="52" spans="1:13" hidden="1" x14ac:dyDescent="0.35">
      <c r="A52" s="22" t="s">
        <v>77</v>
      </c>
      <c r="B52" s="11">
        <v>50</v>
      </c>
      <c r="C52" s="11" t="str">
        <f>IF(ISNUMBER(_xlfn.XMATCH(A52,'Calcular necesidad'!E:E,0)),"OK","NO ESTA")</f>
        <v>OK</v>
      </c>
      <c r="D52" s="19">
        <f>SUM(
SUMIF('Calcular necesidad'!E:E,'Necesidad por familia'!A52,'Calcular necesidad'!G:G) +
SUMIF('Calcular necesidad'!E:E,'Necesidad por familia'!A52,'Calcular necesidad'!I:I) +
SUMIF('Calcular necesidad'!E:E,'Necesidad por familia'!A52,'Calcular necesidad'!K:K) +
SUMIF('Calcular necesidad'!E:E,'Necesidad por familia'!A52,'Calcular necesidad'!J:J)
)/B52</f>
        <v>0</v>
      </c>
      <c r="E52" s="19">
        <f>SUMIF('Calcular necesidad'!E:E,'Necesidad por familia'!A52,'Calcular necesidad'!$H:$H)/B52</f>
        <v>731</v>
      </c>
      <c r="F52" s="21">
        <f>SUMIFS(Stock!R:R,Stock!B:B,"&lt;&gt;CD CIUDADELA                  ",Stock!P:P,'Necesidad por familia'!A52)/B52</f>
        <v>230</v>
      </c>
      <c r="G52" s="21">
        <f>SUMIFS(Stock!R:R,Stock!B:B,"CD CIUDADELA                  ",Stock!P:P,'Necesidad por familia'!A52)/B52</f>
        <v>607</v>
      </c>
      <c r="H52" s="21">
        <f>Tabla1[[#This Row],[Moreno2]]+Tabla1[[#This Row],[Ciudadela3]]</f>
        <v>837</v>
      </c>
      <c r="I52" s="11">
        <f t="shared" si="1"/>
        <v>106</v>
      </c>
      <c r="J52" s="58">
        <f>IF(Tabla1[[#This Row],[Diferencia]]="Sin Consumo","100%",Tabla1[[#This Row],[Stock total]]/(Tabla1[[#This Row],[Moreno]]+Tabla1[[#This Row],[Ciudadela]]))</f>
        <v>1.1450068399452804</v>
      </c>
      <c r="K52" s="1"/>
      <c r="L52" s="16"/>
    </row>
    <row r="53" spans="1:13" hidden="1" x14ac:dyDescent="0.35">
      <c r="A53" s="22" t="s">
        <v>78</v>
      </c>
      <c r="B53" s="11">
        <v>100</v>
      </c>
      <c r="C53" s="11" t="str">
        <f>IF(ISNUMBER(_xlfn.XMATCH(A53,'Calcular necesidad'!E:E,0)),"OK","NO ESTA")</f>
        <v>OK</v>
      </c>
      <c r="D53" s="19">
        <f>SUM(
SUMIF('Calcular necesidad'!E:E,'Necesidad por familia'!A53,'Calcular necesidad'!G:G) +
SUMIF('Calcular necesidad'!E:E,'Necesidad por familia'!A53,'Calcular necesidad'!I:I) +
SUMIF('Calcular necesidad'!E:E,'Necesidad por familia'!A53,'Calcular necesidad'!K:K) +
SUMIF('Calcular necesidad'!E:E,'Necesidad por familia'!A53,'Calcular necesidad'!J:J)
)/B53</f>
        <v>0</v>
      </c>
      <c r="E53" s="19">
        <f>SUMIF('Calcular necesidad'!E:E,'Necesidad por familia'!A53,'Calcular necesidad'!$H:$H)/B53</f>
        <v>219</v>
      </c>
      <c r="F53" s="21">
        <f>SUMIFS(Stock!R:R,Stock!B:B,"&lt;&gt;CD CIUDADELA                  ",Stock!P:P,'Necesidad por familia'!A53)/B53</f>
        <v>185</v>
      </c>
      <c r="G53" s="21">
        <f>SUMIFS(Stock!R:R,Stock!B:B,"CD CIUDADELA                  ",Stock!P:P,'Necesidad por familia'!A53)/B53</f>
        <v>152</v>
      </c>
      <c r="H53" s="21">
        <f>Tabla1[[#This Row],[Moreno2]]+Tabla1[[#This Row],[Ciudadela3]]</f>
        <v>337</v>
      </c>
      <c r="I53" s="11">
        <f t="shared" si="1"/>
        <v>118</v>
      </c>
      <c r="J53" s="58">
        <f>IF(Tabla1[[#This Row],[Diferencia]]="Sin Consumo","100%",Tabla1[[#This Row],[Stock total]]/(Tabla1[[#This Row],[Moreno]]+Tabla1[[#This Row],[Ciudadela]]))</f>
        <v>1.5388127853881279</v>
      </c>
      <c r="L53" s="16"/>
    </row>
    <row r="54" spans="1:13" hidden="1" x14ac:dyDescent="0.35">
      <c r="A54" s="22" t="s">
        <v>79</v>
      </c>
      <c r="B54" s="11">
        <v>100</v>
      </c>
      <c r="C54" s="11" t="str">
        <f>IF(ISNUMBER(_xlfn.XMATCH(A54,'Calcular necesidad'!E:E,0)),"OK","NO ESTA")</f>
        <v>OK</v>
      </c>
      <c r="D54" s="19">
        <f>SUM(
SUMIF('Calcular necesidad'!E:E,'Necesidad por familia'!A54,'Calcular necesidad'!G:G) +
SUMIF('Calcular necesidad'!E:E,'Necesidad por familia'!A54,'Calcular necesidad'!I:I) +
SUMIF('Calcular necesidad'!E:E,'Necesidad por familia'!A54,'Calcular necesidad'!K:K) +
SUMIF('Calcular necesidad'!E:E,'Necesidad por familia'!A54,'Calcular necesidad'!J:J)
)/B54</f>
        <v>0</v>
      </c>
      <c r="E54" s="19">
        <f>SUMIF('Calcular necesidad'!E:E,'Necesidad por familia'!A54,'Calcular necesidad'!$H:$H)/B54</f>
        <v>0</v>
      </c>
      <c r="F54" s="21">
        <f>SUMIFS(Stock!R:R,Stock!B:B,"&lt;&gt;CD CIUDADELA                  ",Stock!P:P,'Necesidad por familia'!A54)/B54</f>
        <v>0</v>
      </c>
      <c r="G54" s="21">
        <f>SUMIFS(Stock!R:R,Stock!B:B,"CD CIUDADELA                  ",Stock!P:P,'Necesidad por familia'!A54)/B54</f>
        <v>0</v>
      </c>
      <c r="H54" s="21">
        <f>Tabla1[[#This Row],[Moreno2]]+Tabla1[[#This Row],[Ciudadela3]]</f>
        <v>0</v>
      </c>
      <c r="I54" s="11" t="str">
        <f t="shared" si="1"/>
        <v>Sin consumo</v>
      </c>
      <c r="J54" s="58" t="str">
        <f>IF(Tabla1[[#This Row],[Diferencia]]="Sin Consumo","100%",Tabla1[[#This Row],[Stock total]]/(Tabla1[[#This Row],[Moreno]]+Tabla1[[#This Row],[Ciudadela]]))</f>
        <v>100%</v>
      </c>
      <c r="K54" s="1"/>
      <c r="L54" s="16"/>
    </row>
    <row r="55" spans="1:13" hidden="1" x14ac:dyDescent="0.35">
      <c r="A55" s="22" t="s">
        <v>80</v>
      </c>
      <c r="B55" s="11">
        <v>2000</v>
      </c>
      <c r="C55" s="11" t="str">
        <f>IF(ISNUMBER(_xlfn.XMATCH(A55,'Calcular necesidad'!E:E,0)),"OK","NO ESTA")</f>
        <v>OK</v>
      </c>
      <c r="D55" s="19">
        <f>SUM(
SUMIF('Calcular necesidad'!E:E,'Necesidad por familia'!A55,'Calcular necesidad'!G:G) +
SUMIF('Calcular necesidad'!E:E,'Necesidad por familia'!A55,'Calcular necesidad'!I:I) +
SUMIF('Calcular necesidad'!E:E,'Necesidad por familia'!A55,'Calcular necesidad'!K:K) +
SUMIF('Calcular necesidad'!E:E,'Necesidad por familia'!A55,'Calcular necesidad'!J:J)
)/B55</f>
        <v>0</v>
      </c>
      <c r="E55" s="19">
        <f>SUMIF('Calcular necesidad'!E:E,'Necesidad por familia'!A55,'Calcular necesidad'!$H:$H)/B55</f>
        <v>2</v>
      </c>
      <c r="F55" s="21">
        <f>SUMIFS(Stock!R:R,Stock!B:B,"&lt;&gt;CD CIUDADELA                  ",Stock!P:P,'Necesidad por familia'!A55)/B55</f>
        <v>10</v>
      </c>
      <c r="G55" s="21">
        <f>SUMIFS(Stock!R:R,Stock!B:B,"CD CIUDADELA                  ",Stock!P:P,'Necesidad por familia'!A55)/B55</f>
        <v>10</v>
      </c>
      <c r="H55" s="21">
        <f>Tabla1[[#This Row],[Moreno2]]+Tabla1[[#This Row],[Ciudadela3]]</f>
        <v>20</v>
      </c>
      <c r="I55" s="11">
        <f t="shared" si="1"/>
        <v>18</v>
      </c>
      <c r="J55" s="58">
        <f>IF(Tabla1[[#This Row],[Diferencia]]="Sin Consumo","100%",Tabla1[[#This Row],[Stock total]]/(Tabla1[[#This Row],[Moreno]]+Tabla1[[#This Row],[Ciudadela]]))</f>
        <v>10</v>
      </c>
      <c r="K55" s="1"/>
      <c r="L55" s="16"/>
    </row>
    <row r="56" spans="1:13" x14ac:dyDescent="0.35">
      <c r="A56" s="22" t="s">
        <v>81</v>
      </c>
      <c r="B56" s="11">
        <v>800</v>
      </c>
      <c r="C56" s="11" t="str">
        <f>IF(ISNUMBER(_xlfn.XMATCH(A56,'Calcular necesidad'!E:E,0)),"OK","NO ESTA")</f>
        <v>OK</v>
      </c>
      <c r="D56" s="19">
        <f>SUM(
SUMIF('Calcular necesidad'!E:E,'Necesidad por familia'!A56,'Calcular necesidad'!G:G) +
SUMIF('Calcular necesidad'!E:E,'Necesidad por familia'!A56,'Calcular necesidad'!I:I) +
SUMIF('Calcular necesidad'!E:E,'Necesidad por familia'!A56,'Calcular necesidad'!K:K) +
SUMIF('Calcular necesidad'!E:E,'Necesidad por familia'!A56,'Calcular necesidad'!J:J)
)/B56</f>
        <v>0</v>
      </c>
      <c r="E56" s="19">
        <f>SUMIF('Calcular necesidad'!E:E,'Necesidad por familia'!A56,'Calcular necesidad'!$H:$H)/B56</f>
        <v>11.15</v>
      </c>
      <c r="F56" s="21">
        <f>SUMIFS(Stock!R:R,Stock!B:B,"&lt;&gt;CD CIUDADELA                  ",Stock!P:P,'Necesidad por familia'!A56)/B56</f>
        <v>0</v>
      </c>
      <c r="G56" s="21">
        <f>SUMIFS(Stock!R:R,Stock!B:B,"CD CIUDADELA                  ",Stock!P:P,'Necesidad por familia'!A56)/B56</f>
        <v>0</v>
      </c>
      <c r="H56" s="21">
        <f>Tabla1[[#This Row],[Moreno2]]+Tabla1[[#This Row],[Ciudadela3]]</f>
        <v>0</v>
      </c>
      <c r="I56" s="11">
        <f t="shared" si="1"/>
        <v>-11.15</v>
      </c>
      <c r="J56" s="58">
        <f>IF(Tabla1[[#This Row],[Diferencia]]="Sin Consumo","100%",Tabla1[[#This Row],[Stock total]]/(Tabla1[[#This Row],[Moreno]]+Tabla1[[#This Row],[Ciudadela]]))</f>
        <v>0</v>
      </c>
      <c r="K56" s="1" t="s">
        <v>49</v>
      </c>
      <c r="L56" s="16">
        <v>4200295499</v>
      </c>
      <c r="M56" t="s">
        <v>28</v>
      </c>
    </row>
    <row r="57" spans="1:13" hidden="1" x14ac:dyDescent="0.35">
      <c r="A57" s="22" t="s">
        <v>82</v>
      </c>
      <c r="B57" s="11">
        <v>24</v>
      </c>
      <c r="C57" s="11" t="str">
        <f>IF(ISNUMBER(_xlfn.XMATCH(A57,'Calcular necesidad'!E:E,0)),"OK","NO ESTA")</f>
        <v>OK</v>
      </c>
      <c r="D57" s="19">
        <f>SUM(
SUMIF('Calcular necesidad'!E:E,'Necesidad por familia'!A57,'Calcular necesidad'!G:G) +
SUMIF('Calcular necesidad'!E:E,'Necesidad por familia'!A57,'Calcular necesidad'!I:I) +
SUMIF('Calcular necesidad'!E:E,'Necesidad por familia'!A57,'Calcular necesidad'!K:K) +
SUMIF('Calcular necesidad'!E:E,'Necesidad por familia'!A57,'Calcular necesidad'!J:J)
)/B57</f>
        <v>0</v>
      </c>
      <c r="E57" s="19">
        <f>SUMIF('Calcular necesidad'!E:E,'Necesidad por familia'!A57,'Calcular necesidad'!$H:$H)/B57</f>
        <v>6</v>
      </c>
      <c r="F57" s="21">
        <f>SUMIFS(Stock!R:R,Stock!B:B,"&lt;&gt;CD CIUDADELA                  ",Stock!P:P,'Necesidad por familia'!A57)/B57</f>
        <v>25</v>
      </c>
      <c r="G57" s="21">
        <f>SUMIFS(Stock!R:R,Stock!B:B,"CD CIUDADELA                  ",Stock!P:P,'Necesidad por familia'!A57)/B57</f>
        <v>60</v>
      </c>
      <c r="H57" s="21">
        <f>Tabla1[[#This Row],[Moreno2]]+Tabla1[[#This Row],[Ciudadela3]]</f>
        <v>85</v>
      </c>
      <c r="I57" s="11">
        <f t="shared" si="1"/>
        <v>79</v>
      </c>
      <c r="J57" s="58">
        <f>IF(Tabla1[[#This Row],[Diferencia]]="Sin Consumo","100%",Tabla1[[#This Row],[Stock total]]/(Tabla1[[#This Row],[Moreno]]+Tabla1[[#This Row],[Ciudadela]]))</f>
        <v>14.166666666666666</v>
      </c>
      <c r="K57" s="59"/>
      <c r="L57" s="16"/>
    </row>
    <row r="58" spans="1:13" hidden="1" x14ac:dyDescent="0.35">
      <c r="A58" s="22" t="s">
        <v>83</v>
      </c>
      <c r="B58" s="11">
        <v>50</v>
      </c>
      <c r="C58" s="11" t="str">
        <f>IF(ISNUMBER(_xlfn.XMATCH(A58,'Calcular necesidad'!E:E,0)),"OK","NO ESTA")</f>
        <v>OK</v>
      </c>
      <c r="D58" s="19">
        <f>SUM(
SUMIF('Calcular necesidad'!E:E,'Necesidad por familia'!A58,'Calcular necesidad'!G:G) +
SUMIF('Calcular necesidad'!E:E,'Necesidad por familia'!A58,'Calcular necesidad'!I:I) +
SUMIF('Calcular necesidad'!E:E,'Necesidad por familia'!A58,'Calcular necesidad'!K:K) +
SUMIF('Calcular necesidad'!E:E,'Necesidad por familia'!A58,'Calcular necesidad'!J:J)
)/B58</f>
        <v>0</v>
      </c>
      <c r="E58" s="19">
        <f>SUMIF('Calcular necesidad'!E:E,'Necesidad por familia'!A58,'Calcular necesidad'!$H:$H)/B58</f>
        <v>0</v>
      </c>
      <c r="F58" s="21">
        <f>SUMIFS(Stock!R:R,Stock!B:B,"&lt;&gt;CD CIUDADELA                  ",Stock!P:P,'Necesidad por familia'!A58)/B58</f>
        <v>20</v>
      </c>
      <c r="G58" s="21">
        <f>SUMIFS(Stock!R:R,Stock!B:B,"CD CIUDADELA                  ",Stock!P:P,'Necesidad por familia'!A58)/B58</f>
        <v>84</v>
      </c>
      <c r="H58" s="21">
        <f>Tabla1[[#This Row],[Moreno2]]+Tabla1[[#This Row],[Ciudadela3]]</f>
        <v>104</v>
      </c>
      <c r="I58" s="11" t="str">
        <f t="shared" si="1"/>
        <v>Sin consumo</v>
      </c>
      <c r="J58" s="58" t="str">
        <f>IF(Tabla1[[#This Row],[Diferencia]]="Sin Consumo","100%",Tabla1[[#This Row],[Stock total]]/(Tabla1[[#This Row],[Moreno]]+Tabla1[[#This Row],[Ciudadela]]))</f>
        <v>100%</v>
      </c>
      <c r="K58" s="1" t="s">
        <v>84</v>
      </c>
      <c r="L58" s="16">
        <v>4600122003</v>
      </c>
      <c r="M58" t="s">
        <v>34</v>
      </c>
    </row>
    <row r="59" spans="1:13" x14ac:dyDescent="0.35">
      <c r="A59" s="22" t="s">
        <v>85</v>
      </c>
      <c r="B59" s="11">
        <v>100</v>
      </c>
      <c r="C59" s="11" t="str">
        <f>IF(ISNUMBER(_xlfn.XMATCH(A59,'Calcular necesidad'!E:E,0)),"OK","NO ESTA")</f>
        <v>OK</v>
      </c>
      <c r="D59" s="19">
        <f>SUM(
SUMIF('Calcular necesidad'!E:E,'Necesidad por familia'!A59,'Calcular necesidad'!G:G) +
SUMIF('Calcular necesidad'!E:E,'Necesidad por familia'!A59,'Calcular necesidad'!I:I) +
SUMIF('Calcular necesidad'!E:E,'Necesidad por familia'!A59,'Calcular necesidad'!K:K) +
SUMIF('Calcular necesidad'!E:E,'Necesidad por familia'!A59,'Calcular necesidad'!J:J)
)/B59</f>
        <v>0</v>
      </c>
      <c r="E59" s="19">
        <f>SUMIF('Calcular necesidad'!E:E,'Necesidad por familia'!A59,'Calcular necesidad'!$H:$H)/B59</f>
        <v>431</v>
      </c>
      <c r="F59" s="21">
        <f>SUMIFS(Stock!R:R,Stock!B:B,"&lt;&gt;CD CIUDADELA                  ",Stock!P:P,'Necesidad por familia'!A59)/B59</f>
        <v>0</v>
      </c>
      <c r="G59" s="21">
        <f>SUMIFS(Stock!R:R,Stock!B:B,"CD CIUDADELA                  ",Stock!P:P,'Necesidad por familia'!A59)/B59</f>
        <v>0</v>
      </c>
      <c r="H59" s="21">
        <f>Tabla1[[#This Row],[Moreno2]]+Tabla1[[#This Row],[Ciudadela3]]</f>
        <v>0</v>
      </c>
      <c r="I59" s="11">
        <f t="shared" si="1"/>
        <v>-431</v>
      </c>
      <c r="J59" s="58">
        <f>IF(Tabla1[[#This Row],[Diferencia]]="Sin Consumo","100%",Tabla1[[#This Row],[Stock total]]/(Tabla1[[#This Row],[Moreno]]+Tabla1[[#This Row],[Ciudadela]]))</f>
        <v>0</v>
      </c>
      <c r="K59" s="1" t="s">
        <v>6813</v>
      </c>
      <c r="L59" s="53">
        <v>4600122551</v>
      </c>
      <c r="M59" s="16" t="s">
        <v>68</v>
      </c>
    </row>
    <row r="60" spans="1:13" hidden="1" x14ac:dyDescent="0.35">
      <c r="A60" s="22" t="s">
        <v>86</v>
      </c>
      <c r="B60" s="11">
        <v>1000</v>
      </c>
      <c r="C60" s="11" t="str">
        <f>IF(ISNUMBER(_xlfn.XMATCH(A60,'Calcular necesidad'!E:E,0)),"OK","NO ESTA")</f>
        <v>OK</v>
      </c>
      <c r="D60" s="19">
        <f>SUM(
SUMIF('Calcular necesidad'!E:E,'Necesidad por familia'!A60,'Calcular necesidad'!G:G) +
SUMIF('Calcular necesidad'!E:E,'Necesidad por familia'!A60,'Calcular necesidad'!I:I) +
SUMIF('Calcular necesidad'!E:E,'Necesidad por familia'!A60,'Calcular necesidad'!K:K) +
SUMIF('Calcular necesidad'!E:E,'Necesidad por familia'!A60,'Calcular necesidad'!J:J)
)/B60</f>
        <v>0</v>
      </c>
      <c r="E60" s="19">
        <f>SUMIF('Calcular necesidad'!E:E,'Necesidad por familia'!A60,'Calcular necesidad'!$H:$H)/B60</f>
        <v>10</v>
      </c>
      <c r="F60" s="21">
        <f>SUMIFS(Stock!R:R,Stock!B:B,"&lt;&gt;CD CIUDADELA                  ",Stock!P:P,'Necesidad por familia'!A60)/B60</f>
        <v>95</v>
      </c>
      <c r="G60" s="21">
        <f>SUMIFS(Stock!R:R,Stock!B:B,"CD CIUDADELA                  ",Stock!P:P,'Necesidad por familia'!A60)/B60</f>
        <v>26</v>
      </c>
      <c r="H60" s="21">
        <f>Tabla1[[#This Row],[Moreno2]]+Tabla1[[#This Row],[Ciudadela3]]</f>
        <v>121</v>
      </c>
      <c r="I60" s="11">
        <f t="shared" si="1"/>
        <v>111</v>
      </c>
      <c r="J60" s="58">
        <f>IF(Tabla1[[#This Row],[Diferencia]]="Sin Consumo","100%",Tabla1[[#This Row],[Stock total]]/(Tabla1[[#This Row],[Moreno]]+Tabla1[[#This Row],[Ciudadela]]))</f>
        <v>12.1</v>
      </c>
      <c r="L60" s="16"/>
    </row>
    <row r="61" spans="1:13" hidden="1" x14ac:dyDescent="0.35">
      <c r="A61" s="22" t="s">
        <v>87</v>
      </c>
      <c r="B61" s="11">
        <v>116</v>
      </c>
      <c r="C61" s="11" t="str">
        <f>IF(ISNUMBER(_xlfn.XMATCH(A61,'Calcular necesidad'!E:E,0)),"OK","NO ESTA")</f>
        <v>OK</v>
      </c>
      <c r="D61" s="19">
        <f>SUM(
SUMIF('Calcular necesidad'!E:E,'Necesidad por familia'!A61,'Calcular necesidad'!G:G) +
SUMIF('Calcular necesidad'!E:E,'Necesidad por familia'!A61,'Calcular necesidad'!I:I) +
SUMIF('Calcular necesidad'!E:E,'Necesidad por familia'!A61,'Calcular necesidad'!K:K) +
SUMIF('Calcular necesidad'!E:E,'Necesidad por familia'!A61,'Calcular necesidad'!J:J)
)/B61</f>
        <v>0</v>
      </c>
      <c r="E61" s="19">
        <f>SUMIF('Calcular necesidad'!E:E,'Necesidad por familia'!A61,'Calcular necesidad'!$H:$H)/B61</f>
        <v>4</v>
      </c>
      <c r="F61" s="21">
        <f>SUMIFS(Stock!R:R,Stock!B:B,"&lt;&gt;CD CIUDADELA                  ",Stock!P:P,'Necesidad por familia'!A61)/B61</f>
        <v>0</v>
      </c>
      <c r="G61" s="21">
        <f>SUMIFS(Stock!R:R,Stock!B:B,"CD CIUDADELA                  ",Stock!P:P,'Necesidad por familia'!A61)/B61</f>
        <v>8</v>
      </c>
      <c r="H61" s="21">
        <f>Tabla1[[#This Row],[Moreno2]]+Tabla1[[#This Row],[Ciudadela3]]</f>
        <v>8</v>
      </c>
      <c r="I61" s="11">
        <f t="shared" si="1"/>
        <v>4</v>
      </c>
      <c r="J61" s="58">
        <f>IF(Tabla1[[#This Row],[Diferencia]]="Sin Consumo","100%",Tabla1[[#This Row],[Stock total]]/(Tabla1[[#This Row],[Moreno]]+Tabla1[[#This Row],[Ciudadela]]))</f>
        <v>2</v>
      </c>
      <c r="K61" s="1"/>
      <c r="L61" s="16"/>
    </row>
    <row r="62" spans="1:13" hidden="1" x14ac:dyDescent="0.35">
      <c r="A62" s="22" t="s">
        <v>88</v>
      </c>
      <c r="B62" s="11">
        <v>800</v>
      </c>
      <c r="C62" s="11" t="str">
        <f>IF(ISNUMBER(_xlfn.XMATCH(A62,'Calcular necesidad'!E:E,0)),"OK","NO ESTA")</f>
        <v>OK</v>
      </c>
      <c r="D62" s="19">
        <f>SUM(
SUMIF('Calcular necesidad'!E:E,'Necesidad por familia'!A62,'Calcular necesidad'!G:G) +
SUMIF('Calcular necesidad'!E:E,'Necesidad por familia'!A62,'Calcular necesidad'!I:I) +
SUMIF('Calcular necesidad'!E:E,'Necesidad por familia'!A62,'Calcular necesidad'!K:K) +
SUMIF('Calcular necesidad'!E:E,'Necesidad por familia'!A62,'Calcular necesidad'!J:J)
)/B62</f>
        <v>0</v>
      </c>
      <c r="E62" s="19">
        <f>SUMIF('Calcular necesidad'!E:E,'Necesidad por familia'!A62,'Calcular necesidad'!$H:$H)/B62</f>
        <v>9</v>
      </c>
      <c r="F62" s="21">
        <f>SUMIFS(Stock!R:R,Stock!B:B,"&lt;&gt;CD CIUDADELA                  ",Stock!P:P,'Necesidad por familia'!A62)/B62</f>
        <v>32</v>
      </c>
      <c r="G62" s="21">
        <f>SUMIFS(Stock!R:R,Stock!B:B,"CD CIUDADELA                  ",Stock!P:P,'Necesidad por familia'!A62)/B62</f>
        <v>30</v>
      </c>
      <c r="H62" s="21">
        <f>Tabla1[[#This Row],[Moreno2]]+Tabla1[[#This Row],[Ciudadela3]]</f>
        <v>62</v>
      </c>
      <c r="I62" s="11">
        <f t="shared" si="1"/>
        <v>53</v>
      </c>
      <c r="J62" s="58">
        <f>IF(Tabla1[[#This Row],[Diferencia]]="Sin Consumo","100%",Tabla1[[#This Row],[Stock total]]/(Tabla1[[#This Row],[Moreno]]+Tabla1[[#This Row],[Ciudadela]]))</f>
        <v>6.8888888888888893</v>
      </c>
      <c r="K62" s="1"/>
      <c r="L62" s="53"/>
      <c r="M62" s="16"/>
    </row>
    <row r="63" spans="1:13" hidden="1" x14ac:dyDescent="0.35">
      <c r="A63" s="22" t="s">
        <v>89</v>
      </c>
      <c r="B63" s="11">
        <v>100</v>
      </c>
      <c r="C63" s="11" t="str">
        <f>IF(ISNUMBER(_xlfn.XMATCH(A63,'Calcular necesidad'!E:E,0)),"OK","NO ESTA")</f>
        <v>OK</v>
      </c>
      <c r="D63" s="19">
        <f>SUM(
SUMIF('Calcular necesidad'!E:E,'Necesidad por familia'!A63,'Calcular necesidad'!G:G) +
SUMIF('Calcular necesidad'!E:E,'Necesidad por familia'!A63,'Calcular necesidad'!I:I) +
SUMIF('Calcular necesidad'!E:E,'Necesidad por familia'!A63,'Calcular necesidad'!K:K) +
SUMIF('Calcular necesidad'!E:E,'Necesidad por familia'!A63,'Calcular necesidad'!J:J)
)/B63</f>
        <v>0</v>
      </c>
      <c r="E63" s="19">
        <f>SUMIF('Calcular necesidad'!E:E,'Necesidad por familia'!A63,'Calcular necesidad'!$H:$H)/B63</f>
        <v>20.5</v>
      </c>
      <c r="F63" s="21">
        <f>SUMIFS(Stock!R:R,Stock!B:B,"&lt;&gt;CD CIUDADELA                  ",Stock!P:P,'Necesidad por familia'!A63)/B63</f>
        <v>65</v>
      </c>
      <c r="G63" s="21">
        <f>SUMIFS(Stock!R:R,Stock!B:B,"CD CIUDADELA                  ",Stock!P:P,'Necesidad por familia'!A63)/B63</f>
        <v>390</v>
      </c>
      <c r="H63" s="21">
        <f>Tabla1[[#This Row],[Moreno2]]+Tabla1[[#This Row],[Ciudadela3]]</f>
        <v>455</v>
      </c>
      <c r="I63" s="11">
        <f t="shared" si="1"/>
        <v>434.5</v>
      </c>
      <c r="J63" s="58">
        <f>IF(Tabla1[[#This Row],[Diferencia]]="Sin Consumo","100%",Tabla1[[#This Row],[Stock total]]/(Tabla1[[#This Row],[Moreno]]+Tabla1[[#This Row],[Ciudadela]]))</f>
        <v>22.195121951219512</v>
      </c>
      <c r="L63" s="52"/>
    </row>
    <row r="64" spans="1:13" x14ac:dyDescent="0.35">
      <c r="A64" s="46" t="s">
        <v>90</v>
      </c>
      <c r="B64" s="1">
        <v>1000</v>
      </c>
      <c r="C64" s="11" t="str">
        <f>IF(ISNUMBER(_xlfn.XMATCH(A64,'Calcular necesidad'!E:E,0)),"OK","NO ESTA")</f>
        <v>OK</v>
      </c>
      <c r="D64" s="50">
        <f>SUM(
SUMIF('Calcular necesidad'!E:E,'Necesidad por familia'!A64,'Calcular necesidad'!G:G) +
SUMIF('Calcular necesidad'!E:E,'Necesidad por familia'!A64,'Calcular necesidad'!I:I) +
SUMIF('Calcular necesidad'!E:E,'Necesidad por familia'!A64,'Calcular necesidad'!K:K) +
SUMIF('Calcular necesidad'!E:E,'Necesidad por familia'!A64,'Calcular necesidad'!J:J)
)/B64</f>
        <v>0</v>
      </c>
      <c r="E64" s="50">
        <f>SUMIF('Calcular necesidad'!E:E,'Necesidad por familia'!A64,'Calcular necesidad'!$H:$H)/B64</f>
        <v>163</v>
      </c>
      <c r="F64" s="51">
        <f>SUMIFS(Stock!R:R,Stock!B:B,"&lt;&gt;CD CIUDADELA                  ",Stock!P:P,'Necesidad por familia'!A64)/B64</f>
        <v>0</v>
      </c>
      <c r="G64" s="51">
        <f>SUMIFS(Stock!R:R,Stock!B:B,"CD CIUDADELA                  ",Stock!P:P,'Necesidad por familia'!A64)/B64</f>
        <v>0</v>
      </c>
      <c r="H64" s="51">
        <f>Tabla1[[#This Row],[Moreno2]]+Tabla1[[#This Row],[Ciudadela3]]</f>
        <v>0</v>
      </c>
      <c r="I64" s="1">
        <f t="shared" si="1"/>
        <v>-163</v>
      </c>
      <c r="J64" s="58">
        <f>IF(Tabla1[[#This Row],[Diferencia]]="Sin Consumo","100%",Tabla1[[#This Row],[Stock total]]/(Tabla1[[#This Row],[Moreno]]+Tabla1[[#This Row],[Ciudadela]]))</f>
        <v>0</v>
      </c>
      <c r="K64" s="66" t="s">
        <v>91</v>
      </c>
      <c r="L64" s="53">
        <v>4600122274</v>
      </c>
      <c r="M64" t="s">
        <v>92</v>
      </c>
    </row>
    <row r="65" spans="1:13" hidden="1" x14ac:dyDescent="0.35">
      <c r="A65" s="22" t="s">
        <v>93</v>
      </c>
      <c r="B65" s="11">
        <v>1000</v>
      </c>
      <c r="C65" s="11" t="str">
        <f>IF(ISNUMBER(_xlfn.XMATCH(A65,'Calcular necesidad'!E:E,0)),"OK","NO ESTA")</f>
        <v>OK</v>
      </c>
      <c r="D65" s="19">
        <f>SUM(
SUMIF('Calcular necesidad'!E:E,'Necesidad por familia'!A65,'Calcular necesidad'!G:G) +
SUMIF('Calcular necesidad'!E:E,'Necesidad por familia'!A65,'Calcular necesidad'!I:I) +
SUMIF('Calcular necesidad'!E:E,'Necesidad por familia'!A65,'Calcular necesidad'!K:K) +
SUMIF('Calcular necesidad'!E:E,'Necesidad por familia'!A65,'Calcular necesidad'!J:J)
)/B65</f>
        <v>0</v>
      </c>
      <c r="E65" s="19">
        <f>SUMIF('Calcular necesidad'!E:E,'Necesidad por familia'!A65,'Calcular necesidad'!$H:$H)/B65</f>
        <v>3</v>
      </c>
      <c r="F65" s="21">
        <f>SUMIFS(Stock!R:R,Stock!B:B,"&lt;&gt;CD CIUDADELA                  ",Stock!P:P,'Necesidad por familia'!A65)/B65</f>
        <v>0</v>
      </c>
      <c r="G65" s="21">
        <f>SUMIFS(Stock!R:R,Stock!B:B,"CD CIUDADELA                  ",Stock!P:P,'Necesidad por familia'!A65)/B65</f>
        <v>39</v>
      </c>
      <c r="H65" s="21">
        <f>Tabla1[[#This Row],[Moreno2]]+Tabla1[[#This Row],[Ciudadela3]]</f>
        <v>39</v>
      </c>
      <c r="I65" s="11">
        <f t="shared" si="1"/>
        <v>36</v>
      </c>
      <c r="J65" s="58">
        <f>IF(Tabla1[[#This Row],[Diferencia]]="Sin Consumo","100%",Tabla1[[#This Row],[Stock total]]/(Tabla1[[#This Row],[Moreno]]+Tabla1[[#This Row],[Ciudadela]]))</f>
        <v>13</v>
      </c>
      <c r="K65" s="59"/>
      <c r="L65" s="16"/>
    </row>
    <row r="66" spans="1:13" x14ac:dyDescent="0.35">
      <c r="A66" s="22" t="s">
        <v>94</v>
      </c>
      <c r="B66" s="11">
        <v>100</v>
      </c>
      <c r="C66" s="11" t="str">
        <f>IF(ISNUMBER(_xlfn.XMATCH(A66,'Calcular necesidad'!E:E,0)),"OK","NO ESTA")</f>
        <v>OK</v>
      </c>
      <c r="D66" s="19">
        <f>SUM(
SUMIF('Calcular necesidad'!E:E,'Necesidad por familia'!A66,'Calcular necesidad'!G:G) +
SUMIF('Calcular necesidad'!E:E,'Necesidad por familia'!A66,'Calcular necesidad'!I:I) +
SUMIF('Calcular necesidad'!E:E,'Necesidad por familia'!A66,'Calcular necesidad'!K:K) +
SUMIF('Calcular necesidad'!E:E,'Necesidad por familia'!A66,'Calcular necesidad'!J:J)
)/B66</f>
        <v>0</v>
      </c>
      <c r="E66" s="19">
        <f>SUMIF('Calcular necesidad'!E:E,'Necesidad por familia'!A66,'Calcular necesidad'!$H:$H)/B66</f>
        <v>477</v>
      </c>
      <c r="F66" s="21">
        <f>SUMIFS(Stock!R:R,Stock!B:B,"&lt;&gt;CD CIUDADELA                  ",Stock!P:P,'Necesidad por familia'!A66)/B66</f>
        <v>0</v>
      </c>
      <c r="G66" s="21">
        <f>SUMIFS(Stock!R:R,Stock!B:B,"CD CIUDADELA                  ",Stock!P:P,'Necesidad por familia'!A66)/B66</f>
        <v>163</v>
      </c>
      <c r="H66" s="21">
        <f>Tabla1[[#This Row],[Moreno2]]+Tabla1[[#This Row],[Ciudadela3]]</f>
        <v>163</v>
      </c>
      <c r="I66" s="11">
        <f t="shared" si="1"/>
        <v>-314</v>
      </c>
      <c r="J66" s="58">
        <f>IF(Tabla1[[#This Row],[Diferencia]]="Sin Consumo","100%",Tabla1[[#This Row],[Stock total]]/(Tabla1[[#This Row],[Moreno]]+Tabla1[[#This Row],[Ciudadela]]))</f>
        <v>0.34171907756813419</v>
      </c>
      <c r="K66" s="12" t="s">
        <v>108</v>
      </c>
      <c r="L66" s="16">
        <v>4600122646</v>
      </c>
      <c r="M66" s="12" t="s">
        <v>23</v>
      </c>
    </row>
    <row r="67" spans="1:13" hidden="1" x14ac:dyDescent="0.35">
      <c r="A67" s="22" t="s">
        <v>95</v>
      </c>
      <c r="B67" s="11">
        <v>100</v>
      </c>
      <c r="C67" s="11" t="str">
        <f>IF(ISNUMBER(_xlfn.XMATCH(A67,'Calcular necesidad'!E:E,0)),"OK","NO ESTA")</f>
        <v>OK</v>
      </c>
      <c r="D67" s="19">
        <f>SUM(
SUMIF('Calcular necesidad'!E:E,'Necesidad por familia'!A67,'Calcular necesidad'!G:G) +
SUMIF('Calcular necesidad'!E:E,'Necesidad por familia'!A67,'Calcular necesidad'!I:I) +
SUMIF('Calcular necesidad'!E:E,'Necesidad por familia'!A67,'Calcular necesidad'!K:K) +
SUMIF('Calcular necesidad'!E:E,'Necesidad por familia'!A67,'Calcular necesidad'!J:J)
)/B67</f>
        <v>0</v>
      </c>
      <c r="E67" s="19">
        <f>SUMIF('Calcular necesidad'!E:E,'Necesidad por familia'!A67,'Calcular necesidad'!$H:$H)/B67</f>
        <v>5</v>
      </c>
      <c r="F67" s="21">
        <f>SUMIFS(Stock!R:R,Stock!B:B,"&lt;&gt;CD CIUDADELA                  ",Stock!P:P,'Necesidad por familia'!A67)/B67</f>
        <v>60</v>
      </c>
      <c r="G67" s="21">
        <f>SUMIFS(Stock!R:R,Stock!B:B,"CD CIUDADELA                  ",Stock!P:P,'Necesidad por familia'!A67)/B67</f>
        <v>40</v>
      </c>
      <c r="H67" s="21">
        <f>Tabla1[[#This Row],[Moreno2]]+Tabla1[[#This Row],[Ciudadela3]]</f>
        <v>100</v>
      </c>
      <c r="I67" s="11">
        <f t="shared" ref="I67:I98" si="2">IF((D67+E67)=0,"Sin consumo",(F67+G67)-(D67+E67))</f>
        <v>95</v>
      </c>
      <c r="J67" s="58">
        <f>IF(Tabla1[[#This Row],[Diferencia]]="Sin Consumo","100%",Tabla1[[#This Row],[Stock total]]/(Tabla1[[#This Row],[Moreno]]+Tabla1[[#This Row],[Ciudadela]]))</f>
        <v>20</v>
      </c>
      <c r="K67" s="1"/>
      <c r="L67" s="16">
        <v>4600122003</v>
      </c>
      <c r="M67" t="s">
        <v>34</v>
      </c>
    </row>
    <row r="68" spans="1:13" hidden="1" x14ac:dyDescent="0.35">
      <c r="A68" s="22" t="s">
        <v>96</v>
      </c>
      <c r="B68" s="11">
        <v>100</v>
      </c>
      <c r="C68" s="11" t="str">
        <f>IF(ISNUMBER(_xlfn.XMATCH(A68,'Calcular necesidad'!E:E,0)),"OK","NO ESTA")</f>
        <v>OK</v>
      </c>
      <c r="D68" s="19">
        <f>SUM(
SUMIF('Calcular necesidad'!E:E,'Necesidad por familia'!A68,'Calcular necesidad'!G:G) +
SUMIF('Calcular necesidad'!E:E,'Necesidad por familia'!A68,'Calcular necesidad'!I:I) +
SUMIF('Calcular necesidad'!E:E,'Necesidad por familia'!A68,'Calcular necesidad'!K:K) +
SUMIF('Calcular necesidad'!E:E,'Necesidad por familia'!A68,'Calcular necesidad'!J:J)
)/B68</f>
        <v>0</v>
      </c>
      <c r="E68" s="19">
        <f>SUMIF('Calcular necesidad'!E:E,'Necesidad por familia'!A68,'Calcular necesidad'!$H:$H)/B68</f>
        <v>4</v>
      </c>
      <c r="F68" s="21">
        <f>SUMIFS(Stock!R:R,Stock!B:B,"&lt;&gt;CD CIUDADELA                  ",Stock!P:P,'Necesidad por familia'!A68)/B68</f>
        <v>36</v>
      </c>
      <c r="G68" s="21">
        <f>SUMIFS(Stock!R:R,Stock!B:B,"CD CIUDADELA                  ",Stock!P:P,'Necesidad por familia'!A68)/B68</f>
        <v>87.25</v>
      </c>
      <c r="H68" s="21">
        <f>Tabla1[[#This Row],[Moreno2]]+Tabla1[[#This Row],[Ciudadela3]]</f>
        <v>123.25</v>
      </c>
      <c r="I68" s="11">
        <f t="shared" si="2"/>
        <v>119.25</v>
      </c>
      <c r="J68" s="58">
        <f>IF(Tabla1[[#This Row],[Diferencia]]="Sin Consumo","100%",Tabla1[[#This Row],[Stock total]]/(Tabla1[[#This Row],[Moreno]]+Tabla1[[#This Row],[Ciudadela]]))</f>
        <v>30.8125</v>
      </c>
      <c r="L68" s="16"/>
    </row>
    <row r="69" spans="1:13" hidden="1" x14ac:dyDescent="0.35">
      <c r="A69" s="22" t="s">
        <v>97</v>
      </c>
      <c r="B69" s="11">
        <v>1</v>
      </c>
      <c r="C69" s="11" t="str">
        <f>IF(ISNUMBER(_xlfn.XMATCH(A69,'Calcular necesidad'!E:E,0)),"OK","NO ESTA")</f>
        <v>OK</v>
      </c>
      <c r="D69" s="19">
        <f>SUM(
SUMIF('Calcular necesidad'!E:E,'Necesidad por familia'!A69,'Calcular necesidad'!G:G) +
SUMIF('Calcular necesidad'!E:E,'Necesidad por familia'!A69,'Calcular necesidad'!I:I) +
SUMIF('Calcular necesidad'!E:E,'Necesidad por familia'!A69,'Calcular necesidad'!K:K) +
SUMIF('Calcular necesidad'!E:E,'Necesidad por familia'!A69,'Calcular necesidad'!J:J)
)/B69</f>
        <v>0</v>
      </c>
      <c r="E69" s="19">
        <f>SUMIF('Calcular necesidad'!E:E,'Necesidad por familia'!A69,'Calcular necesidad'!$H:$H)/B69</f>
        <v>31</v>
      </c>
      <c r="F69" s="21">
        <f>SUMIFS(Stock!R:R,Stock!B:B,"&lt;&gt;CD CIUDADELA                  ",Stock!P:P,'Necesidad por familia'!A69)/B69</f>
        <v>400</v>
      </c>
      <c r="G69" s="21">
        <f>SUMIFS(Stock!R:R,Stock!B:B,"CD CIUDADELA                  ",Stock!P:P,'Necesidad por familia'!A69)/B69</f>
        <v>0</v>
      </c>
      <c r="H69" s="21">
        <f>Tabla1[[#This Row],[Moreno2]]+Tabla1[[#This Row],[Ciudadela3]]</f>
        <v>400</v>
      </c>
      <c r="I69" s="11">
        <f t="shared" si="2"/>
        <v>369</v>
      </c>
      <c r="J69" s="58">
        <f>IF(Tabla1[[#This Row],[Diferencia]]="Sin Consumo","100%",Tabla1[[#This Row],[Stock total]]/(Tabla1[[#This Row],[Moreno]]+Tabla1[[#This Row],[Ciudadela]]))</f>
        <v>12.903225806451612</v>
      </c>
      <c r="K69" s="1" t="s">
        <v>98</v>
      </c>
      <c r="L69" s="53"/>
      <c r="M69" s="16"/>
    </row>
    <row r="70" spans="1:13" hidden="1" x14ac:dyDescent="0.35">
      <c r="A70" s="46" t="s">
        <v>99</v>
      </c>
      <c r="B70" s="1">
        <v>1000</v>
      </c>
      <c r="C70" s="11" t="str">
        <f>IF(ISNUMBER(_xlfn.XMATCH(A70,'Calcular necesidad'!E:E,0)),"OK","NO ESTA")</f>
        <v>OK</v>
      </c>
      <c r="D70" s="50">
        <f>SUM(
SUMIF('Calcular necesidad'!E:E,'Necesidad por familia'!A70,'Calcular necesidad'!G:G) +
SUMIF('Calcular necesidad'!E:E,'Necesidad por familia'!A70,'Calcular necesidad'!I:I) +
SUMIF('Calcular necesidad'!E:E,'Necesidad por familia'!A70,'Calcular necesidad'!K:K) +
SUMIF('Calcular necesidad'!E:E,'Necesidad por familia'!A70,'Calcular necesidad'!J:J)
)/B70</f>
        <v>0</v>
      </c>
      <c r="E70" s="50">
        <f>SUMIF('Calcular necesidad'!E:E,'Necesidad por familia'!A70,'Calcular necesidad'!$H:$H)/B70</f>
        <v>44</v>
      </c>
      <c r="F70" s="51">
        <f>SUMIFS(Stock!R:R,Stock!B:B,"&lt;&gt;CD CIUDADELA                  ",Stock!P:P,'Necesidad por familia'!A70)/B70</f>
        <v>0</v>
      </c>
      <c r="G70" s="51">
        <f>SUMIFS(Stock!R:R,Stock!B:B,"CD CIUDADELA                  ",Stock!P:P,'Necesidad por familia'!A70)/B70</f>
        <v>52</v>
      </c>
      <c r="H70" s="51">
        <f>Tabla1[[#This Row],[Moreno2]]+Tabla1[[#This Row],[Ciudadela3]]</f>
        <v>52</v>
      </c>
      <c r="I70" s="1">
        <f t="shared" si="2"/>
        <v>8</v>
      </c>
      <c r="J70" s="58">
        <f>IF(Tabla1[[#This Row],[Diferencia]]="Sin Consumo","100%",Tabla1[[#This Row],[Stock total]]/(Tabla1[[#This Row],[Moreno]]+Tabla1[[#This Row],[Ciudadela]]))</f>
        <v>1.1818181818181819</v>
      </c>
      <c r="K70" s="59"/>
      <c r="L70" s="16"/>
    </row>
    <row r="71" spans="1:13" hidden="1" x14ac:dyDescent="0.35">
      <c r="A71" s="22" t="s">
        <v>100</v>
      </c>
      <c r="B71" s="11">
        <v>1</v>
      </c>
      <c r="C71" s="11" t="str">
        <f>IF(ISNUMBER(_xlfn.XMATCH(A71,'Calcular necesidad'!E:E,0)),"OK","NO ESTA")</f>
        <v>OK</v>
      </c>
      <c r="D71" s="19">
        <f>SUM(
SUMIF('Calcular necesidad'!E:E,'Necesidad por familia'!A71,'Calcular necesidad'!G:G) +
SUMIF('Calcular necesidad'!E:E,'Necesidad por familia'!A71,'Calcular necesidad'!I:I) +
SUMIF('Calcular necesidad'!E:E,'Necesidad por familia'!A71,'Calcular necesidad'!K:K) +
SUMIF('Calcular necesidad'!E:E,'Necesidad por familia'!A71,'Calcular necesidad'!J:J)
)/B71</f>
        <v>0</v>
      </c>
      <c r="E71" s="19">
        <f>SUMIF('Calcular necesidad'!E:E,'Necesidad por familia'!A71,'Calcular necesidad'!$H:$H)/B71</f>
        <v>0</v>
      </c>
      <c r="F71" s="21">
        <f>SUMIFS(Stock!R:R,Stock!B:B,"&lt;&gt;CD CIUDADELA                  ",Stock!P:P,'Necesidad por familia'!A71)/B71</f>
        <v>9587</v>
      </c>
      <c r="G71" s="21">
        <f>SUMIFS(Stock!R:R,Stock!B:B,"CD CIUDADELA                  ",Stock!P:P,'Necesidad por familia'!A71)/B71</f>
        <v>0</v>
      </c>
      <c r="H71" s="21">
        <f>Tabla1[[#This Row],[Moreno2]]+Tabla1[[#This Row],[Ciudadela3]]</f>
        <v>9587</v>
      </c>
      <c r="I71" s="11" t="str">
        <f t="shared" si="2"/>
        <v>Sin consumo</v>
      </c>
      <c r="J71" s="58" t="str">
        <f>IF(Tabla1[[#This Row],[Diferencia]]="Sin Consumo","100%",Tabla1[[#This Row],[Stock total]]/(Tabla1[[#This Row],[Moreno]]+Tabla1[[#This Row],[Ciudadela]]))</f>
        <v>100%</v>
      </c>
      <c r="L71" s="16"/>
    </row>
    <row r="72" spans="1:13" hidden="1" x14ac:dyDescent="0.35">
      <c r="A72" s="22" t="s">
        <v>101</v>
      </c>
      <c r="B72" s="11">
        <v>250</v>
      </c>
      <c r="C72" s="11" t="str">
        <f>IF(ISNUMBER(_xlfn.XMATCH(A72,'Calcular necesidad'!E:E,0)),"OK","NO ESTA")</f>
        <v>NO ESTA</v>
      </c>
      <c r="D72" s="19">
        <f>SUM(
SUMIF('Calcular necesidad'!E:E,'Necesidad por familia'!A72,'Calcular necesidad'!G:G) +
SUMIF('Calcular necesidad'!E:E,'Necesidad por familia'!A72,'Calcular necesidad'!I:I) +
SUMIF('Calcular necesidad'!E:E,'Necesidad por familia'!A72,'Calcular necesidad'!K:K) +
SUMIF('Calcular necesidad'!E:E,'Necesidad por familia'!A72,'Calcular necesidad'!J:J)
)/B72</f>
        <v>0</v>
      </c>
      <c r="E72" s="19">
        <f>SUMIF('Calcular necesidad'!E:E,'Necesidad por familia'!A72,'Calcular necesidad'!$H:$H)/B72</f>
        <v>0</v>
      </c>
      <c r="F72" s="21">
        <f>SUMIFS(Stock!R:R,Stock!B:B,"&lt;&gt;CD CIUDADELA                  ",Stock!P:P,'Necesidad por familia'!A72)/B72</f>
        <v>0</v>
      </c>
      <c r="G72" s="21">
        <f>SUMIFS(Stock!R:R,Stock!B:B,"CD CIUDADELA                  ",Stock!P:P,'Necesidad por familia'!A72)/B72</f>
        <v>0</v>
      </c>
      <c r="H72" s="21">
        <f>Tabla1[[#This Row],[Moreno2]]+Tabla1[[#This Row],[Ciudadela3]]</f>
        <v>0</v>
      </c>
      <c r="I72" s="11" t="str">
        <f t="shared" si="2"/>
        <v>Sin consumo</v>
      </c>
      <c r="J72" s="58" t="str">
        <f>IF(Tabla1[[#This Row],[Diferencia]]="Sin Consumo","100%",Tabla1[[#This Row],[Stock total]]/(Tabla1[[#This Row],[Moreno]]+Tabla1[[#This Row],[Ciudadela]]))</f>
        <v>100%</v>
      </c>
      <c r="K72" s="1"/>
      <c r="L72" s="16"/>
    </row>
    <row r="73" spans="1:13" x14ac:dyDescent="0.35">
      <c r="A73" s="22" t="s">
        <v>102</v>
      </c>
      <c r="B73" s="11">
        <v>500</v>
      </c>
      <c r="C73" s="11" t="str">
        <f>IF(ISNUMBER(_xlfn.XMATCH(A73,'Calcular necesidad'!E:E,0)),"OK","NO ESTA")</f>
        <v>OK</v>
      </c>
      <c r="D73" s="19">
        <f>SUM(
SUMIF('Calcular necesidad'!E:E,'Necesidad por familia'!A73,'Calcular necesidad'!G:G) +
SUMIF('Calcular necesidad'!E:E,'Necesidad por familia'!A73,'Calcular necesidad'!I:I) +
SUMIF('Calcular necesidad'!E:E,'Necesidad por familia'!A73,'Calcular necesidad'!K:K) +
SUMIF('Calcular necesidad'!E:E,'Necesidad por familia'!A73,'Calcular necesidad'!J:J)
)/B73</f>
        <v>0</v>
      </c>
      <c r="E73" s="19">
        <f>SUMIF('Calcular necesidad'!E:E,'Necesidad por familia'!A73,'Calcular necesidad'!$H:$H)/B73</f>
        <v>16</v>
      </c>
      <c r="F73" s="21">
        <f>SUMIFS(Stock!R:R,Stock!B:B,"&lt;&gt;CD CIUDADELA                  ",Stock!P:P,'Necesidad por familia'!A73)/B73</f>
        <v>0</v>
      </c>
      <c r="G73" s="21">
        <f>SUMIFS(Stock!R:R,Stock!B:B,"CD CIUDADELA                  ",Stock!P:P,'Necesidad por familia'!A73)/B73</f>
        <v>6</v>
      </c>
      <c r="H73" s="21">
        <f>Tabla1[[#This Row],[Moreno2]]+Tabla1[[#This Row],[Ciudadela3]]</f>
        <v>6</v>
      </c>
      <c r="I73" s="11">
        <f t="shared" si="2"/>
        <v>-10</v>
      </c>
      <c r="J73" s="58">
        <f>IF(Tabla1[[#This Row],[Diferencia]]="Sin Consumo","100%",Tabla1[[#This Row],[Stock total]]/(Tabla1[[#This Row],[Moreno]]+Tabla1[[#This Row],[Ciudadela]]))</f>
        <v>0.375</v>
      </c>
      <c r="K73" s="1" t="s">
        <v>30</v>
      </c>
      <c r="L73" s="53">
        <v>4600122807</v>
      </c>
      <c r="M73" t="s">
        <v>28</v>
      </c>
    </row>
    <row r="74" spans="1:13" hidden="1" x14ac:dyDescent="0.35">
      <c r="A74" s="22" t="s">
        <v>104</v>
      </c>
      <c r="B74" s="11">
        <v>50</v>
      </c>
      <c r="C74" s="11" t="str">
        <f>IF(ISNUMBER(_xlfn.XMATCH(A74,'Calcular necesidad'!E:E,0)),"OK","NO ESTA")</f>
        <v>OK</v>
      </c>
      <c r="D74" s="19">
        <f>SUM(
SUMIF('Calcular necesidad'!E:E,'Necesidad por familia'!A74,'Calcular necesidad'!G:G) +
SUMIF('Calcular necesidad'!E:E,'Necesidad por familia'!A74,'Calcular necesidad'!I:I) +
SUMIF('Calcular necesidad'!E:E,'Necesidad por familia'!A74,'Calcular necesidad'!K:K) +
SUMIF('Calcular necesidad'!E:E,'Necesidad por familia'!A74,'Calcular necesidad'!J:J)
)/B74</f>
        <v>0</v>
      </c>
      <c r="E74" s="19">
        <f>SUMIF('Calcular necesidad'!E:E,'Necesidad por familia'!A74,'Calcular necesidad'!$H:$H)/B74</f>
        <v>644</v>
      </c>
      <c r="F74" s="21">
        <f>SUMIFS(Stock!R:R,Stock!B:B,"&lt;&gt;CD CIUDADELA                  ",Stock!P:P,'Necesidad por familia'!A74)/B74</f>
        <v>928</v>
      </c>
      <c r="G74" s="21">
        <f>SUMIFS(Stock!R:R,Stock!B:B,"CD CIUDADELA                  ",Stock!P:P,'Necesidad por familia'!A74)/B74</f>
        <v>151</v>
      </c>
      <c r="H74" s="21">
        <f>Tabla1[[#This Row],[Moreno2]]+Tabla1[[#This Row],[Ciudadela3]]</f>
        <v>1079</v>
      </c>
      <c r="I74" s="11">
        <f t="shared" si="2"/>
        <v>435</v>
      </c>
      <c r="J74" s="58">
        <f>IF(Tabla1[[#This Row],[Diferencia]]="Sin Consumo","100%",Tabla1[[#This Row],[Stock total]]/(Tabla1[[#This Row],[Moreno]]+Tabla1[[#This Row],[Ciudadela]]))</f>
        <v>1.6754658385093169</v>
      </c>
      <c r="K74" s="1"/>
      <c r="L74" s="16"/>
      <c r="M74" s="16"/>
    </row>
    <row r="75" spans="1:13" x14ac:dyDescent="0.35">
      <c r="A75" s="46" t="s">
        <v>105</v>
      </c>
      <c r="B75" s="1">
        <v>10000</v>
      </c>
      <c r="C75" s="11" t="str">
        <f>IF(ISNUMBER(_xlfn.XMATCH(A75,'Calcular necesidad'!E:E,0)),"OK","NO ESTA")</f>
        <v>OK</v>
      </c>
      <c r="D75" s="50">
        <f>SUM(
SUMIF('Calcular necesidad'!E:E,'Necesidad por familia'!A75,'Calcular necesidad'!G:G) +
SUMIF('Calcular necesidad'!E:E,'Necesidad por familia'!A75,'Calcular necesidad'!I:I) +
SUMIF('Calcular necesidad'!E:E,'Necesidad por familia'!A75,'Calcular necesidad'!K:K) +
SUMIF('Calcular necesidad'!E:E,'Necesidad por familia'!A75,'Calcular necesidad'!J:J)
)/B75</f>
        <v>0</v>
      </c>
      <c r="E75" s="50">
        <f>SUMIF('Calcular necesidad'!E:E,'Necesidad por familia'!A75,'Calcular necesidad'!$H:$H)/B75</f>
        <v>5</v>
      </c>
      <c r="F75" s="51">
        <f>SUMIFS(Stock!R:R,Stock!B:B,"&lt;&gt;CD CIUDADELA                  ",Stock!P:P,'Necesidad por familia'!A75)/B75</f>
        <v>0</v>
      </c>
      <c r="G75" s="51">
        <f>SUMIFS(Stock!R:R,Stock!B:B,"CD CIUDADELA                  ",Stock!P:P,'Necesidad por familia'!A75)/B75</f>
        <v>0</v>
      </c>
      <c r="H75" s="51">
        <f>Tabla1[[#This Row],[Moreno2]]+Tabla1[[#This Row],[Ciudadela3]]</f>
        <v>0</v>
      </c>
      <c r="I75" s="1">
        <f t="shared" si="2"/>
        <v>-5</v>
      </c>
      <c r="J75" s="58">
        <f>IF(Tabla1[[#This Row],[Diferencia]]="Sin Consumo","100%",Tabla1[[#This Row],[Stock total]]/(Tabla1[[#This Row],[Moreno]]+Tabla1[[#This Row],[Ciudadela]]))</f>
        <v>0</v>
      </c>
      <c r="K75" s="1" t="s">
        <v>30</v>
      </c>
      <c r="L75" s="16">
        <v>4600122807</v>
      </c>
      <c r="M75" t="s">
        <v>28</v>
      </c>
    </row>
    <row r="76" spans="1:13" hidden="1" x14ac:dyDescent="0.35">
      <c r="A76" s="22" t="s">
        <v>106</v>
      </c>
      <c r="B76" s="11">
        <v>1000</v>
      </c>
      <c r="C76" s="11" t="str">
        <f>IF(ISNUMBER(_xlfn.XMATCH(A76,'Calcular necesidad'!E:E,0)),"OK","NO ESTA")</f>
        <v>OK</v>
      </c>
      <c r="D76" s="19">
        <f>SUM(
SUMIF('Calcular necesidad'!E:E,'Necesidad por familia'!A76,'Calcular necesidad'!G:G) +
SUMIF('Calcular necesidad'!E:E,'Necesidad por familia'!A76,'Calcular necesidad'!I:I) +
SUMIF('Calcular necesidad'!E:E,'Necesidad por familia'!A76,'Calcular necesidad'!K:K) +
SUMIF('Calcular necesidad'!E:E,'Necesidad por familia'!A76,'Calcular necesidad'!J:J)
)/B76</f>
        <v>0</v>
      </c>
      <c r="E76" s="19">
        <f>SUMIF('Calcular necesidad'!E:E,'Necesidad por familia'!A76,'Calcular necesidad'!$H:$H)/B76</f>
        <v>72</v>
      </c>
      <c r="F76" s="21">
        <f>SUMIFS(Stock!R:R,Stock!B:B,"&lt;&gt;CD CIUDADELA                  ",Stock!P:P,'Necesidad por familia'!A76)/B76</f>
        <v>804</v>
      </c>
      <c r="G76" s="21">
        <f>SUMIFS(Stock!R:R,Stock!B:B,"CD CIUDADELA                  ",Stock!P:P,'Necesidad por familia'!A76)/B76</f>
        <v>50</v>
      </c>
      <c r="H76" s="21">
        <f>Tabla1[[#This Row],[Moreno2]]+Tabla1[[#This Row],[Ciudadela3]]</f>
        <v>854</v>
      </c>
      <c r="I76" s="11">
        <f t="shared" si="2"/>
        <v>782</v>
      </c>
      <c r="J76" s="58">
        <f>IF(Tabla1[[#This Row],[Diferencia]]="Sin Consumo","100%",Tabla1[[#This Row],[Stock total]]/(Tabla1[[#This Row],[Moreno]]+Tabla1[[#This Row],[Ciudadela]]))</f>
        <v>11.861111111111111</v>
      </c>
      <c r="K76" s="60"/>
      <c r="L76" s="16"/>
    </row>
    <row r="77" spans="1:13" x14ac:dyDescent="0.35">
      <c r="A77" s="22" t="s">
        <v>107</v>
      </c>
      <c r="B77" s="11">
        <v>1400</v>
      </c>
      <c r="C77" s="11" t="str">
        <f>IF(ISNUMBER(_xlfn.XMATCH(A77,'Calcular necesidad'!E:E,0)),"OK","NO ESTA")</f>
        <v>OK</v>
      </c>
      <c r="D77" s="19">
        <f>SUM(
SUMIF('Calcular necesidad'!E:E,'Necesidad por familia'!A77,'Calcular necesidad'!G:G) +
SUMIF('Calcular necesidad'!E:E,'Necesidad por familia'!A77,'Calcular necesidad'!I:I) +
SUMIF('Calcular necesidad'!E:E,'Necesidad por familia'!A77,'Calcular necesidad'!K:K) +
SUMIF('Calcular necesidad'!E:E,'Necesidad por familia'!A77,'Calcular necesidad'!J:J)
)/B77</f>
        <v>0</v>
      </c>
      <c r="E77" s="19">
        <f>SUMIF('Calcular necesidad'!E:E,'Necesidad por familia'!A77,'Calcular necesidad'!$H:$H)/B77</f>
        <v>13</v>
      </c>
      <c r="F77" s="21">
        <f>SUMIFS(Stock!R:R,Stock!B:B,"&lt;&gt;CD CIUDADELA                  ",Stock!P:P,'Necesidad por familia'!A77)/B77</f>
        <v>0</v>
      </c>
      <c r="G77" s="21">
        <f>SUMIFS(Stock!R:R,Stock!B:B,"CD CIUDADELA                  ",Stock!P:P,'Necesidad por familia'!A77)/B77</f>
        <v>5</v>
      </c>
      <c r="H77" s="21">
        <f>Tabla1[[#This Row],[Moreno2]]+Tabla1[[#This Row],[Ciudadela3]]</f>
        <v>5</v>
      </c>
      <c r="I77" s="11">
        <f t="shared" si="2"/>
        <v>-8</v>
      </c>
      <c r="J77" s="58">
        <f>IF(Tabla1[[#This Row],[Diferencia]]="Sin Consumo","100%",Tabla1[[#This Row],[Stock total]]/(Tabla1[[#This Row],[Moreno]]+Tabla1[[#This Row],[Ciudadela]]))</f>
        <v>0.38461538461538464</v>
      </c>
      <c r="K77" s="1" t="s">
        <v>108</v>
      </c>
      <c r="L77" s="53">
        <v>4600122589</v>
      </c>
      <c r="M77" t="s">
        <v>103</v>
      </c>
    </row>
    <row r="78" spans="1:13" hidden="1" x14ac:dyDescent="0.35">
      <c r="A78" s="22" t="s">
        <v>109</v>
      </c>
      <c r="B78" s="11">
        <v>1000</v>
      </c>
      <c r="C78" s="11" t="str">
        <f>IF(ISNUMBER(_xlfn.XMATCH(A78,'Calcular necesidad'!E:E,0)),"OK","NO ESTA")</f>
        <v>OK</v>
      </c>
      <c r="D78" s="19">
        <f>SUM(
SUMIF('Calcular necesidad'!E:E,'Necesidad por familia'!A78,'Calcular necesidad'!G:G) +
SUMIF('Calcular necesidad'!E:E,'Necesidad por familia'!A78,'Calcular necesidad'!I:I) +
SUMIF('Calcular necesidad'!E:E,'Necesidad por familia'!A78,'Calcular necesidad'!K:K) +
SUMIF('Calcular necesidad'!E:E,'Necesidad por familia'!A78,'Calcular necesidad'!J:J)
)/B78</f>
        <v>0</v>
      </c>
      <c r="E78" s="19">
        <f>SUMIF('Calcular necesidad'!E:E,'Necesidad por familia'!A78,'Calcular necesidad'!$H:$H)/B78</f>
        <v>43</v>
      </c>
      <c r="F78" s="21">
        <f>SUMIFS(Stock!R:R,Stock!B:B,"&lt;&gt;CD CIUDADELA                  ",Stock!P:P,'Necesidad por familia'!A78)/B78</f>
        <v>300</v>
      </c>
      <c r="G78" s="21">
        <f>SUMIFS(Stock!R:R,Stock!B:B,"CD CIUDADELA                  ",Stock!P:P,'Necesidad por familia'!A78)/B78</f>
        <v>115</v>
      </c>
      <c r="H78" s="21">
        <f>Tabla1[[#This Row],[Moreno2]]+Tabla1[[#This Row],[Ciudadela3]]</f>
        <v>415</v>
      </c>
      <c r="I78" s="11">
        <f t="shared" si="2"/>
        <v>372</v>
      </c>
      <c r="J78" s="58">
        <f>IF(Tabla1[[#This Row],[Diferencia]]="Sin Consumo","100%",Tabla1[[#This Row],[Stock total]]/(Tabla1[[#This Row],[Moreno]]+Tabla1[[#This Row],[Ciudadela]]))</f>
        <v>9.6511627906976738</v>
      </c>
      <c r="K78" s="60"/>
      <c r="L78" s="53"/>
      <c r="M78" s="16"/>
    </row>
    <row r="79" spans="1:13" hidden="1" x14ac:dyDescent="0.35">
      <c r="A79" s="22" t="s">
        <v>110</v>
      </c>
      <c r="B79" s="11">
        <v>100</v>
      </c>
      <c r="C79" s="11" t="str">
        <f>IF(ISNUMBER(_xlfn.XMATCH(A79,'Calcular necesidad'!E:E,0)),"OK","NO ESTA")</f>
        <v>OK</v>
      </c>
      <c r="D79" s="19">
        <f>SUM(
SUMIF('Calcular necesidad'!E:E,'Necesidad por familia'!A79,'Calcular necesidad'!G:G) +
SUMIF('Calcular necesidad'!E:E,'Necesidad por familia'!A79,'Calcular necesidad'!I:I) +
SUMIF('Calcular necesidad'!E:E,'Necesidad por familia'!A79,'Calcular necesidad'!K:K) +
SUMIF('Calcular necesidad'!E:E,'Necesidad por familia'!A79,'Calcular necesidad'!J:J)
)/B79</f>
        <v>0</v>
      </c>
      <c r="E79" s="19">
        <f>SUMIF('Calcular necesidad'!E:E,'Necesidad por familia'!A79,'Calcular necesidad'!$H:$H)/B79</f>
        <v>50</v>
      </c>
      <c r="F79" s="21">
        <f>SUMIFS(Stock!R:R,Stock!B:B,"&lt;&gt;CD CIUDADELA                  ",Stock!P:P,'Necesidad por familia'!A79)/B79</f>
        <v>80</v>
      </c>
      <c r="G79" s="21">
        <f>SUMIFS(Stock!R:R,Stock!B:B,"CD CIUDADELA                  ",Stock!P:P,'Necesidad por familia'!A79)/B79</f>
        <v>170</v>
      </c>
      <c r="H79" s="21">
        <f>Tabla1[[#This Row],[Moreno2]]+Tabla1[[#This Row],[Ciudadela3]]</f>
        <v>250</v>
      </c>
      <c r="I79" s="11">
        <f t="shared" si="2"/>
        <v>200</v>
      </c>
      <c r="J79" s="58">
        <f>IF(Tabla1[[#This Row],[Diferencia]]="Sin Consumo","100%",Tabla1[[#This Row],[Stock total]]/(Tabla1[[#This Row],[Moreno]]+Tabla1[[#This Row],[Ciudadela]]))</f>
        <v>5</v>
      </c>
      <c r="K79" s="1"/>
      <c r="L79" s="53">
        <v>4600121604</v>
      </c>
      <c r="M79" t="s">
        <v>103</v>
      </c>
    </row>
    <row r="80" spans="1:13" hidden="1" x14ac:dyDescent="0.35">
      <c r="A80" s="22" t="s">
        <v>111</v>
      </c>
      <c r="B80" s="11">
        <v>2000</v>
      </c>
      <c r="C80" s="11" t="str">
        <f>IF(ISNUMBER(_xlfn.XMATCH(A80,'Calcular necesidad'!E:E,0)),"OK","NO ESTA")</f>
        <v>OK</v>
      </c>
      <c r="D80" s="19">
        <f>SUM(
SUMIF('Calcular necesidad'!E:E,'Necesidad por familia'!A80,'Calcular necesidad'!G:G) +
SUMIF('Calcular necesidad'!E:E,'Necesidad por familia'!A80,'Calcular necesidad'!I:I) +
SUMIF('Calcular necesidad'!E:E,'Necesidad por familia'!A80,'Calcular necesidad'!K:K) +
SUMIF('Calcular necesidad'!E:E,'Necesidad por familia'!A80,'Calcular necesidad'!J:J)
)/B80</f>
        <v>0</v>
      </c>
      <c r="E80" s="19">
        <f>SUMIF('Calcular necesidad'!E:E,'Necesidad por familia'!A80,'Calcular necesidad'!$H:$H)/B80</f>
        <v>20</v>
      </c>
      <c r="F80" s="21">
        <f>SUMIFS(Stock!R:R,Stock!B:B,"&lt;&gt;CD CIUDADELA                  ",Stock!P:P,'Necesidad por familia'!A80)/B80</f>
        <v>9</v>
      </c>
      <c r="G80" s="21">
        <f>SUMIFS(Stock!R:R,Stock!B:B,"CD CIUDADELA                  ",Stock!P:P,'Necesidad por familia'!A80)/B80</f>
        <v>25</v>
      </c>
      <c r="H80" s="21">
        <f>Tabla1[[#This Row],[Moreno2]]+Tabla1[[#This Row],[Ciudadela3]]</f>
        <v>34</v>
      </c>
      <c r="I80" s="11">
        <f t="shared" si="2"/>
        <v>14</v>
      </c>
      <c r="J80" s="58">
        <f>IF(Tabla1[[#This Row],[Diferencia]]="Sin Consumo","100%",Tabla1[[#This Row],[Stock total]]/(Tabla1[[#This Row],[Moreno]]+Tabla1[[#This Row],[Ciudadela]]))</f>
        <v>1.7</v>
      </c>
      <c r="K80" s="1"/>
      <c r="L80" s="53">
        <v>4600122264</v>
      </c>
      <c r="M80" t="s">
        <v>112</v>
      </c>
    </row>
    <row r="81" spans="1:13" hidden="1" x14ac:dyDescent="0.35">
      <c r="A81" s="22" t="s">
        <v>113</v>
      </c>
      <c r="B81" s="11">
        <v>2</v>
      </c>
      <c r="C81" s="11" t="str">
        <f>IF(ISNUMBER(_xlfn.XMATCH(A81,'Calcular necesidad'!E:E,0)),"OK","NO ESTA")</f>
        <v>OK</v>
      </c>
      <c r="D81" s="19">
        <f>SUM(
SUMIF('Calcular necesidad'!E:E,'Necesidad por familia'!A81,'Calcular necesidad'!G:G) +
SUMIF('Calcular necesidad'!E:E,'Necesidad por familia'!A81,'Calcular necesidad'!I:I) +
SUMIF('Calcular necesidad'!E:E,'Necesidad por familia'!A81,'Calcular necesidad'!K:K) +
SUMIF('Calcular necesidad'!E:E,'Necesidad por familia'!A81,'Calcular necesidad'!J:J)
)/B81</f>
        <v>0</v>
      </c>
      <c r="E81" s="19">
        <f>SUMIF('Calcular necesidad'!E:E,'Necesidad por familia'!A81,'Calcular necesidad'!$H:$H)/B81</f>
        <v>0</v>
      </c>
      <c r="F81" s="21">
        <f>SUMIFS(Stock!R:R,Stock!B:B,"&lt;&gt;CD CIUDADELA                  ",Stock!P:P,'Necesidad por familia'!A81)/B81</f>
        <v>0</v>
      </c>
      <c r="G81" s="21">
        <f>SUMIFS(Stock!R:R,Stock!B:B,"CD CIUDADELA                  ",Stock!P:P,'Necesidad por familia'!A81)/B81</f>
        <v>0</v>
      </c>
      <c r="H81" s="21">
        <f>Tabla1[[#This Row],[Moreno2]]+Tabla1[[#This Row],[Ciudadela3]]</f>
        <v>0</v>
      </c>
      <c r="I81" s="11" t="str">
        <f t="shared" si="2"/>
        <v>Sin consumo</v>
      </c>
      <c r="J81" s="58" t="str">
        <f>IF(Tabla1[[#This Row],[Diferencia]]="Sin Consumo","100%",Tabla1[[#This Row],[Stock total]]/(Tabla1[[#This Row],[Moreno]]+Tabla1[[#This Row],[Ciudadela]]))</f>
        <v>100%</v>
      </c>
      <c r="K81" s="1"/>
      <c r="L81" s="52"/>
    </row>
    <row r="82" spans="1:13" hidden="1" x14ac:dyDescent="0.35">
      <c r="A82" s="22" t="s">
        <v>114</v>
      </c>
      <c r="B82" s="11">
        <v>200</v>
      </c>
      <c r="C82" s="11" t="str">
        <f>IF(ISNUMBER(_xlfn.XMATCH(A82,'Calcular necesidad'!E:E,0)),"OK","NO ESTA")</f>
        <v>OK</v>
      </c>
      <c r="D82" s="19">
        <f>SUM(
SUMIF('Calcular necesidad'!E:E,'Necesidad por familia'!A82,'Calcular necesidad'!G:G) +
SUMIF('Calcular necesidad'!E:E,'Necesidad por familia'!A82,'Calcular necesidad'!I:I) +
SUMIF('Calcular necesidad'!E:E,'Necesidad por familia'!A82,'Calcular necesidad'!K:K) +
SUMIF('Calcular necesidad'!E:E,'Necesidad por familia'!A82,'Calcular necesidad'!J:J)
)/B82</f>
        <v>0</v>
      </c>
      <c r="E82" s="19">
        <f>SUMIF('Calcular necesidad'!E:E,'Necesidad por familia'!A82,'Calcular necesidad'!$H:$H)/B82</f>
        <v>2</v>
      </c>
      <c r="F82" s="21">
        <f>SUMIFS(Stock!R:R,Stock!B:B,"&lt;&gt;CD CIUDADELA                  ",Stock!P:P,'Necesidad por familia'!A82)/B82</f>
        <v>35</v>
      </c>
      <c r="G82" s="21">
        <f>SUMIFS(Stock!R:R,Stock!B:B,"CD CIUDADELA                  ",Stock!P:P,'Necesidad por familia'!A82)/B82</f>
        <v>21</v>
      </c>
      <c r="H82" s="21">
        <f>Tabla1[[#This Row],[Moreno2]]+Tabla1[[#This Row],[Ciudadela3]]</f>
        <v>56</v>
      </c>
      <c r="I82" s="11">
        <f t="shared" si="2"/>
        <v>54</v>
      </c>
      <c r="J82" s="58">
        <f>IF(Tabla1[[#This Row],[Diferencia]]="Sin Consumo","100%",Tabla1[[#This Row],[Stock total]]/(Tabla1[[#This Row],[Moreno]]+Tabla1[[#This Row],[Ciudadela]]))</f>
        <v>28</v>
      </c>
      <c r="K82" s="1"/>
      <c r="L82" s="53"/>
    </row>
    <row r="83" spans="1:13" hidden="1" x14ac:dyDescent="0.35">
      <c r="A83" s="22" t="s">
        <v>115</v>
      </c>
      <c r="B83" s="11">
        <v>100</v>
      </c>
      <c r="C83" s="11" t="str">
        <f>IF(ISNUMBER(_xlfn.XMATCH(A83,'Calcular necesidad'!E:E,0)),"OK","NO ESTA")</f>
        <v>OK</v>
      </c>
      <c r="D83" s="19">
        <f>SUM(
SUMIF('Calcular necesidad'!E:E,'Necesidad por familia'!A83,'Calcular necesidad'!G:G) +
SUMIF('Calcular necesidad'!E:E,'Necesidad por familia'!A83,'Calcular necesidad'!I:I) +
SUMIF('Calcular necesidad'!E:E,'Necesidad por familia'!A83,'Calcular necesidad'!K:K) +
SUMIF('Calcular necesidad'!E:E,'Necesidad por familia'!A83,'Calcular necesidad'!J:J)
)/B83</f>
        <v>0</v>
      </c>
      <c r="E83" s="19">
        <f>SUMIF('Calcular necesidad'!E:E,'Necesidad por familia'!A83,'Calcular necesidad'!$H:$H)/B83</f>
        <v>230</v>
      </c>
      <c r="F83" s="21">
        <f>SUMIFS(Stock!R:R,Stock!B:B,"&lt;&gt;CD CIUDADELA                  ",Stock!P:P,'Necesidad por familia'!A83)/B83</f>
        <v>0</v>
      </c>
      <c r="G83" s="21">
        <f>SUMIFS(Stock!R:R,Stock!B:B,"CD CIUDADELA                  ",Stock!P:P,'Necesidad por familia'!A83)/B83</f>
        <v>150</v>
      </c>
      <c r="H83" s="21">
        <f>Tabla1[[#This Row],[Moreno2]]+Tabla1[[#This Row],[Ciudadela3]]</f>
        <v>150</v>
      </c>
      <c r="I83" s="11">
        <f t="shared" si="2"/>
        <v>-80</v>
      </c>
      <c r="J83" s="58">
        <f>IF(Tabla1[[#This Row],[Diferencia]]="Sin Consumo","100%",Tabla1[[#This Row],[Stock total]]/(Tabla1[[#This Row],[Moreno]]+Tabla1[[#This Row],[Ciudadela]]))</f>
        <v>0.65217391304347827</v>
      </c>
      <c r="K83" s="1"/>
      <c r="L83" s="53">
        <v>4600121604</v>
      </c>
      <c r="M83" t="s">
        <v>103</v>
      </c>
    </row>
    <row r="84" spans="1:13" hidden="1" x14ac:dyDescent="0.35">
      <c r="A84" s="22" t="s">
        <v>116</v>
      </c>
      <c r="B84" s="11">
        <v>1000</v>
      </c>
      <c r="C84" s="11" t="str">
        <f>IF(ISNUMBER(_xlfn.XMATCH(A84,'Calcular necesidad'!E:E,0)),"OK","NO ESTA")</f>
        <v>NO ESTA</v>
      </c>
      <c r="D84" s="19">
        <f>SUM(
SUMIF('Calcular necesidad'!E:E,'Necesidad por familia'!A84,'Calcular necesidad'!G:G) +
SUMIF('Calcular necesidad'!E:E,'Necesidad por familia'!A84,'Calcular necesidad'!I:I) +
SUMIF('Calcular necesidad'!E:E,'Necesidad por familia'!A84,'Calcular necesidad'!K:K) +
SUMIF('Calcular necesidad'!E:E,'Necesidad por familia'!A84,'Calcular necesidad'!J:J)
)/B84</f>
        <v>0</v>
      </c>
      <c r="E84" s="19">
        <f>SUMIF('Calcular necesidad'!E:E,'Necesidad por familia'!A84,'Calcular necesidad'!$H:$H)/B84</f>
        <v>0</v>
      </c>
      <c r="F84" s="21">
        <f>SUMIFS(Stock!R:R,Stock!B:B,"&lt;&gt;CD CIUDADELA                  ",Stock!P:P,'Necesidad por familia'!A84)/B84</f>
        <v>0</v>
      </c>
      <c r="G84" s="21">
        <f>SUMIFS(Stock!R:R,Stock!B:B,"CD CIUDADELA                  ",Stock!P:P,'Necesidad por familia'!A84)/B84</f>
        <v>0</v>
      </c>
      <c r="H84" s="21">
        <f>Tabla1[[#This Row],[Moreno2]]+Tabla1[[#This Row],[Ciudadela3]]</f>
        <v>0</v>
      </c>
      <c r="I84" s="11" t="str">
        <f t="shared" si="2"/>
        <v>Sin consumo</v>
      </c>
      <c r="J84" s="58" t="str">
        <f>IF(Tabla1[[#This Row],[Diferencia]]="Sin Consumo","100%",Tabla1[[#This Row],[Stock total]]/(Tabla1[[#This Row],[Moreno]]+Tabla1[[#This Row],[Ciudadela]]))</f>
        <v>100%</v>
      </c>
      <c r="K84" s="1"/>
      <c r="L84" s="16"/>
    </row>
    <row r="85" spans="1:13" hidden="1" x14ac:dyDescent="0.35">
      <c r="A85" s="22" t="s">
        <v>117</v>
      </c>
      <c r="B85" s="11">
        <v>1000</v>
      </c>
      <c r="C85" s="11" t="str">
        <f>IF(ISNUMBER(_xlfn.XMATCH(A85,'Calcular necesidad'!E:E,0)),"OK","NO ESTA")</f>
        <v>OK</v>
      </c>
      <c r="D85" s="19">
        <f>SUM(
SUMIF('Calcular necesidad'!E:E,'Necesidad por familia'!A85,'Calcular necesidad'!G:G) +
SUMIF('Calcular necesidad'!E:E,'Necesidad por familia'!A85,'Calcular necesidad'!I:I) +
SUMIF('Calcular necesidad'!E:E,'Necesidad por familia'!A85,'Calcular necesidad'!K:K) +
SUMIF('Calcular necesidad'!E:E,'Necesidad por familia'!A85,'Calcular necesidad'!J:J)
)/B85</f>
        <v>0</v>
      </c>
      <c r="E85" s="19">
        <f>SUMIF('Calcular necesidad'!E:E,'Necesidad por familia'!A85,'Calcular necesidad'!$H:$H)/B85</f>
        <v>99.775000000000006</v>
      </c>
      <c r="F85" s="21">
        <f>SUMIFS(Stock!R:R,Stock!B:B,"&lt;&gt;CD CIUDADELA                  ",Stock!P:P,'Necesidad por familia'!A85)/B85</f>
        <v>78</v>
      </c>
      <c r="G85" s="21">
        <f>SUMIFS(Stock!R:R,Stock!B:B,"CD CIUDADELA                  ",Stock!P:P,'Necesidad por familia'!A85)/B85</f>
        <v>91</v>
      </c>
      <c r="H85" s="21">
        <f>Tabla1[[#This Row],[Moreno2]]+Tabla1[[#This Row],[Ciudadela3]]</f>
        <v>169</v>
      </c>
      <c r="I85" s="11">
        <f t="shared" si="2"/>
        <v>69.224999999999994</v>
      </c>
      <c r="J85" s="58">
        <f>IF(Tabla1[[#This Row],[Diferencia]]="Sin Consumo","100%",Tabla1[[#This Row],[Stock total]]/(Tabla1[[#This Row],[Moreno]]+Tabla1[[#This Row],[Ciudadela]]))</f>
        <v>1.6938110749185666</v>
      </c>
      <c r="K85" s="1"/>
      <c r="L85" s="16"/>
    </row>
    <row r="86" spans="1:13" hidden="1" x14ac:dyDescent="0.35">
      <c r="A86" s="22" t="s">
        <v>118</v>
      </c>
      <c r="B86" s="11">
        <v>1</v>
      </c>
      <c r="C86" s="11" t="str">
        <f>IF(ISNUMBER(_xlfn.XMATCH(A86,'Calcular necesidad'!E:E,0)),"OK","NO ESTA")</f>
        <v>OK</v>
      </c>
      <c r="D86" s="19">
        <f>SUM(
SUMIF('Calcular necesidad'!E:E,'Necesidad por familia'!A86,'Calcular necesidad'!G:G) +
SUMIF('Calcular necesidad'!E:E,'Necesidad por familia'!A86,'Calcular necesidad'!I:I) +
SUMIF('Calcular necesidad'!E:E,'Necesidad por familia'!A86,'Calcular necesidad'!K:K) +
SUMIF('Calcular necesidad'!E:E,'Necesidad por familia'!A86,'Calcular necesidad'!J:J)
)/B86</f>
        <v>0</v>
      </c>
      <c r="E86" s="19">
        <f>SUMIF('Calcular necesidad'!E:E,'Necesidad por familia'!A86,'Calcular necesidad'!$H:$H)/B86</f>
        <v>0</v>
      </c>
      <c r="F86" s="21">
        <f>SUMIFS(Stock!R:R,Stock!B:B,"&lt;&gt;CD CIUDADELA                  ",Stock!P:P,'Necesidad por familia'!A86)/B86</f>
        <v>0</v>
      </c>
      <c r="G86" s="21">
        <f>SUMIFS(Stock!R:R,Stock!B:B,"CD CIUDADELA                  ",Stock!P:P,'Necesidad por familia'!A86)/B86</f>
        <v>0</v>
      </c>
      <c r="H86" s="21">
        <f>Tabla1[[#This Row],[Moreno2]]+Tabla1[[#This Row],[Ciudadela3]]</f>
        <v>0</v>
      </c>
      <c r="I86" s="11" t="str">
        <f t="shared" si="2"/>
        <v>Sin consumo</v>
      </c>
      <c r="J86" s="58" t="str">
        <f>IF(Tabla1[[#This Row],[Diferencia]]="Sin Consumo","100%",Tabla1[[#This Row],[Stock total]]/(Tabla1[[#This Row],[Moreno]]+Tabla1[[#This Row],[Ciudadela]]))</f>
        <v>100%</v>
      </c>
      <c r="K86" s="1"/>
      <c r="L86" s="16"/>
    </row>
    <row r="87" spans="1:13" hidden="1" x14ac:dyDescent="0.35">
      <c r="A87" s="22" t="s">
        <v>119</v>
      </c>
      <c r="B87" s="11">
        <v>1</v>
      </c>
      <c r="C87" s="11" t="str">
        <f>IF(ISNUMBER(_xlfn.XMATCH(A87,'Calcular necesidad'!E:E,0)),"OK","NO ESTA")</f>
        <v>OK</v>
      </c>
      <c r="D87" s="19">
        <f>SUM(
SUMIF('Calcular necesidad'!E:E,'Necesidad por familia'!A87,'Calcular necesidad'!G:G) +
SUMIF('Calcular necesidad'!E:E,'Necesidad por familia'!A87,'Calcular necesidad'!I:I) +
SUMIF('Calcular necesidad'!E:E,'Necesidad por familia'!A87,'Calcular necesidad'!K:K) +
SUMIF('Calcular necesidad'!E:E,'Necesidad por familia'!A87,'Calcular necesidad'!J:J)
)/B87</f>
        <v>0</v>
      </c>
      <c r="E87" s="19">
        <f>SUMIF('Calcular necesidad'!E:E,'Necesidad por familia'!A87,'Calcular necesidad'!$H:$H)/B87</f>
        <v>0</v>
      </c>
      <c r="F87" s="21">
        <f>SUMIFS(Stock!R:R,Stock!B:B,"&lt;&gt;CD CIUDADELA                  ",Stock!P:P,'Necesidad por familia'!A87)/B87</f>
        <v>48700</v>
      </c>
      <c r="G87" s="21">
        <f>SUMIFS(Stock!R:R,Stock!B:B,"CD CIUDADELA                  ",Stock!P:P,'Necesidad por familia'!A87)/B87</f>
        <v>0</v>
      </c>
      <c r="H87" s="21">
        <f>Tabla1[[#This Row],[Moreno2]]+Tabla1[[#This Row],[Ciudadela3]]</f>
        <v>48700</v>
      </c>
      <c r="I87" s="11" t="str">
        <f t="shared" si="2"/>
        <v>Sin consumo</v>
      </c>
      <c r="J87" s="58" t="str">
        <f>IF(Tabla1[[#This Row],[Diferencia]]="Sin Consumo","100%",Tabla1[[#This Row],[Stock total]]/(Tabla1[[#This Row],[Moreno]]+Tabla1[[#This Row],[Ciudadela]]))</f>
        <v>100%</v>
      </c>
      <c r="L87" s="16"/>
    </row>
    <row r="88" spans="1:13" hidden="1" x14ac:dyDescent="0.35">
      <c r="A88" s="22" t="s">
        <v>120</v>
      </c>
      <c r="B88" s="11">
        <v>2000</v>
      </c>
      <c r="C88" s="11" t="str">
        <f>IF(ISNUMBER(_xlfn.XMATCH(A88,'Calcular necesidad'!E:E,0)),"OK","NO ESTA")</f>
        <v>OK</v>
      </c>
      <c r="D88" s="19">
        <f>SUM(
SUMIF('Calcular necesidad'!E:E,'Necesidad por familia'!A88,'Calcular necesidad'!G:G) +
SUMIF('Calcular necesidad'!E:E,'Necesidad por familia'!A88,'Calcular necesidad'!I:I) +
SUMIF('Calcular necesidad'!E:E,'Necesidad por familia'!A88,'Calcular necesidad'!K:K) +
SUMIF('Calcular necesidad'!E:E,'Necesidad por familia'!A88,'Calcular necesidad'!J:J)
)/B88</f>
        <v>0</v>
      </c>
      <c r="E88" s="19">
        <f>SUMIF('Calcular necesidad'!E:E,'Necesidad por familia'!A88,'Calcular necesidad'!$H:$H)/B88</f>
        <v>4</v>
      </c>
      <c r="F88" s="21">
        <f>SUMIFS(Stock!R:R,Stock!B:B,"&lt;&gt;CD CIUDADELA                  ",Stock!P:P,'Necesidad por familia'!A88)/B88</f>
        <v>10</v>
      </c>
      <c r="G88" s="21">
        <f>SUMIFS(Stock!R:R,Stock!B:B,"CD CIUDADELA                  ",Stock!P:P,'Necesidad por familia'!A88)/B88</f>
        <v>20</v>
      </c>
      <c r="H88" s="21">
        <f>Tabla1[[#This Row],[Moreno2]]+Tabla1[[#This Row],[Ciudadela3]]</f>
        <v>30</v>
      </c>
      <c r="I88" s="11">
        <f t="shared" si="2"/>
        <v>26</v>
      </c>
      <c r="J88" s="58">
        <f>IF(Tabla1[[#This Row],[Diferencia]]="Sin Consumo","100%",Tabla1[[#This Row],[Stock total]]/(Tabla1[[#This Row],[Moreno]]+Tabla1[[#This Row],[Ciudadela]]))</f>
        <v>7.5</v>
      </c>
      <c r="K88" s="1"/>
      <c r="L88" s="16"/>
    </row>
    <row r="89" spans="1:13" hidden="1" x14ac:dyDescent="0.35">
      <c r="A89" s="22" t="s">
        <v>121</v>
      </c>
      <c r="B89" s="11">
        <v>1</v>
      </c>
      <c r="C89" s="11" t="str">
        <f>IF(ISNUMBER(_xlfn.XMATCH(A89,'Calcular necesidad'!E:E,0)),"OK","NO ESTA")</f>
        <v>OK</v>
      </c>
      <c r="D89" s="19">
        <f>SUM(
SUMIF('Calcular necesidad'!E:E,'Necesidad por familia'!A89,'Calcular necesidad'!G:G) +
SUMIF('Calcular necesidad'!E:E,'Necesidad por familia'!A89,'Calcular necesidad'!I:I) +
SUMIF('Calcular necesidad'!E:E,'Necesidad por familia'!A89,'Calcular necesidad'!K:K) +
SUMIF('Calcular necesidad'!E:E,'Necesidad por familia'!A89,'Calcular necesidad'!J:J)
)/B89</f>
        <v>0</v>
      </c>
      <c r="E89" s="19">
        <f>SUMIF('Calcular necesidad'!E:E,'Necesidad por familia'!A89,'Calcular necesidad'!$H:$H)/B89</f>
        <v>0</v>
      </c>
      <c r="F89" s="21">
        <f>SUMIFS(Stock!R:R,Stock!B:B,"&lt;&gt;CD CIUDADELA                  ",Stock!P:P,'Necesidad por familia'!A89)/B89</f>
        <v>36332</v>
      </c>
      <c r="G89" s="21">
        <f>SUMIFS(Stock!R:R,Stock!B:B,"CD CIUDADELA                  ",Stock!P:P,'Necesidad por familia'!A89)/B89</f>
        <v>0</v>
      </c>
      <c r="H89" s="21">
        <f>Tabla1[[#This Row],[Moreno2]]+Tabla1[[#This Row],[Ciudadela3]]</f>
        <v>36332</v>
      </c>
      <c r="I89" s="11" t="str">
        <f t="shared" si="2"/>
        <v>Sin consumo</v>
      </c>
      <c r="J89" s="58" t="str">
        <f>IF(Tabla1[[#This Row],[Diferencia]]="Sin Consumo","100%",Tabla1[[#This Row],[Stock total]]/(Tabla1[[#This Row],[Moreno]]+Tabla1[[#This Row],[Ciudadela]]))</f>
        <v>100%</v>
      </c>
      <c r="L89" s="16"/>
    </row>
    <row r="90" spans="1:13" hidden="1" x14ac:dyDescent="0.35">
      <c r="A90" s="22" t="s">
        <v>122</v>
      </c>
      <c r="B90" s="11">
        <v>1</v>
      </c>
      <c r="C90" s="11" t="str">
        <f>IF(ISNUMBER(_xlfn.XMATCH(A90,'Calcular necesidad'!E:E,0)),"OK","NO ESTA")</f>
        <v>OK</v>
      </c>
      <c r="D90" s="19">
        <f>SUM(
SUMIF('Calcular necesidad'!E:E,'Necesidad por familia'!A90,'Calcular necesidad'!G:G) +
SUMIF('Calcular necesidad'!E:E,'Necesidad por familia'!A90,'Calcular necesidad'!I:I) +
SUMIF('Calcular necesidad'!E:E,'Necesidad por familia'!A90,'Calcular necesidad'!K:K) +
SUMIF('Calcular necesidad'!E:E,'Necesidad por familia'!A90,'Calcular necesidad'!J:J)
)/B90</f>
        <v>0</v>
      </c>
      <c r="E90" s="19">
        <f>SUMIF('Calcular necesidad'!E:E,'Necesidad por familia'!A90,'Calcular necesidad'!$H:$H)/B90</f>
        <v>0</v>
      </c>
      <c r="F90" s="21">
        <f>SUMIFS(Stock!R:R,Stock!B:B,"&lt;&gt;CD CIUDADELA                  ",Stock!P:P,'Necesidad por familia'!A90)/B90</f>
        <v>45147</v>
      </c>
      <c r="G90" s="21">
        <f>SUMIFS(Stock!R:R,Stock!B:B,"CD CIUDADELA                  ",Stock!P:P,'Necesidad por familia'!A90)/B90</f>
        <v>0</v>
      </c>
      <c r="H90" s="21">
        <f>Tabla1[[#This Row],[Moreno2]]+Tabla1[[#This Row],[Ciudadela3]]</f>
        <v>45147</v>
      </c>
      <c r="I90" s="11" t="str">
        <f t="shared" si="2"/>
        <v>Sin consumo</v>
      </c>
      <c r="J90" s="58" t="str">
        <f>IF(Tabla1[[#This Row],[Diferencia]]="Sin Consumo","100%",Tabla1[[#This Row],[Stock total]]/(Tabla1[[#This Row],[Moreno]]+Tabla1[[#This Row],[Ciudadela]]))</f>
        <v>100%</v>
      </c>
      <c r="L90" s="16"/>
    </row>
    <row r="91" spans="1:13" hidden="1" x14ac:dyDescent="0.35">
      <c r="A91" s="22" t="s">
        <v>123</v>
      </c>
      <c r="B91" s="11">
        <v>1</v>
      </c>
      <c r="C91" s="11" t="str">
        <f>IF(ISNUMBER(_xlfn.XMATCH(A91,'Calcular necesidad'!E:E,0)),"OK","NO ESTA")</f>
        <v>OK</v>
      </c>
      <c r="D91" s="19">
        <f>SUM(
SUMIF('Calcular necesidad'!E:E,'Necesidad por familia'!A91,'Calcular necesidad'!G:G) +
SUMIF('Calcular necesidad'!E:E,'Necesidad por familia'!A91,'Calcular necesidad'!I:I) +
SUMIF('Calcular necesidad'!E:E,'Necesidad por familia'!A91,'Calcular necesidad'!K:K) +
SUMIF('Calcular necesidad'!E:E,'Necesidad por familia'!A91,'Calcular necesidad'!J:J)
)/B91</f>
        <v>0</v>
      </c>
      <c r="E91" s="19">
        <f>SUMIF('Calcular necesidad'!E:E,'Necesidad por familia'!A91,'Calcular necesidad'!$H:$H)/B91</f>
        <v>0</v>
      </c>
      <c r="F91" s="21">
        <f>SUMIFS(Stock!R:R,Stock!B:B,"&lt;&gt;CD CIUDADELA                  ",Stock!P:P,'Necesidad por familia'!A91)/B91</f>
        <v>2500</v>
      </c>
      <c r="G91" s="21">
        <f>SUMIFS(Stock!R:R,Stock!B:B,"CD CIUDADELA                  ",Stock!P:P,'Necesidad por familia'!A91)/B91</f>
        <v>0</v>
      </c>
      <c r="H91" s="21">
        <f>Tabla1[[#This Row],[Moreno2]]+Tabla1[[#This Row],[Ciudadela3]]</f>
        <v>2500</v>
      </c>
      <c r="I91" s="11" t="str">
        <f t="shared" si="2"/>
        <v>Sin consumo</v>
      </c>
      <c r="J91" s="58" t="str">
        <f>IF(Tabla1[[#This Row],[Diferencia]]="Sin Consumo","100%",Tabla1[[#This Row],[Stock total]]/(Tabla1[[#This Row],[Moreno]]+Tabla1[[#This Row],[Ciudadela]]))</f>
        <v>100%</v>
      </c>
      <c r="L91" s="16"/>
    </row>
    <row r="92" spans="1:13" hidden="1" x14ac:dyDescent="0.35">
      <c r="A92" s="22" t="s">
        <v>124</v>
      </c>
      <c r="B92" s="11">
        <v>1</v>
      </c>
      <c r="C92" s="11" t="str">
        <f>IF(ISNUMBER(_xlfn.XMATCH(A92,'Calcular necesidad'!E:E,0)),"OK","NO ESTA")</f>
        <v>OK</v>
      </c>
      <c r="D92" s="19">
        <f>SUM(
SUMIF('Calcular necesidad'!E:E,'Necesidad por familia'!A92,'Calcular necesidad'!G:G) +
SUMIF('Calcular necesidad'!E:E,'Necesidad por familia'!A92,'Calcular necesidad'!I:I) +
SUMIF('Calcular necesidad'!E:E,'Necesidad por familia'!A92,'Calcular necesidad'!K:K) +
SUMIF('Calcular necesidad'!E:E,'Necesidad por familia'!A92,'Calcular necesidad'!J:J)
)/B92</f>
        <v>0</v>
      </c>
      <c r="E92" s="19">
        <f>SUMIF('Calcular necesidad'!E:E,'Necesidad por familia'!A92,'Calcular necesidad'!$H:$H)/B92</f>
        <v>0</v>
      </c>
      <c r="F92" s="21">
        <f>SUMIFS(Stock!R:R,Stock!B:B,"&lt;&gt;CD CIUDADELA                  ",Stock!P:P,'Necesidad por familia'!A92)/B92</f>
        <v>0</v>
      </c>
      <c r="G92" s="21">
        <f>SUMIFS(Stock!R:R,Stock!B:B,"CD CIUDADELA                  ",Stock!P:P,'Necesidad por familia'!A92)/B92</f>
        <v>335</v>
      </c>
      <c r="H92" s="21">
        <f>Tabla1[[#This Row],[Moreno2]]+Tabla1[[#This Row],[Ciudadela3]]</f>
        <v>335</v>
      </c>
      <c r="I92" s="11" t="str">
        <f t="shared" si="2"/>
        <v>Sin consumo</v>
      </c>
      <c r="J92" s="58" t="str">
        <f>IF(Tabla1[[#This Row],[Diferencia]]="Sin Consumo","100%",Tabla1[[#This Row],[Stock total]]/(Tabla1[[#This Row],[Moreno]]+Tabla1[[#This Row],[Ciudadela]]))</f>
        <v>100%</v>
      </c>
      <c r="K92" s="59"/>
      <c r="L92" s="16"/>
    </row>
    <row r="93" spans="1:13" hidden="1" x14ac:dyDescent="0.35">
      <c r="A93" s="22" t="s">
        <v>125</v>
      </c>
      <c r="B93" s="11">
        <v>1000</v>
      </c>
      <c r="C93" s="11" t="str">
        <f>IF(ISNUMBER(_xlfn.XMATCH(A93,'Calcular necesidad'!E:E,0)),"OK","NO ESTA")</f>
        <v>NO ESTA</v>
      </c>
      <c r="D93" s="19">
        <f>SUM(
SUMIF('Calcular necesidad'!E:E,'Necesidad por familia'!A93,'Calcular necesidad'!G:G) +
SUMIF('Calcular necesidad'!E:E,'Necesidad por familia'!A93,'Calcular necesidad'!I:I) +
SUMIF('Calcular necesidad'!E:E,'Necesidad por familia'!A93,'Calcular necesidad'!K:K) +
SUMIF('Calcular necesidad'!E:E,'Necesidad por familia'!A93,'Calcular necesidad'!J:J)
)/B93</f>
        <v>0</v>
      </c>
      <c r="E93" s="19">
        <f>SUMIF('Calcular necesidad'!E:E,'Necesidad por familia'!A93,'Calcular necesidad'!$H:$H)/B93</f>
        <v>0</v>
      </c>
      <c r="F93" s="21">
        <f>SUMIFS(Stock!R:R,Stock!B:B,"&lt;&gt;CD CIUDADELA                  ",Stock!P:P,'Necesidad por familia'!A93)/B93</f>
        <v>0</v>
      </c>
      <c r="G93" s="21">
        <f>SUMIFS(Stock!R:R,Stock!B:B,"CD CIUDADELA                  ",Stock!P:P,'Necesidad por familia'!A93)/B93</f>
        <v>49</v>
      </c>
      <c r="H93" s="21">
        <f>Tabla1[[#This Row],[Moreno2]]+Tabla1[[#This Row],[Ciudadela3]]</f>
        <v>49</v>
      </c>
      <c r="I93" s="11" t="str">
        <f t="shared" si="2"/>
        <v>Sin consumo</v>
      </c>
      <c r="J93" s="58" t="str">
        <f>IF(Tabla1[[#This Row],[Diferencia]]="Sin Consumo","100%",Tabla1[[#This Row],[Stock total]]/(Tabla1[[#This Row],[Moreno]]+Tabla1[[#This Row],[Ciudadela]]))</f>
        <v>100%</v>
      </c>
      <c r="K93" s="1"/>
      <c r="L93" s="16"/>
    </row>
    <row r="94" spans="1:13" hidden="1" x14ac:dyDescent="0.35">
      <c r="A94" s="22" t="s">
        <v>126</v>
      </c>
      <c r="B94" s="11">
        <v>75</v>
      </c>
      <c r="C94" s="11" t="str">
        <f>IF(ISNUMBER(_xlfn.XMATCH(A94,'Calcular necesidad'!E:E,0)),"OK","NO ESTA")</f>
        <v>NO ESTA</v>
      </c>
      <c r="D94" s="19">
        <f>SUM(
SUMIF('Calcular necesidad'!E:E,'Necesidad por familia'!A94,'Calcular necesidad'!G:G) +
SUMIF('Calcular necesidad'!E:E,'Necesidad por familia'!A94,'Calcular necesidad'!I:I) +
SUMIF('Calcular necesidad'!E:E,'Necesidad por familia'!A94,'Calcular necesidad'!K:K) +
SUMIF('Calcular necesidad'!E:E,'Necesidad por familia'!A94,'Calcular necesidad'!J:J)
)/B94</f>
        <v>0</v>
      </c>
      <c r="E94" s="19">
        <f>SUMIF('Calcular necesidad'!E:E,'Necesidad por familia'!A94,'Calcular necesidad'!$H:$H)/B94</f>
        <v>0</v>
      </c>
      <c r="F94" s="21">
        <f>SUMIFS(Stock!R:R,Stock!B:B,"&lt;&gt;CD CIUDADELA                  ",Stock!P:P,'Necesidad por familia'!A94)/B94</f>
        <v>0</v>
      </c>
      <c r="G94" s="21">
        <f>SUMIFS(Stock!R:R,Stock!B:B,"CD CIUDADELA                  ",Stock!P:P,'Necesidad por familia'!A94)/B94</f>
        <v>182</v>
      </c>
      <c r="H94" s="21">
        <f>Tabla1[[#This Row],[Moreno2]]+Tabla1[[#This Row],[Ciudadela3]]</f>
        <v>182</v>
      </c>
      <c r="I94" s="11" t="str">
        <f t="shared" si="2"/>
        <v>Sin consumo</v>
      </c>
      <c r="J94" s="58" t="str">
        <f>IF(Tabla1[[#This Row],[Diferencia]]="Sin Consumo","100%",Tabla1[[#This Row],[Stock total]]/(Tabla1[[#This Row],[Moreno]]+Tabla1[[#This Row],[Ciudadela]]))</f>
        <v>100%</v>
      </c>
      <c r="K94" s="1"/>
      <c r="L94" s="16"/>
    </row>
    <row r="95" spans="1:13" hidden="1" x14ac:dyDescent="0.35">
      <c r="A95" s="22" t="s">
        <v>127</v>
      </c>
      <c r="B95" s="11">
        <v>100</v>
      </c>
      <c r="C95" s="11" t="str">
        <f>IF(ISNUMBER(_xlfn.XMATCH(A95,'Calcular necesidad'!E:E,0)),"OK","NO ESTA")</f>
        <v>NO ESTA</v>
      </c>
      <c r="D95" s="19">
        <f>SUM(
SUMIF('Calcular necesidad'!E:E,'Necesidad por familia'!A95,'Calcular necesidad'!G:G) +
SUMIF('Calcular necesidad'!E:E,'Necesidad por familia'!A95,'Calcular necesidad'!I:I) +
SUMIF('Calcular necesidad'!E:E,'Necesidad por familia'!A95,'Calcular necesidad'!K:K) +
SUMIF('Calcular necesidad'!E:E,'Necesidad por familia'!A95,'Calcular necesidad'!J:J)
)/B95</f>
        <v>0</v>
      </c>
      <c r="E95" s="19">
        <f>SUMIF('Calcular necesidad'!E:E,'Necesidad por familia'!A95,'Calcular necesidad'!$H:$H)/B95</f>
        <v>0</v>
      </c>
      <c r="F95" s="21">
        <f>SUMIFS(Stock!R:R,Stock!B:B,"&lt;&gt;CD CIUDADELA                  ",Stock!P:P,'Necesidad por familia'!A95)/B95</f>
        <v>0</v>
      </c>
      <c r="G95" s="21">
        <f>SUMIFS(Stock!R:R,Stock!B:B,"CD CIUDADELA                  ",Stock!P:P,'Necesidad por familia'!A95)/B95</f>
        <v>0</v>
      </c>
      <c r="H95" s="21">
        <f>Tabla1[[#This Row],[Moreno2]]+Tabla1[[#This Row],[Ciudadela3]]</f>
        <v>0</v>
      </c>
      <c r="I95" s="11" t="str">
        <f t="shared" si="2"/>
        <v>Sin consumo</v>
      </c>
      <c r="J95" s="58" t="str">
        <f>IF(Tabla1[[#This Row],[Diferencia]]="Sin Consumo","100%",Tabla1[[#This Row],[Stock total]]/(Tabla1[[#This Row],[Moreno]]+Tabla1[[#This Row],[Ciudadela]]))</f>
        <v>100%</v>
      </c>
      <c r="L95" s="16"/>
    </row>
    <row r="96" spans="1:13" hidden="1" x14ac:dyDescent="0.35">
      <c r="A96" s="22" t="s">
        <v>128</v>
      </c>
      <c r="B96" s="11">
        <v>1000</v>
      </c>
      <c r="C96" s="11" t="str">
        <f>IF(ISNUMBER(_xlfn.XMATCH(A96,'Calcular necesidad'!E:E,0)),"OK","NO ESTA")</f>
        <v>NO ESTA</v>
      </c>
      <c r="D96" s="19">
        <f>SUM(
SUMIF('Calcular necesidad'!E:E,'Necesidad por familia'!A96,'Calcular necesidad'!G:G) +
SUMIF('Calcular necesidad'!E:E,'Necesidad por familia'!A96,'Calcular necesidad'!I:I) +
SUMIF('Calcular necesidad'!E:E,'Necesidad por familia'!A96,'Calcular necesidad'!K:K) +
SUMIF('Calcular necesidad'!E:E,'Necesidad por familia'!A96,'Calcular necesidad'!J:J)
)/B96</f>
        <v>0</v>
      </c>
      <c r="E96" s="19">
        <f>SUMIF('Calcular necesidad'!E:E,'Necesidad por familia'!A96,'Calcular necesidad'!$H:$H)/B96</f>
        <v>0</v>
      </c>
      <c r="F96" s="21">
        <f>SUMIFS(Stock!R:R,Stock!B:B,"&lt;&gt;CD CIUDADELA                  ",Stock!P:P,'Necesidad por familia'!A96)/B96</f>
        <v>781</v>
      </c>
      <c r="G96" s="21">
        <f>SUMIFS(Stock!R:R,Stock!B:B,"CD CIUDADELA                  ",Stock!P:P,'Necesidad por familia'!A96)/B96</f>
        <v>0</v>
      </c>
      <c r="H96" s="21">
        <f>Tabla1[[#This Row],[Moreno2]]+Tabla1[[#This Row],[Ciudadela3]]</f>
        <v>781</v>
      </c>
      <c r="I96" s="11" t="str">
        <f t="shared" si="2"/>
        <v>Sin consumo</v>
      </c>
      <c r="J96" s="58" t="str">
        <f>IF(Tabla1[[#This Row],[Diferencia]]="Sin Consumo","100%",Tabla1[[#This Row],[Stock total]]/(Tabla1[[#This Row],[Moreno]]+Tabla1[[#This Row],[Ciudadela]]))</f>
        <v>100%</v>
      </c>
      <c r="L96" s="16"/>
    </row>
    <row r="97" spans="1:13" hidden="1" x14ac:dyDescent="0.35">
      <c r="A97" s="22" t="s">
        <v>129</v>
      </c>
      <c r="B97" s="11">
        <v>1</v>
      </c>
      <c r="C97" s="11" t="str">
        <f>IF(ISNUMBER(_xlfn.XMATCH(A97,'Calcular necesidad'!E:E,0)),"OK","NO ESTA")</f>
        <v>OK</v>
      </c>
      <c r="D97" s="19">
        <f>SUM(
SUMIF('Calcular necesidad'!E:E,'Necesidad por familia'!A97,'Calcular necesidad'!G:G) +
SUMIF('Calcular necesidad'!E:E,'Necesidad por familia'!A97,'Calcular necesidad'!I:I) +
SUMIF('Calcular necesidad'!E:E,'Necesidad por familia'!A97,'Calcular necesidad'!K:K) +
SUMIF('Calcular necesidad'!E:E,'Necesidad por familia'!A97,'Calcular necesidad'!J:J)
)/B97</f>
        <v>0</v>
      </c>
      <c r="E97" s="19">
        <f>SUMIF('Calcular necesidad'!E:E,'Necesidad por familia'!A97,'Calcular necesidad'!$H:$H)/B97</f>
        <v>101</v>
      </c>
      <c r="F97" s="21">
        <f>SUMIFS(Stock!R:R,Stock!B:B,"&lt;&gt;CD CIUDADELA                  ",Stock!P:P,'Necesidad por familia'!A97)/B97</f>
        <v>1144</v>
      </c>
      <c r="G97" s="21">
        <f>SUMIFS(Stock!R:R,Stock!B:B,"CD CIUDADELA                  ",Stock!P:P,'Necesidad por familia'!A97)/B97</f>
        <v>130</v>
      </c>
      <c r="H97" s="21">
        <f>Tabla1[[#This Row],[Moreno2]]+Tabla1[[#This Row],[Ciudadela3]]</f>
        <v>1274</v>
      </c>
      <c r="I97" s="11">
        <f t="shared" si="2"/>
        <v>1173</v>
      </c>
      <c r="J97" s="58">
        <f>IF(Tabla1[[#This Row],[Diferencia]]="Sin Consumo","100%",Tabla1[[#This Row],[Stock total]]/(Tabla1[[#This Row],[Moreno]]+Tabla1[[#This Row],[Ciudadela]]))</f>
        <v>12.613861386138614</v>
      </c>
      <c r="K97" s="1"/>
      <c r="L97" s="16"/>
    </row>
    <row r="98" spans="1:13" hidden="1" x14ac:dyDescent="0.35">
      <c r="A98" s="23" t="s">
        <v>130</v>
      </c>
      <c r="B98" s="11">
        <v>100</v>
      </c>
      <c r="C98" s="11" t="str">
        <f>IF(ISNUMBER(_xlfn.XMATCH(A98,'Calcular necesidad'!E:E,0)),"OK","NO ESTA")</f>
        <v>OK</v>
      </c>
      <c r="D98" s="19">
        <f>SUM(
SUMIF('Calcular necesidad'!E:E,'Necesidad por familia'!A98,'Calcular necesidad'!G:G) +
SUMIF('Calcular necesidad'!E:E,'Necesidad por familia'!A98,'Calcular necesidad'!I:I) +
SUMIF('Calcular necesidad'!E:E,'Necesidad por familia'!A98,'Calcular necesidad'!K:K) +
SUMIF('Calcular necesidad'!E:E,'Necesidad por familia'!A98,'Calcular necesidad'!J:J)
)/B98</f>
        <v>0</v>
      </c>
      <c r="E98" s="19">
        <f>SUMIF('Calcular necesidad'!E:E,'Necesidad por familia'!A98,'Calcular necesidad'!$H:$H)/B98</f>
        <v>50</v>
      </c>
      <c r="F98" s="21">
        <f>SUMIFS(Stock!R:R,Stock!B:B,"&lt;&gt;CD CIUDADELA                  ",Stock!P:P,'Necesidad por familia'!A98)/B98</f>
        <v>0</v>
      </c>
      <c r="G98" s="21">
        <f>SUMIFS(Stock!R:R,Stock!B:B,"CD CIUDADELA                  ",Stock!P:P,'Necesidad por familia'!A98)/B98</f>
        <v>110</v>
      </c>
      <c r="H98" s="21">
        <f>Tabla1[[#This Row],[Moreno2]]+Tabla1[[#This Row],[Ciudadela3]]</f>
        <v>110</v>
      </c>
      <c r="I98" s="11">
        <f t="shared" si="2"/>
        <v>60</v>
      </c>
      <c r="J98" s="58">
        <f>IF(Tabla1[[#This Row],[Diferencia]]="Sin Consumo","100%",Tabla1[[#This Row],[Stock total]]/(Tabla1[[#This Row],[Moreno]]+Tabla1[[#This Row],[Ciudadela]]))</f>
        <v>2.2000000000000002</v>
      </c>
      <c r="K98" s="1"/>
      <c r="L98" s="53">
        <v>4600121604</v>
      </c>
      <c r="M98" t="s">
        <v>103</v>
      </c>
    </row>
    <row r="99" spans="1:13" hidden="1" x14ac:dyDescent="0.35">
      <c r="A99" s="23" t="s">
        <v>131</v>
      </c>
      <c r="B99" s="11">
        <v>4</v>
      </c>
      <c r="C99" s="11" t="str">
        <f>IF(ISNUMBER(_xlfn.XMATCH(A99,'Calcular necesidad'!E:E,0)),"OK","NO ESTA")</f>
        <v>OK</v>
      </c>
      <c r="D99" s="19">
        <f>SUM(
SUMIF('Calcular necesidad'!E:E,'Necesidad por familia'!A99,'Calcular necesidad'!G:G) +
SUMIF('Calcular necesidad'!E:E,'Necesidad por familia'!A99,'Calcular necesidad'!I:I) +
SUMIF('Calcular necesidad'!E:E,'Necesidad por familia'!A99,'Calcular necesidad'!K:K) +
SUMIF('Calcular necesidad'!E:E,'Necesidad por familia'!A99,'Calcular necesidad'!J:J)
)/B99</f>
        <v>0</v>
      </c>
      <c r="E99" s="19">
        <f>SUMIF('Calcular necesidad'!E:E,'Necesidad por familia'!A99,'Calcular necesidad'!$H:$H)/B99</f>
        <v>0</v>
      </c>
      <c r="F99" s="21">
        <f>SUMIFS(Stock!R:R,Stock!B:B,"&lt;&gt;CD CIUDADELA                  ",Stock!P:P,'Necesidad por familia'!A99)/B99</f>
        <v>0</v>
      </c>
      <c r="G99" s="21">
        <f>SUMIFS(Stock!R:R,Stock!B:B,"CD CIUDADELA                  ",Stock!P:P,'Necesidad por familia'!A99)/B99</f>
        <v>0</v>
      </c>
      <c r="H99" s="21">
        <f>Tabla1[[#This Row],[Moreno2]]+Tabla1[[#This Row],[Ciudadela3]]</f>
        <v>0</v>
      </c>
      <c r="I99" s="11" t="str">
        <f t="shared" ref="I99:I126" si="3">IF((D99+E99)=0,"Sin consumo",(F99+G99)-(D99+E99))</f>
        <v>Sin consumo</v>
      </c>
      <c r="J99" s="58" t="str">
        <f>IF(Tabla1[[#This Row],[Diferencia]]="Sin Consumo","100%",Tabla1[[#This Row],[Stock total]]/(Tabla1[[#This Row],[Moreno]]+Tabla1[[#This Row],[Ciudadela]]))</f>
        <v>100%</v>
      </c>
      <c r="K99" s="1"/>
      <c r="L99" s="52"/>
    </row>
    <row r="100" spans="1:13" hidden="1" x14ac:dyDescent="0.35">
      <c r="A100" s="23" t="s">
        <v>132</v>
      </c>
      <c r="B100" s="11">
        <v>600</v>
      </c>
      <c r="C100" s="11" t="str">
        <f>IF(ISNUMBER(_xlfn.XMATCH(A100,'Calcular necesidad'!E:E,0)),"OK","NO ESTA")</f>
        <v>OK</v>
      </c>
      <c r="D100" s="19">
        <f>SUM(
SUMIF('Calcular necesidad'!E:E,'Necesidad por familia'!A100,'Calcular necesidad'!G:G) +
SUMIF('Calcular necesidad'!E:E,'Necesidad por familia'!A100,'Calcular necesidad'!I:I) +
SUMIF('Calcular necesidad'!E:E,'Necesidad por familia'!A100,'Calcular necesidad'!K:K) +
SUMIF('Calcular necesidad'!E:E,'Necesidad por familia'!A100,'Calcular necesidad'!J:J)
)/B100</f>
        <v>0</v>
      </c>
      <c r="E100" s="19">
        <f>SUMIF('Calcular necesidad'!E:E,'Necesidad por familia'!A100,'Calcular necesidad'!$H:$H)/B100</f>
        <v>20</v>
      </c>
      <c r="F100" s="21">
        <f>SUMIFS(Stock!R:R,Stock!B:B,"&lt;&gt;CD CIUDADELA                  ",Stock!P:P,'Necesidad por familia'!A100)/B100</f>
        <v>0</v>
      </c>
      <c r="G100" s="21">
        <f>SUMIFS(Stock!R:R,Stock!B:B,"CD CIUDADELA                  ",Stock!P:P,'Necesidad por familia'!A100)/B100</f>
        <v>10</v>
      </c>
      <c r="H100" s="21">
        <f>Tabla1[[#This Row],[Moreno2]]+Tabla1[[#This Row],[Ciudadela3]]</f>
        <v>10</v>
      </c>
      <c r="I100" s="11">
        <f t="shared" si="3"/>
        <v>-10</v>
      </c>
      <c r="J100" s="58">
        <f>IF(Tabla1[[#This Row],[Diferencia]]="Sin Consumo","100%",Tabla1[[#This Row],[Stock total]]/(Tabla1[[#This Row],[Moreno]]+Tabla1[[#This Row],[Ciudadela]]))</f>
        <v>0.5</v>
      </c>
      <c r="K100" s="1"/>
      <c r="L100" s="53">
        <v>4600121604</v>
      </c>
      <c r="M100" t="s">
        <v>103</v>
      </c>
    </row>
    <row r="101" spans="1:13" x14ac:dyDescent="0.35">
      <c r="A101" s="23" t="s">
        <v>133</v>
      </c>
      <c r="B101" s="11">
        <v>700</v>
      </c>
      <c r="C101" s="11" t="str">
        <f>IF(ISNUMBER(_xlfn.XMATCH(A101,'Calcular necesidad'!E:E,0)),"OK","NO ESTA")</f>
        <v>OK</v>
      </c>
      <c r="D101" s="19">
        <f>SUM(
SUMIF('Calcular necesidad'!E:E,'Necesidad por familia'!A101,'Calcular necesidad'!G:G) +
SUMIF('Calcular necesidad'!E:E,'Necesidad por familia'!A101,'Calcular necesidad'!I:I) +
SUMIF('Calcular necesidad'!E:E,'Necesidad por familia'!A101,'Calcular necesidad'!K:K) +
SUMIF('Calcular necesidad'!E:E,'Necesidad por familia'!A101,'Calcular necesidad'!J:J)
)/B101</f>
        <v>0</v>
      </c>
      <c r="E101" s="19">
        <f>SUMIF('Calcular necesidad'!E:E,'Necesidad por familia'!A101,'Calcular necesidad'!$H:$H)/B101</f>
        <v>25</v>
      </c>
      <c r="F101" s="21">
        <f>SUMIFS(Stock!R:R,Stock!B:B,"&lt;&gt;CD CIUDADELA                  ",Stock!P:P,'Necesidad por familia'!A101)/B101</f>
        <v>0</v>
      </c>
      <c r="G101" s="21">
        <f>SUMIFS(Stock!R:R,Stock!B:B,"CD CIUDADELA                  ",Stock!P:P,'Necesidad por familia'!A101)/B101</f>
        <v>0</v>
      </c>
      <c r="H101" s="21">
        <f>Tabla1[[#This Row],[Moreno2]]+Tabla1[[#This Row],[Ciudadela3]]</f>
        <v>0</v>
      </c>
      <c r="I101" s="11">
        <f t="shared" si="3"/>
        <v>-25</v>
      </c>
      <c r="J101" s="58">
        <f>IF(Tabla1[[#This Row],[Diferencia]]="Sin Consumo","100%",Tabla1[[#This Row],[Stock total]]/(Tabla1[[#This Row],[Moreno]]+Tabla1[[#This Row],[Ciudadela]]))</f>
        <v>0</v>
      </c>
      <c r="K101" s="1" t="s">
        <v>134</v>
      </c>
      <c r="L101" s="53">
        <v>4600122589</v>
      </c>
      <c r="M101" t="s">
        <v>103</v>
      </c>
    </row>
    <row r="102" spans="1:13" x14ac:dyDescent="0.35">
      <c r="A102" s="23" t="s">
        <v>135</v>
      </c>
      <c r="B102" s="11">
        <v>900</v>
      </c>
      <c r="C102" s="11" t="str">
        <f>IF(ISNUMBER(_xlfn.XMATCH(A102,'Calcular necesidad'!E:E,0)),"OK","NO ESTA")</f>
        <v>OK</v>
      </c>
      <c r="D102" s="19">
        <f>SUM(
SUMIF('Calcular necesidad'!E:E,'Necesidad por familia'!A102,'Calcular necesidad'!G:G) +
SUMIF('Calcular necesidad'!E:E,'Necesidad por familia'!A102,'Calcular necesidad'!I:I) +
SUMIF('Calcular necesidad'!E:E,'Necesidad por familia'!A102,'Calcular necesidad'!K:K) +
SUMIF('Calcular necesidad'!E:E,'Necesidad por familia'!A102,'Calcular necesidad'!J:J)
)/B102</f>
        <v>0</v>
      </c>
      <c r="E102" s="19">
        <f>SUMIF('Calcular necesidad'!E:E,'Necesidad por familia'!A102,'Calcular necesidad'!$H:$H)/B102</f>
        <v>28</v>
      </c>
      <c r="F102" s="21">
        <f>SUMIFS(Stock!R:R,Stock!B:B,"&lt;&gt;CD CIUDADELA                  ",Stock!P:P,'Necesidad por familia'!A102)/B102</f>
        <v>0</v>
      </c>
      <c r="G102" s="21">
        <f>SUMIFS(Stock!R:R,Stock!B:B,"CD CIUDADELA                  ",Stock!P:P,'Necesidad por familia'!A102)/B102</f>
        <v>0</v>
      </c>
      <c r="H102" s="21">
        <f>Tabla1[[#This Row],[Moreno2]]+Tabla1[[#This Row],[Ciudadela3]]</f>
        <v>0</v>
      </c>
      <c r="I102" s="11">
        <f t="shared" si="3"/>
        <v>-28</v>
      </c>
      <c r="J102" s="58">
        <f>IF(Tabla1[[#This Row],[Diferencia]]="Sin Consumo","100%",Tabla1[[#This Row],[Stock total]]/(Tabla1[[#This Row],[Moreno]]+Tabla1[[#This Row],[Ciudadela]]))</f>
        <v>0</v>
      </c>
      <c r="K102" s="1" t="s">
        <v>134</v>
      </c>
      <c r="L102" s="53">
        <v>4600122589</v>
      </c>
      <c r="M102" t="s">
        <v>103</v>
      </c>
    </row>
    <row r="103" spans="1:13" hidden="1" x14ac:dyDescent="0.35">
      <c r="A103" s="23" t="s">
        <v>136</v>
      </c>
      <c r="B103" s="11">
        <v>8</v>
      </c>
      <c r="C103" s="11" t="str">
        <f>IF(ISNUMBER(_xlfn.XMATCH(A103,'Calcular necesidad'!E:E,0)),"OK","NO ESTA")</f>
        <v>OK</v>
      </c>
      <c r="D103" s="19">
        <f>SUM(
SUMIF('Calcular necesidad'!E:E,'Necesidad por familia'!A103,'Calcular necesidad'!G:G) +
SUMIF('Calcular necesidad'!E:E,'Necesidad por familia'!A103,'Calcular necesidad'!I:I) +
SUMIF('Calcular necesidad'!E:E,'Necesidad por familia'!A103,'Calcular necesidad'!K:K) +
SUMIF('Calcular necesidad'!E:E,'Necesidad por familia'!A103,'Calcular necesidad'!J:J)
)/B103</f>
        <v>0</v>
      </c>
      <c r="E103" s="19">
        <f>SUMIF('Calcular necesidad'!E:E,'Necesidad por familia'!A103,'Calcular necesidad'!$H:$H)/B103</f>
        <v>0</v>
      </c>
      <c r="F103" s="21">
        <f>SUMIFS(Stock!R:R,Stock!B:B,"&lt;&gt;CD CIUDADELA                  ",Stock!P:P,'Necesidad por familia'!A103)/B103</f>
        <v>0</v>
      </c>
      <c r="G103" s="21">
        <f>SUMIFS(Stock!R:R,Stock!B:B,"CD CIUDADELA                  ",Stock!P:P,'Necesidad por familia'!A103)/B103</f>
        <v>0</v>
      </c>
      <c r="H103" s="21">
        <f>Tabla1[[#This Row],[Moreno2]]+Tabla1[[#This Row],[Ciudadela3]]</f>
        <v>0</v>
      </c>
      <c r="I103" s="11" t="str">
        <f t="shared" si="3"/>
        <v>Sin consumo</v>
      </c>
      <c r="J103" s="58" t="str">
        <f>IF(Tabla1[[#This Row],[Diferencia]]="Sin Consumo","100%",Tabla1[[#This Row],[Stock total]]/(Tabla1[[#This Row],[Moreno]]+Tabla1[[#This Row],[Ciudadela]]))</f>
        <v>100%</v>
      </c>
      <c r="K103" s="1"/>
      <c r="L103" s="52"/>
    </row>
    <row r="104" spans="1:13" hidden="1" x14ac:dyDescent="0.35">
      <c r="A104" s="23" t="s">
        <v>137</v>
      </c>
      <c r="B104" s="11">
        <v>1000</v>
      </c>
      <c r="C104" s="11" t="str">
        <f>IF(ISNUMBER(_xlfn.XMATCH(A104,'Calcular necesidad'!E:E,0)),"OK","NO ESTA")</f>
        <v>OK</v>
      </c>
      <c r="D104" s="19">
        <f>SUM(
SUMIF('Calcular necesidad'!E:E,'Necesidad por familia'!A104,'Calcular necesidad'!G:G) +
SUMIF('Calcular necesidad'!E:E,'Necesidad por familia'!A104,'Calcular necesidad'!I:I) +
SUMIF('Calcular necesidad'!E:E,'Necesidad por familia'!A104,'Calcular necesidad'!K:K) +
SUMIF('Calcular necesidad'!E:E,'Necesidad por familia'!A104,'Calcular necesidad'!J:J)
)/B104</f>
        <v>0</v>
      </c>
      <c r="E104" s="19">
        <f>SUMIF('Calcular necesidad'!E:E,'Necesidad por familia'!A104,'Calcular necesidad'!$H:$H)/B104</f>
        <v>0</v>
      </c>
      <c r="F104" s="21">
        <f>SUMIFS(Stock!R:R,Stock!B:B,"&lt;&gt;CD CIUDADELA                  ",Stock!P:P,'Necesidad por familia'!A104)/B104</f>
        <v>0</v>
      </c>
      <c r="G104" s="21">
        <f>SUMIFS(Stock!R:R,Stock!B:B,"CD CIUDADELA                  ",Stock!P:P,'Necesidad por familia'!A104)/B104</f>
        <v>29</v>
      </c>
      <c r="H104" s="21">
        <f>Tabla1[[#This Row],[Moreno2]]+Tabla1[[#This Row],[Ciudadela3]]</f>
        <v>29</v>
      </c>
      <c r="I104" s="11" t="str">
        <f t="shared" si="3"/>
        <v>Sin consumo</v>
      </c>
      <c r="J104" s="58" t="str">
        <f>IF(Tabla1[[#This Row],[Diferencia]]="Sin Consumo","100%",Tabla1[[#This Row],[Stock total]]/(Tabla1[[#This Row],[Moreno]]+Tabla1[[#This Row],[Ciudadela]]))</f>
        <v>100%</v>
      </c>
      <c r="K104" s="1"/>
      <c r="L104" s="53">
        <v>4600121953</v>
      </c>
      <c r="M104" t="s">
        <v>28</v>
      </c>
    </row>
    <row r="105" spans="1:13" hidden="1" x14ac:dyDescent="0.35">
      <c r="A105" s="46" t="s">
        <v>138</v>
      </c>
      <c r="B105" s="1">
        <v>8400</v>
      </c>
      <c r="C105" s="11" t="str">
        <f>IF(ISNUMBER(_xlfn.XMATCH(A105,'Calcular necesidad'!E:E,0)),"OK","NO ESTA")</f>
        <v>OK</v>
      </c>
      <c r="D105" s="50">
        <f>SUM(
SUMIF('Calcular necesidad'!E:E,'Necesidad por familia'!A105,'Calcular necesidad'!G:G) +
SUMIF('Calcular necesidad'!E:E,'Necesidad por familia'!A105,'Calcular necesidad'!I:I) +
SUMIF('Calcular necesidad'!E:E,'Necesidad por familia'!A105,'Calcular necesidad'!K:K) +
SUMIF('Calcular necesidad'!E:E,'Necesidad por familia'!A105,'Calcular necesidad'!J:J)
)/B105</f>
        <v>0</v>
      </c>
      <c r="E105" s="50">
        <f>SUMIF('Calcular necesidad'!E:E,'Necesidad por familia'!A105,'Calcular necesidad'!$H:$H)/B105</f>
        <v>13.619047619047619</v>
      </c>
      <c r="F105" s="51">
        <f>SUMIFS(Stock!R:R,Stock!B:B,"&lt;&gt;CD CIUDADELA                  ",Stock!P:P,'Necesidad por familia'!A105)/B105</f>
        <v>30</v>
      </c>
      <c r="G105" s="51">
        <f>SUMIFS(Stock!R:R,Stock!B:B,"CD CIUDADELA                  ",Stock!P:P,'Necesidad por familia'!A105)/B105</f>
        <v>43</v>
      </c>
      <c r="H105" s="51">
        <f>Tabla1[[#This Row],[Moreno2]]+Tabla1[[#This Row],[Ciudadela3]]</f>
        <v>73</v>
      </c>
      <c r="I105" s="1">
        <f t="shared" si="3"/>
        <v>59.38095238095238</v>
      </c>
      <c r="J105" s="58">
        <f>IF(Tabla1[[#This Row],[Diferencia]]="Sin Consumo","100%",Tabla1[[#This Row],[Stock total]]/(Tabla1[[#This Row],[Moreno]]+Tabla1[[#This Row],[Ciudadela]]))</f>
        <v>5.36013986013986</v>
      </c>
      <c r="K105" s="1"/>
      <c r="L105" s="53">
        <v>4600121997</v>
      </c>
      <c r="M105" t="s">
        <v>139</v>
      </c>
    </row>
    <row r="106" spans="1:13" hidden="1" x14ac:dyDescent="0.35">
      <c r="A106" s="22" t="s">
        <v>140</v>
      </c>
      <c r="B106" s="11">
        <v>100</v>
      </c>
      <c r="C106" s="11" t="str">
        <f>IF(ISNUMBER(_xlfn.XMATCH(A106,'Calcular necesidad'!E:E,0)),"OK","NO ESTA")</f>
        <v>OK</v>
      </c>
      <c r="D106" s="19">
        <f>SUM(
SUMIF('Calcular necesidad'!E:E,'Necesidad por familia'!A106,'Calcular necesidad'!G:G) +
SUMIF('Calcular necesidad'!E:E,'Necesidad por familia'!A106,'Calcular necesidad'!I:I) +
SUMIF('Calcular necesidad'!E:E,'Necesidad por familia'!A106,'Calcular necesidad'!K:K) +
SUMIF('Calcular necesidad'!E:E,'Necesidad por familia'!A106,'Calcular necesidad'!J:J)
)/B106</f>
        <v>0</v>
      </c>
      <c r="E106" s="19">
        <f>SUMIF('Calcular necesidad'!E:E,'Necesidad por familia'!A106,'Calcular necesidad'!$H:$H)/B106</f>
        <v>53</v>
      </c>
      <c r="F106" s="21">
        <f>SUMIFS(Stock!R:R,Stock!B:B,"&lt;&gt;CD CIUDADELA                  ",Stock!P:P,'Necesidad por familia'!A106)/B106</f>
        <v>276</v>
      </c>
      <c r="G106" s="21">
        <f>SUMIFS(Stock!R:R,Stock!B:B,"CD CIUDADELA                  ",Stock!P:P,'Necesidad por familia'!A106)/B106</f>
        <v>0</v>
      </c>
      <c r="H106" s="21">
        <f>Tabla1[[#This Row],[Moreno2]]+Tabla1[[#This Row],[Ciudadela3]]</f>
        <v>276</v>
      </c>
      <c r="I106" s="11">
        <f t="shared" si="3"/>
        <v>223</v>
      </c>
      <c r="J106" s="58">
        <f>IF(Tabla1[[#This Row],[Diferencia]]="Sin Consumo","100%",Tabla1[[#This Row],[Stock total]]/(Tabla1[[#This Row],[Moreno]]+Tabla1[[#This Row],[Ciudadela]]))</f>
        <v>5.2075471698113205</v>
      </c>
    </row>
    <row r="107" spans="1:13" hidden="1" x14ac:dyDescent="0.35">
      <c r="A107" s="27" t="s">
        <v>141</v>
      </c>
      <c r="B107" s="28">
        <v>1</v>
      </c>
      <c r="C107" s="28" t="str">
        <f>IF(ISNUMBER(_xlfn.XMATCH(A107,'Calcular necesidad'!E:E,0)),"OK","NO ESTA")</f>
        <v>NO ESTA</v>
      </c>
      <c r="D107" s="29">
        <f>SUM(
SUMIF('Calcular necesidad'!E:E,'Necesidad por familia'!A107,'Calcular necesidad'!G:G) +
SUMIF('Calcular necesidad'!E:E,'Necesidad por familia'!A107,'Calcular necesidad'!I:I) +
SUMIF('Calcular necesidad'!E:E,'Necesidad por familia'!A107,'Calcular necesidad'!K:K) +
SUMIF('Calcular necesidad'!E:E,'Necesidad por familia'!A107,'Calcular necesidad'!J:J)
)/B107</f>
        <v>0</v>
      </c>
      <c r="E107" s="29">
        <f>SUMIF('Calcular necesidad'!E:E,'Necesidad por familia'!A107,'Calcular necesidad'!$H:$H)/B107</f>
        <v>0</v>
      </c>
      <c r="F107" s="30">
        <f>SUMIFS(Stock!R:R,Stock!B:B,"&lt;&gt;CD CIUDADELA                  ",Stock!P:P,'Necesidad por familia'!A107)/B107</f>
        <v>10</v>
      </c>
      <c r="G107" s="30">
        <f>SUMIFS(Stock!R:R,Stock!B:B,"CD CIUDADELA                  ",Stock!P:P,'Necesidad por familia'!A107)/B107</f>
        <v>0</v>
      </c>
      <c r="H107" s="30">
        <f>Tabla1[[#This Row],[Moreno2]]+Tabla1[[#This Row],[Ciudadela3]]</f>
        <v>10</v>
      </c>
      <c r="I107" s="28" t="str">
        <f t="shared" si="3"/>
        <v>Sin consumo</v>
      </c>
      <c r="J107" s="58" t="str">
        <f>IF(Tabla1[[#This Row],[Diferencia]]="Sin Consumo","100%",Tabla1[[#This Row],[Stock total]]/(Tabla1[[#This Row],[Moreno]]+Tabla1[[#This Row],[Ciudadela]]))</f>
        <v>100%</v>
      </c>
    </row>
    <row r="108" spans="1:13" x14ac:dyDescent="0.35">
      <c r="A108" s="27" t="s">
        <v>142</v>
      </c>
      <c r="B108" s="28">
        <v>500</v>
      </c>
      <c r="C108" s="28" t="str">
        <f>IF(ISNUMBER(_xlfn.XMATCH(A108,'Calcular necesidad'!E:E,0)),"OK","NO ESTA")</f>
        <v>OK</v>
      </c>
      <c r="D108" s="29">
        <f>SUM(
SUMIF('Calcular necesidad'!E:E,'Necesidad por familia'!A108,'Calcular necesidad'!G:G) +
SUMIF('Calcular necesidad'!E:E,'Necesidad por familia'!A108,'Calcular necesidad'!I:I) +
SUMIF('Calcular necesidad'!E:E,'Necesidad por familia'!A108,'Calcular necesidad'!K:K) +
SUMIF('Calcular necesidad'!E:E,'Necesidad por familia'!A108,'Calcular necesidad'!J:J)
)/B108</f>
        <v>0</v>
      </c>
      <c r="E108" s="29">
        <f>SUMIF('Calcular necesidad'!E:E,'Necesidad por familia'!A108,'Calcular necesidad'!$H:$H)/B108</f>
        <v>3</v>
      </c>
      <c r="F108" s="30">
        <f>SUMIFS(Stock!R:R,Stock!B:B,"&lt;&gt;CD CIUDADELA                  ",Stock!P:P,'Necesidad por familia'!A108)/B108</f>
        <v>0</v>
      </c>
      <c r="G108" s="30">
        <f>SUMIFS(Stock!R:R,Stock!B:B,"CD CIUDADELA                  ",Stock!P:P,'Necesidad por familia'!A108)/B108</f>
        <v>0</v>
      </c>
      <c r="H108" s="30">
        <f>Tabla1[[#This Row],[Moreno2]]+Tabla1[[#This Row],[Ciudadela3]]</f>
        <v>0</v>
      </c>
      <c r="I108" s="28">
        <f t="shared" si="3"/>
        <v>-3</v>
      </c>
      <c r="J108" s="58">
        <f>IF(Tabla1[[#This Row],[Diferencia]]="Sin Consumo","100%",Tabla1[[#This Row],[Stock total]]/(Tabla1[[#This Row],[Moreno]]+Tabla1[[#This Row],[Ciudadela]]))</f>
        <v>0</v>
      </c>
      <c r="K108" s="1"/>
      <c r="L108" s="12">
        <v>4600120856</v>
      </c>
      <c r="M108" t="s">
        <v>103</v>
      </c>
    </row>
    <row r="109" spans="1:13" hidden="1" x14ac:dyDescent="0.35">
      <c r="A109" s="27" t="s">
        <v>143</v>
      </c>
      <c r="B109" s="28">
        <v>50</v>
      </c>
      <c r="C109" s="28" t="str">
        <f>IF(ISNUMBER(_xlfn.XMATCH(A109,'Calcular necesidad'!E:E,0)),"OK","NO ESTA")</f>
        <v>OK</v>
      </c>
      <c r="D109" s="29">
        <f>SUM(
SUMIF('Calcular necesidad'!E:E,'Necesidad por familia'!A109,'Calcular necesidad'!G:G) +
SUMIF('Calcular necesidad'!E:E,'Necesidad por familia'!A109,'Calcular necesidad'!I:I) +
SUMIF('Calcular necesidad'!E:E,'Necesidad por familia'!A109,'Calcular necesidad'!K:K) +
SUMIF('Calcular necesidad'!E:E,'Necesidad por familia'!A109,'Calcular necesidad'!J:J)
)/B109</f>
        <v>0</v>
      </c>
      <c r="E109" s="29">
        <f>SUMIF('Calcular necesidad'!E:E,'Necesidad por familia'!A109,'Calcular necesidad'!$H:$H)/B109</f>
        <v>0</v>
      </c>
      <c r="F109" s="30">
        <f>SUMIFS(Stock!R:R,Stock!B:B,"&lt;&gt;CD CIUDADELA                  ",Stock!P:P,'Necesidad por familia'!A109)/B109</f>
        <v>0</v>
      </c>
      <c r="G109" s="30">
        <f>SUMIFS(Stock!R:R,Stock!B:B,"CD CIUDADELA                  ",Stock!P:P,'Necesidad por familia'!A109)/B109</f>
        <v>0</v>
      </c>
      <c r="H109" s="30">
        <f>Tabla1[[#This Row],[Moreno2]]+Tabla1[[#This Row],[Ciudadela3]]</f>
        <v>0</v>
      </c>
      <c r="I109" s="28" t="str">
        <f t="shared" si="3"/>
        <v>Sin consumo</v>
      </c>
      <c r="J109" s="58" t="str">
        <f>IF(Tabla1[[#This Row],[Diferencia]]="Sin Consumo","100%",Tabla1[[#This Row],[Stock total]]/(Tabla1[[#This Row],[Moreno]]+Tabla1[[#This Row],[Ciudadela]]))</f>
        <v>100%</v>
      </c>
      <c r="K109" s="1"/>
    </row>
    <row r="110" spans="1:13" x14ac:dyDescent="0.35">
      <c r="A110" s="27" t="s">
        <v>144</v>
      </c>
      <c r="B110" s="28">
        <v>600</v>
      </c>
      <c r="C110" s="28" t="str">
        <f>IF(ISNUMBER(_xlfn.XMATCH(A110,'Calcular necesidad'!E:E,0)),"OK","NO ESTA")</f>
        <v>OK</v>
      </c>
      <c r="D110" s="29">
        <f>SUM(
SUMIF('Calcular necesidad'!E:E,'Necesidad por familia'!A110,'Calcular necesidad'!G:G) +
SUMIF('Calcular necesidad'!E:E,'Necesidad por familia'!A110,'Calcular necesidad'!I:I) +
SUMIF('Calcular necesidad'!E:E,'Necesidad por familia'!A110,'Calcular necesidad'!K:K) +
SUMIF('Calcular necesidad'!E:E,'Necesidad por familia'!A110,'Calcular necesidad'!J:J)
)/B110</f>
        <v>0</v>
      </c>
      <c r="E110" s="29">
        <f>SUMIF('Calcular necesidad'!E:E,'Necesidad por familia'!A110,'Calcular necesidad'!$H:$H)/B110</f>
        <v>27</v>
      </c>
      <c r="F110" s="30">
        <f>SUMIFS(Stock!R:R,Stock!B:B,"&lt;&gt;CD CIUDADELA                  ",Stock!P:P,'Necesidad por familia'!A110)/B110</f>
        <v>0</v>
      </c>
      <c r="G110" s="30">
        <f>SUMIFS(Stock!R:R,Stock!B:B,"CD CIUDADELA                  ",Stock!P:P,'Necesidad por familia'!A110)/B110</f>
        <v>0</v>
      </c>
      <c r="H110" s="30">
        <f>Tabla1[[#This Row],[Moreno2]]+Tabla1[[#This Row],[Ciudadela3]]</f>
        <v>0</v>
      </c>
      <c r="I110" s="28">
        <f t="shared" si="3"/>
        <v>-27</v>
      </c>
      <c r="J110" s="58">
        <f>IF(Tabla1[[#This Row],[Diferencia]]="Sin Consumo","100%",Tabla1[[#This Row],[Stock total]]/(Tabla1[[#This Row],[Moreno]]+Tabla1[[#This Row],[Ciudadela]]))</f>
        <v>0</v>
      </c>
      <c r="K110" s="1"/>
      <c r="M110" t="s">
        <v>103</v>
      </c>
    </row>
    <row r="111" spans="1:13" hidden="1" x14ac:dyDescent="0.35">
      <c r="A111" s="22" t="s">
        <v>145</v>
      </c>
      <c r="B111" s="11">
        <v>100</v>
      </c>
      <c r="C111" s="11" t="str">
        <f>IF(ISNUMBER(_xlfn.XMATCH(A111,'Calcular necesidad'!E:E,0)),"OK","NO ESTA")</f>
        <v>OK</v>
      </c>
      <c r="D111" s="19">
        <f>SUM(
SUMIF('Calcular necesidad'!E:E,'Necesidad por familia'!A111,'Calcular necesidad'!G:G) +
SUMIF('Calcular necesidad'!E:E,'Necesidad por familia'!A111,'Calcular necesidad'!I:I) +
SUMIF('Calcular necesidad'!E:E,'Necesidad por familia'!A111,'Calcular necesidad'!K:K) +
SUMIF('Calcular necesidad'!E:E,'Necesidad por familia'!A111,'Calcular necesidad'!J:J)
)/B111</f>
        <v>0</v>
      </c>
      <c r="E111" s="19">
        <f>SUMIF('Calcular necesidad'!E:E,'Necesidad por familia'!A111,'Calcular necesidad'!$H:$H)/B111</f>
        <v>13</v>
      </c>
      <c r="F111" s="21">
        <f>SUMIFS(Stock!R:R,Stock!B:B,"&lt;&gt;CD CIUDADELA                  ",Stock!P:P,'Necesidad por familia'!A111)/B111</f>
        <v>8</v>
      </c>
      <c r="G111" s="21">
        <f>SUMIFS(Stock!R:R,Stock!B:B,"CD CIUDADELA                  ",Stock!P:P,'Necesidad por familia'!A111)/B111</f>
        <v>26</v>
      </c>
      <c r="H111" s="30">
        <f>Tabla1[[#This Row],[Moreno2]]+Tabla1[[#This Row],[Ciudadela3]]</f>
        <v>34</v>
      </c>
      <c r="I111" s="11">
        <f t="shared" si="3"/>
        <v>21</v>
      </c>
      <c r="J111" s="58">
        <f>IF(Tabla1[[#This Row],[Diferencia]]="Sin Consumo","100%",Tabla1[[#This Row],[Stock total]]/(Tabla1[[#This Row],[Moreno]]+Tabla1[[#This Row],[Ciudadela]]))</f>
        <v>2.6153846153846154</v>
      </c>
      <c r="K111" s="12" t="s">
        <v>146</v>
      </c>
    </row>
    <row r="112" spans="1:13" x14ac:dyDescent="0.35">
      <c r="A112" s="27" t="s">
        <v>147</v>
      </c>
      <c r="B112" s="28">
        <v>100</v>
      </c>
      <c r="C112" s="28" t="str">
        <f>IF(ISNUMBER(_xlfn.XMATCH(A112,'Calcular necesidad'!E:E,0)),"OK","NO ESTA")</f>
        <v>OK</v>
      </c>
      <c r="D112" s="29">
        <f>SUM(
SUMIF('Calcular necesidad'!E:E,'Necesidad por familia'!A112,'Calcular necesidad'!G:G) +
SUMIF('Calcular necesidad'!E:E,'Necesidad por familia'!A112,'Calcular necesidad'!I:I) +
SUMIF('Calcular necesidad'!E:E,'Necesidad por familia'!A112,'Calcular necesidad'!K:K) +
SUMIF('Calcular necesidad'!E:E,'Necesidad por familia'!A112,'Calcular necesidad'!J:J)
)/B112</f>
        <v>0</v>
      </c>
      <c r="E112" s="29">
        <f>SUMIF('Calcular necesidad'!E:E,'Necesidad por familia'!A112,'Calcular necesidad'!$H:$H)/B112</f>
        <v>10</v>
      </c>
      <c r="F112" s="30">
        <f>SUMIFS(Stock!R:R,Stock!B:B,"&lt;&gt;CD CIUDADELA                  ",Stock!P:P,'Necesidad por familia'!A112)/B112</f>
        <v>0</v>
      </c>
      <c r="G112" s="30">
        <f>SUMIFS(Stock!R:R,Stock!B:B,"CD CIUDADELA                  ",Stock!P:P,'Necesidad por familia'!A112)/B112</f>
        <v>0</v>
      </c>
      <c r="H112" s="70">
        <f>Tabla1[[#This Row],[Moreno2]]+Tabla1[[#This Row],[Ciudadela3]]</f>
        <v>0</v>
      </c>
      <c r="I112" s="28">
        <f t="shared" si="3"/>
        <v>-10</v>
      </c>
      <c r="J112" s="58">
        <f>IF(Tabla1[[#This Row],[Diferencia]]="Sin Consumo","100%",Tabla1[[#This Row],[Stock total]]/(Tabla1[[#This Row],[Moreno]]+Tabla1[[#This Row],[Ciudadela]]))</f>
        <v>0</v>
      </c>
      <c r="K112" s="12" t="s">
        <v>146</v>
      </c>
      <c r="M112" t="s">
        <v>148</v>
      </c>
    </row>
    <row r="113" spans="1:13" hidden="1" x14ac:dyDescent="0.35">
      <c r="A113" s="27" t="s">
        <v>149</v>
      </c>
      <c r="B113" s="28">
        <v>1000</v>
      </c>
      <c r="C113" s="28" t="str">
        <f>IF(ISNUMBER(_xlfn.XMATCH(A113,'Calcular necesidad'!E:E,0)),"OK","NO ESTA")</f>
        <v>OK</v>
      </c>
      <c r="D113" s="29">
        <f>SUM(
SUMIF('Calcular necesidad'!E:E,'Necesidad por familia'!A113,'Calcular necesidad'!G:G) +
SUMIF('Calcular necesidad'!E:E,'Necesidad por familia'!A113,'Calcular necesidad'!I:I) +
SUMIF('Calcular necesidad'!E:E,'Necesidad por familia'!A113,'Calcular necesidad'!K:K) +
SUMIF('Calcular necesidad'!E:E,'Necesidad por familia'!A113,'Calcular necesidad'!J:J)
)/B113</f>
        <v>0</v>
      </c>
      <c r="E113" s="29">
        <f>SUMIF('Calcular necesidad'!E:E,'Necesidad por familia'!A113,'Calcular necesidad'!$H:$H)/B113</f>
        <v>0</v>
      </c>
      <c r="F113" s="30">
        <f>SUMIFS(Stock!R:R,Stock!B:B,"&lt;&gt;CD CIUDADELA                  ",Stock!P:P,'Necesidad por familia'!A113)/B113</f>
        <v>0</v>
      </c>
      <c r="G113" s="30">
        <f>SUMIFS(Stock!R:R,Stock!B:B,"CD CIUDADELA                  ",Stock!P:P,'Necesidad por familia'!A113)/B113</f>
        <v>55</v>
      </c>
      <c r="H113" s="30">
        <f>Tabla1[[#This Row],[Moreno2]]+Tabla1[[#This Row],[Ciudadela3]]</f>
        <v>55</v>
      </c>
      <c r="I113" s="28" t="str">
        <f t="shared" si="3"/>
        <v>Sin consumo</v>
      </c>
      <c r="J113" s="58" t="str">
        <f>IF(Tabla1[[#This Row],[Diferencia]]="Sin Consumo","100%",Tabla1[[#This Row],[Stock total]]/(Tabla1[[#This Row],[Moreno]]+Tabla1[[#This Row],[Ciudadela]]))</f>
        <v>100%</v>
      </c>
    </row>
    <row r="114" spans="1:13" hidden="1" x14ac:dyDescent="0.35">
      <c r="A114" s="27" t="s">
        <v>150</v>
      </c>
      <c r="B114" s="28">
        <v>600</v>
      </c>
      <c r="C114" s="28" t="str">
        <f>IF(ISNUMBER(_xlfn.XMATCH(A114,'Calcular necesidad'!E:E,0)),"OK","NO ESTA")</f>
        <v>OK</v>
      </c>
      <c r="D114" s="29">
        <f>SUM(
SUMIF('Calcular necesidad'!E:E,'Necesidad por familia'!A114,'Calcular necesidad'!G:G) +
SUMIF('Calcular necesidad'!E:E,'Necesidad por familia'!A114,'Calcular necesidad'!I:I) +
SUMIF('Calcular necesidad'!E:E,'Necesidad por familia'!A114,'Calcular necesidad'!K:K) +
SUMIF('Calcular necesidad'!E:E,'Necesidad por familia'!A114,'Calcular necesidad'!J:J)
)/B114</f>
        <v>0</v>
      </c>
      <c r="E114" s="29">
        <f>SUMIF('Calcular necesidad'!E:E,'Necesidad por familia'!A114,'Calcular necesidad'!$H:$H)/B114</f>
        <v>0</v>
      </c>
      <c r="F114" s="30">
        <f>SUMIFS(Stock!R:R,Stock!B:B,"&lt;&gt;CD CIUDADELA                  ",Stock!P:P,'Necesidad por familia'!A114)/B114</f>
        <v>26</v>
      </c>
      <c r="G114" s="30">
        <f>SUMIFS(Stock!R:R,Stock!B:B,"CD CIUDADELA                  ",Stock!P:P,'Necesidad por familia'!A114)/B114</f>
        <v>0</v>
      </c>
      <c r="H114" s="30">
        <f>Tabla1[[#This Row],[Moreno2]]+Tabla1[[#This Row],[Ciudadela3]]</f>
        <v>26</v>
      </c>
      <c r="I114" s="28" t="str">
        <f t="shared" si="3"/>
        <v>Sin consumo</v>
      </c>
      <c r="J114" s="58" t="str">
        <f>IF(Tabla1[[#This Row],[Diferencia]]="Sin Consumo","100%",Tabla1[[#This Row],[Stock total]]/(Tabla1[[#This Row],[Moreno]]+Tabla1[[#This Row],[Ciudadela]]))</f>
        <v>100%</v>
      </c>
    </row>
    <row r="115" spans="1:13" hidden="1" x14ac:dyDescent="0.35">
      <c r="A115" s="27" t="s">
        <v>151</v>
      </c>
      <c r="B115" s="28">
        <v>1000</v>
      </c>
      <c r="C115" s="28" t="str">
        <f>IF(ISNUMBER(_xlfn.XMATCH(A115,'Calcular necesidad'!E:E,0)),"OK","NO ESTA")</f>
        <v>OK</v>
      </c>
      <c r="D115" s="29">
        <f>SUM(
SUMIF('Calcular necesidad'!E:E,'Necesidad por familia'!A115,'Calcular necesidad'!G:G) +
SUMIF('Calcular necesidad'!E:E,'Necesidad por familia'!A115,'Calcular necesidad'!I:I) +
SUMIF('Calcular necesidad'!E:E,'Necesidad por familia'!A115,'Calcular necesidad'!K:K) +
SUMIF('Calcular necesidad'!E:E,'Necesidad por familia'!A115,'Calcular necesidad'!J:J)
)/B115</f>
        <v>0</v>
      </c>
      <c r="E115" s="29">
        <f>SUMIF('Calcular necesidad'!E:E,'Necesidad por familia'!A115,'Calcular necesidad'!$H:$H)/B115</f>
        <v>37</v>
      </c>
      <c r="F115" s="30">
        <f>SUMIFS(Stock!R:R,Stock!B:B,"&lt;&gt;CD CIUDADELA                  ",Stock!P:P,'Necesidad por familia'!A115)/B115</f>
        <v>169</v>
      </c>
      <c r="G115" s="30">
        <f>SUMIFS(Stock!R:R,Stock!B:B,"CD CIUDADELA                  ",Stock!P:P,'Necesidad por familia'!A115)/B115</f>
        <v>59</v>
      </c>
      <c r="H115" s="30">
        <f>Tabla1[[#This Row],[Moreno2]]+Tabla1[[#This Row],[Ciudadela3]]</f>
        <v>228</v>
      </c>
      <c r="I115" s="28">
        <f t="shared" si="3"/>
        <v>191</v>
      </c>
      <c r="J115" s="58">
        <f>IF(Tabla1[[#This Row],[Diferencia]]="Sin Consumo","100%",Tabla1[[#This Row],[Stock total]]/(Tabla1[[#This Row],[Moreno]]+Tabla1[[#This Row],[Ciudadela]]))</f>
        <v>6.1621621621621623</v>
      </c>
    </row>
    <row r="116" spans="1:13" x14ac:dyDescent="0.35">
      <c r="A116" s="27" t="s">
        <v>152</v>
      </c>
      <c r="B116" s="28">
        <v>1</v>
      </c>
      <c r="C116" s="28" t="str">
        <f>IF(ISNUMBER(_xlfn.XMATCH(A116,'Calcular necesidad'!E:E,0)),"OK","NO ESTA")</f>
        <v>OK</v>
      </c>
      <c r="D116" s="29">
        <f>SUM(
SUMIF('Calcular necesidad'!E:E,'Necesidad por familia'!A116,'Calcular necesidad'!G:G) +
SUMIF('Calcular necesidad'!E:E,'Necesidad por familia'!A116,'Calcular necesidad'!I:I) +
SUMIF('Calcular necesidad'!E:E,'Necesidad por familia'!A116,'Calcular necesidad'!K:K) +
SUMIF('Calcular necesidad'!E:E,'Necesidad por familia'!A116,'Calcular necesidad'!J:J)
)/B116</f>
        <v>0</v>
      </c>
      <c r="E116" s="29">
        <f>SUMIF('Calcular necesidad'!E:E,'Necesidad por familia'!A116,'Calcular necesidad'!$H:$H)/B116</f>
        <v>1</v>
      </c>
      <c r="F116" s="30">
        <f>SUMIFS(Stock!R:R,Stock!B:B,"&lt;&gt;CD CIUDADELA                  ",Stock!P:P,'Necesidad por familia'!A116)/B116</f>
        <v>0</v>
      </c>
      <c r="G116" s="30">
        <f>SUMIFS(Stock!R:R,Stock!B:B,"CD CIUDADELA                  ",Stock!P:P,'Necesidad por familia'!A116)/B116</f>
        <v>0</v>
      </c>
      <c r="H116" s="30">
        <f>Tabla1[[#This Row],[Moreno2]]+Tabla1[[#This Row],[Ciudadela3]]</f>
        <v>0</v>
      </c>
      <c r="I116" s="28">
        <f t="shared" si="3"/>
        <v>-1</v>
      </c>
      <c r="J116" s="58">
        <f>IF(Tabla1[[#This Row],[Diferencia]]="Sin Consumo","100%",Tabla1[[#This Row],[Stock total]]/(Tabla1[[#This Row],[Moreno]]+Tabla1[[#This Row],[Ciudadela]]))</f>
        <v>0</v>
      </c>
    </row>
    <row r="117" spans="1:13" x14ac:dyDescent="0.35">
      <c r="A117" s="27" t="s">
        <v>153</v>
      </c>
      <c r="B117" s="28">
        <v>1000</v>
      </c>
      <c r="C117" s="28" t="str">
        <f>IF(ISNUMBER(_xlfn.XMATCH(A117,'Calcular necesidad'!E:E,0)),"OK","NO ESTA")</f>
        <v>OK</v>
      </c>
      <c r="D117" s="29">
        <f>SUM(
SUMIF('Calcular necesidad'!E:E,'Necesidad por familia'!A117,'Calcular necesidad'!G:G) +
SUMIF('Calcular necesidad'!E:E,'Necesidad por familia'!A117,'Calcular necesidad'!I:I) +
SUMIF('Calcular necesidad'!E:E,'Necesidad por familia'!A117,'Calcular necesidad'!K:K) +
SUMIF('Calcular necesidad'!E:E,'Necesidad por familia'!A117,'Calcular necesidad'!J:J)
)/B117</f>
        <v>0</v>
      </c>
      <c r="E117" s="29">
        <f>SUMIF('Calcular necesidad'!E:E,'Necesidad por familia'!A117,'Calcular necesidad'!$H:$H)/B117</f>
        <v>2</v>
      </c>
      <c r="F117" s="30">
        <f>SUMIFS(Stock!R:R,Stock!B:B,"&lt;&gt;CD CIUDADELA                  ",Stock!P:P,'Necesidad por familia'!A117)/B117</f>
        <v>0</v>
      </c>
      <c r="G117" s="30">
        <f>SUMIFS(Stock!R:R,Stock!B:B,"CD CIUDADELA                  ",Stock!P:P,'Necesidad por familia'!A117)/B117</f>
        <v>0</v>
      </c>
      <c r="H117" s="30">
        <f>Tabla1[[#This Row],[Moreno2]]+Tabla1[[#This Row],[Ciudadela3]]</f>
        <v>0</v>
      </c>
      <c r="I117" s="28">
        <f t="shared" si="3"/>
        <v>-2</v>
      </c>
      <c r="J117" s="58">
        <f>IF(Tabla1[[#This Row],[Diferencia]]="Sin Consumo","100%",Tabla1[[#This Row],[Stock total]]/(Tabla1[[#This Row],[Moreno]]+Tabla1[[#This Row],[Ciudadela]]))</f>
        <v>0</v>
      </c>
      <c r="K117" s="12" t="s">
        <v>146</v>
      </c>
      <c r="M117" t="s">
        <v>148</v>
      </c>
    </row>
    <row r="118" spans="1:13" x14ac:dyDescent="0.35">
      <c r="A118" s="22" t="s">
        <v>154</v>
      </c>
      <c r="B118" s="11">
        <v>1</v>
      </c>
      <c r="C118" s="11" t="str">
        <f>IF(ISNUMBER(_xlfn.XMATCH(A118,'Calcular necesidad'!E:E,0)),"OK","NO ESTA")</f>
        <v>OK</v>
      </c>
      <c r="D118" s="19">
        <f>SUM(
SUMIF('Calcular necesidad'!E:E,'Necesidad por familia'!A118,'Calcular necesidad'!G:G) +
SUMIF('Calcular necesidad'!E:E,'Necesidad por familia'!A118,'Calcular necesidad'!I:I) +
SUMIF('Calcular necesidad'!E:E,'Necesidad por familia'!A118,'Calcular necesidad'!K:K) +
SUMIF('Calcular necesidad'!E:E,'Necesidad por familia'!A118,'Calcular necesidad'!J:J)
)/B118</f>
        <v>0</v>
      </c>
      <c r="E118" s="19">
        <f>SUMIF('Calcular necesidad'!E:E,'Necesidad por familia'!A118,'Calcular necesidad'!$H:$H)/B118</f>
        <v>2</v>
      </c>
      <c r="F118" s="21">
        <f>SUMIFS(Stock!R:R,Stock!B:B,"&lt;&gt;CD CIUDADELA                  ",Stock!P:P,'Necesidad por familia'!A118)/B118</f>
        <v>0</v>
      </c>
      <c r="G118" s="21">
        <f>SUMIFS(Stock!R:R,Stock!B:B,"CD CIUDADELA                  ",Stock!P:P,'Necesidad por familia'!A118)/B118</f>
        <v>0</v>
      </c>
      <c r="H118" s="30">
        <f>Tabla1[[#This Row],[Moreno2]]+Tabla1[[#This Row],[Ciudadela3]]</f>
        <v>0</v>
      </c>
      <c r="I118" s="11">
        <f t="shared" si="3"/>
        <v>-2</v>
      </c>
      <c r="J118" s="58">
        <f>IF(Tabla1[[#This Row],[Diferencia]]="Sin Consumo","100%",Tabla1[[#This Row],[Stock total]]/(Tabla1[[#This Row],[Moreno]]+Tabla1[[#This Row],[Ciudadela]]))</f>
        <v>0</v>
      </c>
      <c r="K118" s="12" t="s">
        <v>146</v>
      </c>
      <c r="M118" t="s">
        <v>148</v>
      </c>
    </row>
    <row r="119" spans="1:13" x14ac:dyDescent="0.35">
      <c r="A119" s="22" t="s">
        <v>155</v>
      </c>
      <c r="B119" s="11">
        <v>100</v>
      </c>
      <c r="C119" s="11" t="str">
        <f>IF(ISNUMBER(_xlfn.XMATCH(A119,'Calcular necesidad'!E:E,0)),"OK","NO ESTA")</f>
        <v>OK</v>
      </c>
      <c r="D119" s="19">
        <f>SUM(
SUMIF('Calcular necesidad'!E:E,'Necesidad por familia'!A119,'Calcular necesidad'!G:G) +
SUMIF('Calcular necesidad'!E:E,'Necesidad por familia'!A119,'Calcular necesidad'!I:I) +
SUMIF('Calcular necesidad'!E:E,'Necesidad por familia'!A119,'Calcular necesidad'!K:K) +
SUMIF('Calcular necesidad'!E:E,'Necesidad por familia'!A119,'Calcular necesidad'!J:J)
)/B119</f>
        <v>0</v>
      </c>
      <c r="E119" s="19">
        <f>SUMIF('Calcular necesidad'!E:E,'Necesidad por familia'!A119,'Calcular necesidad'!$H:$H)/B119</f>
        <v>9</v>
      </c>
      <c r="F119" s="21">
        <f>SUMIFS(Stock!R:R,Stock!B:B,"&lt;&gt;CD CIUDADELA                  ",Stock!P:P,'Necesidad por familia'!A119)/B119</f>
        <v>0</v>
      </c>
      <c r="G119" s="21">
        <f>SUMIFS(Stock!R:R,Stock!B:B,"CD CIUDADELA                  ",Stock!P:P,'Necesidad por familia'!A119)/B119</f>
        <v>0</v>
      </c>
      <c r="H119" s="70">
        <f>Tabla1[[#This Row],[Moreno2]]+Tabla1[[#This Row],[Ciudadela3]]</f>
        <v>0</v>
      </c>
      <c r="I119" s="11">
        <f t="shared" si="3"/>
        <v>-9</v>
      </c>
      <c r="J119" s="58">
        <f>IF(Tabla1[[#This Row],[Diferencia]]="Sin Consumo","100%",Tabla1[[#This Row],[Stock total]]/(Tabla1[[#This Row],[Moreno]]+Tabla1[[#This Row],[Ciudadela]]))</f>
        <v>0</v>
      </c>
      <c r="K119" s="12" t="s">
        <v>146</v>
      </c>
      <c r="M119" t="s">
        <v>148</v>
      </c>
    </row>
    <row r="120" spans="1:13" x14ac:dyDescent="0.35">
      <c r="A120" s="22" t="s">
        <v>156</v>
      </c>
      <c r="B120" s="11">
        <v>1000</v>
      </c>
      <c r="C120" s="11" t="str">
        <f>IF(ISNUMBER(_xlfn.XMATCH(A120,'Calcular necesidad'!E:E,0)),"OK","NO ESTA")</f>
        <v>OK</v>
      </c>
      <c r="D120" s="19">
        <f>SUM(
SUMIF('Calcular necesidad'!E:E,'Necesidad por familia'!A120,'Calcular necesidad'!G:G) +
SUMIF('Calcular necesidad'!E:E,'Necesidad por familia'!A120,'Calcular necesidad'!I:I) +
SUMIF('Calcular necesidad'!E:E,'Necesidad por familia'!A120,'Calcular necesidad'!K:K) +
SUMIF('Calcular necesidad'!E:E,'Necesidad por familia'!A120,'Calcular necesidad'!J:J)
)/B120</f>
        <v>0</v>
      </c>
      <c r="E120" s="19">
        <f>SUMIF('Calcular necesidad'!E:E,'Necesidad por familia'!A120,'Calcular necesidad'!$H:$H)/B120</f>
        <v>2</v>
      </c>
      <c r="F120" s="21">
        <f>SUMIFS(Stock!R:R,Stock!B:B,"&lt;&gt;CD CIUDADELA                  ",Stock!P:P,'Necesidad por familia'!A120)/B120</f>
        <v>0</v>
      </c>
      <c r="G120" s="21">
        <f>SUMIFS(Stock!R:R,Stock!B:B,"CD CIUDADELA                  ",Stock!P:P,'Necesidad por familia'!A120)/B120</f>
        <v>0</v>
      </c>
      <c r="H120" s="70">
        <f>Tabla1[[#This Row],[Moreno2]]+Tabla1[[#This Row],[Ciudadela3]]</f>
        <v>0</v>
      </c>
      <c r="I120" s="11">
        <f t="shared" si="3"/>
        <v>-2</v>
      </c>
      <c r="J120" s="58">
        <f>IF(Tabla1[[#This Row],[Diferencia]]="Sin Consumo","100%",Tabla1[[#This Row],[Stock total]]/(Tabla1[[#This Row],[Moreno]]+Tabla1[[#This Row],[Ciudadela]]))</f>
        <v>0</v>
      </c>
      <c r="M120" t="s">
        <v>148</v>
      </c>
    </row>
    <row r="121" spans="1:13" x14ac:dyDescent="0.35">
      <c r="A121" s="22" t="s">
        <v>157</v>
      </c>
      <c r="B121" s="11">
        <v>100</v>
      </c>
      <c r="C121" s="11" t="str">
        <f>IF(ISNUMBER(_xlfn.XMATCH(A121,'Calcular necesidad'!E:E,0)),"OK","NO ESTA")</f>
        <v>OK</v>
      </c>
      <c r="D121" s="19">
        <f>SUM(
SUMIF('Calcular necesidad'!E:E,'Necesidad por familia'!A121,'Calcular necesidad'!G:G) +
SUMIF('Calcular necesidad'!E:E,'Necesidad por familia'!A121,'Calcular necesidad'!I:I) +
SUMIF('Calcular necesidad'!E:E,'Necesidad por familia'!A121,'Calcular necesidad'!K:K) +
SUMIF('Calcular necesidad'!E:E,'Necesidad por familia'!A121,'Calcular necesidad'!J:J)
)/B121</f>
        <v>4</v>
      </c>
      <c r="E121" s="19">
        <f>SUMIF('Calcular necesidad'!E:E,'Necesidad por familia'!A121,'Calcular necesidad'!$H:$H)/B121</f>
        <v>4</v>
      </c>
      <c r="F121" s="21">
        <f>SUMIFS(Stock!R:R,Stock!B:B,"&lt;&gt;CD CIUDADELA                  ",Stock!P:P,'Necesidad por familia'!A121)/B121</f>
        <v>0</v>
      </c>
      <c r="G121" s="21">
        <f>SUMIFS(Stock!R:R,Stock!B:B,"CD CIUDADELA                  ",Stock!P:P,'Necesidad por familia'!A121)/B121</f>
        <v>0</v>
      </c>
      <c r="H121" s="70">
        <f>Tabla1[[#This Row],[Moreno2]]+Tabla1[[#This Row],[Ciudadela3]]</f>
        <v>0</v>
      </c>
      <c r="I121" s="11">
        <f t="shared" si="3"/>
        <v>-8</v>
      </c>
      <c r="J121" s="58">
        <f>IF(Tabla1[[#This Row],[Diferencia]]="Sin Consumo","100%",Tabla1[[#This Row],[Stock total]]/(Tabla1[[#This Row],[Moreno]]+Tabla1[[#This Row],[Ciudadela]]))</f>
        <v>0</v>
      </c>
      <c r="K121" s="12" t="s">
        <v>146</v>
      </c>
      <c r="M121" t="s">
        <v>148</v>
      </c>
    </row>
    <row r="122" spans="1:13" x14ac:dyDescent="0.35">
      <c r="A122" s="27" t="s">
        <v>158</v>
      </c>
      <c r="B122" s="28">
        <v>1</v>
      </c>
      <c r="C122" s="28" t="str">
        <f>IF(ISNUMBER(_xlfn.XMATCH(A122,'Calcular necesidad'!E:E,0)),"OK","NO ESTA")</f>
        <v>OK</v>
      </c>
      <c r="D122" s="29">
        <f>SUM(
SUMIF('Calcular necesidad'!E:E,'Necesidad por familia'!A122,'Calcular necesidad'!G:G) +
SUMIF('Calcular necesidad'!E:E,'Necesidad por familia'!A122,'Calcular necesidad'!I:I) +
SUMIF('Calcular necesidad'!E:E,'Necesidad por familia'!A122,'Calcular necesidad'!K:K) +
SUMIF('Calcular necesidad'!E:E,'Necesidad por familia'!A122,'Calcular necesidad'!J:J)
)/B122</f>
        <v>0</v>
      </c>
      <c r="E122" s="29">
        <f>SUMIF('Calcular necesidad'!E:E,'Necesidad por familia'!A122,'Calcular necesidad'!$H:$H)/B122</f>
        <v>2100</v>
      </c>
      <c r="F122" s="30">
        <f>SUMIFS(Stock!R:R,Stock!B:B,"&lt;&gt;CD CIUDADELA                  ",Stock!P:P,'Necesidad por familia'!A122)/B122</f>
        <v>0</v>
      </c>
      <c r="G122" s="30">
        <f>SUMIFS(Stock!R:R,Stock!B:B,"CD CIUDADELA                  ",Stock!P:P,'Necesidad por familia'!A122)/B122</f>
        <v>0</v>
      </c>
      <c r="H122" s="70">
        <f>Tabla1[[#This Row],[Moreno2]]+Tabla1[[#This Row],[Ciudadela3]]</f>
        <v>0</v>
      </c>
      <c r="I122" s="28">
        <f t="shared" si="3"/>
        <v>-2100</v>
      </c>
      <c r="J122" s="58">
        <f>IF(Tabla1[[#This Row],[Diferencia]]="Sin Consumo","100%",Tabla1[[#This Row],[Stock total]]/(Tabla1[[#This Row],[Moreno]]+Tabla1[[#This Row],[Ciudadela]]))</f>
        <v>0</v>
      </c>
      <c r="K122" s="12" t="s">
        <v>146</v>
      </c>
      <c r="M122" t="s">
        <v>148</v>
      </c>
    </row>
    <row r="123" spans="1:13" x14ac:dyDescent="0.35">
      <c r="A123" s="22" t="s">
        <v>159</v>
      </c>
      <c r="B123" s="11">
        <v>100</v>
      </c>
      <c r="C123" s="11" t="str">
        <f>IF(ISNUMBER(_xlfn.XMATCH(A123,'Calcular necesidad'!E:E,0)),"OK","NO ESTA")</f>
        <v>OK</v>
      </c>
      <c r="D123" s="19">
        <f>SUM(
SUMIF('Calcular necesidad'!E:E,'Necesidad por familia'!A123,'Calcular necesidad'!G:G) +
SUMIF('Calcular necesidad'!E:E,'Necesidad por familia'!A123,'Calcular necesidad'!I:I) +
SUMIF('Calcular necesidad'!E:E,'Necesidad por familia'!A123,'Calcular necesidad'!K:K) +
SUMIF('Calcular necesidad'!E:E,'Necesidad por familia'!A123,'Calcular necesidad'!J:J)
)/B123</f>
        <v>6</v>
      </c>
      <c r="E123" s="19">
        <f>SUMIF('Calcular necesidad'!E:E,'Necesidad por familia'!A123,'Calcular necesidad'!$H:$H)/B123</f>
        <v>5</v>
      </c>
      <c r="F123" s="21">
        <f>SUMIFS(Stock!R:R,Stock!B:B,"&lt;&gt;CD CIUDADELA                  ",Stock!P:P,'Necesidad por familia'!A123)/B123</f>
        <v>0</v>
      </c>
      <c r="G123" s="21">
        <f>SUMIFS(Stock!R:R,Stock!B:B,"CD CIUDADELA                  ",Stock!P:P,'Necesidad por familia'!A123)/B123</f>
        <v>0</v>
      </c>
      <c r="H123" s="30">
        <f>Tabla1[[#This Row],[Moreno2]]+Tabla1[[#This Row],[Ciudadela3]]</f>
        <v>0</v>
      </c>
      <c r="I123" s="11">
        <f t="shared" si="3"/>
        <v>-11</v>
      </c>
      <c r="J123" s="58">
        <f>IF(Tabla1[[#This Row],[Diferencia]]="Sin Consumo","100%",Tabla1[[#This Row],[Stock total]]/(Tabla1[[#This Row],[Moreno]]+Tabla1[[#This Row],[Ciudadela]]))</f>
        <v>0</v>
      </c>
      <c r="K123" s="12" t="s">
        <v>146</v>
      </c>
      <c r="M123" t="s">
        <v>148</v>
      </c>
    </row>
    <row r="124" spans="1:13" x14ac:dyDescent="0.35">
      <c r="A124" s="22" t="s">
        <v>160</v>
      </c>
      <c r="B124" s="11">
        <v>1</v>
      </c>
      <c r="C124" s="11" t="str">
        <f>IF(ISNUMBER(_xlfn.XMATCH(A124,'Calcular necesidad'!E:E,0)),"OK","NO ESTA")</f>
        <v>OK</v>
      </c>
      <c r="D124" s="19">
        <f>SUM(
SUMIF('Calcular necesidad'!E:E,'Necesidad por familia'!A124,'Calcular necesidad'!G:G) +
SUMIF('Calcular necesidad'!E:E,'Necesidad por familia'!A124,'Calcular necesidad'!I:I) +
SUMIF('Calcular necesidad'!E:E,'Necesidad por familia'!A124,'Calcular necesidad'!K:K) +
SUMIF('Calcular necesidad'!E:E,'Necesidad por familia'!A124,'Calcular necesidad'!J:J)
)/B124</f>
        <v>0</v>
      </c>
      <c r="E124" s="19">
        <f>SUMIF('Calcular necesidad'!E:E,'Necesidad por familia'!A124,'Calcular necesidad'!$H:$H)/B124</f>
        <v>1300</v>
      </c>
      <c r="F124" s="21">
        <f>SUMIFS(Stock!R:R,Stock!B:B,"&lt;&gt;CD CIUDADELA                  ",Stock!P:P,'Necesidad por familia'!A124)/B124</f>
        <v>0</v>
      </c>
      <c r="G124" s="21">
        <f>SUMIFS(Stock!R:R,Stock!B:B,"CD CIUDADELA                  ",Stock!P:P,'Necesidad por familia'!A124)/B124</f>
        <v>0</v>
      </c>
      <c r="H124" s="70">
        <f>Tabla1[[#This Row],[Moreno2]]+Tabla1[[#This Row],[Ciudadela3]]</f>
        <v>0</v>
      </c>
      <c r="I124" s="11">
        <f t="shared" si="3"/>
        <v>-1300</v>
      </c>
      <c r="J124" s="58">
        <f>IF(Tabla1[[#This Row],[Diferencia]]="Sin Consumo","100%",Tabla1[[#This Row],[Stock total]]/(Tabla1[[#This Row],[Moreno]]+Tabla1[[#This Row],[Ciudadela]]))</f>
        <v>0</v>
      </c>
      <c r="K124" s="12" t="s">
        <v>146</v>
      </c>
      <c r="M124" t="s">
        <v>148</v>
      </c>
    </row>
    <row r="125" spans="1:13" x14ac:dyDescent="0.35">
      <c r="A125" s="27" t="s">
        <v>161</v>
      </c>
      <c r="B125" s="28">
        <v>1</v>
      </c>
      <c r="C125" s="28" t="str">
        <f>IF(ISNUMBER(_xlfn.XMATCH(A125,'Calcular necesidad'!E:E,0)),"OK","NO ESTA")</f>
        <v>OK</v>
      </c>
      <c r="D125" s="29">
        <f>SUM(
SUMIF('Calcular necesidad'!E:E,'Necesidad por familia'!A125,'Calcular necesidad'!G:G) +
SUMIF('Calcular necesidad'!E:E,'Necesidad por familia'!A125,'Calcular necesidad'!I:I) +
SUMIF('Calcular necesidad'!E:E,'Necesidad por familia'!A125,'Calcular necesidad'!K:K) +
SUMIF('Calcular necesidad'!E:E,'Necesidad por familia'!A125,'Calcular necesidad'!J:J)
)/B125</f>
        <v>0</v>
      </c>
      <c r="E125" s="29">
        <f>SUMIF('Calcular necesidad'!E:E,'Necesidad por familia'!A125,'Calcular necesidad'!$H:$H)/B125</f>
        <v>4</v>
      </c>
      <c r="F125" s="30">
        <f>SUMIFS(Stock!R:R,Stock!B:B,"&lt;&gt;CD CIUDADELA                  ",Stock!P:P,'Necesidad por familia'!A125)/B125</f>
        <v>0</v>
      </c>
      <c r="G125" s="30">
        <f>SUMIFS(Stock!R:R,Stock!B:B,"CD CIUDADELA                  ",Stock!P:P,'Necesidad por familia'!A125)/B125</f>
        <v>0</v>
      </c>
      <c r="H125" s="70">
        <f>Tabla1[[#This Row],[Moreno2]]+Tabla1[[#This Row],[Ciudadela3]]</f>
        <v>0</v>
      </c>
      <c r="I125" s="28">
        <f t="shared" si="3"/>
        <v>-4</v>
      </c>
      <c r="J125" s="58">
        <f>IF(Tabla1[[#This Row],[Diferencia]]="Sin Consumo","100%",Tabla1[[#This Row],[Stock total]]/(Tabla1[[#This Row],[Moreno]]+Tabla1[[#This Row],[Ciudadela]]))</f>
        <v>0</v>
      </c>
      <c r="K125" s="12" t="s">
        <v>146</v>
      </c>
      <c r="M125" t="s">
        <v>148</v>
      </c>
    </row>
    <row r="126" spans="1:13" hidden="1" x14ac:dyDescent="0.35">
      <c r="A126" s="27" t="s">
        <v>162</v>
      </c>
      <c r="B126" s="28">
        <v>100</v>
      </c>
      <c r="C126" s="28" t="str">
        <f>IF(ISNUMBER(_xlfn.XMATCH(A126,'Calcular necesidad'!E:E,0)),"OK","NO ESTA")</f>
        <v>OK</v>
      </c>
      <c r="D126" s="29">
        <f>SUM(
SUMIF('Calcular necesidad'!E:E,'Necesidad por familia'!A126,'Calcular necesidad'!G:G) +
SUMIF('Calcular necesidad'!E:E,'Necesidad por familia'!A126,'Calcular necesidad'!I:I) +
SUMIF('Calcular necesidad'!E:E,'Necesidad por familia'!A126,'Calcular necesidad'!K:K) +
SUMIF('Calcular necesidad'!E:E,'Necesidad por familia'!A126,'Calcular necesidad'!J:J)
)/B126</f>
        <v>0</v>
      </c>
      <c r="E126" s="29">
        <f>SUMIF('Calcular necesidad'!E:E,'Necesidad por familia'!A126,'Calcular necesidad'!$H:$H)/B126</f>
        <v>76</v>
      </c>
      <c r="F126" s="30">
        <f>SUMIFS(Stock!R:R,Stock!B:B,"&lt;&gt;CD CIUDADELA                  ",Stock!P:P,'Necesidad por familia'!A126)/B126</f>
        <v>0</v>
      </c>
      <c r="G126" s="30">
        <f>SUMIFS(Stock!R:R,Stock!B:B,"CD CIUDADELA                  ",Stock!P:P,'Necesidad por familia'!A126)/B126</f>
        <v>80</v>
      </c>
      <c r="H126" s="30">
        <f>Tabla1[[#This Row],[Moreno2]]+Tabla1[[#This Row],[Ciudadela3]]</f>
        <v>80</v>
      </c>
      <c r="I126" s="28">
        <f t="shared" si="3"/>
        <v>4</v>
      </c>
      <c r="J126" s="58">
        <f>IF(Tabla1[[#This Row],[Diferencia]]="Sin Consumo","100%",Tabla1[[#This Row],[Stock total]]/(Tabla1[[#This Row],[Moreno]]+Tabla1[[#This Row],[Ciudadela]]))</f>
        <v>1.0526315789473684</v>
      </c>
    </row>
    <row r="219" spans="1:3" x14ac:dyDescent="0.35">
      <c r="A219" s="16"/>
      <c r="B219" s="16"/>
      <c r="C219" s="16"/>
    </row>
    <row r="220" spans="1:3" x14ac:dyDescent="0.35">
      <c r="C220" s="16"/>
    </row>
    <row r="221" spans="1:3" x14ac:dyDescent="0.35">
      <c r="C221" s="16"/>
    </row>
    <row r="222" spans="1:3" x14ac:dyDescent="0.35">
      <c r="C222" s="16"/>
    </row>
    <row r="223" spans="1:3" x14ac:dyDescent="0.35">
      <c r="C223" s="16"/>
    </row>
    <row r="224" spans="1:3" x14ac:dyDescent="0.35">
      <c r="C224" s="16"/>
    </row>
    <row r="225" spans="3:3" x14ac:dyDescent="0.35">
      <c r="C225" s="16"/>
    </row>
  </sheetData>
  <conditionalFormatting sqref="A3:A102">
    <cfRule type="duplicateValues" dxfId="1" priority="25"/>
  </conditionalFormatting>
  <conditionalFormatting sqref="A3:A105">
    <cfRule type="duplicateValues" dxfId="0" priority="27"/>
  </conditionalFormatting>
  <pageMargins left="0.7" right="0.7" top="0.75" bottom="0.75" header="0.3" footer="0.3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8CDBB5185C654FA7B2514B97988E0B" ma:contentTypeVersion="22" ma:contentTypeDescription="Create a new document." ma:contentTypeScope="" ma:versionID="b08a2df11d57daca318afc3e2da3318a">
  <xsd:schema xmlns:xsd="http://www.w3.org/2001/XMLSchema" xmlns:xs="http://www.w3.org/2001/XMLSchema" xmlns:p="http://schemas.microsoft.com/office/2006/metadata/properties" xmlns:ns2="6896c327-b986-41f7-8437-f8b9b668b07c" xmlns:ns3="9775ea20-c4ae-4adb-86fc-62c83a609198" targetNamespace="http://schemas.microsoft.com/office/2006/metadata/properties" ma:root="true" ma:fieldsID="b8dc96a9f080a5690e7b4eb33f90c773" ns2:_="" ns3:_="">
    <xsd:import namespace="6896c327-b986-41f7-8437-f8b9b668b07c"/>
    <xsd:import namespace="9775ea20-c4ae-4adb-86fc-62c83a609198"/>
    <xsd:element name="properties">
      <xsd:complexType>
        <xsd:sequence>
          <xsd:element name="documentManagement">
            <xsd:complexType>
              <xsd:all>
                <xsd:element ref="ns2:SharedWithDetail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c327-b986-41f7-8437-f8b9b668b07c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86a1f349-6f63-4647-8b8f-33586ab5819f}" ma:internalName="TaxCatchAll" ma:showField="CatchAllData" ma:web="6896c327-b986-41f7-8437-f8b9b668b0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5ea20-c4ae-4adb-86fc-62c83a609198" elementFormDefault="qualified">
    <xsd:import namespace="http://schemas.microsoft.com/office/2006/documentManagement/types"/>
    <xsd:import namespace="http://schemas.microsoft.com/office/infopath/2007/PartnerControls"/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acbd6c1-10ff-4841-ab83-fc2ee5570c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75ea20-c4ae-4adb-86fc-62c83a609198">
      <Terms xmlns="http://schemas.microsoft.com/office/infopath/2007/PartnerControls"/>
    </lcf76f155ced4ddcb4097134ff3c332f>
    <TaxCatchAll xmlns="6896c327-b986-41f7-8437-f8b9b668b07c" xsi:nil="true"/>
  </documentManagement>
</p:properties>
</file>

<file path=customXml/itemProps1.xml><?xml version="1.0" encoding="utf-8"?>
<ds:datastoreItem xmlns:ds="http://schemas.openxmlformats.org/officeDocument/2006/customXml" ds:itemID="{BA8E7F05-72A1-4761-9E9A-384B15A8D3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2F1887-201D-4CE6-9585-DC19B0B3F1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96c327-b986-41f7-8437-f8b9b668b07c"/>
    <ds:schemaRef ds:uri="9775ea20-c4ae-4adb-86fc-62c83a6091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AA623D-D9ED-4C3C-ABF4-DE5BBC09BD67}">
  <ds:schemaRefs>
    <ds:schemaRef ds:uri="http://schemas.microsoft.com/office/2006/metadata/properties"/>
    <ds:schemaRef ds:uri="http://schemas.microsoft.com/office/infopath/2007/PartnerControls"/>
    <ds:schemaRef ds:uri="9775ea20-c4ae-4adb-86fc-62c83a609198"/>
    <ds:schemaRef ds:uri="6896c327-b986-41f7-8437-f8b9b668b0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MRP</vt:lpstr>
      <vt:lpstr>Calcular necesidad</vt:lpstr>
      <vt:lpstr>Stock</vt:lpstr>
      <vt:lpstr>Tabla Articulos</vt:lpstr>
      <vt:lpstr>Necesidad por familia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Vecchio</dc:creator>
  <cp:lastModifiedBy>Gaston Vecchio</cp:lastModifiedBy>
  <dcterms:created xsi:type="dcterms:W3CDTF">2025-12-05T00:42:14Z</dcterms:created>
  <dcterms:modified xsi:type="dcterms:W3CDTF">2026-04-28T21:05:23Z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0x010100AD8CDBB5185C654FA7B2514B97988E0B</vt:lpwstr>
  </property>
  <property fmtid="{D5CDD505-2E9C-101B-9397-08002B2CF9AE}" pid="3" name="MediaServiceImageTags">
    <vt:lpwstr/>
  </property>
</Properties>
</file>